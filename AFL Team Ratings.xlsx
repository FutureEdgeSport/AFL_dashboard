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drawings/drawing2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1" autoFilterDateGrouping="1"/>
  </bookViews>
  <sheets>
    <sheet name="2025 Season All" sheetId="1" state="visible" r:id="rId1"/>
    <sheet name="2025 Last 10 Summary" sheetId="2" state="visible" r:id="rId2"/>
    <sheet name="2025 Summary" sheetId="3" state="visible" r:id="rId3"/>
    <sheet name="2024 Summary" sheetId="4" state="visible" r:id="rId4"/>
    <sheet name="2023 Summary" sheetId="5" state="visible" r:id="rId5"/>
    <sheet name="2022 Summary" sheetId="6" state="visible" r:id="rId6"/>
    <sheet name="2021 Summary" sheetId="7" state="visible" r:id="rId7"/>
    <sheet name="Seasons Summary (2)" sheetId="8" state="visible" r:id="rId8"/>
    <sheet name="Seasons Summary" sheetId="9" state="visible" r:id="rId9"/>
    <sheet name="2025 Team Summary" sheetId="10" state="visible" r:id="rId10"/>
    <sheet name="Seasons Team Summary" sheetId="11" state="visible" r:id="rId11"/>
    <sheet name="2025 Ladders" sheetId="12" state="visible" r:id="rId12"/>
    <sheet name="2024 Ladders" sheetId="13" state="visible" r:id="rId13"/>
    <sheet name="2023 Ladders" sheetId="14" state="visible" r:id="rId14"/>
    <sheet name="2022 Ladders" sheetId="15" state="visible" r:id="rId15"/>
    <sheet name="2021 Ladders" sheetId="16" state="visible" r:id="rId16"/>
    <sheet name="Seasons Ladders (2)" sheetId="17" state="visible" r:id="rId17"/>
    <sheet name="Seasons Ladders" sheetId="18" state="visible" r:id="rId18"/>
    <sheet name="2025 Scatter Data" sheetId="19" state="visible" r:id="rId19"/>
    <sheet name="Scatter Plot" sheetId="20" state="visible" r:id="rId20"/>
    <sheet name="Ratings Season" sheetId="21" state="visible" r:id="rId21"/>
    <sheet name="2024" sheetId="22" state="visible" r:id="rId22"/>
    <sheet name="2023" sheetId="23" state="visible" r:id="rId23"/>
    <sheet name="2022" sheetId="24" state="visible" r:id="rId24"/>
    <sheet name="2021" sheetId="25" state="visible" r:id="rId25"/>
    <sheet name="L10" sheetId="26" state="visible" r:id="rId26"/>
    <sheet name="2025" sheetId="27" state="visible" r:id="rId27"/>
    <sheet name="2025 Ladders (L10)" sheetId="28" state="visible" r:id="rId28"/>
    <sheet name="2025 Ladders (L5)" sheetId="29" state="visible" r:id="rId29"/>
  </sheets>
  <definedNames>
    <definedName name="XMidpoint">'2025 Scatter Data'!$H$22</definedName>
    <definedName name="YMidpoint">'2025 Scatter Data'!$K$22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1">
    <font>
      <name val="Calibri"/>
      <family val="2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6"/>
      <scheme val="minor"/>
    </font>
    <font>
      <name val="Impact"/>
      <family val="2"/>
      <color theme="1"/>
      <sz val="28"/>
    </font>
    <font>
      <name val="Calibri"/>
      <family val="2"/>
      <color theme="1"/>
      <sz val="20"/>
      <scheme val="minor"/>
    </font>
    <font>
      <name val="Calibri"/>
      <family val="2"/>
      <b val="1"/>
      <color rgb="FFFFFF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2060"/>
      <sz val="12"/>
      <scheme val="minor"/>
    </font>
    <font>
      <name val="Calibri"/>
      <family val="2"/>
      <b val="1"/>
      <color theme="1" tint="0.249977111117893"/>
      <sz val="12"/>
      <scheme val="minor"/>
    </font>
    <font>
      <name val="Calibri"/>
      <family val="2"/>
      <b val="1"/>
      <color rgb="FF00B0F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color theme="1"/>
      <sz val="36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0"/>
      <sz val="36"/>
      <scheme val="minor"/>
    </font>
    <font>
      <name val="Calibri"/>
      <family val="2"/>
      <color theme="0"/>
      <sz val="20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color rgb="FFFFFF00"/>
      <sz val="24"/>
      <scheme val="minor"/>
    </font>
    <font>
      <name val="Impact"/>
      <family val="2"/>
      <color theme="1"/>
      <sz val="26"/>
    </font>
    <font>
      <name val="Calibri"/>
      <family val="2"/>
      <b val="1"/>
      <color theme="0"/>
      <sz val="48"/>
      <scheme val="minor"/>
    </font>
    <font>
      <name val="Calibri"/>
      <family val="2"/>
      <b val="1"/>
      <color theme="0"/>
      <sz val="72"/>
      <scheme val="minor"/>
    </font>
    <font>
      <name val="Calibri"/>
      <family val="2"/>
      <b val="1"/>
      <color theme="0"/>
      <sz val="26"/>
      <scheme val="minor"/>
    </font>
    <font>
      <name val="Calibri"/>
      <family val="2"/>
      <b val="1"/>
      <color theme="1"/>
      <sz val="2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8"/>
      <scheme val="minor"/>
    </font>
    <font>
      <name val="Calibri"/>
      <family val="2"/>
      <b val="1"/>
      <color theme="1"/>
      <sz val="8"/>
      <scheme val="minor"/>
    </font>
  </fonts>
  <fills count="2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BAA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4165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692909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7DBFF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rgb="FFFF0000"/>
      </top>
      <bottom style="thin">
        <color rgb="FFFF0000"/>
      </bottom>
      <diagonal/>
    </border>
    <border>
      <left style="medium">
        <color indexed="64"/>
      </left>
      <right/>
      <top style="thin">
        <color rgb="FF002060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rgb="FFFFFF00"/>
      </top>
      <bottom style="thin">
        <color rgb="FFFFFF00"/>
      </bottom>
      <diagonal/>
    </border>
    <border>
      <left style="medium">
        <color indexed="64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thin">
        <color rgb="FFFF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8" borderId="7" applyAlignment="1" pivotButton="0" quotePrefix="0" xfId="0">
      <alignment horizontal="center" vertical="center" wrapText="1"/>
    </xf>
    <xf numFmtId="0" fontId="2" fillId="8" borderId="8" applyAlignment="1" pivotButton="0" quotePrefix="0" xfId="0">
      <alignment horizontal="center" vertical="center" wrapText="1"/>
    </xf>
    <xf numFmtId="0" fontId="2" fillId="8" borderId="11" applyAlignment="1" pivotButton="0" quotePrefix="0" xfId="0">
      <alignment horizontal="center" vertical="center" wrapText="1"/>
    </xf>
    <xf numFmtId="0" fontId="2" fillId="9" borderId="7" applyAlignment="1" pivotButton="0" quotePrefix="0" xfId="0">
      <alignment horizontal="center" vertical="center" wrapText="1"/>
    </xf>
    <xf numFmtId="0" fontId="2" fillId="9" borderId="8" applyAlignment="1" pivotButton="0" quotePrefix="0" xfId="0">
      <alignment horizontal="center" vertical="center" wrapText="1"/>
    </xf>
    <xf numFmtId="0" fontId="2" fillId="9" borderId="11" applyAlignment="1" pivotButton="0" quotePrefix="0" xfId="0">
      <alignment horizontal="center" vertical="center" wrapText="1"/>
    </xf>
    <xf numFmtId="0" fontId="2" fillId="10" borderId="7" applyAlignment="1" pivotButton="0" quotePrefix="0" xfId="0">
      <alignment horizontal="center" vertical="center" wrapText="1"/>
    </xf>
    <xf numFmtId="0" fontId="2" fillId="10" borderId="8" applyAlignment="1" pivotButton="0" quotePrefix="0" xfId="0">
      <alignment horizontal="center" vertical="center" wrapText="1"/>
    </xf>
    <xf numFmtId="0" fontId="2" fillId="10" borderId="8" applyAlignment="1" pivotButton="0" quotePrefix="1" xfId="0">
      <alignment horizontal="center" vertical="center" wrapText="1"/>
    </xf>
    <xf numFmtId="0" fontId="2" fillId="11" borderId="7" applyAlignment="1" pivotButton="0" quotePrefix="0" xfId="0">
      <alignment horizontal="center" vertical="center" wrapText="1"/>
    </xf>
    <xf numFmtId="0" fontId="2" fillId="11" borderId="8" applyAlignment="1" pivotButton="0" quotePrefix="0" xfId="0">
      <alignment horizontal="center" vertical="center" wrapText="1"/>
    </xf>
    <xf numFmtId="0" fontId="2" fillId="11" borderId="11" applyAlignment="1" pivotButton="0" quotePrefix="0" xfId="0">
      <alignment horizontal="center" vertical="center" wrapText="1"/>
    </xf>
    <xf numFmtId="0" fontId="2" fillId="12" borderId="7" applyAlignment="1" pivotButton="0" quotePrefix="0" xfId="0">
      <alignment horizontal="center" vertical="center" wrapText="1"/>
    </xf>
    <xf numFmtId="0" fontId="2" fillId="12" borderId="8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9" borderId="17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8" borderId="5" applyAlignment="1" pivotButton="0" quotePrefix="0" xfId="0">
      <alignment horizontal="center" vertical="center" wrapText="1"/>
    </xf>
    <xf numFmtId="0" fontId="2" fillId="13" borderId="17" applyAlignment="1" pivotButton="0" quotePrefix="0" xfId="0">
      <alignment horizontal="center" vertical="center" wrapText="1"/>
    </xf>
    <xf numFmtId="0" fontId="2" fillId="13" borderId="8" applyAlignment="1" pivotButton="0" quotePrefix="0" xfId="0">
      <alignment horizontal="center" vertical="center" wrapText="1"/>
    </xf>
    <xf numFmtId="0" fontId="2" fillId="13" borderId="9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0" fillId="12" borderId="0" pivotButton="0" quotePrefix="0" xfId="0"/>
    <xf numFmtId="0" fontId="1" fillId="4" borderId="21" applyAlignment="1" pivotButton="0" quotePrefix="0" xfId="0">
      <alignment horizontal="center" vertical="center" wrapText="1"/>
    </xf>
    <xf numFmtId="0" fontId="1" fillId="4" borderId="2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2" fillId="5" borderId="21" applyAlignment="1" pivotButton="0" quotePrefix="0" xfId="0">
      <alignment horizontal="center" vertical="center" wrapText="1"/>
    </xf>
    <xf numFmtId="0" fontId="2" fillId="5" borderId="22" applyAlignment="1" pivotButton="0" quotePrefix="0" xfId="0">
      <alignment horizontal="center" vertical="center" wrapText="1"/>
    </xf>
    <xf numFmtId="0" fontId="1" fillId="3" borderId="21" applyAlignment="1" pivotButton="0" quotePrefix="0" xfId="0">
      <alignment horizontal="center" vertical="center" wrapText="1"/>
    </xf>
    <xf numFmtId="0" fontId="1" fillId="6" borderId="21" applyAlignment="1" pivotButton="0" quotePrefix="0" xfId="0">
      <alignment horizontal="center" vertical="center" wrapText="1"/>
    </xf>
    <xf numFmtId="0" fontId="1" fillId="6" borderId="22" applyAlignment="1" pivotButton="0" quotePrefix="0" xfId="0">
      <alignment horizontal="center" vertical="center" wrapText="1"/>
    </xf>
    <xf numFmtId="0" fontId="2" fillId="12" borderId="11" applyAlignment="1" pivotButton="0" quotePrefix="0" xfId="0">
      <alignment horizontal="center" vertical="center" wrapText="1"/>
    </xf>
    <xf numFmtId="0" fontId="1" fillId="7" borderId="21" applyAlignment="1" pivotButton="0" quotePrefix="0" xfId="0">
      <alignment horizontal="center" vertical="center" wrapText="1"/>
    </xf>
    <xf numFmtId="0" fontId="1" fillId="7" borderId="22" applyAlignment="1" pivotButton="0" quotePrefix="0" xfId="0">
      <alignment horizontal="center" vertical="center" wrapText="1"/>
    </xf>
    <xf numFmtId="0" fontId="1" fillId="4" borderId="24" applyAlignment="1" pivotButton="0" quotePrefix="0" xfId="0">
      <alignment horizontal="center" vertical="center" wrapText="1"/>
    </xf>
    <xf numFmtId="0" fontId="4" fillId="7" borderId="25" applyAlignment="1" pivotButton="0" quotePrefix="0" xfId="0">
      <alignment horizontal="center" vertical="center"/>
    </xf>
    <xf numFmtId="0" fontId="1" fillId="7" borderId="26" applyAlignment="1" pivotButton="0" quotePrefix="0" xfId="0">
      <alignment horizontal="center" vertical="center" wrapText="1"/>
    </xf>
    <xf numFmtId="0" fontId="2" fillId="13" borderId="7" applyAlignment="1" pivotButton="0" quotePrefix="0" xfId="0">
      <alignment horizontal="center" vertical="center" wrapText="1"/>
    </xf>
    <xf numFmtId="0" fontId="2" fillId="13" borderId="8" applyAlignment="1" pivotButton="0" quotePrefix="1" xfId="0">
      <alignment horizontal="center" vertical="center" wrapText="1"/>
    </xf>
    <xf numFmtId="0" fontId="2" fillId="13" borderId="11" applyAlignment="1" pivotButton="0" quotePrefix="0" xfId="0">
      <alignment horizontal="center" vertical="center" wrapText="1"/>
    </xf>
    <xf numFmtId="0" fontId="2" fillId="2" borderId="21" applyAlignment="1" pivotButton="0" quotePrefix="0" xfId="0">
      <alignment horizontal="center" vertical="center" wrapText="1"/>
    </xf>
    <xf numFmtId="0" fontId="2" fillId="2" borderId="22" applyAlignment="1" pivotButton="0" quotePrefix="0" xfId="0">
      <alignment horizontal="center" vertical="center" wrapText="1"/>
    </xf>
    <xf numFmtId="164" fontId="2" fillId="0" borderId="13" applyAlignment="1" pivotButton="0" quotePrefix="0" xfId="0">
      <alignment horizontal="center" vertical="center"/>
    </xf>
    <xf numFmtId="1" fontId="2" fillId="0" borderId="14" applyAlignment="1" pivotButton="0" quotePrefix="0" xfId="0">
      <alignment horizontal="center" vertical="center"/>
    </xf>
    <xf numFmtId="164" fontId="2" fillId="0" borderId="14" applyAlignment="1" pivotButton="0" quotePrefix="0" xfId="0">
      <alignment horizontal="center" vertical="center"/>
    </xf>
    <xf numFmtId="1" fontId="2" fillId="0" borderId="13" applyAlignment="1" pivotButton="0" quotePrefix="0" xfId="0">
      <alignment horizontal="center" vertical="center"/>
    </xf>
    <xf numFmtId="1" fontId="2" fillId="7" borderId="27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" fontId="2" fillId="0" borderId="15" applyAlignment="1" pivotButton="0" quotePrefix="0" xfId="0">
      <alignment horizontal="center" vertical="center"/>
    </xf>
    <xf numFmtId="164" fontId="2" fillId="0" borderId="5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2" fillId="7" borderId="2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2" fillId="0" borderId="7" applyAlignment="1" pivotButton="0" quotePrefix="0" xfId="0">
      <alignment horizontal="center" vertical="center"/>
    </xf>
    <xf numFmtId="1" fontId="2" fillId="0" borderId="8" applyAlignment="1" pivotButton="0" quotePrefix="0" xfId="0">
      <alignment horizontal="center" vertical="center"/>
    </xf>
    <xf numFmtId="164" fontId="2" fillId="0" borderId="8" applyAlignment="1" pivotButton="0" quotePrefix="0" xfId="0">
      <alignment horizontal="center" vertical="center"/>
    </xf>
    <xf numFmtId="1" fontId="2" fillId="7" borderId="29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" fontId="2" fillId="0" borderId="5" applyAlignment="1" pivotButton="0" quotePrefix="0" xfId="0">
      <alignment horizontal="center" vertical="center"/>
    </xf>
    <xf numFmtId="1" fontId="2" fillId="0" borderId="7" applyAlignment="1" pivotButton="0" quotePrefix="0" xfId="0">
      <alignment horizontal="center" vertical="center"/>
    </xf>
    <xf numFmtId="0" fontId="6" fillId="0" borderId="0" pivotButton="0" quotePrefix="0" xfId="0"/>
    <xf numFmtId="0" fontId="6" fillId="15" borderId="0" pivotButton="0" quotePrefix="0" xfId="0"/>
    <xf numFmtId="0" fontId="0" fillId="15" borderId="0" pivotButton="0" quotePrefix="0" xfId="0"/>
    <xf numFmtId="0" fontId="5" fillId="15" borderId="0" applyAlignment="1" pivotButton="0" quotePrefix="0" xfId="0">
      <alignment vertical="center"/>
    </xf>
    <xf numFmtId="0" fontId="2" fillId="15" borderId="0" applyAlignment="1" pivotButton="0" quotePrefix="0" xfId="0">
      <alignment horizontal="center" vertical="center" wrapText="1"/>
    </xf>
    <xf numFmtId="0" fontId="0" fillId="15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8" fillId="16" borderId="32" applyAlignment="1" pivotButton="0" quotePrefix="0" xfId="0">
      <alignment horizontal="center" vertical="center"/>
    </xf>
    <xf numFmtId="0" fontId="8" fillId="17" borderId="33" applyAlignment="1" pivotButton="0" quotePrefix="0" xfId="0">
      <alignment horizontal="center" vertical="center"/>
    </xf>
    <xf numFmtId="0" fontId="1" fillId="16" borderId="34" applyAlignment="1" pivotButton="0" quotePrefix="0" xfId="0">
      <alignment horizontal="center" vertical="center"/>
    </xf>
    <xf numFmtId="0" fontId="1" fillId="7" borderId="34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1" fillId="18" borderId="34" applyAlignment="1" pivotButton="0" quotePrefix="0" xfId="0">
      <alignment horizontal="center" vertical="center"/>
    </xf>
    <xf numFmtId="0" fontId="10" fillId="0" borderId="18" applyAlignment="1" pivotButton="0" quotePrefix="0" xfId="0">
      <alignment horizontal="center" vertical="center"/>
    </xf>
    <xf numFmtId="0" fontId="8" fillId="6" borderId="35" applyAlignment="1" pivotButton="0" quotePrefix="0" xfId="0">
      <alignment horizontal="center" vertical="center"/>
    </xf>
    <xf numFmtId="0" fontId="11" fillId="14" borderId="18" applyAlignment="1" pivotButton="0" quotePrefix="0" xfId="0">
      <alignment horizontal="center" vertical="center"/>
    </xf>
    <xf numFmtId="0" fontId="8" fillId="19" borderId="35" applyAlignment="1" pivotButton="0" quotePrefix="0" xfId="0">
      <alignment horizontal="center" vertical="center"/>
    </xf>
    <xf numFmtId="0" fontId="9" fillId="16" borderId="32" applyAlignment="1" pivotButton="0" quotePrefix="0" xfId="0">
      <alignment horizontal="center" vertical="center"/>
    </xf>
    <xf numFmtId="0" fontId="1" fillId="4" borderId="34" applyAlignment="1" pivotButton="0" quotePrefix="0" xfId="0">
      <alignment horizontal="center" vertical="center"/>
    </xf>
    <xf numFmtId="0" fontId="12" fillId="7" borderId="34" applyAlignment="1" pivotButton="0" quotePrefix="0" xfId="0">
      <alignment horizontal="center" vertical="center"/>
    </xf>
    <xf numFmtId="0" fontId="8" fillId="7" borderId="35" applyAlignment="1" pivotButton="0" quotePrefix="0" xfId="0">
      <alignment horizontal="center" vertical="center"/>
    </xf>
    <xf numFmtId="0" fontId="9" fillId="15" borderId="36" applyAlignment="1" pivotButton="0" quotePrefix="0" xfId="0">
      <alignment horizontal="center" vertical="center"/>
    </xf>
    <xf numFmtId="0" fontId="1" fillId="6" borderId="34" applyAlignment="1" pivotButton="0" quotePrefix="0" xfId="0">
      <alignment horizontal="center" vertical="center"/>
    </xf>
    <xf numFmtId="0" fontId="8" fillId="4" borderId="35" applyAlignment="1" pivotButton="0" quotePrefix="0" xfId="0">
      <alignment horizontal="center" vertical="center"/>
    </xf>
    <xf numFmtId="0" fontId="1" fillId="4" borderId="37" applyAlignment="1" pivotButton="0" quotePrefix="0" xfId="0">
      <alignment horizontal="center" vertical="center"/>
    </xf>
    <xf numFmtId="0" fontId="1" fillId="7" borderId="39" applyAlignment="1" pivotButton="0" quotePrefix="0" xfId="0">
      <alignment horizontal="center" vertical="center" wrapText="1"/>
    </xf>
    <xf numFmtId="0" fontId="1" fillId="7" borderId="38" applyAlignment="1" pivotButton="0" quotePrefix="0" xfId="0">
      <alignment horizontal="center" vertical="center" wrapText="1"/>
    </xf>
    <xf numFmtId="1" fontId="2" fillId="0" borderId="31" applyAlignment="1" pivotButton="0" quotePrefix="0" xfId="0">
      <alignment horizontal="center" vertical="center"/>
    </xf>
    <xf numFmtId="1" fontId="2" fillId="0" borderId="4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13" fillId="7" borderId="41" applyAlignment="1" pivotButton="0" quotePrefix="0" xfId="0">
      <alignment horizontal="center" vertical="center"/>
    </xf>
    <xf numFmtId="0" fontId="13" fillId="7" borderId="20" applyAlignment="1" pivotButton="0" quotePrefix="0" xfId="0">
      <alignment horizontal="center" vertical="center"/>
    </xf>
    <xf numFmtId="0" fontId="13" fillId="7" borderId="23" applyAlignment="1" pivotButton="0" quotePrefix="0" xfId="0">
      <alignment horizontal="center" vertical="center"/>
    </xf>
    <xf numFmtId="0" fontId="13" fillId="7" borderId="42" applyAlignment="1" pivotButton="0" quotePrefix="0" xfId="0">
      <alignment horizontal="center" vertical="center"/>
    </xf>
    <xf numFmtId="0" fontId="21" fillId="7" borderId="42" applyAlignment="1" pivotButton="0" quotePrefix="0" xfId="0">
      <alignment horizontal="center" vertical="center" wrapText="1"/>
    </xf>
    <xf numFmtId="164" fontId="15" fillId="0" borderId="6" applyAlignment="1" pivotButton="0" quotePrefix="0" xfId="0">
      <alignment horizontal="center" vertical="center"/>
    </xf>
    <xf numFmtId="0" fontId="21" fillId="7" borderId="44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center"/>
    </xf>
    <xf numFmtId="0" fontId="15" fillId="0" borderId="9" applyAlignment="1" pivotButton="0" quotePrefix="0" xfId="0">
      <alignment horizontal="center" vertical="center"/>
    </xf>
    <xf numFmtId="164" fontId="15" fillId="0" borderId="16" applyAlignment="1" pivotButton="0" quotePrefix="0" xfId="0">
      <alignment horizontal="center" vertical="center"/>
    </xf>
    <xf numFmtId="0" fontId="15" fillId="0" borderId="17" applyAlignment="1" pivotButton="0" quotePrefix="0" xfId="0">
      <alignment horizontal="center" vertical="center"/>
    </xf>
    <xf numFmtId="164" fontId="15" fillId="0" borderId="5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164" fontId="15" fillId="0" borderId="13" applyAlignment="1" pivotButton="0" quotePrefix="0" xfId="0">
      <alignment horizontal="center" vertical="center"/>
    </xf>
    <xf numFmtId="164" fontId="15" fillId="0" borderId="14" applyAlignment="1" pivotButton="0" quotePrefix="0" xfId="0">
      <alignment horizontal="center" vertical="center"/>
    </xf>
    <xf numFmtId="164" fontId="15" fillId="0" borderId="15" applyAlignment="1" pivotButton="0" quotePrefix="0" xfId="0">
      <alignment horizontal="center" vertical="center"/>
    </xf>
    <xf numFmtId="0" fontId="14" fillId="8" borderId="21" applyAlignment="1" pivotButton="0" quotePrefix="0" xfId="0">
      <alignment horizontal="center" vertical="center" wrapText="1"/>
    </xf>
    <xf numFmtId="0" fontId="14" fillId="8" borderId="45" applyAlignment="1" pivotButton="0" quotePrefix="0" xfId="0">
      <alignment horizontal="center" vertical="center" wrapText="1"/>
    </xf>
    <xf numFmtId="0" fontId="14" fillId="8" borderId="22" applyAlignment="1" pivotButton="0" quotePrefix="0" xfId="0">
      <alignment horizontal="center" vertical="center" wrapText="1"/>
    </xf>
    <xf numFmtId="0" fontId="14" fillId="9" borderId="21" applyAlignment="1" pivotButton="0" quotePrefix="0" xfId="0">
      <alignment horizontal="center" vertical="center" wrapText="1"/>
    </xf>
    <xf numFmtId="0" fontId="14" fillId="9" borderId="45" applyAlignment="1" pivotButton="0" quotePrefix="0" xfId="0">
      <alignment horizontal="center" vertical="center" wrapText="1"/>
    </xf>
    <xf numFmtId="0" fontId="14" fillId="9" borderId="22" applyAlignment="1" pivotButton="0" quotePrefix="0" xfId="0">
      <alignment horizontal="center" vertical="center" wrapText="1"/>
    </xf>
    <xf numFmtId="0" fontId="14" fillId="13" borderId="21" applyAlignment="1" pivotButton="0" quotePrefix="0" xfId="0">
      <alignment horizontal="center" vertical="center" wrapText="1"/>
    </xf>
    <xf numFmtId="0" fontId="14" fillId="13" borderId="45" applyAlignment="1" pivotButton="0" quotePrefix="0" xfId="0">
      <alignment horizontal="center" vertical="center" wrapText="1"/>
    </xf>
    <xf numFmtId="0" fontId="14" fillId="13" borderId="22" applyAlignment="1" pivotButton="0" quotePrefix="0" xfId="0">
      <alignment horizontal="center" vertical="center" wrapText="1"/>
    </xf>
    <xf numFmtId="0" fontId="14" fillId="11" borderId="21" applyAlignment="1" pivotButton="0" quotePrefix="0" xfId="0">
      <alignment horizontal="center" vertical="center" wrapText="1"/>
    </xf>
    <xf numFmtId="0" fontId="14" fillId="11" borderId="45" applyAlignment="1" pivotButton="0" quotePrefix="0" xfId="0">
      <alignment horizontal="center" vertical="center" wrapText="1"/>
    </xf>
    <xf numFmtId="0" fontId="14" fillId="11" borderId="22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 wrapText="1"/>
    </xf>
    <xf numFmtId="0" fontId="21" fillId="7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vertical="center"/>
    </xf>
    <xf numFmtId="0" fontId="0" fillId="7" borderId="0" pivotButton="0" quotePrefix="0" xfId="0"/>
    <xf numFmtId="0" fontId="20" fillId="7" borderId="0" applyAlignment="1" pivotButton="0" quotePrefix="0" xfId="0">
      <alignment vertical="center"/>
    </xf>
    <xf numFmtId="0" fontId="13" fillId="7" borderId="0" pivotButton="0" quotePrefix="0" xfId="0"/>
    <xf numFmtId="164" fontId="13" fillId="7" borderId="0" pivotButton="0" quotePrefix="0" xfId="0"/>
    <xf numFmtId="0" fontId="14" fillId="12" borderId="1" applyAlignment="1" pivotButton="0" quotePrefix="0" xfId="0">
      <alignment horizontal="center" vertical="center" wrapText="1"/>
    </xf>
    <xf numFmtId="0" fontId="14" fillId="12" borderId="5" applyAlignment="1" pivotButton="0" quotePrefix="0" xfId="0">
      <alignment horizontal="center" vertical="center" wrapText="1"/>
    </xf>
    <xf numFmtId="0" fontId="14" fillId="12" borderId="6" applyAlignment="1" pivotButton="0" quotePrefix="0" xfId="0">
      <alignment horizontal="center" vertical="center" wrapText="1"/>
    </xf>
    <xf numFmtId="0" fontId="14" fillId="12" borderId="13" applyAlignment="1" pivotButton="0" quotePrefix="0" xfId="0">
      <alignment horizontal="center" vertical="center" wrapText="1"/>
    </xf>
    <xf numFmtId="0" fontId="14" fillId="12" borderId="14" applyAlignment="1" pivotButton="0" quotePrefix="0" xfId="0">
      <alignment horizontal="center" vertical="center" wrapText="1"/>
    </xf>
    <xf numFmtId="0" fontId="14" fillId="12" borderId="52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/>
    </xf>
    <xf numFmtId="0" fontId="15" fillId="0" borderId="1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 wrapText="1"/>
    </xf>
    <xf numFmtId="0" fontId="14" fillId="14" borderId="6" applyAlignment="1" pivotButton="0" quotePrefix="0" xfId="0">
      <alignment horizontal="center" vertical="center" wrapText="1"/>
    </xf>
    <xf numFmtId="0" fontId="14" fillId="14" borderId="13" applyAlignment="1" pivotButton="0" quotePrefix="0" xfId="0">
      <alignment horizontal="center" vertical="center" wrapText="1"/>
    </xf>
    <xf numFmtId="0" fontId="14" fillId="14" borderId="14" applyAlignment="1" pivotButton="0" quotePrefix="0" xfId="0">
      <alignment horizontal="center" vertical="center" wrapText="1"/>
    </xf>
    <xf numFmtId="0" fontId="14" fillId="14" borderId="15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/>
    </xf>
    <xf numFmtId="0" fontId="14" fillId="9" borderId="31" applyAlignment="1" pivotButton="0" quotePrefix="0" xfId="0">
      <alignment horizontal="center" vertical="center" wrapText="1"/>
    </xf>
    <xf numFmtId="0" fontId="14" fillId="9" borderId="40" applyAlignment="1" pivotButton="0" quotePrefix="0" xfId="0">
      <alignment horizontal="center" vertical="center" wrapText="1"/>
    </xf>
    <xf numFmtId="0" fontId="14" fillId="9" borderId="46" applyAlignment="1" pivotButton="0" quotePrefix="0" xfId="0">
      <alignment horizontal="center" vertical="center" wrapText="1"/>
    </xf>
    <xf numFmtId="0" fontId="14" fillId="13" borderId="31" applyAlignment="1" pivotButton="0" quotePrefix="0" xfId="0">
      <alignment horizontal="center" vertical="center" wrapText="1"/>
    </xf>
    <xf numFmtId="0" fontId="14" fillId="13" borderId="40" applyAlignment="1" pivotButton="0" quotePrefix="0" xfId="0">
      <alignment horizontal="center" vertical="center" wrapText="1"/>
    </xf>
    <xf numFmtId="0" fontId="14" fillId="13" borderId="46" applyAlignment="1" pivotButton="0" quotePrefix="0" xfId="0">
      <alignment horizontal="center" vertical="center" wrapText="1"/>
    </xf>
    <xf numFmtId="0" fontId="14" fillId="11" borderId="40" applyAlignment="1" pivotButton="0" quotePrefix="0" xfId="0">
      <alignment horizontal="center" vertical="center" wrapText="1"/>
    </xf>
    <xf numFmtId="0" fontId="14" fillId="11" borderId="46" applyAlignment="1" pivotButton="0" quotePrefix="0" xfId="0">
      <alignment horizontal="center" vertical="center" wrapText="1"/>
    </xf>
    <xf numFmtId="0" fontId="14" fillId="11" borderId="31" applyAlignment="1" pivotButton="0" quotePrefix="0" xfId="0">
      <alignment horizontal="center" vertical="center" wrapText="1"/>
    </xf>
    <xf numFmtId="0" fontId="14" fillId="8" borderId="31" applyAlignment="1" pivotButton="0" quotePrefix="0" xfId="0">
      <alignment horizontal="center" vertical="center" wrapText="1"/>
    </xf>
    <xf numFmtId="0" fontId="14" fillId="8" borderId="40" applyAlignment="1" pivotButton="0" quotePrefix="0" xfId="0">
      <alignment horizontal="center" vertical="center" wrapText="1"/>
    </xf>
    <xf numFmtId="0" fontId="14" fillId="8" borderId="46" applyAlignment="1" pivotButton="0" quotePrefix="0" xfId="0">
      <alignment horizontal="center" vertical="center" wrapText="1"/>
    </xf>
    <xf numFmtId="0" fontId="14" fillId="12" borderId="15" applyAlignment="1" pivotButton="0" quotePrefix="0" xfId="0">
      <alignment horizontal="center" vertical="center" wrapText="1"/>
    </xf>
    <xf numFmtId="0" fontId="26" fillId="20" borderId="50" applyAlignment="1" pivotButton="0" quotePrefix="0" xfId="0">
      <alignment vertical="center"/>
    </xf>
    <xf numFmtId="0" fontId="19" fillId="20" borderId="51" applyAlignment="1" pivotButton="0" quotePrefix="0" xfId="0">
      <alignment vertical="center"/>
    </xf>
    <xf numFmtId="1" fontId="25" fillId="7" borderId="0" applyAlignment="1" pivotButton="0" quotePrefix="0" xfId="0">
      <alignment vertical="center"/>
    </xf>
    <xf numFmtId="0" fontId="8" fillId="4" borderId="37" applyAlignment="1" pivotButton="0" quotePrefix="0" xfId="0">
      <alignment horizontal="center" vertical="center"/>
    </xf>
    <xf numFmtId="0" fontId="8" fillId="16" borderId="34" applyAlignment="1" pivotButton="0" quotePrefix="0" xfId="0">
      <alignment horizontal="center" vertical="center"/>
    </xf>
    <xf numFmtId="0" fontId="10" fillId="0" borderId="33" applyAlignment="1" pivotButton="0" quotePrefix="0" xfId="0">
      <alignment horizontal="center" vertical="center"/>
    </xf>
    <xf numFmtId="0" fontId="11" fillId="14" borderId="34" applyAlignment="1" pivotButton="0" quotePrefix="0" xfId="0">
      <alignment horizontal="center" vertical="center"/>
    </xf>
    <xf numFmtId="0" fontId="9" fillId="16" borderId="34" applyAlignment="1" pivotButton="0" quotePrefix="0" xfId="0">
      <alignment horizontal="center" vertical="center"/>
    </xf>
    <xf numFmtId="0" fontId="9" fillId="7" borderId="34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top"/>
    </xf>
    <xf numFmtId="0" fontId="8" fillId="6" borderId="32" applyAlignment="1" pivotButton="0" quotePrefix="0" xfId="0">
      <alignment horizontal="center" vertical="center"/>
    </xf>
    <xf numFmtId="0" fontId="8" fillId="17" borderId="18" applyAlignment="1" pivotButton="0" quotePrefix="0" xfId="0">
      <alignment horizontal="center" vertical="center"/>
    </xf>
    <xf numFmtId="0" fontId="8" fillId="19" borderId="34" applyAlignment="1" pivotButton="0" quotePrefix="0" xfId="0">
      <alignment horizontal="center" vertical="center"/>
    </xf>
    <xf numFmtId="0" fontId="1" fillId="16" borderId="35" applyAlignment="1" pivotButton="0" quotePrefix="0" xfId="0">
      <alignment horizontal="center" vertical="center"/>
    </xf>
    <xf numFmtId="0" fontId="18" fillId="7" borderId="50" applyAlignment="1" pivotButton="0" quotePrefix="0" xfId="0">
      <alignment horizontal="center" vertical="center"/>
    </xf>
    <xf numFmtId="0" fontId="2" fillId="22" borderId="7" applyAlignment="1" pivotButton="0" quotePrefix="0" xfId="0">
      <alignment horizontal="center" vertical="center" wrapText="1"/>
    </xf>
    <xf numFmtId="0" fontId="2" fillId="22" borderId="8" applyAlignment="1" pivotButton="0" quotePrefix="0" xfId="0">
      <alignment horizontal="center" vertical="center" wrapText="1"/>
    </xf>
    <xf numFmtId="0" fontId="2" fillId="22" borderId="11" applyAlignment="1" pivotButton="0" quotePrefix="0" xfId="0">
      <alignment horizontal="center" vertical="center" wrapText="1"/>
    </xf>
    <xf numFmtId="0" fontId="1" fillId="18" borderId="21" applyAlignment="1" pivotButton="0" quotePrefix="0" xfId="0">
      <alignment horizontal="center" vertical="center" wrapText="1"/>
    </xf>
    <xf numFmtId="0" fontId="1" fillId="18" borderId="22" applyAlignment="1" pivotButton="0" quotePrefix="0" xfId="0">
      <alignment horizontal="center" vertical="center" wrapText="1"/>
    </xf>
    <xf numFmtId="0" fontId="0" fillId="22" borderId="0" pivotButton="0" quotePrefix="0" xfId="0"/>
    <xf numFmtId="0" fontId="18" fillId="7" borderId="50" applyAlignment="1" pivotButton="0" quotePrefix="0" xfId="0">
      <alignment vertical="center"/>
    </xf>
    <xf numFmtId="0" fontId="18" fillId="7" borderId="0" applyAlignment="1" pivotButton="0" quotePrefix="0" xfId="0">
      <alignment vertical="center"/>
    </xf>
    <xf numFmtId="0" fontId="18" fillId="7" borderId="51" applyAlignment="1" pivotButton="0" quotePrefix="0" xfId="0">
      <alignment vertical="center"/>
    </xf>
    <xf numFmtId="0" fontId="22" fillId="7" borderId="20" applyAlignment="1" pivotButton="0" quotePrefix="0" xfId="0">
      <alignment vertical="center"/>
    </xf>
    <xf numFmtId="0" fontId="22" fillId="7" borderId="20" applyAlignment="1" pivotButton="0" quotePrefix="0" xfId="0">
      <alignment horizontal="left" vertical="top" wrapText="1"/>
    </xf>
    <xf numFmtId="0" fontId="24" fillId="7" borderId="0" applyAlignment="1" pivotButton="0" quotePrefix="0" xfId="0">
      <alignment vertical="center"/>
    </xf>
    <xf numFmtId="0" fontId="26" fillId="20" borderId="55" applyAlignment="1" pivotButton="0" quotePrefix="0" xfId="0">
      <alignment vertical="center"/>
    </xf>
    <xf numFmtId="0" fontId="26" fillId="20" borderId="56" applyAlignment="1" pivotButton="0" quotePrefix="0" xfId="0">
      <alignment vertical="center"/>
    </xf>
    <xf numFmtId="0" fontId="26" fillId="20" borderId="51" applyAlignment="1" pivotButton="0" quotePrefix="0" xfId="0">
      <alignment vertical="center"/>
    </xf>
    <xf numFmtId="0" fontId="14" fillId="22" borderId="31" applyAlignment="1" pivotButton="0" quotePrefix="0" xfId="0">
      <alignment horizontal="center" vertical="center" wrapText="1"/>
    </xf>
    <xf numFmtId="0" fontId="14" fillId="22" borderId="40" applyAlignment="1" pivotButton="0" quotePrefix="0" xfId="0">
      <alignment horizontal="center" vertical="center" wrapText="1"/>
    </xf>
    <xf numFmtId="0" fontId="14" fillId="22" borderId="46" applyAlignment="1" pivotButton="0" quotePrefix="0" xfId="0">
      <alignment horizontal="center" vertical="center" wrapText="1"/>
    </xf>
    <xf numFmtId="0" fontId="19" fillId="20" borderId="50" applyAlignment="1" pivotButton="0" quotePrefix="0" xfId="0">
      <alignment horizontal="center" vertical="center"/>
    </xf>
    <xf numFmtId="1" fontId="22" fillId="7" borderId="20" applyAlignment="1" pivotButton="0" quotePrefix="0" xfId="0">
      <alignment horizontal="left" vertical="top" wrapText="1"/>
    </xf>
    <xf numFmtId="0" fontId="18" fillId="7" borderId="43" applyAlignment="1" pivotButton="0" quotePrefix="0" xfId="0">
      <alignment vertical="center"/>
    </xf>
    <xf numFmtId="0" fontId="18" fillId="7" borderId="0" applyAlignment="1" pivotButton="0" quotePrefix="0" xfId="0">
      <alignment horizontal="center" vertical="center"/>
    </xf>
    <xf numFmtId="0" fontId="1" fillId="7" borderId="20" applyAlignment="1" pivotButton="0" quotePrefix="0" xfId="0">
      <alignment horizontal="center" vertical="center"/>
    </xf>
    <xf numFmtId="164" fontId="22" fillId="7" borderId="20" applyAlignment="1" pivotButton="0" quotePrefix="0" xfId="0">
      <alignment horizontal="center" vertical="center" wrapText="1"/>
    </xf>
    <xf numFmtId="0" fontId="1" fillId="7" borderId="50" applyAlignment="1" pivotButton="0" quotePrefix="0" xfId="0">
      <alignment horizontal="center" vertical="center"/>
    </xf>
    <xf numFmtId="164" fontId="22" fillId="7" borderId="50" applyAlignment="1" pivotButton="0" quotePrefix="0" xfId="0">
      <alignment horizontal="center" vertical="center" wrapText="1"/>
    </xf>
    <xf numFmtId="0" fontId="10" fillId="0" borderId="32" applyAlignment="1" pivotButton="0" quotePrefix="0" xfId="0">
      <alignment horizontal="center" vertical="center"/>
    </xf>
    <xf numFmtId="0" fontId="1" fillId="4" borderId="33" applyAlignment="1" pivotButton="0" quotePrefix="0" xfId="0">
      <alignment horizontal="center" vertical="center"/>
    </xf>
    <xf numFmtId="0" fontId="12" fillId="7" borderId="35" applyAlignment="1" pivotButton="0" quotePrefix="0" xfId="0">
      <alignment horizontal="center" vertical="center"/>
    </xf>
    <xf numFmtId="0" fontId="1" fillId="6" borderId="32" applyAlignment="1" pivotButton="0" quotePrefix="0" xfId="0">
      <alignment horizontal="center" vertical="center"/>
    </xf>
    <xf numFmtId="0" fontId="1" fillId="7" borderId="35" applyAlignment="1" pivotButton="0" quotePrefix="0" xfId="0">
      <alignment horizontal="center" vertical="center"/>
    </xf>
    <xf numFmtId="0" fontId="1" fillId="18" borderId="18" applyAlignment="1" pivotButton="0" quotePrefix="0" xfId="0">
      <alignment horizontal="center" vertical="center"/>
    </xf>
    <xf numFmtId="0" fontId="9" fillId="15" borderId="34" applyAlignment="1" pivotButton="0" quotePrefix="0" xfId="0">
      <alignment horizontal="center" vertical="center"/>
    </xf>
    <xf numFmtId="0" fontId="1" fillId="4" borderId="36" applyAlignment="1" pivotButton="0" quotePrefix="0" xfId="0">
      <alignment horizontal="center" vertical="center"/>
    </xf>
    <xf numFmtId="0" fontId="15" fillId="7" borderId="0" applyAlignment="1" pivotButton="0" quotePrefix="0" xfId="0">
      <alignment horizontal="center" vertical="center"/>
    </xf>
    <xf numFmtId="0" fontId="9" fillId="15" borderId="18" applyAlignment="1" pivotButton="0" quotePrefix="0" xfId="0">
      <alignment horizontal="center" vertical="center"/>
    </xf>
    <xf numFmtId="0" fontId="9" fillId="7" borderId="36" applyAlignment="1" pivotButton="0" quotePrefix="0" xfId="0">
      <alignment horizontal="center" vertical="center"/>
    </xf>
    <xf numFmtId="0" fontId="8" fillId="19" borderId="32" applyAlignment="1" pivotButton="0" quotePrefix="0" xfId="0">
      <alignment horizontal="center" vertical="center"/>
    </xf>
    <xf numFmtId="0" fontId="8" fillId="7" borderId="37" applyAlignment="1" pivotButton="0" quotePrefix="0" xfId="0">
      <alignment horizontal="center" vertical="center"/>
    </xf>
    <xf numFmtId="0" fontId="9" fillId="16" borderId="35" applyAlignment="1" pivotButton="0" quotePrefix="0" xfId="0">
      <alignment horizontal="center" vertical="center"/>
    </xf>
    <xf numFmtId="0" fontId="1" fillId="18" borderId="32" applyAlignment="1" pivotButton="0" quotePrefix="0" xfId="0">
      <alignment horizontal="center" vertical="center"/>
    </xf>
    <xf numFmtId="0" fontId="12" fillId="7" borderId="18" applyAlignment="1" pivotButton="0" quotePrefix="0" xfId="0">
      <alignment horizontal="center" vertical="center"/>
    </xf>
    <xf numFmtId="0" fontId="8" fillId="6" borderId="34" applyAlignment="1" pivotButton="0" quotePrefix="0" xfId="0">
      <alignment horizontal="center" vertical="center"/>
    </xf>
    <xf numFmtId="0" fontId="8" fillId="17" borderId="34" applyAlignment="1" pivotButton="0" quotePrefix="0" xfId="0">
      <alignment horizontal="center" vertical="center"/>
    </xf>
    <xf numFmtId="0" fontId="29" fillId="4" borderId="24" applyAlignment="1" pivotButton="0" quotePrefix="0" xfId="0">
      <alignment horizontal="center" vertical="center" textRotation="255" wrapText="1"/>
    </xf>
    <xf numFmtId="0" fontId="29" fillId="7" borderId="21" applyAlignment="1" pivotButton="0" quotePrefix="0" xfId="0">
      <alignment horizontal="center" vertical="center" textRotation="255" wrapText="1"/>
    </xf>
    <xf numFmtId="0" fontId="29" fillId="18" borderId="21" applyAlignment="1" pivotButton="0" quotePrefix="0" xfId="0">
      <alignment horizontal="center" vertical="center" textRotation="255" wrapText="1"/>
    </xf>
    <xf numFmtId="0" fontId="29" fillId="6" borderId="21" applyAlignment="1" pivotButton="0" quotePrefix="0" xfId="0">
      <alignment horizontal="center" vertical="center" textRotation="255" wrapText="1"/>
    </xf>
    <xf numFmtId="0" fontId="30" fillId="2" borderId="21" applyAlignment="1" pivotButton="0" quotePrefix="0" xfId="0">
      <alignment horizontal="center" vertical="center" textRotation="255" wrapText="1"/>
    </xf>
    <xf numFmtId="0" fontId="30" fillId="5" borderId="21" applyAlignment="1" pivotButton="0" quotePrefix="0" xfId="0">
      <alignment horizontal="center" vertical="center" textRotation="255" wrapText="1"/>
    </xf>
    <xf numFmtId="0" fontId="4" fillId="7" borderId="10" applyAlignment="1" pivotButton="0" quotePrefix="0" xfId="0">
      <alignment horizontal="center" vertical="center"/>
    </xf>
    <xf numFmtId="0" fontId="4" fillId="7" borderId="12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4" fillId="7" borderId="23" applyAlignment="1" pivotButton="0" quotePrefix="0" xfId="0">
      <alignment horizontal="center" vertical="center"/>
    </xf>
    <xf numFmtId="0" fontId="5" fillId="14" borderId="30" applyAlignment="1" pivotButton="0" quotePrefix="0" xfId="0">
      <alignment horizontal="center" vertical="center"/>
    </xf>
    <xf numFmtId="0" fontId="5" fillId="14" borderId="3" applyAlignment="1" pivotButton="0" quotePrefix="0" xfId="0">
      <alignment horizontal="center" vertical="center"/>
    </xf>
    <xf numFmtId="0" fontId="5" fillId="14" borderId="4" applyAlignment="1" pivotButton="0" quotePrefix="0" xfId="0">
      <alignment horizontal="center" vertical="center"/>
    </xf>
    <xf numFmtId="0" fontId="1" fillId="7" borderId="10" applyAlignment="1" pivotButton="0" quotePrefix="0" xfId="0">
      <alignment horizontal="center" vertical="center" wrapText="1"/>
    </xf>
    <xf numFmtId="0" fontId="1" fillId="7" borderId="1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/>
    </xf>
    <xf numFmtId="0" fontId="4" fillId="4" borderId="12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0" fontId="5" fillId="5" borderId="10" applyAlignment="1" pivotButton="0" quotePrefix="0" xfId="0">
      <alignment horizontal="center" vertical="center"/>
    </xf>
    <xf numFmtId="0" fontId="5" fillId="5" borderId="12" applyAlignment="1" pivotButton="0" quotePrefix="0" xfId="0">
      <alignment horizontal="center" vertical="center"/>
    </xf>
    <xf numFmtId="0" fontId="5" fillId="5" borderId="20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0" fontId="5" fillId="2" borderId="20" applyAlignment="1" pivotButton="0" quotePrefix="0" xfId="0">
      <alignment horizontal="center" vertical="center"/>
    </xf>
    <xf numFmtId="0" fontId="4" fillId="6" borderId="10" applyAlignment="1" pivotButton="0" quotePrefix="0" xfId="0">
      <alignment horizontal="center" vertical="center"/>
    </xf>
    <xf numFmtId="0" fontId="4" fillId="6" borderId="12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4" fillId="18" borderId="10" applyAlignment="1" pivotButton="0" quotePrefix="0" xfId="0">
      <alignment horizontal="center" vertical="center"/>
    </xf>
    <xf numFmtId="0" fontId="4" fillId="18" borderId="12" applyAlignment="1" pivotButton="0" quotePrefix="0" xfId="0">
      <alignment horizontal="center" vertical="center"/>
    </xf>
    <xf numFmtId="0" fontId="4" fillId="18" borderId="20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/>
    </xf>
    <xf numFmtId="0" fontId="18" fillId="7" borderId="20" applyAlignment="1" pivotButton="0" quotePrefix="0" xfId="0">
      <alignment horizontal="center" vertical="center"/>
    </xf>
    <xf numFmtId="0" fontId="18" fillId="7" borderId="50" applyAlignment="1" pivotButton="0" quotePrefix="0" xfId="0">
      <alignment horizontal="center" vertical="center"/>
    </xf>
    <xf numFmtId="0" fontId="18" fillId="18" borderId="41" applyAlignment="1" pivotButton="0" quotePrefix="0" xfId="0">
      <alignment horizontal="center" vertical="center"/>
    </xf>
    <xf numFmtId="0" fontId="18" fillId="18" borderId="20" applyAlignment="1" pivotButton="0" quotePrefix="0" xfId="0">
      <alignment horizontal="center" vertical="center"/>
    </xf>
    <xf numFmtId="0" fontId="18" fillId="18" borderId="23" applyAlignment="1" pivotButton="0" quotePrefix="0" xfId="0">
      <alignment horizontal="center" vertical="center"/>
    </xf>
    <xf numFmtId="0" fontId="19" fillId="18" borderId="44" applyAlignment="1" pivotButton="0" quotePrefix="0" xfId="0">
      <alignment horizontal="right" vertical="center"/>
    </xf>
    <xf numFmtId="0" fontId="19" fillId="18" borderId="50" applyAlignment="1" pivotButton="0" quotePrefix="0" xfId="0">
      <alignment horizontal="right" vertical="center"/>
    </xf>
    <xf numFmtId="0" fontId="26" fillId="18" borderId="50" applyAlignment="1" pivotButton="0" quotePrefix="0" xfId="0">
      <alignment horizontal="left" vertical="center"/>
    </xf>
    <xf numFmtId="0" fontId="26" fillId="18" borderId="51" applyAlignment="1" pivotButton="0" quotePrefix="0" xfId="0">
      <alignment horizontal="left" vertical="center"/>
    </xf>
    <xf numFmtId="0" fontId="18" fillId="20" borderId="41" applyAlignment="1" pivotButton="0" quotePrefix="0" xfId="0">
      <alignment horizontal="center" vertical="center"/>
    </xf>
    <xf numFmtId="0" fontId="18" fillId="20" borderId="20" applyAlignment="1" pivotButton="0" quotePrefix="0" xfId="0">
      <alignment horizontal="center" vertical="center"/>
    </xf>
    <xf numFmtId="0" fontId="18" fillId="20" borderId="23" applyAlignment="1" pivotButton="0" quotePrefix="0" xfId="0">
      <alignment horizontal="center" vertical="center"/>
    </xf>
    <xf numFmtId="0" fontId="19" fillId="20" borderId="54" applyAlignment="1" pivotButton="0" quotePrefix="0" xfId="0">
      <alignment horizontal="right" vertical="center"/>
    </xf>
    <xf numFmtId="0" fontId="19" fillId="20" borderId="55" applyAlignment="1" pivotButton="0" quotePrefix="0" xfId="0">
      <alignment horizontal="right" vertical="center"/>
    </xf>
    <xf numFmtId="0" fontId="19" fillId="20" borderId="44" applyAlignment="1" pivotButton="0" quotePrefix="0" xfId="0">
      <alignment horizontal="right" vertical="center"/>
    </xf>
    <xf numFmtId="0" fontId="19" fillId="20" borderId="50" applyAlignment="1" pivotButton="0" quotePrefix="0" xfId="0">
      <alignment horizontal="right" vertical="center"/>
    </xf>
    <xf numFmtId="0" fontId="19" fillId="4" borderId="44" applyAlignment="1" pivotButton="0" quotePrefix="0" xfId="0">
      <alignment horizontal="right" vertical="center"/>
    </xf>
    <xf numFmtId="0" fontId="19" fillId="4" borderId="50" applyAlignment="1" pivotButton="0" quotePrefix="0" xfId="0">
      <alignment horizontal="right" vertical="center"/>
    </xf>
    <xf numFmtId="0" fontId="26" fillId="4" borderId="50" applyAlignment="1" pivotButton="0" quotePrefix="0" xfId="0">
      <alignment horizontal="left" vertical="center"/>
    </xf>
    <xf numFmtId="0" fontId="16" fillId="5" borderId="44" applyAlignment="1" pivotButton="0" quotePrefix="0" xfId="0">
      <alignment horizontal="right" vertical="center"/>
    </xf>
    <xf numFmtId="0" fontId="16" fillId="5" borderId="50" applyAlignment="1" pivotButton="0" quotePrefix="0" xfId="0">
      <alignment horizontal="right" vertical="center"/>
    </xf>
    <xf numFmtId="0" fontId="18" fillId="6" borderId="41" applyAlignment="1" pivotButton="0" quotePrefix="0" xfId="0">
      <alignment horizontal="center" vertical="center"/>
    </xf>
    <xf numFmtId="0" fontId="18" fillId="6" borderId="20" applyAlignment="1" pivotButton="0" quotePrefix="0" xfId="0">
      <alignment horizontal="center" vertical="center"/>
    </xf>
    <xf numFmtId="0" fontId="18" fillId="6" borderId="23" applyAlignment="1" pivotButton="0" quotePrefix="0" xfId="0">
      <alignment horizontal="center" vertical="center"/>
    </xf>
    <xf numFmtId="0" fontId="18" fillId="21" borderId="41" applyAlignment="1" pivotButton="0" quotePrefix="0" xfId="0">
      <alignment horizontal="center" vertical="center"/>
    </xf>
    <xf numFmtId="0" fontId="18" fillId="21" borderId="20" applyAlignment="1" pivotButton="0" quotePrefix="0" xfId="0">
      <alignment horizontal="center" vertical="center"/>
    </xf>
    <xf numFmtId="0" fontId="18" fillId="21" borderId="23" applyAlignment="1" pivotButton="0" quotePrefix="0" xfId="0">
      <alignment horizontal="center" vertical="center"/>
    </xf>
    <xf numFmtId="0" fontId="18" fillId="21" borderId="54" applyAlignment="1" pivotButton="0" quotePrefix="0" xfId="0">
      <alignment horizontal="center" vertical="center"/>
    </xf>
    <xf numFmtId="0" fontId="18" fillId="21" borderId="55" applyAlignment="1" pivotButton="0" quotePrefix="0" xfId="0">
      <alignment horizontal="center" vertical="center"/>
    </xf>
    <xf numFmtId="0" fontId="18" fillId="21" borderId="56" applyAlignment="1" pivotButton="0" quotePrefix="0" xfId="0">
      <alignment horizontal="center" vertical="center"/>
    </xf>
    <xf numFmtId="0" fontId="20" fillId="7" borderId="42" applyAlignment="1" pivotButton="0" quotePrefix="0" xfId="0">
      <alignment horizontal="center" vertical="center"/>
    </xf>
    <xf numFmtId="0" fontId="18" fillId="21" borderId="44" applyAlignment="1" pivotButton="0" quotePrefix="0" xfId="0">
      <alignment horizontal="center" vertical="center"/>
    </xf>
    <xf numFmtId="0" fontId="18" fillId="21" borderId="50" applyAlignment="1" pivotButton="0" quotePrefix="0" xfId="0">
      <alignment horizontal="center" vertical="center"/>
    </xf>
    <xf numFmtId="0" fontId="18" fillId="21" borderId="51" applyAlignment="1" pivotButton="0" quotePrefix="0" xfId="0">
      <alignment horizontal="center" vertical="center"/>
    </xf>
    <xf numFmtId="0" fontId="18" fillId="7" borderId="42" applyAlignment="1" pivotButton="0" quotePrefix="0" xfId="0">
      <alignment horizontal="center" vertical="center"/>
    </xf>
    <xf numFmtId="0" fontId="18" fillId="4" borderId="41" applyAlignment="1" pivotButton="0" quotePrefix="0" xfId="0">
      <alignment horizontal="center" vertical="center"/>
    </xf>
    <xf numFmtId="0" fontId="18" fillId="4" borderId="20" applyAlignment="1" pivotButton="0" quotePrefix="0" xfId="0">
      <alignment horizontal="center" vertical="center"/>
    </xf>
    <xf numFmtId="0" fontId="15" fillId="5" borderId="41" applyAlignment="1" pivotButton="0" quotePrefix="0" xfId="0">
      <alignment horizontal="center" vertical="center"/>
    </xf>
    <xf numFmtId="0" fontId="15" fillId="5" borderId="20" applyAlignment="1" pivotButton="0" quotePrefix="0" xfId="0">
      <alignment horizontal="center" vertical="center"/>
    </xf>
    <xf numFmtId="0" fontId="15" fillId="2" borderId="41" applyAlignment="1" pivotButton="0" quotePrefix="0" xfId="0">
      <alignment horizontal="center" vertical="center"/>
    </xf>
    <xf numFmtId="0" fontId="15" fillId="2" borderId="20" applyAlignment="1" pivotButton="0" quotePrefix="0" xfId="0">
      <alignment horizontal="center" vertical="center"/>
    </xf>
    <xf numFmtId="0" fontId="27" fillId="5" borderId="50" applyAlignment="1" pivotButton="0" quotePrefix="0" xfId="0">
      <alignment horizontal="left" vertical="center"/>
    </xf>
    <xf numFmtId="0" fontId="16" fillId="2" borderId="44" applyAlignment="1" pivotButton="0" quotePrefix="0" xfId="0">
      <alignment horizontal="right" vertical="center"/>
    </xf>
    <xf numFmtId="0" fontId="16" fillId="2" borderId="50" applyAlignment="1" pivotButton="0" quotePrefix="0" xfId="0">
      <alignment horizontal="right" vertical="center"/>
    </xf>
    <xf numFmtId="0" fontId="27" fillId="2" borderId="50" applyAlignment="1" pivotButton="0" quotePrefix="0" xfId="0">
      <alignment horizontal="left" vertical="center"/>
    </xf>
    <xf numFmtId="0" fontId="19" fillId="6" borderId="44" applyAlignment="1" pivotButton="0" quotePrefix="0" xfId="0">
      <alignment horizontal="right" vertical="center"/>
    </xf>
    <xf numFmtId="0" fontId="19" fillId="6" borderId="50" applyAlignment="1" pivotButton="0" quotePrefix="0" xfId="0">
      <alignment horizontal="right" vertical="center"/>
    </xf>
    <xf numFmtId="0" fontId="26" fillId="6" borderId="50" applyAlignment="1" pivotButton="0" quotePrefix="0" xfId="0">
      <alignment horizontal="left" vertical="center"/>
    </xf>
    <xf numFmtId="0" fontId="26" fillId="6" borderId="51" applyAlignment="1" pivotButton="0" quotePrefix="0" xfId="0">
      <alignment horizontal="left" vertical="center"/>
    </xf>
    <xf numFmtId="0" fontId="15" fillId="2" borderId="23" applyAlignment="1" pivotButton="0" quotePrefix="0" xfId="0">
      <alignment horizontal="center" vertical="center"/>
    </xf>
    <xf numFmtId="0" fontId="18" fillId="6" borderId="47" applyAlignment="1" pivotButton="0" quotePrefix="0" xfId="0">
      <alignment horizontal="center" vertical="center"/>
    </xf>
    <xf numFmtId="0" fontId="18" fillId="6" borderId="48" applyAlignment="1" pivotButton="0" quotePrefix="0" xfId="0">
      <alignment horizontal="center" vertical="center"/>
    </xf>
    <xf numFmtId="0" fontId="18" fillId="6" borderId="49" applyAlignment="1" pivotButton="0" quotePrefix="0" xfId="0">
      <alignment horizontal="center" vertical="center"/>
    </xf>
    <xf numFmtId="0" fontId="18" fillId="4" borderId="47" applyAlignment="1" pivotButton="0" quotePrefix="0" xfId="0">
      <alignment horizontal="center" vertical="center"/>
    </xf>
    <xf numFmtId="0" fontId="18" fillId="4" borderId="48" applyAlignment="1" pivotButton="0" quotePrefix="0" xfId="0">
      <alignment horizontal="center" vertical="center"/>
    </xf>
    <xf numFmtId="0" fontId="18" fillId="4" borderId="53" applyAlignment="1" pivotButton="0" quotePrefix="0" xfId="0">
      <alignment horizontal="center" vertical="center"/>
    </xf>
    <xf numFmtId="0" fontId="27" fillId="2" borderId="51" applyAlignment="1" pivotButton="0" quotePrefix="0" xfId="0">
      <alignment horizontal="left" vertical="center"/>
    </xf>
    <xf numFmtId="0" fontId="15" fillId="5" borderId="47" applyAlignment="1" pivotButton="0" quotePrefix="0" xfId="0">
      <alignment horizontal="center" vertical="center"/>
    </xf>
    <xf numFmtId="0" fontId="15" fillId="5" borderId="48" applyAlignment="1" pivotButton="0" quotePrefix="0" xfId="0">
      <alignment horizontal="center" vertical="center"/>
    </xf>
    <xf numFmtId="0" fontId="15" fillId="5" borderId="49" applyAlignment="1" pivotButton="0" quotePrefix="0" xfId="0">
      <alignment horizontal="center" vertical="center"/>
    </xf>
    <xf numFmtId="0" fontId="15" fillId="2" borderId="47" applyAlignment="1" pivotButton="0" quotePrefix="0" xfId="0">
      <alignment horizontal="center" vertical="center"/>
    </xf>
    <xf numFmtId="0" fontId="15" fillId="2" borderId="48" applyAlignment="1" pivotButton="0" quotePrefix="0" xfId="0">
      <alignment horizontal="center" vertical="center"/>
    </xf>
    <xf numFmtId="0" fontId="15" fillId="2" borderId="49" applyAlignment="1" pivotButton="0" quotePrefix="0" xfId="0">
      <alignment horizontal="center" vertical="center"/>
    </xf>
    <xf numFmtId="0" fontId="0" fillId="0" borderId="12" pivotButton="0" quotePrefix="0" xfId="0"/>
    <xf numFmtId="0" fontId="4" fillId="7" borderId="57" applyAlignment="1" pivotButton="0" quotePrefix="0" xfId="0">
      <alignment horizontal="center"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4" pivotButton="0" quotePrefix="0" xfId="0"/>
    <xf numFmtId="0" fontId="18" fillId="7" borderId="61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20" pivotButton="0" quotePrefix="0" xfId="0"/>
    <xf numFmtId="0" fontId="0" fillId="0" borderId="59" pivotButton="0" quotePrefix="0" xfId="0"/>
    <xf numFmtId="0" fontId="15" fillId="2" borderId="25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42" pivotButton="0" quotePrefix="0" xfId="0"/>
    <xf numFmtId="0" fontId="0" fillId="0" borderId="51" pivotButton="0" quotePrefix="0" xfId="0"/>
    <xf numFmtId="0" fontId="18" fillId="18" borderId="25" applyAlignment="1" pivotButton="0" quotePrefix="0" xfId="0">
      <alignment horizontal="center" vertical="center"/>
    </xf>
    <xf numFmtId="0" fontId="18" fillId="20" borderId="25" applyAlignment="1" pivotButton="0" quotePrefix="0" xfId="0">
      <alignment horizontal="center" vertical="center"/>
    </xf>
    <xf numFmtId="0" fontId="18" fillId="21" borderId="57" applyAlignment="1" pivotButton="0" quotePrefix="0" xfId="0">
      <alignment horizontal="center" vertical="center"/>
    </xf>
    <xf numFmtId="0" fontId="0" fillId="0" borderId="55" pivotButton="0" quotePrefix="0" xfId="0"/>
    <xf numFmtId="0" fontId="0" fillId="0" borderId="56" pivotButton="0" quotePrefix="0" xfId="0"/>
    <xf numFmtId="0" fontId="18" fillId="6" borderId="25" applyAlignment="1" pivotButton="0" quotePrefix="0" xfId="0">
      <alignment horizontal="center" vertical="center"/>
    </xf>
    <xf numFmtId="0" fontId="18" fillId="21" borderId="38" applyAlignment="1" pivotButton="0" quotePrefix="0" xfId="0">
      <alignment horizontal="center" vertical="center"/>
    </xf>
    <xf numFmtId="0" fontId="0" fillId="0" borderId="44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498616579177603"/>
          <y val="0.08390824667234698"/>
          <w val="0.8055000546806649"/>
          <h val="0.8755899317867883"/>
        </manualLayout>
      </layout>
      <scatterChart>
        <scatterStyle val="lineMarker"/>
        <varyColors val="0"/>
        <ser>
          <idx val="0"/>
          <order val="0"/>
          <spPr>
            <a:ln w="1905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'2025 Scatter Data'!$H$4:$H$21</f>
              <numCache>
                <formatCode>General</formatCode>
                <ptCount val="18"/>
                <pt idx="0">
                  <v>72</v>
                </pt>
                <pt idx="1">
                  <v>79</v>
                </pt>
                <pt idx="2">
                  <v>74</v>
                </pt>
                <pt idx="3">
                  <v>93</v>
                </pt>
                <pt idx="4">
                  <v>61</v>
                </pt>
                <pt idx="5">
                  <v>61</v>
                </pt>
                <pt idx="6">
                  <v>78</v>
                </pt>
                <pt idx="7">
                  <v>71</v>
                </pt>
                <pt idx="8">
                  <v>69</v>
                </pt>
                <pt idx="9">
                  <v>74</v>
                </pt>
                <pt idx="10">
                  <v>66</v>
                </pt>
                <pt idx="11">
                  <v>46</v>
                </pt>
                <pt idx="12">
                  <v>72</v>
                </pt>
                <pt idx="13">
                  <v>47</v>
                </pt>
                <pt idx="14">
                  <v>50</v>
                </pt>
                <pt idx="15">
                  <v>51</v>
                </pt>
                <pt idx="16">
                  <v>59</v>
                </pt>
                <pt idx="17">
                  <v>67</v>
                </pt>
              </numCache>
            </numRef>
          </xVal>
          <yVal>
            <numRef>
              <f>'2025 Scatter Data'!$I$4:$I$21</f>
              <numCache>
                <formatCode>General</formatCode>
                <ptCount val="18"/>
              </numCache>
            </numRef>
          </yVal>
          <smooth val="0"/>
        </ser>
        <ser>
          <idx val="1"/>
          <order val="1"/>
          <spPr>
            <a:ln w="1905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'2025 Scatter Data'!$H$4:$H$21</f>
              <numCache>
                <formatCode>General</formatCode>
                <ptCount val="18"/>
                <pt idx="0">
                  <v>72</v>
                </pt>
                <pt idx="1">
                  <v>79</v>
                </pt>
                <pt idx="2">
                  <v>74</v>
                </pt>
                <pt idx="3">
                  <v>93</v>
                </pt>
                <pt idx="4">
                  <v>61</v>
                </pt>
                <pt idx="5">
                  <v>61</v>
                </pt>
                <pt idx="6">
                  <v>78</v>
                </pt>
                <pt idx="7">
                  <v>71</v>
                </pt>
                <pt idx="8">
                  <v>69</v>
                </pt>
                <pt idx="9">
                  <v>74</v>
                </pt>
                <pt idx="10">
                  <v>66</v>
                </pt>
                <pt idx="11">
                  <v>46</v>
                </pt>
                <pt idx="12">
                  <v>72</v>
                </pt>
                <pt idx="13">
                  <v>47</v>
                </pt>
                <pt idx="14">
                  <v>50</v>
                </pt>
                <pt idx="15">
                  <v>51</v>
                </pt>
                <pt idx="16">
                  <v>59</v>
                </pt>
                <pt idx="17">
                  <v>67</v>
                </pt>
              </numCache>
            </numRef>
          </xVal>
          <yVal>
            <numRef>
              <f>'2025 Scatter Data'!$J$4:$J$21</f>
              <numCache>
                <formatCode>General</formatCode>
                <ptCount val="18"/>
              </numCache>
            </numRef>
          </yVal>
          <smooth val="0"/>
        </ser>
        <ser>
          <idx val="2"/>
          <order val="2"/>
          <spPr>
            <a:ln w="19050" cap="rnd">
              <a:noFill/>
              <a:prstDash val="solid"/>
              <a:round/>
            </a:ln>
          </spPr>
          <marker>
            <symbol val="circle"/>
            <size val="13"/>
            <spPr>
              <a:solidFill>
                <a:srgbClr val="00B050"/>
              </a:solidFill>
              <a:ln w="9525">
                <a:solidFill>
                  <a:schemeClr val="accent3"/>
                </a:solidFill>
                <a:prstDash val="solid"/>
              </a:ln>
            </spPr>
          </marker>
          <dPt>
            <idx val="0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2"/>
            <marker>
              <symbol val="circle"/>
              <size val="40"/>
              <spPr>
                <a:ln w="38100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3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4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5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6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7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8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9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0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1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2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3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4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5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6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7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xVal>
            <numRef>
              <f>'2025 Scatter Data'!$H$4:$H$21</f>
              <numCache>
                <formatCode>General</formatCode>
                <ptCount val="18"/>
                <pt idx="0">
                  <v>72</v>
                </pt>
                <pt idx="1">
                  <v>79</v>
                </pt>
                <pt idx="2">
                  <v>74</v>
                </pt>
                <pt idx="3">
                  <v>93</v>
                </pt>
                <pt idx="4">
                  <v>61</v>
                </pt>
                <pt idx="5">
                  <v>61</v>
                </pt>
                <pt idx="6">
                  <v>78</v>
                </pt>
                <pt idx="7">
                  <v>71</v>
                </pt>
                <pt idx="8">
                  <v>69</v>
                </pt>
                <pt idx="9">
                  <v>74</v>
                </pt>
                <pt idx="10">
                  <v>66</v>
                </pt>
                <pt idx="11">
                  <v>46</v>
                </pt>
                <pt idx="12">
                  <v>72</v>
                </pt>
                <pt idx="13">
                  <v>47</v>
                </pt>
                <pt idx="14">
                  <v>50</v>
                </pt>
                <pt idx="15">
                  <v>51</v>
                </pt>
                <pt idx="16">
                  <v>59</v>
                </pt>
                <pt idx="17">
                  <v>67</v>
                </pt>
              </numCache>
            </numRef>
          </xVal>
          <yVal>
            <numRef>
              <f>'2025 Scatter Data'!$K$4:$K$21</f>
              <numCache>
                <formatCode>General</formatCode>
                <ptCount val="18"/>
                <pt idx="0">
                  <v>66</v>
                </pt>
                <pt idx="1">
                  <v>87</v>
                </pt>
                <pt idx="2">
                  <v>58</v>
                </pt>
                <pt idx="3">
                  <v>67</v>
                </pt>
                <pt idx="4">
                  <v>35</v>
                </pt>
                <pt idx="5">
                  <v>66</v>
                </pt>
                <pt idx="6">
                  <v>98</v>
                </pt>
                <pt idx="7">
                  <v>81</v>
                </pt>
                <pt idx="8">
                  <v>82</v>
                </pt>
                <pt idx="9">
                  <v>74</v>
                </pt>
                <pt idx="10">
                  <v>69</v>
                </pt>
                <pt idx="11">
                  <v>39</v>
                </pt>
                <pt idx="12">
                  <v>46</v>
                </pt>
                <pt idx="13">
                  <v>46</v>
                </pt>
                <pt idx="14">
                  <v>63</v>
                </pt>
                <pt idx="15">
                  <v>74</v>
                </pt>
                <pt idx="16">
                  <v>39</v>
                </pt>
                <pt idx="17">
                  <v>98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14272607"/>
        <axId val="1414274335"/>
      </scatterChart>
      <valAx>
        <axId val="141427260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strRef>
              <f>'2025 Scatter Data'!$H$3</f>
              <strCache>
                <ptCount val="1"/>
                <pt idx="0">
                  <v>Pressure Ranking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7637653780097663"/>
              <y val="0.8286744199354953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4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635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2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14274335"/>
        <crosses val="autoZero"/>
        <crossBetween val="midCat"/>
      </valAx>
      <valAx>
        <axId val="14142743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strRef>
              <f>'2025 Scatter Data'!$K$3</f>
              <strCache>
                <ptCount val="1"/>
                <pt idx="0">
                  <v>Ball Movement Ranking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1556397486669517"/>
              <y val="0.01743584660242595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wrap="square" anchor="ctr" anchorCtr="1"/>
            <a:lstStyle/>
            <a:p>
              <a:pPr>
                <a:defRPr sz="4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635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2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14272607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498616579177603"/>
          <y val="0.08390824667234698"/>
          <w val="0.8055000546806649"/>
          <h val="0.8755899317867883"/>
        </manualLayout>
      </layout>
      <scatterChart>
        <scatterStyle val="lineMarker"/>
        <varyColors val="0"/>
        <ser>
          <idx val="0"/>
          <order val="0"/>
          <spPr>
            <a:ln w="1905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'2025 Scatter Data'!$H$4:$H$21</f>
              <numCache>
                <formatCode>General</formatCode>
                <ptCount val="18"/>
                <pt idx="0">
                  <v>72</v>
                </pt>
                <pt idx="1">
                  <v>79</v>
                </pt>
                <pt idx="2">
                  <v>74</v>
                </pt>
                <pt idx="3">
                  <v>93</v>
                </pt>
                <pt idx="4">
                  <v>61</v>
                </pt>
                <pt idx="5">
                  <v>61</v>
                </pt>
                <pt idx="6">
                  <v>78</v>
                </pt>
                <pt idx="7">
                  <v>71</v>
                </pt>
                <pt idx="8">
                  <v>69</v>
                </pt>
                <pt idx="9">
                  <v>74</v>
                </pt>
                <pt idx="10">
                  <v>66</v>
                </pt>
                <pt idx="11">
                  <v>46</v>
                </pt>
                <pt idx="12">
                  <v>72</v>
                </pt>
                <pt idx="13">
                  <v>47</v>
                </pt>
                <pt idx="14">
                  <v>50</v>
                </pt>
                <pt idx="15">
                  <v>51</v>
                </pt>
                <pt idx="16">
                  <v>59</v>
                </pt>
                <pt idx="17">
                  <v>67</v>
                </pt>
              </numCache>
            </numRef>
          </xVal>
          <yVal>
            <numRef>
              <f>'2025 Scatter Data'!$I$4:$I$21</f>
              <numCache>
                <formatCode>General</formatCode>
                <ptCount val="18"/>
              </numCache>
            </numRef>
          </yVal>
          <smooth val="0"/>
        </ser>
        <ser>
          <idx val="1"/>
          <order val="1"/>
          <spPr>
            <a:ln w="1905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'2025 Scatter Data'!$H$4:$H$21</f>
              <numCache>
                <formatCode>General</formatCode>
                <ptCount val="18"/>
                <pt idx="0">
                  <v>72</v>
                </pt>
                <pt idx="1">
                  <v>79</v>
                </pt>
                <pt idx="2">
                  <v>74</v>
                </pt>
                <pt idx="3">
                  <v>93</v>
                </pt>
                <pt idx="4">
                  <v>61</v>
                </pt>
                <pt idx="5">
                  <v>61</v>
                </pt>
                <pt idx="6">
                  <v>78</v>
                </pt>
                <pt idx="7">
                  <v>71</v>
                </pt>
                <pt idx="8">
                  <v>69</v>
                </pt>
                <pt idx="9">
                  <v>74</v>
                </pt>
                <pt idx="10">
                  <v>66</v>
                </pt>
                <pt idx="11">
                  <v>46</v>
                </pt>
                <pt idx="12">
                  <v>72</v>
                </pt>
                <pt idx="13">
                  <v>47</v>
                </pt>
                <pt idx="14">
                  <v>50</v>
                </pt>
                <pt idx="15">
                  <v>51</v>
                </pt>
                <pt idx="16">
                  <v>59</v>
                </pt>
                <pt idx="17">
                  <v>67</v>
                </pt>
              </numCache>
            </numRef>
          </xVal>
          <yVal>
            <numRef>
              <f>'2025 Scatter Data'!$J$4:$J$21</f>
              <numCache>
                <formatCode>General</formatCode>
                <ptCount val="18"/>
              </numCache>
            </numRef>
          </yVal>
          <smooth val="0"/>
        </ser>
        <ser>
          <idx val="2"/>
          <order val="2"/>
          <spPr>
            <a:ln w="19050" cap="rnd">
              <a:noFill/>
              <a:prstDash val="solid"/>
              <a:round/>
            </a:ln>
          </spPr>
          <marker>
            <symbol val="circle"/>
            <size val="13"/>
            <spPr>
              <a:solidFill>
                <a:srgbClr val="00B050"/>
              </a:solidFill>
              <a:ln w="9525">
                <a:solidFill>
                  <a:schemeClr val="accent3"/>
                </a:solidFill>
                <a:prstDash val="solid"/>
              </a:ln>
            </spPr>
          </marker>
          <dPt>
            <idx val="0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2"/>
            <marker>
              <symbol val="circle"/>
              <size val="40"/>
              <spPr>
                <a:ln w="38100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3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4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5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6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7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8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9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0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1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2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3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4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5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6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Pt>
            <idx val="17"/>
            <marker>
              <symbol val="circle"/>
              <size val="40"/>
              <spPr>
                <a:ln w="9525">
                  <a:solidFill>
                    <a:schemeClr val="accent3"/>
                  </a:solidFill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xVal>
            <numRef>
              <f>'2025 Scatter Data'!$H$4:$H$21</f>
              <numCache>
                <formatCode>General</formatCode>
                <ptCount val="18"/>
                <pt idx="0">
                  <v>72</v>
                </pt>
                <pt idx="1">
                  <v>79</v>
                </pt>
                <pt idx="2">
                  <v>74</v>
                </pt>
                <pt idx="3">
                  <v>93</v>
                </pt>
                <pt idx="4">
                  <v>61</v>
                </pt>
                <pt idx="5">
                  <v>61</v>
                </pt>
                <pt idx="6">
                  <v>78</v>
                </pt>
                <pt idx="7">
                  <v>71</v>
                </pt>
                <pt idx="8">
                  <v>69</v>
                </pt>
                <pt idx="9">
                  <v>74</v>
                </pt>
                <pt idx="10">
                  <v>66</v>
                </pt>
                <pt idx="11">
                  <v>46</v>
                </pt>
                <pt idx="12">
                  <v>72</v>
                </pt>
                <pt idx="13">
                  <v>47</v>
                </pt>
                <pt idx="14">
                  <v>50</v>
                </pt>
                <pt idx="15">
                  <v>51</v>
                </pt>
                <pt idx="16">
                  <v>59</v>
                </pt>
                <pt idx="17">
                  <v>67</v>
                </pt>
              </numCache>
            </numRef>
          </xVal>
          <yVal>
            <numRef>
              <f>'2025 Scatter Data'!$K$4:$K$21</f>
              <numCache>
                <formatCode>General</formatCode>
                <ptCount val="18"/>
                <pt idx="0">
                  <v>66</v>
                </pt>
                <pt idx="1">
                  <v>87</v>
                </pt>
                <pt idx="2">
                  <v>58</v>
                </pt>
                <pt idx="3">
                  <v>67</v>
                </pt>
                <pt idx="4">
                  <v>35</v>
                </pt>
                <pt idx="5">
                  <v>66</v>
                </pt>
                <pt idx="6">
                  <v>98</v>
                </pt>
                <pt idx="7">
                  <v>81</v>
                </pt>
                <pt idx="8">
                  <v>82</v>
                </pt>
                <pt idx="9">
                  <v>74</v>
                </pt>
                <pt idx="10">
                  <v>69</v>
                </pt>
                <pt idx="11">
                  <v>39</v>
                </pt>
                <pt idx="12">
                  <v>46</v>
                </pt>
                <pt idx="13">
                  <v>46</v>
                </pt>
                <pt idx="14">
                  <v>63</v>
                </pt>
                <pt idx="15">
                  <v>74</v>
                </pt>
                <pt idx="16">
                  <v>39</v>
                </pt>
                <pt idx="17">
                  <v>98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14272607"/>
        <axId val="1414274335"/>
      </scatterChart>
      <valAx>
        <axId val="141427260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strRef>
              <f>'2025 Scatter Data'!$H$3</f>
              <strCache>
                <ptCount val="1"/>
                <pt idx="0">
                  <v>Pressure Ranking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8707696759259259"/>
              <y val="0.6705739783619529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4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635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2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14274335"/>
        <crosses val="autoZero"/>
        <crossBetween val="midCat"/>
      </valAx>
      <valAx>
        <axId val="14142743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strRef>
              <f>'2025 Scatter Data'!$K$3</f>
              <strCache>
                <ptCount val="1"/>
                <pt idx="0">
                  <v>Ball Movement Ranking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3317642260863226"/>
              <y val="0.0500538595215115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wrap="square" anchor="ctr" anchorCtr="1"/>
            <a:lstStyle/>
            <a:p>
              <a:pPr>
                <a:defRPr sz="4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635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2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14272607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27912</colOff>
      <row>2</row>
      <rowOff>2286</rowOff>
    </from>
    <to>
      <col>19</col>
      <colOff>294612</colOff>
      <row>23</row>
      <rowOff>118112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26</col>
      <colOff>372533</colOff>
      <row>63</row>
      <rowOff>16932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BZ72"/>
  <sheetViews>
    <sheetView zoomScale="86" workbookViewId="0">
      <pane xSplit="1" topLeftCell="B1" activePane="topRight" state="frozen"/>
      <selection activeCell="A4" sqref="A4"/>
      <selection pane="topRight" activeCell="AF22" sqref="AF22"/>
    </sheetView>
  </sheetViews>
  <sheetFormatPr baseColWidth="10" defaultRowHeight="16"/>
  <cols>
    <col width="30.33203125" bestFit="1" customWidth="1" min="1" max="1"/>
    <col width="3.6640625" customWidth="1" min="3" max="3"/>
    <col width="3.6640625" customWidth="1" min="5" max="5"/>
    <col width="3.6640625" customWidth="1" min="7" max="7"/>
    <col width="3.6640625" customWidth="1" min="9" max="9"/>
    <col width="11" customWidth="1" min="10" max="10"/>
    <col width="3.6640625" customWidth="1" min="11" max="12"/>
    <col width="3.6640625" customWidth="1" min="14" max="14"/>
    <col width="3.6640625" customWidth="1" min="16" max="16"/>
    <col width="3.6640625" customWidth="1" min="18" max="18"/>
    <col width="3.6640625" customWidth="1" min="20" max="20"/>
    <col width="11" customWidth="1" min="21" max="21"/>
    <col width="3.6640625" customWidth="1" min="22" max="23"/>
    <col width="3.6640625" customWidth="1" min="25" max="25"/>
    <col width="3.6640625" customWidth="1" min="27" max="27"/>
    <col width="3.6640625" customWidth="1" min="29" max="29"/>
    <col width="3.6640625" customWidth="1" min="31" max="31"/>
    <col width="11" customWidth="1" min="32" max="32"/>
    <col width="3.6640625" customWidth="1" min="33" max="34"/>
    <col width="3.6640625" customWidth="1" min="36" max="36"/>
    <col width="3.6640625" customWidth="1" min="38" max="38"/>
    <col width="3.6640625" customWidth="1" min="40" max="40"/>
    <col width="3.6640625" customWidth="1" min="42" max="42"/>
    <col width="11" customWidth="1" min="43" max="43"/>
    <col width="3.6640625" customWidth="1" min="44" max="45"/>
    <col width="3.6640625" customWidth="1" min="47" max="47"/>
    <col width="3.6640625" customWidth="1" min="49" max="49"/>
    <col width="3.6640625" customWidth="1" min="51" max="51"/>
    <col width="3.6640625" customWidth="1" min="53" max="53"/>
    <col width="11" customWidth="1" min="54" max="54"/>
    <col width="3.6640625" customWidth="1" min="55" max="56"/>
    <col width="3.6640625" customWidth="1" min="58" max="58"/>
    <col width="3.6640625" customWidth="1" min="60" max="60"/>
    <col width="3.6640625" customWidth="1" min="62" max="62"/>
    <col width="3.6640625" customWidth="1" min="64" max="64"/>
    <col width="3.6640625" customWidth="1" min="66" max="66"/>
    <col width="3.6640625" customWidth="1" min="68" max="68"/>
    <col width="11" customWidth="1" min="69" max="69"/>
    <col width="3.6640625" customWidth="1" min="70" max="71"/>
    <col width="3.6640625" customWidth="1" min="73" max="73"/>
    <col width="3.6640625" customWidth="1" min="75" max="75"/>
    <col width="3.6640625" customWidth="1" min="77" max="77"/>
  </cols>
  <sheetData>
    <row r="1" ht="35" customHeight="1">
      <c r="A1" s="68" t="inlineStr">
        <is>
          <t>SEASON TOTAL</t>
        </is>
      </c>
      <c r="B1" s="69" t="n"/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  <c r="Z1" s="69" t="n"/>
      <c r="AA1" s="69" t="n"/>
      <c r="AB1" s="69" t="n"/>
      <c r="AC1" s="69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  <c r="AQ1" s="69" t="n"/>
      <c r="AR1" s="69" t="n"/>
      <c r="AS1" s="69" t="n"/>
      <c r="AT1" s="69" t="n"/>
      <c r="AU1" s="69" t="n"/>
      <c r="AV1" s="69" t="n"/>
      <c r="AW1" s="69" t="n"/>
      <c r="AX1" s="69" t="n"/>
      <c r="AY1" s="69" t="n"/>
      <c r="AZ1" s="69" t="n"/>
      <c r="BA1" s="69" t="n"/>
      <c r="BB1" s="69" t="n"/>
      <c r="BC1" s="69" t="n"/>
      <c r="BD1" s="69" t="n"/>
      <c r="BE1" s="69" t="n"/>
      <c r="BF1" s="69" t="n"/>
      <c r="BG1" s="69" t="n"/>
      <c r="BH1" s="69" t="n"/>
      <c r="BI1" s="69" t="n"/>
      <c r="BJ1" s="69" t="n"/>
      <c r="BK1" s="69" t="n"/>
      <c r="BL1" s="69" t="n"/>
      <c r="BM1" s="69" t="n"/>
      <c r="BN1" s="69" t="n"/>
      <c r="BO1" s="69" t="n"/>
      <c r="BP1" s="69" t="n"/>
      <c r="BQ1" s="69" t="n"/>
      <c r="BR1" s="69" t="n"/>
      <c r="BS1" s="69" t="n"/>
      <c r="BT1" s="69" t="n"/>
      <c r="BU1" s="69" t="n"/>
      <c r="BV1" s="69" t="n"/>
      <c r="BW1" s="69" t="n"/>
      <c r="BX1" s="69" t="n"/>
      <c r="BY1" s="69" t="n"/>
      <c r="BZ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  <c r="Z2" s="69" t="n"/>
      <c r="AA2" s="69" t="n"/>
      <c r="AB2" s="69" t="n"/>
      <c r="AC2" s="69" t="n"/>
      <c r="AD2" s="6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  <c r="AQ2" s="69" t="n"/>
      <c r="AR2" s="69" t="n"/>
      <c r="AS2" s="69" t="n"/>
      <c r="AT2" s="69" t="n"/>
      <c r="AU2" s="69" t="n"/>
      <c r="AV2" s="69" t="n"/>
      <c r="AW2" s="69" t="n"/>
      <c r="AX2" s="69" t="n"/>
      <c r="AY2" s="69" t="n"/>
      <c r="AZ2" s="69" t="n"/>
      <c r="BA2" s="69" t="n"/>
      <c r="BB2" s="69" t="n"/>
      <c r="BC2" s="69" t="n"/>
      <c r="BD2" s="69" t="n"/>
      <c r="BE2" s="69" t="n"/>
      <c r="BF2" s="69" t="n"/>
      <c r="BG2" s="69" t="n"/>
      <c r="BH2" s="69" t="n"/>
      <c r="BI2" s="69" t="n"/>
      <c r="BJ2" s="69" t="n"/>
      <c r="BK2" s="69" t="n"/>
      <c r="BL2" s="69" t="n"/>
      <c r="BM2" s="69" t="n"/>
      <c r="BN2" s="69" t="n"/>
      <c r="BO2" s="69" t="n"/>
      <c r="BP2" s="69" t="n"/>
      <c r="BQ2" s="69" t="n"/>
      <c r="BR2" s="69" t="n"/>
      <c r="BS2" s="69" t="n"/>
      <c r="BT2" s="69" t="n"/>
      <c r="BU2" s="69" t="n"/>
      <c r="BV2" s="69" t="n"/>
      <c r="BW2" s="69" t="n"/>
      <c r="BX2" s="69" t="n"/>
      <c r="BY2" s="69" t="n"/>
      <c r="BZ2" s="69" t="n"/>
    </row>
    <row r="3" ht="25" customFormat="1" customHeight="1" s="25" thickBot="1">
      <c r="A3" s="240" t="inlineStr">
        <is>
          <t>Team</t>
        </is>
      </c>
      <c r="B3" s="242" t="inlineStr">
        <is>
          <t>Ball Winning</t>
        </is>
      </c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9" t="n"/>
      <c r="M3" s="245" t="inlineStr">
        <is>
          <t>Ball Movement</t>
        </is>
      </c>
      <c r="N3" s="321" t="n"/>
      <c r="O3" s="321" t="n"/>
      <c r="P3" s="321" t="n"/>
      <c r="Q3" s="321" t="n"/>
      <c r="R3" s="321" t="n"/>
      <c r="S3" s="321" t="n"/>
      <c r="T3" s="321" t="n"/>
      <c r="U3" s="321" t="n"/>
      <c r="V3" s="321" t="n"/>
      <c r="W3" s="39" t="n"/>
      <c r="X3" s="248" t="inlineStr">
        <is>
          <t>Scoring</t>
        </is>
      </c>
      <c r="Y3" s="321" t="n"/>
      <c r="Z3" s="321" t="n"/>
      <c r="AA3" s="321" t="n"/>
      <c r="AB3" s="321" t="n"/>
      <c r="AC3" s="321" t="n"/>
      <c r="AD3" s="321" t="n"/>
      <c r="AE3" s="321" t="n"/>
      <c r="AF3" s="321" t="n"/>
      <c r="AG3" s="321" t="n"/>
      <c r="AH3" s="39" t="n"/>
      <c r="AI3" s="251" t="inlineStr">
        <is>
          <t>Defence</t>
        </is>
      </c>
      <c r="AJ3" s="321" t="n"/>
      <c r="AK3" s="321" t="n"/>
      <c r="AL3" s="321" t="n"/>
      <c r="AM3" s="321" t="n"/>
      <c r="AN3" s="321" t="n"/>
      <c r="AO3" s="321" t="n"/>
      <c r="AP3" s="321" t="n"/>
      <c r="AQ3" s="321" t="n"/>
      <c r="AR3" s="321" t="n"/>
      <c r="AS3" s="39" t="n"/>
      <c r="AT3" s="254" t="inlineStr">
        <is>
          <t>Pressure</t>
        </is>
      </c>
      <c r="AU3" s="321" t="n"/>
      <c r="AV3" s="321" t="n"/>
      <c r="AW3" s="321" t="n"/>
      <c r="AX3" s="321" t="n"/>
      <c r="AY3" s="321" t="n"/>
      <c r="AZ3" s="321" t="n"/>
      <c r="BA3" s="321" t="n"/>
      <c r="BB3" s="321" t="n"/>
      <c r="BC3" s="321" t="n"/>
      <c r="BD3" s="39" t="n"/>
      <c r="BE3" s="322" t="inlineStr">
        <is>
          <t>Health Check</t>
        </is>
      </c>
      <c r="BF3" s="321" t="n"/>
      <c r="BG3" s="321" t="n"/>
      <c r="BH3" s="321" t="n"/>
      <c r="BI3" s="321" t="n"/>
      <c r="BJ3" s="321" t="n"/>
      <c r="BK3" s="321" t="n"/>
      <c r="BL3" s="321" t="n"/>
      <c r="BM3" s="321" t="n"/>
      <c r="BN3" s="321" t="n"/>
      <c r="BO3" s="321" t="n"/>
      <c r="BP3" s="321" t="n"/>
      <c r="BQ3" s="321" t="n"/>
      <c r="BR3" s="323" t="n"/>
      <c r="BS3" s="39" t="n"/>
      <c r="BT3" s="237" t="inlineStr">
        <is>
          <t>Wheelo Ratings</t>
        </is>
      </c>
      <c r="BU3" s="321" t="n"/>
      <c r="BV3" s="321" t="n"/>
      <c r="BW3" s="321" t="n"/>
      <c r="BX3" s="321" t="n"/>
      <c r="BY3" s="324" t="n"/>
      <c r="BZ3" s="70" t="n"/>
    </row>
    <row r="4" ht="69" customFormat="1" customHeight="1" s="2" thickBot="1">
      <c r="A4" s="325" t="n"/>
      <c r="B4" s="4" t="inlineStr">
        <is>
          <t>Post Clear CP Diff</t>
        </is>
      </c>
      <c r="C4" s="5" t="inlineStr">
        <is>
          <t>Rank</t>
        </is>
      </c>
      <c r="D4" s="5" t="inlineStr">
        <is>
          <t>Ground Ball Diff</t>
        </is>
      </c>
      <c r="E4" s="5" t="inlineStr">
        <is>
          <t>Rank</t>
        </is>
      </c>
      <c r="F4" s="5" t="inlineStr">
        <is>
          <t>1st Poss to Clear %</t>
        </is>
      </c>
      <c r="G4" s="5" t="inlineStr">
        <is>
          <t>Rank</t>
        </is>
      </c>
      <c r="H4" s="5" t="inlineStr">
        <is>
          <t>Clearance Diff</t>
        </is>
      </c>
      <c r="I4" s="6" t="inlineStr">
        <is>
          <t>Rank</t>
        </is>
      </c>
      <c r="J4" s="27" t="inlineStr">
        <is>
          <t>Ball Winning Ranking</t>
        </is>
      </c>
      <c r="K4" s="38" t="inlineStr">
        <is>
          <t>Rank</t>
        </is>
      </c>
      <c r="L4" s="40" t="n"/>
      <c r="M4" s="7" t="inlineStr">
        <is>
          <t>Def Half to Score %</t>
        </is>
      </c>
      <c r="N4" s="8" t="inlineStr">
        <is>
          <t>Rank</t>
        </is>
      </c>
      <c r="O4" s="8" t="inlineStr">
        <is>
          <t>Chain to Score %</t>
        </is>
      </c>
      <c r="P4" s="8" t="inlineStr">
        <is>
          <t>Rank</t>
        </is>
      </c>
      <c r="Q4" s="8" t="inlineStr">
        <is>
          <t>D50 to F50 %</t>
        </is>
      </c>
      <c r="R4" s="8" t="inlineStr">
        <is>
          <t>Rank</t>
        </is>
      </c>
      <c r="S4" s="8" t="inlineStr">
        <is>
          <t>Kick Rating</t>
        </is>
      </c>
      <c r="T4" s="9" t="inlineStr">
        <is>
          <t>Rank</t>
        </is>
      </c>
      <c r="U4" s="30" t="inlineStr">
        <is>
          <t>Ball Movement Ranking</t>
        </is>
      </c>
      <c r="V4" s="31" t="inlineStr">
        <is>
          <t>Rank</t>
        </is>
      </c>
      <c r="W4" s="40" t="n"/>
      <c r="X4" s="41" t="inlineStr">
        <is>
          <t>Scores per I50 %</t>
        </is>
      </c>
      <c r="Y4" s="23" t="inlineStr">
        <is>
          <t>Rank</t>
        </is>
      </c>
      <c r="Z4" s="23" t="inlineStr">
        <is>
          <t>Goals Per I 50 %</t>
        </is>
      </c>
      <c r="AA4" s="23" t="inlineStr">
        <is>
          <t>Rank</t>
        </is>
      </c>
      <c r="AB4" s="23" t="inlineStr">
        <is>
          <t>Accuracy %</t>
        </is>
      </c>
      <c r="AC4" s="23" t="inlineStr">
        <is>
          <t>Rank</t>
        </is>
      </c>
      <c r="AD4" s="42" t="inlineStr">
        <is>
          <t>+/- Exp Score</t>
        </is>
      </c>
      <c r="AE4" s="43" t="inlineStr">
        <is>
          <t>Rank</t>
        </is>
      </c>
      <c r="AF4" s="44" t="inlineStr">
        <is>
          <t>Scoring Ranking</t>
        </is>
      </c>
      <c r="AG4" s="45" t="inlineStr">
        <is>
          <t>Rank</t>
        </is>
      </c>
      <c r="AH4" s="40" t="n"/>
      <c r="AI4" s="13" t="inlineStr">
        <is>
          <t>Def Half to Score Ag %</t>
        </is>
      </c>
      <c r="AJ4" s="14" t="inlineStr">
        <is>
          <t>Rank</t>
        </is>
      </c>
      <c r="AK4" s="14" t="inlineStr">
        <is>
          <t>Chain to Score Ag %</t>
        </is>
      </c>
      <c r="AL4" s="14" t="inlineStr">
        <is>
          <t>Rank</t>
        </is>
      </c>
      <c r="AM4" s="14" t="inlineStr">
        <is>
          <t>D50 to F50 Ag %</t>
        </is>
      </c>
      <c r="AN4" s="14" t="inlineStr">
        <is>
          <t>Rank</t>
        </is>
      </c>
      <c r="AO4" s="14" t="inlineStr">
        <is>
          <t>Goals Per I50 Ag %</t>
        </is>
      </c>
      <c r="AP4" s="15" t="inlineStr">
        <is>
          <t>Rank</t>
        </is>
      </c>
      <c r="AQ4" s="33" t="inlineStr">
        <is>
          <t>Defence Ranking</t>
        </is>
      </c>
      <c r="AR4" s="34" t="inlineStr">
        <is>
          <t>Rank</t>
        </is>
      </c>
      <c r="AS4" s="40" t="n"/>
      <c r="AT4" s="183" t="inlineStr">
        <is>
          <t>Tackle Diff</t>
        </is>
      </c>
      <c r="AU4" s="184" t="inlineStr">
        <is>
          <t>Rank</t>
        </is>
      </c>
      <c r="AV4" s="184" t="inlineStr">
        <is>
          <t>F50 Tackles</t>
        </is>
      </c>
      <c r="AW4" s="184" t="inlineStr">
        <is>
          <t>Rank</t>
        </is>
      </c>
      <c r="AX4" s="184" t="inlineStr">
        <is>
          <t>Pressure Acts</t>
        </is>
      </c>
      <c r="AY4" s="184" t="inlineStr">
        <is>
          <t>Rank</t>
        </is>
      </c>
      <c r="AZ4" s="184" t="inlineStr">
        <is>
          <t>1%'ers</t>
        </is>
      </c>
      <c r="BA4" s="185" t="inlineStr">
        <is>
          <t>Rank</t>
        </is>
      </c>
      <c r="BB4" s="186" t="inlineStr">
        <is>
          <t>Pressure Ranking</t>
        </is>
      </c>
      <c r="BC4" s="187" t="inlineStr">
        <is>
          <t>Rank</t>
        </is>
      </c>
      <c r="BD4" s="40" t="n"/>
      <c r="BE4" s="16" t="inlineStr">
        <is>
          <t>Score from Turnover For</t>
        </is>
      </c>
      <c r="BF4" s="17" t="inlineStr">
        <is>
          <t>Rank</t>
        </is>
      </c>
      <c r="BG4" s="17" t="inlineStr">
        <is>
          <t>Scores from Turnover Ag</t>
        </is>
      </c>
      <c r="BH4" s="17" t="inlineStr">
        <is>
          <t>Rank</t>
        </is>
      </c>
      <c r="BI4" s="17" t="inlineStr">
        <is>
          <t>Scores from Stoppages For</t>
        </is>
      </c>
      <c r="BJ4" s="17" t="inlineStr">
        <is>
          <t>Rank</t>
        </is>
      </c>
      <c r="BK4" s="17" t="inlineStr">
        <is>
          <t>Scores from Stoppage Ag</t>
        </is>
      </c>
      <c r="BL4" s="17" t="inlineStr">
        <is>
          <t>Rank</t>
        </is>
      </c>
      <c r="BM4" s="17" t="inlineStr">
        <is>
          <t>Territory %</t>
        </is>
      </c>
      <c r="BN4" s="17" t="inlineStr">
        <is>
          <t>Rank</t>
        </is>
      </c>
      <c r="BO4" s="17" t="inlineStr">
        <is>
          <t>Post-Clearance CP Diff</t>
        </is>
      </c>
      <c r="BP4" s="35" t="inlineStr">
        <is>
          <t>Rank</t>
        </is>
      </c>
      <c r="BQ4" s="36" t="inlineStr">
        <is>
          <t>Health Check Ranking</t>
        </is>
      </c>
      <c r="BR4" s="37" t="inlineStr">
        <is>
          <t>Rank</t>
        </is>
      </c>
      <c r="BS4" s="40" t="n"/>
      <c r="BT4" s="41" t="inlineStr">
        <is>
          <t>Attack Rating</t>
        </is>
      </c>
      <c r="BU4" s="23" t="inlineStr">
        <is>
          <t>Rank</t>
        </is>
      </c>
      <c r="BV4" s="23" t="inlineStr">
        <is>
          <t>Defence Rating</t>
        </is>
      </c>
      <c r="BW4" s="23" t="inlineStr">
        <is>
          <t>Rank</t>
        </is>
      </c>
      <c r="BX4" s="23" t="inlineStr">
        <is>
          <t>Overall Rating</t>
        </is>
      </c>
      <c r="BY4" s="24" t="inlineStr">
        <is>
          <t>Rank</t>
        </is>
      </c>
      <c r="BZ4" s="71" t="n"/>
    </row>
    <row r="5" ht="25" customFormat="1" customHeight="1" s="3">
      <c r="A5" s="75" t="inlineStr">
        <is>
          <t>Adelaide</t>
        </is>
      </c>
      <c r="B5" s="46">
        <f>VLOOKUP($A5,'2025'!$A:$IZ,222,FALSE)</f>
        <v/>
      </c>
      <c r="C5" s="47">
        <f>RANK(B5,B$5:B$22)</f>
        <v/>
      </c>
      <c r="D5" s="48">
        <f>VLOOKUP($A5,'2025'!$A:$IZ,218,FALSE)</f>
        <v/>
      </c>
      <c r="E5" s="47">
        <f>RANK(D5,D$5:D$22)</f>
        <v/>
      </c>
      <c r="F5" s="48">
        <f>VLOOKUP($A5,'2025'!$A:$IZ,49,FALSE)</f>
        <v/>
      </c>
      <c r="G5" s="47">
        <f>RANK(F5,F$5:F$22)</f>
        <v/>
      </c>
      <c r="H5" s="48">
        <f>VLOOKUP($A5,'2025'!$A:$IZ,229,FALSE)</f>
        <v/>
      </c>
      <c r="I5" s="47">
        <f>RANK(H5,H$5:H$22)</f>
        <v/>
      </c>
      <c r="J5" s="49">
        <f>104-(C5+E5+G5+I5)</f>
        <v/>
      </c>
      <c r="K5" s="47">
        <f>RANK(J5,J$5:J$22)</f>
        <v/>
      </c>
      <c r="L5" s="50" t="n"/>
      <c r="M5" s="46">
        <f>VLOOKUP($A5,'2025'!$A:$IZ,88,FALSE)</f>
        <v/>
      </c>
      <c r="N5" s="47">
        <f>RANK(M5,M$5:M$22)</f>
        <v/>
      </c>
      <c r="O5" s="46">
        <f>VLOOKUP($A5,'2025'!$A:$IZ,84,FALSE)</f>
        <v/>
      </c>
      <c r="P5" s="47">
        <f>RANK(O5,O$5:O$22)</f>
        <v/>
      </c>
      <c r="Q5" s="46">
        <f>VLOOKUP($A5,'2025'!$A:$IZ,85,FALSE)</f>
        <v/>
      </c>
      <c r="R5" s="47">
        <f>RANK(Q5,Q$5:Q$22)</f>
        <v/>
      </c>
      <c r="S5" s="48">
        <f>VLOOKUP($A5,'2025'!$A:$IZ,29,FALSE)</f>
        <v/>
      </c>
      <c r="T5" s="47">
        <f>RANK(S5,S$5:S$22)</f>
        <v/>
      </c>
      <c r="U5" s="49">
        <f>104-(N5+P5+R5+T5)</f>
        <v/>
      </c>
      <c r="V5" s="47">
        <f>RANK(U5,U$5:U$22)</f>
        <v/>
      </c>
      <c r="W5" s="50" t="n"/>
      <c r="X5" s="46">
        <f>VLOOKUP($A5,'2025'!$A:$IZ,65,FALSE)</f>
        <v/>
      </c>
      <c r="Y5" s="47">
        <f>RANK(X5,X$5:X$22)</f>
        <v/>
      </c>
      <c r="Z5" s="46">
        <f>VLOOKUP($A5,'2025'!$A:$IZ,64,FALSE)</f>
        <v/>
      </c>
      <c r="AA5" s="47">
        <f>RANK(Z5,Z$5:Z$22)</f>
        <v/>
      </c>
      <c r="AB5" s="46">
        <f>VLOOKUP($A5,'2025'!$A:$IZ,63,FALSE)</f>
        <v/>
      </c>
      <c r="AC5" s="47">
        <f>RANK(AB5,AB$5:AB$22)</f>
        <v/>
      </c>
      <c r="AD5" s="46">
        <f>VLOOKUP($A5,'2025'!$A:$IZ,71,FALSE)</f>
        <v/>
      </c>
      <c r="AE5" s="47">
        <f>RANK(AD5,AD$5:AD$22)</f>
        <v/>
      </c>
      <c r="AF5" s="49">
        <f>104-(Y5+AA5+AC5+AE5)</f>
        <v/>
      </c>
      <c r="AG5" s="47">
        <f>RANK(AF5,AF$5:AF$22)</f>
        <v/>
      </c>
      <c r="AH5" s="50" t="n"/>
      <c r="AI5" s="46">
        <f>VLOOKUP($A5,'2025'!$A:$IZ,183,FALSE)</f>
        <v/>
      </c>
      <c r="AJ5" s="47">
        <f>RANK(AI5,AI$5:AI$22,1)</f>
        <v/>
      </c>
      <c r="AK5" s="46">
        <f>VLOOKUP($A5,'2025'!$A:$IZ,181,FALSE)</f>
        <v/>
      </c>
      <c r="AL5" s="47">
        <f>RANK(AK5,AK$5:AK$22,1)</f>
        <v/>
      </c>
      <c r="AM5" s="46">
        <f>VLOOKUP($A5,'2025'!$A:$IZ,182,FALSE)</f>
        <v/>
      </c>
      <c r="AN5" s="47">
        <f>RANK(AM5,AM$5:AM$22,1)</f>
        <v/>
      </c>
      <c r="AO5" s="46">
        <f>VLOOKUP($A5,'2025'!$A:$IZ,163,FALSE)</f>
        <v/>
      </c>
      <c r="AP5" s="47">
        <f>RANK(AO5,AO$5:AO$22,1)</f>
        <v/>
      </c>
      <c r="AQ5" s="49">
        <f>104-(AJ5+AL5+AN5+AP5)</f>
        <v/>
      </c>
      <c r="AR5" s="47">
        <f>RANK(AQ5,AQ$5:AQ$22)</f>
        <v/>
      </c>
      <c r="AS5" s="50" t="n"/>
      <c r="AT5" s="46">
        <f>VLOOKUP($A5,'2025'!$A:$IZ,250,FALSE)</f>
        <v/>
      </c>
      <c r="AU5" s="47">
        <f>RANK(AT5,AT$5:AT$22,0)</f>
        <v/>
      </c>
      <c r="AV5" s="46">
        <f>VLOOKUP($A5,'2025'!$A:$IZ,92,FALSE)</f>
        <v/>
      </c>
      <c r="AW5" s="47">
        <f>RANK(AV5,AV$5:AV$22,0)</f>
        <v/>
      </c>
      <c r="AX5" s="46">
        <f>VLOOKUP($A5,'2025'!$A:$IZ,93,FALSE)</f>
        <v/>
      </c>
      <c r="AY5" s="47">
        <f>RANK(AX5,AX$5:AX$22,0)</f>
        <v/>
      </c>
      <c r="AZ5" s="46">
        <f>VLOOKUP($A5,'2025'!$A:$IZ,108,FALSE)</f>
        <v/>
      </c>
      <c r="BA5" s="47">
        <f>RANK(AZ5,AZ$5:AZ$22,0)</f>
        <v/>
      </c>
      <c r="BB5" s="49">
        <f>104-(AU5+AW5+AY5+BA5)</f>
        <v/>
      </c>
      <c r="BC5" s="47">
        <f>RANK(BB5,BB$5:BB$22)</f>
        <v/>
      </c>
      <c r="BD5" s="50" t="n"/>
      <c r="BE5" s="46">
        <f>VLOOKUP($A5,'2025'!$A:$IZ,80,FALSE)</f>
        <v/>
      </c>
      <c r="BF5" s="47">
        <f>RANK(BE5,BE$5:BE$22)</f>
        <v/>
      </c>
      <c r="BG5" s="46">
        <f>VLOOKUP($A5,'2025'!$A:$IZ,177,FALSE)</f>
        <v/>
      </c>
      <c r="BH5" s="47">
        <f>RANK(BG5,BG$5:BG$22,1)</f>
        <v/>
      </c>
      <c r="BI5" s="46">
        <f>VLOOKUP($A5,'2025'!$A:$IZ,79,FALSE)</f>
        <v/>
      </c>
      <c r="BJ5" s="47">
        <f>RANK(BI5,BI$5:BI$22)</f>
        <v/>
      </c>
      <c r="BK5" s="46">
        <f>VLOOKUP($A5,'2025'!$A:$IZ,176,FALSE)</f>
        <v/>
      </c>
      <c r="BL5" s="47">
        <f>RANK(BK5,BK$5:BK$22,1)</f>
        <v/>
      </c>
      <c r="BM5" s="46">
        <f>VLOOKUP($A5,'2025'!$A:$IZ,11,FALSE)</f>
        <v/>
      </c>
      <c r="BN5" s="47">
        <f>RANK(BM5,BM$5:BM$22)</f>
        <v/>
      </c>
      <c r="BO5" s="46">
        <f>VLOOKUP($A5,'2025'!$A:$IZ,222,FALSE)</f>
        <v/>
      </c>
      <c r="BP5" s="47">
        <f>RANK(BO5,BO$5:BO$22)</f>
        <v/>
      </c>
      <c r="BQ5" s="49">
        <f>106-(BF5+BH5+BN5+BP5+BJ5+BL5)</f>
        <v/>
      </c>
      <c r="BR5" s="47">
        <f>RANK(BQ5,BQ$5:BQ$22)</f>
        <v/>
      </c>
      <c r="BS5" s="50" t="n"/>
      <c r="BT5" s="51">
        <f>VLOOKUP($A5,'Ratings Season'!$A:$M,10,FALSE)</f>
        <v/>
      </c>
      <c r="BU5" s="47">
        <f>RANK(BT5,BT$5:BT$22)</f>
        <v/>
      </c>
      <c r="BV5" s="51">
        <f>VLOOKUP($A5,'Ratings Season'!$A:$M,12,FALSE)</f>
        <v/>
      </c>
      <c r="BW5" s="47">
        <f>RANK(BV5,BV$5:BV$22)</f>
        <v/>
      </c>
      <c r="BX5" s="51">
        <f>VLOOKUP($A5,'Ratings Season'!$A:$M,8,FALSE)</f>
        <v/>
      </c>
      <c r="BY5" s="52">
        <f>RANK(BX5,BX$5:BX$22)</f>
        <v/>
      </c>
      <c r="BZ5" s="72" t="n"/>
    </row>
    <row r="6" ht="25" customFormat="1" customHeight="1" s="3">
      <c r="A6" s="76" t="inlineStr">
        <is>
          <t>Brisbane</t>
        </is>
      </c>
      <c r="B6" s="53">
        <f>VLOOKUP($A6,'2025'!$A:$IZ,222,FALSE)</f>
        <v/>
      </c>
      <c r="C6" s="54">
        <f>RANK(B6,B$5:B$22)</f>
        <v/>
      </c>
      <c r="D6" s="55">
        <f>VLOOKUP($A6,'2025'!$A:$IZ,218,FALSE)</f>
        <v/>
      </c>
      <c r="E6" s="54">
        <f>RANK(D6,D$5:D$22)</f>
        <v/>
      </c>
      <c r="F6" s="55">
        <f>VLOOKUP($A6,'2025'!$A:$IZ,49,FALSE)</f>
        <v/>
      </c>
      <c r="G6" s="54">
        <f>RANK(F6,F$5:F$22)</f>
        <v/>
      </c>
      <c r="H6" s="55">
        <f>VLOOKUP($A6,'2025'!$A:$IZ,229,FALSE)</f>
        <v/>
      </c>
      <c r="I6" s="54">
        <f>RANK(H6,H$5:H$22)</f>
        <v/>
      </c>
      <c r="J6" s="49">
        <f>104-(C6+E6+G6+I6)</f>
        <v/>
      </c>
      <c r="K6" s="47">
        <f>RANK(J6,J$5:J$22)</f>
        <v/>
      </c>
      <c r="L6" s="56" t="n"/>
      <c r="M6" s="53">
        <f>VLOOKUP($A6,'2025'!$A:$IZ,88,FALSE)</f>
        <v/>
      </c>
      <c r="N6" s="54">
        <f>RANK(M6,M$5:M$22)</f>
        <v/>
      </c>
      <c r="O6" s="53">
        <f>VLOOKUP($A6,'2025'!$A:$IZ,84,FALSE)</f>
        <v/>
      </c>
      <c r="P6" s="54">
        <f>RANK(O6,O$5:O$22)</f>
        <v/>
      </c>
      <c r="Q6" s="53">
        <f>VLOOKUP($A6,'2025'!$A:$IZ,85,FALSE)</f>
        <v/>
      </c>
      <c r="R6" s="54">
        <f>RANK(Q6,Q$5:Q$22)</f>
        <v/>
      </c>
      <c r="S6" s="55">
        <f>VLOOKUP($A6,'2025'!$A:$IZ,29,FALSE)</f>
        <v/>
      </c>
      <c r="T6" s="54">
        <f>RANK(S6,S$5:S$22)</f>
        <v/>
      </c>
      <c r="U6" s="49">
        <f>104-(N6+P6+R6+T6)</f>
        <v/>
      </c>
      <c r="V6" s="47">
        <f>RANK(U6,U$5:U$22)</f>
        <v/>
      </c>
      <c r="W6" s="56" t="n"/>
      <c r="X6" s="53">
        <f>VLOOKUP($A6,'2025'!$A:$IZ,65,FALSE)</f>
        <v/>
      </c>
      <c r="Y6" s="54">
        <f>RANK(X6,X$5:X$22)</f>
        <v/>
      </c>
      <c r="Z6" s="53">
        <f>VLOOKUP($A6,'2025'!$A:$IZ,64,FALSE)</f>
        <v/>
      </c>
      <c r="AA6" s="54">
        <f>RANK(Z6,Z$5:Z$22)</f>
        <v/>
      </c>
      <c r="AB6" s="53">
        <f>VLOOKUP($A6,'2025'!$A:$IZ,63,FALSE)</f>
        <v/>
      </c>
      <c r="AC6" s="54">
        <f>RANK(AB6,AB$5:AB$22)</f>
        <v/>
      </c>
      <c r="AD6" s="53">
        <f>VLOOKUP($A6,'2025'!$A:$IZ,71,FALSE)</f>
        <v/>
      </c>
      <c r="AE6" s="54">
        <f>RANK(AD6,AD$5:AD$22)</f>
        <v/>
      </c>
      <c r="AF6" s="65">
        <f>104-(Y6+AA6+AC6+AE6)</f>
        <v/>
      </c>
      <c r="AG6" s="47">
        <f>RANK(AF6,AF$5:AF$22)</f>
        <v/>
      </c>
      <c r="AH6" s="56" t="n"/>
      <c r="AI6" s="53">
        <f>VLOOKUP($A6,'2025'!$A:$IZ,183,FALSE)</f>
        <v/>
      </c>
      <c r="AJ6" s="54">
        <f>RANK(AI6,AI$5:AI$22,1)</f>
        <v/>
      </c>
      <c r="AK6" s="53">
        <f>VLOOKUP($A6,'2025'!$A:$IZ,181,FALSE)</f>
        <v/>
      </c>
      <c r="AL6" s="54">
        <f>RANK(AK6,AK$5:AK$22,1)</f>
        <v/>
      </c>
      <c r="AM6" s="53">
        <f>VLOOKUP($A6,'2025'!$A:$IZ,182,FALSE)</f>
        <v/>
      </c>
      <c r="AN6" s="54">
        <f>RANK(AM6,AM$5:AM$22,1)</f>
        <v/>
      </c>
      <c r="AO6" s="53">
        <f>VLOOKUP($A6,'2025'!$A:$IZ,163,FALSE)</f>
        <v/>
      </c>
      <c r="AP6" s="54">
        <f>RANK(AO6,AO$5:AO$22,1)</f>
        <v/>
      </c>
      <c r="AQ6" s="65">
        <f>104-(AJ6+AL6+AN6+AP6)</f>
        <v/>
      </c>
      <c r="AR6" s="47">
        <f>RANK(AQ6,AQ$5:AQ$22)</f>
        <v/>
      </c>
      <c r="AS6" s="56" t="n"/>
      <c r="AT6" s="46">
        <f>VLOOKUP($A6,'2025'!$A:$IZ,250,FALSE)</f>
        <v/>
      </c>
      <c r="AU6" s="47">
        <f>RANK(AT6,AT$5:AT$22,0)</f>
        <v/>
      </c>
      <c r="AV6" s="46">
        <f>VLOOKUP($A6,'2025'!$A:$IZ,92,FALSE)</f>
        <v/>
      </c>
      <c r="AW6" s="47">
        <f>RANK(AV6,AV$5:AV$22,0)</f>
        <v/>
      </c>
      <c r="AX6" s="46">
        <f>VLOOKUP($A6,'2025'!$A:$IZ,93,FALSE)</f>
        <v/>
      </c>
      <c r="AY6" s="47">
        <f>RANK(AX6,AX$5:AX$22,0)</f>
        <v/>
      </c>
      <c r="AZ6" s="46">
        <f>VLOOKUP($A6,'2025'!$A:$IZ,108,FALSE)</f>
        <v/>
      </c>
      <c r="BA6" s="47">
        <f>RANK(AZ6,AZ$5:AZ$22,0)</f>
        <v/>
      </c>
      <c r="BB6" s="49">
        <f>104-(AU6+AW6+AY6+BA6)</f>
        <v/>
      </c>
      <c r="BC6" s="47">
        <f>RANK(BB6,BB$5:BB$22)</f>
        <v/>
      </c>
      <c r="BD6" s="56" t="n"/>
      <c r="BE6" s="53">
        <f>VLOOKUP($A6,'2025'!$A:$IZ,80,FALSE)</f>
        <v/>
      </c>
      <c r="BF6" s="54">
        <f>RANK(BE6,BE$5:BE$22)</f>
        <v/>
      </c>
      <c r="BG6" s="53">
        <f>VLOOKUP($A6,'2025'!$A:$IZ,177,FALSE)</f>
        <v/>
      </c>
      <c r="BH6" s="54">
        <f>RANK(BG6,BG$5:BG$22,1)</f>
        <v/>
      </c>
      <c r="BI6" s="53">
        <f>VLOOKUP($A6,'2025'!$A:$IZ,79,FALSE)</f>
        <v/>
      </c>
      <c r="BJ6" s="54">
        <f>RANK(BI6,BI$5:BI$22)</f>
        <v/>
      </c>
      <c r="BK6" s="53">
        <f>VLOOKUP($A6,'2025'!$A:$IZ,176,FALSE)</f>
        <v/>
      </c>
      <c r="BL6" s="54">
        <f>RANK(BK6,BK$5:BK$22,1)</f>
        <v/>
      </c>
      <c r="BM6" s="53">
        <f>VLOOKUP($A6,'2025'!$A:$IZ,11,FALSE)</f>
        <v/>
      </c>
      <c r="BN6" s="54">
        <f>RANK(BM6,BM$5:BM$22)</f>
        <v/>
      </c>
      <c r="BO6" s="53">
        <f>VLOOKUP($A6,'2025'!$A:$IZ,222,FALSE)</f>
        <v/>
      </c>
      <c r="BP6" s="54">
        <f>RANK(BO6,BO$5:BO$22)</f>
        <v/>
      </c>
      <c r="BQ6" s="65">
        <f>106-(BF6+BH6+BN6+BP6+BJ6+BL6)</f>
        <v/>
      </c>
      <c r="BR6" s="47">
        <f>RANK(BQ6,BQ$5:BQ$22)</f>
        <v/>
      </c>
      <c r="BS6" s="56" t="n"/>
      <c r="BT6" s="57">
        <f>VLOOKUP($A6,'Ratings Season'!$A:$M,10,FALSE)</f>
        <v/>
      </c>
      <c r="BU6" s="54">
        <f>RANK(BT6,BT$5:BT$22)</f>
        <v/>
      </c>
      <c r="BV6" s="57">
        <f>VLOOKUP($A6,'Ratings Season'!$A:$M,12,FALSE)</f>
        <v/>
      </c>
      <c r="BW6" s="54">
        <f>RANK(BV6,BV$5:BV$22)</f>
        <v/>
      </c>
      <c r="BX6" s="57">
        <f>VLOOKUP($A6,'Ratings Season'!$A:$M,8,FALSE)</f>
        <v/>
      </c>
      <c r="BY6" s="58">
        <f>RANK(BX6,BX$5:BX$22)</f>
        <v/>
      </c>
      <c r="BZ6" s="72" t="n"/>
    </row>
    <row r="7" ht="25" customFormat="1" customHeight="1" s="3">
      <c r="A7" s="77" t="inlineStr">
        <is>
          <t>Carlton</t>
        </is>
      </c>
      <c r="B7" s="53">
        <f>VLOOKUP($A7,'2025'!$A:$IZ,222,FALSE)</f>
        <v/>
      </c>
      <c r="C7" s="54">
        <f>RANK(B7,B$5:B$22)</f>
        <v/>
      </c>
      <c r="D7" s="55">
        <f>VLOOKUP($A7,'2025'!$A:$IZ,218,FALSE)</f>
        <v/>
      </c>
      <c r="E7" s="54">
        <f>RANK(D7,D$5:D$22)</f>
        <v/>
      </c>
      <c r="F7" s="55">
        <f>VLOOKUP($A7,'2025'!$A:$IZ,49,FALSE)</f>
        <v/>
      </c>
      <c r="G7" s="54">
        <f>RANK(F7,F$5:F$22)</f>
        <v/>
      </c>
      <c r="H7" s="55">
        <f>VLOOKUP($A7,'2025'!$A:$IZ,229,FALSE)</f>
        <v/>
      </c>
      <c r="I7" s="54">
        <f>RANK(H7,H$5:H$22)</f>
        <v/>
      </c>
      <c r="J7" s="49">
        <f>104-(C7+E7+G7+I7)</f>
        <v/>
      </c>
      <c r="K7" s="47">
        <f>RANK(J7,J$5:J$22)</f>
        <v/>
      </c>
      <c r="L7" s="56" t="n"/>
      <c r="M7" s="53">
        <f>VLOOKUP($A7,'2025'!$A:$IZ,88,FALSE)</f>
        <v/>
      </c>
      <c r="N7" s="54">
        <f>RANK(M7,M$5:M$22)</f>
        <v/>
      </c>
      <c r="O7" s="53">
        <f>VLOOKUP($A7,'2025'!$A:$IZ,84,FALSE)</f>
        <v/>
      </c>
      <c r="P7" s="54">
        <f>RANK(O7,O$5:O$22)</f>
        <v/>
      </c>
      <c r="Q7" s="53">
        <f>VLOOKUP($A7,'2025'!$A:$IZ,85,FALSE)</f>
        <v/>
      </c>
      <c r="R7" s="54">
        <f>RANK(Q7,Q$5:Q$22)</f>
        <v/>
      </c>
      <c r="S7" s="55">
        <f>VLOOKUP($A7,'2025'!$A:$IZ,29,FALSE)</f>
        <v/>
      </c>
      <c r="T7" s="54">
        <f>RANK(S7,S$5:S$22)</f>
        <v/>
      </c>
      <c r="U7" s="49">
        <f>104-(N7+P7+R7+T7)</f>
        <v/>
      </c>
      <c r="V7" s="47">
        <f>RANK(U7,U$5:U$22)</f>
        <v/>
      </c>
      <c r="W7" s="56" t="n"/>
      <c r="X7" s="53">
        <f>VLOOKUP($A7,'2025'!$A:$IZ,65,FALSE)</f>
        <v/>
      </c>
      <c r="Y7" s="54">
        <f>RANK(X7,X$5:X$22)</f>
        <v/>
      </c>
      <c r="Z7" s="53">
        <f>VLOOKUP($A7,'2025'!$A:$IZ,64,FALSE)</f>
        <v/>
      </c>
      <c r="AA7" s="54">
        <f>RANK(Z7,Z$5:Z$22)</f>
        <v/>
      </c>
      <c r="AB7" s="53">
        <f>VLOOKUP($A7,'2025'!$A:$IZ,63,FALSE)</f>
        <v/>
      </c>
      <c r="AC7" s="54">
        <f>RANK(AB7,AB$5:AB$22)</f>
        <v/>
      </c>
      <c r="AD7" s="53">
        <f>VLOOKUP($A7,'2025'!$A:$IZ,71,FALSE)</f>
        <v/>
      </c>
      <c r="AE7" s="54">
        <f>RANK(AD7,AD$5:AD$22)</f>
        <v/>
      </c>
      <c r="AF7" s="65">
        <f>104-(Y7+AA7+AC7+AE7)</f>
        <v/>
      </c>
      <c r="AG7" s="47">
        <f>RANK(AF7,AF$5:AF$22)</f>
        <v/>
      </c>
      <c r="AH7" s="56" t="n"/>
      <c r="AI7" s="53">
        <f>VLOOKUP($A7,'2025'!$A:$IZ,183,FALSE)</f>
        <v/>
      </c>
      <c r="AJ7" s="54">
        <f>RANK(AI7,AI$5:AI$22,1)</f>
        <v/>
      </c>
      <c r="AK7" s="53">
        <f>VLOOKUP($A7,'2025'!$A:$IZ,181,FALSE)</f>
        <v/>
      </c>
      <c r="AL7" s="54">
        <f>RANK(AK7,AK$5:AK$22,1)</f>
        <v/>
      </c>
      <c r="AM7" s="53">
        <f>VLOOKUP($A7,'2025'!$A:$IZ,182,FALSE)</f>
        <v/>
      </c>
      <c r="AN7" s="54">
        <f>RANK(AM7,AM$5:AM$22,1)</f>
        <v/>
      </c>
      <c r="AO7" s="53">
        <f>VLOOKUP($A7,'2025'!$A:$IZ,163,FALSE)</f>
        <v/>
      </c>
      <c r="AP7" s="54">
        <f>RANK(AO7,AO$5:AO$22,1)</f>
        <v/>
      </c>
      <c r="AQ7" s="65">
        <f>104-(AJ7+AL7+AN7+AP7)</f>
        <v/>
      </c>
      <c r="AR7" s="47">
        <f>RANK(AQ7,AQ$5:AQ$22)</f>
        <v/>
      </c>
      <c r="AS7" s="56" t="n"/>
      <c r="AT7" s="46">
        <f>VLOOKUP($A7,'2025'!$A:$IZ,250,FALSE)</f>
        <v/>
      </c>
      <c r="AU7" s="47">
        <f>RANK(AT7,AT$5:AT$22,0)</f>
        <v/>
      </c>
      <c r="AV7" s="46">
        <f>VLOOKUP($A7,'2025'!$A:$IZ,92,FALSE)</f>
        <v/>
      </c>
      <c r="AW7" s="47">
        <f>RANK(AV7,AV$5:AV$22,0)</f>
        <v/>
      </c>
      <c r="AX7" s="46">
        <f>VLOOKUP($A7,'2025'!$A:$IZ,93,FALSE)</f>
        <v/>
      </c>
      <c r="AY7" s="47">
        <f>RANK(AX7,AX$5:AX$22,0)</f>
        <v/>
      </c>
      <c r="AZ7" s="46">
        <f>VLOOKUP($A7,'2025'!$A:$IZ,108,FALSE)</f>
        <v/>
      </c>
      <c r="BA7" s="47">
        <f>RANK(AZ7,AZ$5:AZ$22,0)</f>
        <v/>
      </c>
      <c r="BB7" s="49">
        <f>104-(AU7+AW7+AY7+BA7)</f>
        <v/>
      </c>
      <c r="BC7" s="47">
        <f>RANK(BB7,BB$5:BB$22)</f>
        <v/>
      </c>
      <c r="BD7" s="56" t="n"/>
      <c r="BE7" s="53">
        <f>VLOOKUP($A7,'2025'!$A:$IZ,80,FALSE)</f>
        <v/>
      </c>
      <c r="BF7" s="54">
        <f>RANK(BE7,BE$5:BE$22)</f>
        <v/>
      </c>
      <c r="BG7" s="53">
        <f>VLOOKUP($A7,'2025'!$A:$IZ,177,FALSE)</f>
        <v/>
      </c>
      <c r="BH7" s="54">
        <f>RANK(BG7,BG$5:BG$22,1)</f>
        <v/>
      </c>
      <c r="BI7" s="53">
        <f>VLOOKUP($A7,'2025'!$A:$IZ,79,FALSE)</f>
        <v/>
      </c>
      <c r="BJ7" s="54">
        <f>RANK(BI7,BI$5:BI$22)</f>
        <v/>
      </c>
      <c r="BK7" s="53">
        <f>VLOOKUP($A7,'2025'!$A:$IZ,176,FALSE)</f>
        <v/>
      </c>
      <c r="BL7" s="54">
        <f>RANK(BK7,BK$5:BK$22,1)</f>
        <v/>
      </c>
      <c r="BM7" s="53">
        <f>VLOOKUP($A7,'2025'!$A:$IZ,11,FALSE)</f>
        <v/>
      </c>
      <c r="BN7" s="54">
        <f>RANK(BM7,BM$5:BM$22)</f>
        <v/>
      </c>
      <c r="BO7" s="53">
        <f>VLOOKUP($A7,'2025'!$A:$IZ,222,FALSE)</f>
        <v/>
      </c>
      <c r="BP7" s="54">
        <f>RANK(BO7,BO$5:BO$22)</f>
        <v/>
      </c>
      <c r="BQ7" s="65">
        <f>106-(BF7+BH7+BN7+BP7+BJ7+BL7)</f>
        <v/>
      </c>
      <c r="BR7" s="47">
        <f>RANK(BQ7,BQ$5:BQ$22)</f>
        <v/>
      </c>
      <c r="BS7" s="56" t="n"/>
      <c r="BT7" s="57">
        <f>VLOOKUP($A7,'Ratings Season'!$A:$M,10,FALSE)</f>
        <v/>
      </c>
      <c r="BU7" s="54">
        <f>RANK(BT7,BT$5:BT$22)</f>
        <v/>
      </c>
      <c r="BV7" s="57">
        <f>VLOOKUP($A7,'Ratings Season'!$A:$M,12,FALSE)</f>
        <v/>
      </c>
      <c r="BW7" s="54">
        <f>RANK(BV7,BV$5:BV$22)</f>
        <v/>
      </c>
      <c r="BX7" s="57">
        <f>VLOOKUP($A7,'Ratings Season'!$A:$M,8,FALSE)</f>
        <v/>
      </c>
      <c r="BY7" s="58">
        <f>RANK(BX7,BX$5:BX$22)</f>
        <v/>
      </c>
      <c r="BZ7" s="72" t="n"/>
    </row>
    <row r="8" ht="25" customFormat="1" customHeight="1" s="3">
      <c r="A8" s="78" t="inlineStr">
        <is>
          <t>Collingwood</t>
        </is>
      </c>
      <c r="B8" s="53">
        <f>VLOOKUP($A8,'2025'!$A:$IZ,222,FALSE)</f>
        <v/>
      </c>
      <c r="C8" s="54">
        <f>RANK(B8,B$5:B$22)</f>
        <v/>
      </c>
      <c r="D8" s="55">
        <f>VLOOKUP($A8,'2025'!$A:$IZ,218,FALSE)</f>
        <v/>
      </c>
      <c r="E8" s="54">
        <f>RANK(D8,D$5:D$22)</f>
        <v/>
      </c>
      <c r="F8" s="55">
        <f>VLOOKUP($A8,'2025'!$A:$IZ,49,FALSE)</f>
        <v/>
      </c>
      <c r="G8" s="54">
        <f>RANK(F8,F$5:F$22)</f>
        <v/>
      </c>
      <c r="H8" s="55">
        <f>VLOOKUP($A8,'2025'!$A:$IZ,229,FALSE)</f>
        <v/>
      </c>
      <c r="I8" s="54">
        <f>RANK(H8,H$5:H$22)</f>
        <v/>
      </c>
      <c r="J8" s="49">
        <f>104-(C8+E8+G8+I8)</f>
        <v/>
      </c>
      <c r="K8" s="47">
        <f>RANK(J8,J$5:J$22)</f>
        <v/>
      </c>
      <c r="L8" s="56" t="n"/>
      <c r="M8" s="53">
        <f>VLOOKUP($A8,'2025'!$A:$IZ,88,FALSE)</f>
        <v/>
      </c>
      <c r="N8" s="54">
        <f>RANK(M8,M$5:M$22)</f>
        <v/>
      </c>
      <c r="O8" s="53">
        <f>VLOOKUP($A8,'2025'!$A:$IZ,84,FALSE)</f>
        <v/>
      </c>
      <c r="P8" s="54">
        <f>RANK(O8,O$5:O$22)</f>
        <v/>
      </c>
      <c r="Q8" s="53">
        <f>VLOOKUP($A8,'2025'!$A:$IZ,85,FALSE)</f>
        <v/>
      </c>
      <c r="R8" s="54">
        <f>RANK(Q8,Q$5:Q$22)</f>
        <v/>
      </c>
      <c r="S8" s="55">
        <f>VLOOKUP($A8,'2025'!$A:$IZ,29,FALSE)</f>
        <v/>
      </c>
      <c r="T8" s="54">
        <f>RANK(S8,S$5:S$22)</f>
        <v/>
      </c>
      <c r="U8" s="49">
        <f>104-(N8+P8+R8+T8)</f>
        <v/>
      </c>
      <c r="V8" s="47">
        <f>RANK(U8,U$5:U$22)</f>
        <v/>
      </c>
      <c r="W8" s="56" t="n"/>
      <c r="X8" s="53">
        <f>VLOOKUP($A8,'2025'!$A:$IZ,65,FALSE)</f>
        <v/>
      </c>
      <c r="Y8" s="54">
        <f>RANK(X8,X$5:X$22)</f>
        <v/>
      </c>
      <c r="Z8" s="53">
        <f>VLOOKUP($A8,'2025'!$A:$IZ,64,FALSE)</f>
        <v/>
      </c>
      <c r="AA8" s="54">
        <f>RANK(Z8,Z$5:Z$22)</f>
        <v/>
      </c>
      <c r="AB8" s="53">
        <f>VLOOKUP($A8,'2025'!$A:$IZ,63,FALSE)</f>
        <v/>
      </c>
      <c r="AC8" s="54">
        <f>RANK(AB8,AB$5:AB$22)</f>
        <v/>
      </c>
      <c r="AD8" s="53">
        <f>VLOOKUP($A8,'2025'!$A:$IZ,71,FALSE)</f>
        <v/>
      </c>
      <c r="AE8" s="54">
        <f>RANK(AD8,AD$5:AD$22)</f>
        <v/>
      </c>
      <c r="AF8" s="65">
        <f>104-(Y8+AA8+AC8+AE8)</f>
        <v/>
      </c>
      <c r="AG8" s="47">
        <f>RANK(AF8,AF$5:AF$22)</f>
        <v/>
      </c>
      <c r="AH8" s="56" t="n"/>
      <c r="AI8" s="53">
        <f>VLOOKUP($A8,'2025'!$A:$IZ,183,FALSE)</f>
        <v/>
      </c>
      <c r="AJ8" s="54">
        <f>RANK(AI8,AI$5:AI$22,1)</f>
        <v/>
      </c>
      <c r="AK8" s="53">
        <f>VLOOKUP($A8,'2025'!$A:$IZ,181,FALSE)</f>
        <v/>
      </c>
      <c r="AL8" s="54">
        <f>RANK(AK8,AK$5:AK$22,1)</f>
        <v/>
      </c>
      <c r="AM8" s="53">
        <f>VLOOKUP($A8,'2025'!$A:$IZ,182,FALSE)</f>
        <v/>
      </c>
      <c r="AN8" s="54">
        <f>RANK(AM8,AM$5:AM$22,1)</f>
        <v/>
      </c>
      <c r="AO8" s="53">
        <f>VLOOKUP($A8,'2025'!$A:$IZ,163,FALSE)</f>
        <v/>
      </c>
      <c r="AP8" s="54">
        <f>RANK(AO8,AO$5:AO$22,1)</f>
        <v/>
      </c>
      <c r="AQ8" s="65">
        <f>104-(AJ8+AL8+AN8+AP8)</f>
        <v/>
      </c>
      <c r="AR8" s="47">
        <f>RANK(AQ8,AQ$5:AQ$22)</f>
        <v/>
      </c>
      <c r="AS8" s="56" t="n"/>
      <c r="AT8" s="46">
        <f>VLOOKUP($A8,'2025'!$A:$IZ,250,FALSE)</f>
        <v/>
      </c>
      <c r="AU8" s="47">
        <f>RANK(AT8,AT$5:AT$22,0)</f>
        <v/>
      </c>
      <c r="AV8" s="46">
        <f>VLOOKUP($A8,'2025'!$A:$IZ,92,FALSE)</f>
        <v/>
      </c>
      <c r="AW8" s="47">
        <f>RANK(AV8,AV$5:AV$22,0)</f>
        <v/>
      </c>
      <c r="AX8" s="46">
        <f>VLOOKUP($A8,'2025'!$A:$IZ,93,FALSE)</f>
        <v/>
      </c>
      <c r="AY8" s="47">
        <f>RANK(AX8,AX$5:AX$22,0)</f>
        <v/>
      </c>
      <c r="AZ8" s="46">
        <f>VLOOKUP($A8,'2025'!$A:$IZ,108,FALSE)</f>
        <v/>
      </c>
      <c r="BA8" s="47">
        <f>RANK(AZ8,AZ$5:AZ$22,0)</f>
        <v/>
      </c>
      <c r="BB8" s="49">
        <f>104-(AU8+AW8+AY8+BA8)</f>
        <v/>
      </c>
      <c r="BC8" s="47">
        <f>RANK(BB8,BB$5:BB$22)</f>
        <v/>
      </c>
      <c r="BD8" s="56" t="n"/>
      <c r="BE8" s="53">
        <f>VLOOKUP($A8,'2025'!$A:$IZ,80,FALSE)</f>
        <v/>
      </c>
      <c r="BF8" s="54">
        <f>RANK(BE8,BE$5:BE$22)</f>
        <v/>
      </c>
      <c r="BG8" s="53">
        <f>VLOOKUP($A8,'2025'!$A:$IZ,177,FALSE)</f>
        <v/>
      </c>
      <c r="BH8" s="54">
        <f>RANK(BG8,BG$5:BG$22,1)</f>
        <v/>
      </c>
      <c r="BI8" s="53">
        <f>VLOOKUP($A8,'2025'!$A:$IZ,79,FALSE)</f>
        <v/>
      </c>
      <c r="BJ8" s="54">
        <f>RANK(BI8,BI$5:BI$22)</f>
        <v/>
      </c>
      <c r="BK8" s="53">
        <f>VLOOKUP($A8,'2025'!$A:$IZ,176,FALSE)</f>
        <v/>
      </c>
      <c r="BL8" s="54">
        <f>RANK(BK8,BK$5:BK$22,1)</f>
        <v/>
      </c>
      <c r="BM8" s="53">
        <f>VLOOKUP($A8,'2025'!$A:$IZ,11,FALSE)</f>
        <v/>
      </c>
      <c r="BN8" s="54">
        <f>RANK(BM8,BM$5:BM$22)</f>
        <v/>
      </c>
      <c r="BO8" s="53">
        <f>VLOOKUP($A8,'2025'!$A:$IZ,222,FALSE)</f>
        <v/>
      </c>
      <c r="BP8" s="54">
        <f>RANK(BO8,BO$5:BO$22)</f>
        <v/>
      </c>
      <c r="BQ8" s="65">
        <f>106-(BF8+BH8+BN8+BP8+BJ8+BL8)</f>
        <v/>
      </c>
      <c r="BR8" s="47">
        <f>RANK(BQ8,BQ$5:BQ$22)</f>
        <v/>
      </c>
      <c r="BS8" s="56" t="n"/>
      <c r="BT8" s="57">
        <f>VLOOKUP($A8,'Ratings Season'!$A:$M,10,FALSE)</f>
        <v/>
      </c>
      <c r="BU8" s="54">
        <f>RANK(BT8,BT$5:BT$22)</f>
        <v/>
      </c>
      <c r="BV8" s="57">
        <f>VLOOKUP($A8,'Ratings Season'!$A:$M,12,FALSE)</f>
        <v/>
      </c>
      <c r="BW8" s="54">
        <f>RANK(BV8,BV$5:BV$22)</f>
        <v/>
      </c>
      <c r="BX8" s="57">
        <f>VLOOKUP($A8,'Ratings Season'!$A:$M,8,FALSE)</f>
        <v/>
      </c>
      <c r="BY8" s="58">
        <f>RANK(BX8,BX$5:BX$22)</f>
        <v/>
      </c>
      <c r="BZ8" s="72" t="n"/>
    </row>
    <row r="9" ht="25" customFormat="1" customHeight="1" s="3">
      <c r="A9" s="79" t="inlineStr">
        <is>
          <t>Essendon</t>
        </is>
      </c>
      <c r="B9" s="53">
        <f>VLOOKUP($A9,'2025'!$A:$IZ,222,FALSE)</f>
        <v/>
      </c>
      <c r="C9" s="54">
        <f>RANK(B9,B$5:B$22)</f>
        <v/>
      </c>
      <c r="D9" s="55">
        <f>VLOOKUP($A9,'2025'!$A:$IZ,218,FALSE)</f>
        <v/>
      </c>
      <c r="E9" s="54">
        <f>RANK(D9,D$5:D$22)</f>
        <v/>
      </c>
      <c r="F9" s="55">
        <f>VLOOKUP($A9,'2025'!$A:$IZ,49,FALSE)</f>
        <v/>
      </c>
      <c r="G9" s="54">
        <f>RANK(F9,F$5:F$22)</f>
        <v/>
      </c>
      <c r="H9" s="55">
        <f>VLOOKUP($A9,'2025'!$A:$IZ,229,FALSE)</f>
        <v/>
      </c>
      <c r="I9" s="54">
        <f>RANK(H9,H$5:H$22)</f>
        <v/>
      </c>
      <c r="J9" s="49">
        <f>104-(C9+E9+G9+I9)</f>
        <v/>
      </c>
      <c r="K9" s="47">
        <f>RANK(J9,J$5:J$22)</f>
        <v/>
      </c>
      <c r="L9" s="56" t="n"/>
      <c r="M9" s="53">
        <f>VLOOKUP($A9,'2025'!$A:$IZ,88,FALSE)</f>
        <v/>
      </c>
      <c r="N9" s="54">
        <f>RANK(M9,M$5:M$22)</f>
        <v/>
      </c>
      <c r="O9" s="53">
        <f>VLOOKUP($A9,'2025'!$A:$IZ,84,FALSE)</f>
        <v/>
      </c>
      <c r="P9" s="54">
        <f>RANK(O9,O$5:O$22)</f>
        <v/>
      </c>
      <c r="Q9" s="53">
        <f>VLOOKUP($A9,'2025'!$A:$IZ,85,FALSE)</f>
        <v/>
      </c>
      <c r="R9" s="54">
        <f>RANK(Q9,Q$5:Q$22)</f>
        <v/>
      </c>
      <c r="S9" s="55">
        <f>VLOOKUP($A9,'2025'!$A:$IZ,29,FALSE)</f>
        <v/>
      </c>
      <c r="T9" s="54">
        <f>RANK(S9,S$5:S$22)</f>
        <v/>
      </c>
      <c r="U9" s="49">
        <f>104-(N9+P9+R9+T9)</f>
        <v/>
      </c>
      <c r="V9" s="47">
        <f>RANK(U9,U$5:U$22)</f>
        <v/>
      </c>
      <c r="W9" s="56" t="n"/>
      <c r="X9" s="53">
        <f>VLOOKUP($A9,'2025'!$A:$IZ,65,FALSE)</f>
        <v/>
      </c>
      <c r="Y9" s="54">
        <f>RANK(X9,X$5:X$22)</f>
        <v/>
      </c>
      <c r="Z9" s="53">
        <f>VLOOKUP($A9,'2025'!$A:$IZ,64,FALSE)</f>
        <v/>
      </c>
      <c r="AA9" s="54">
        <f>RANK(Z9,Z$5:Z$22)</f>
        <v/>
      </c>
      <c r="AB9" s="53">
        <f>VLOOKUP($A9,'2025'!$A:$IZ,63,FALSE)</f>
        <v/>
      </c>
      <c r="AC9" s="54">
        <f>RANK(AB9,AB$5:AB$22)</f>
        <v/>
      </c>
      <c r="AD9" s="53">
        <f>VLOOKUP($A9,'2025'!$A:$IZ,71,FALSE)</f>
        <v/>
      </c>
      <c r="AE9" s="54">
        <f>RANK(AD9,AD$5:AD$22)</f>
        <v/>
      </c>
      <c r="AF9" s="65">
        <f>104-(Y9+AA9+AC9+AE9)</f>
        <v/>
      </c>
      <c r="AG9" s="47">
        <f>RANK(AF9,AF$5:AF$22)</f>
        <v/>
      </c>
      <c r="AH9" s="56" t="n"/>
      <c r="AI9" s="53">
        <f>VLOOKUP($A9,'2025'!$A:$IZ,183,FALSE)</f>
        <v/>
      </c>
      <c r="AJ9" s="54">
        <f>RANK(AI9,AI$5:AI$22,1)</f>
        <v/>
      </c>
      <c r="AK9" s="53">
        <f>VLOOKUP($A9,'2025'!$A:$IZ,181,FALSE)</f>
        <v/>
      </c>
      <c r="AL9" s="54">
        <f>RANK(AK9,AK$5:AK$22,1)</f>
        <v/>
      </c>
      <c r="AM9" s="53">
        <f>VLOOKUP($A9,'2025'!$A:$IZ,182,FALSE)</f>
        <v/>
      </c>
      <c r="AN9" s="54">
        <f>RANK(AM9,AM$5:AM$22,1)</f>
        <v/>
      </c>
      <c r="AO9" s="53">
        <f>VLOOKUP($A9,'2025'!$A:$IZ,163,FALSE)</f>
        <v/>
      </c>
      <c r="AP9" s="54">
        <f>RANK(AO9,AO$5:AO$22,1)</f>
        <v/>
      </c>
      <c r="AQ9" s="65">
        <f>104-(AJ9+AL9+AN9+AP9)</f>
        <v/>
      </c>
      <c r="AR9" s="47">
        <f>RANK(AQ9,AQ$5:AQ$22)</f>
        <v/>
      </c>
      <c r="AS9" s="56" t="n"/>
      <c r="AT9" s="46">
        <f>VLOOKUP($A9,'2025'!$A:$IZ,250,FALSE)</f>
        <v/>
      </c>
      <c r="AU9" s="47">
        <f>RANK(AT9,AT$5:AT$22,0)</f>
        <v/>
      </c>
      <c r="AV9" s="46">
        <f>VLOOKUP($A9,'2025'!$A:$IZ,92,FALSE)</f>
        <v/>
      </c>
      <c r="AW9" s="47">
        <f>RANK(AV9,AV$5:AV$22,0)</f>
        <v/>
      </c>
      <c r="AX9" s="46">
        <f>VLOOKUP($A9,'2025'!$A:$IZ,93,FALSE)</f>
        <v/>
      </c>
      <c r="AY9" s="47">
        <f>RANK(AX9,AX$5:AX$22,0)</f>
        <v/>
      </c>
      <c r="AZ9" s="46">
        <f>VLOOKUP($A9,'2025'!$A:$IZ,108,FALSE)</f>
        <v/>
      </c>
      <c r="BA9" s="47">
        <f>RANK(AZ9,AZ$5:AZ$22,0)</f>
        <v/>
      </c>
      <c r="BB9" s="49">
        <f>104-(AU9+AW9+AY9+BA9)</f>
        <v/>
      </c>
      <c r="BC9" s="47">
        <f>RANK(BB9,BB$5:BB$22)</f>
        <v/>
      </c>
      <c r="BD9" s="56" t="n"/>
      <c r="BE9" s="53">
        <f>VLOOKUP($A9,'2025'!$A:$IZ,80,FALSE)</f>
        <v/>
      </c>
      <c r="BF9" s="54">
        <f>RANK(BE9,BE$5:BE$22)</f>
        <v/>
      </c>
      <c r="BG9" s="53">
        <f>VLOOKUP($A9,'2025'!$A:$IZ,177,FALSE)</f>
        <v/>
      </c>
      <c r="BH9" s="54">
        <f>RANK(BG9,BG$5:BG$22,1)</f>
        <v/>
      </c>
      <c r="BI9" s="53">
        <f>VLOOKUP($A9,'2025'!$A:$IZ,79,FALSE)</f>
        <v/>
      </c>
      <c r="BJ9" s="54">
        <f>RANK(BI9,BI$5:BI$22)</f>
        <v/>
      </c>
      <c r="BK9" s="53">
        <f>VLOOKUP($A9,'2025'!$A:$IZ,176,FALSE)</f>
        <v/>
      </c>
      <c r="BL9" s="54">
        <f>RANK(BK9,BK$5:BK$22,1)</f>
        <v/>
      </c>
      <c r="BM9" s="53">
        <f>VLOOKUP($A9,'2025'!$A:$IZ,11,FALSE)</f>
        <v/>
      </c>
      <c r="BN9" s="54">
        <f>RANK(BM9,BM$5:BM$22)</f>
        <v/>
      </c>
      <c r="BO9" s="53">
        <f>VLOOKUP($A9,'2025'!$A:$IZ,222,FALSE)</f>
        <v/>
      </c>
      <c r="BP9" s="54">
        <f>RANK(BO9,BO$5:BO$22)</f>
        <v/>
      </c>
      <c r="BQ9" s="65">
        <f>106-(BF9+BH9+BN9+BP9+BJ9+BL9)</f>
        <v/>
      </c>
      <c r="BR9" s="47">
        <f>RANK(BQ9,BQ$5:BQ$22)</f>
        <v/>
      </c>
      <c r="BS9" s="56" t="n"/>
      <c r="BT9" s="57">
        <f>VLOOKUP($A9,'Ratings Season'!$A:$M,10,FALSE)</f>
        <v/>
      </c>
      <c r="BU9" s="54">
        <f>RANK(BT9,BT$5:BT$22)</f>
        <v/>
      </c>
      <c r="BV9" s="57">
        <f>VLOOKUP($A9,'Ratings Season'!$A:$M,12,FALSE)</f>
        <v/>
      </c>
      <c r="BW9" s="54">
        <f>RANK(BV9,BV$5:BV$22)</f>
        <v/>
      </c>
      <c r="BX9" s="57">
        <f>VLOOKUP($A9,'Ratings Season'!$A:$M,8,FALSE)</f>
        <v/>
      </c>
      <c r="BY9" s="58">
        <f>RANK(BX9,BX$5:BX$22)</f>
        <v/>
      </c>
      <c r="BZ9" s="72" t="n"/>
    </row>
    <row r="10" ht="25" customFormat="1" customHeight="1" s="3">
      <c r="A10" s="80" t="inlineStr">
        <is>
          <t>Fremantle</t>
        </is>
      </c>
      <c r="B10" s="53">
        <f>VLOOKUP($A10,'2025'!$A:$IZ,222,FALSE)</f>
        <v/>
      </c>
      <c r="C10" s="54">
        <f>RANK(B10,B$5:B$22)</f>
        <v/>
      </c>
      <c r="D10" s="55">
        <f>VLOOKUP($A10,'2025'!$A:$IZ,218,FALSE)</f>
        <v/>
      </c>
      <c r="E10" s="54">
        <f>RANK(D10,D$5:D$22)</f>
        <v/>
      </c>
      <c r="F10" s="55">
        <f>VLOOKUP($A10,'2025'!$A:$IZ,49,FALSE)</f>
        <v/>
      </c>
      <c r="G10" s="54">
        <f>RANK(F10,F$5:F$22)</f>
        <v/>
      </c>
      <c r="H10" s="55">
        <f>VLOOKUP($A10,'2025'!$A:$IZ,229,FALSE)</f>
        <v/>
      </c>
      <c r="I10" s="54">
        <f>RANK(H10,H$5:H$22)</f>
        <v/>
      </c>
      <c r="J10" s="49">
        <f>104-(C10+E10+G10+I10)</f>
        <v/>
      </c>
      <c r="K10" s="47">
        <f>RANK(J10,J$5:J$22)</f>
        <v/>
      </c>
      <c r="L10" s="56" t="n"/>
      <c r="M10" s="53">
        <f>VLOOKUP($A10,'2025'!$A:$IZ,88,FALSE)</f>
        <v/>
      </c>
      <c r="N10" s="54">
        <f>RANK(M10,M$5:M$22)</f>
        <v/>
      </c>
      <c r="O10" s="53">
        <f>VLOOKUP($A10,'2025'!$A:$IZ,84,FALSE)</f>
        <v/>
      </c>
      <c r="P10" s="54">
        <f>RANK(O10,O$5:O$22)</f>
        <v/>
      </c>
      <c r="Q10" s="53">
        <f>VLOOKUP($A10,'2025'!$A:$IZ,85,FALSE)</f>
        <v/>
      </c>
      <c r="R10" s="54">
        <f>RANK(Q10,Q$5:Q$22)</f>
        <v/>
      </c>
      <c r="S10" s="55">
        <f>VLOOKUP($A10,'2025'!$A:$IZ,29,FALSE)</f>
        <v/>
      </c>
      <c r="T10" s="54">
        <f>RANK(S10,S$5:S$22)</f>
        <v/>
      </c>
      <c r="U10" s="49">
        <f>104-(N10+P10+R10+T10)</f>
        <v/>
      </c>
      <c r="V10" s="47">
        <f>RANK(U10,U$5:U$22)</f>
        <v/>
      </c>
      <c r="W10" s="56" t="n"/>
      <c r="X10" s="53">
        <f>VLOOKUP($A10,'2025'!$A:$IZ,65,FALSE)</f>
        <v/>
      </c>
      <c r="Y10" s="54">
        <f>RANK(X10,X$5:X$22)</f>
        <v/>
      </c>
      <c r="Z10" s="53">
        <f>VLOOKUP($A10,'2025'!$A:$IZ,64,FALSE)</f>
        <v/>
      </c>
      <c r="AA10" s="54">
        <f>RANK(Z10,Z$5:Z$22)</f>
        <v/>
      </c>
      <c r="AB10" s="53">
        <f>VLOOKUP($A10,'2025'!$A:$IZ,63,FALSE)</f>
        <v/>
      </c>
      <c r="AC10" s="54">
        <f>RANK(AB10,AB$5:AB$22)</f>
        <v/>
      </c>
      <c r="AD10" s="53">
        <f>VLOOKUP($A10,'2025'!$A:$IZ,71,FALSE)</f>
        <v/>
      </c>
      <c r="AE10" s="54">
        <f>RANK(AD10,AD$5:AD$22)</f>
        <v/>
      </c>
      <c r="AF10" s="65">
        <f>104-(Y10+AA10+AC10+AE10)</f>
        <v/>
      </c>
      <c r="AG10" s="47">
        <f>RANK(AF10,AF$5:AF$22)</f>
        <v/>
      </c>
      <c r="AH10" s="56" t="n"/>
      <c r="AI10" s="53">
        <f>VLOOKUP($A10,'2025'!$A:$IZ,183,FALSE)</f>
        <v/>
      </c>
      <c r="AJ10" s="54">
        <f>RANK(AI10,AI$5:AI$22,1)</f>
        <v/>
      </c>
      <c r="AK10" s="53">
        <f>VLOOKUP($A10,'2025'!$A:$IZ,181,FALSE)</f>
        <v/>
      </c>
      <c r="AL10" s="54">
        <f>RANK(AK10,AK$5:AK$22,1)</f>
        <v/>
      </c>
      <c r="AM10" s="53">
        <f>VLOOKUP($A10,'2025'!$A:$IZ,182,FALSE)</f>
        <v/>
      </c>
      <c r="AN10" s="54">
        <f>RANK(AM10,AM$5:AM$22,1)</f>
        <v/>
      </c>
      <c r="AO10" s="53">
        <f>VLOOKUP($A10,'2025'!$A:$IZ,163,FALSE)</f>
        <v/>
      </c>
      <c r="AP10" s="54">
        <f>RANK(AO10,AO$5:AO$22,1)</f>
        <v/>
      </c>
      <c r="AQ10" s="65">
        <f>104-(AJ10+AL10+AN10+AP10)</f>
        <v/>
      </c>
      <c r="AR10" s="47">
        <f>RANK(AQ10,AQ$5:AQ$22)</f>
        <v/>
      </c>
      <c r="AS10" s="56" t="n"/>
      <c r="AT10" s="46">
        <f>VLOOKUP($A10,'2025'!$A:$IZ,250,FALSE)</f>
        <v/>
      </c>
      <c r="AU10" s="47">
        <f>RANK(AT10,AT$5:AT$22,0)</f>
        <v/>
      </c>
      <c r="AV10" s="46">
        <f>VLOOKUP($A10,'2025'!$A:$IZ,92,FALSE)</f>
        <v/>
      </c>
      <c r="AW10" s="47">
        <f>RANK(AV10,AV$5:AV$22,0)</f>
        <v/>
      </c>
      <c r="AX10" s="46">
        <f>VLOOKUP($A10,'2025'!$A:$IZ,93,FALSE)</f>
        <v/>
      </c>
      <c r="AY10" s="47">
        <f>RANK(AX10,AX$5:AX$22,0)</f>
        <v/>
      </c>
      <c r="AZ10" s="46">
        <f>VLOOKUP($A10,'2025'!$A:$IZ,108,FALSE)</f>
        <v/>
      </c>
      <c r="BA10" s="47">
        <f>RANK(AZ10,AZ$5:AZ$22,0)</f>
        <v/>
      </c>
      <c r="BB10" s="49">
        <f>104-(AU10+AW10+AY10+BA10)</f>
        <v/>
      </c>
      <c r="BC10" s="47">
        <f>RANK(BB10,BB$5:BB$22)</f>
        <v/>
      </c>
      <c r="BD10" s="56" t="n"/>
      <c r="BE10" s="53">
        <f>VLOOKUP($A10,'2025'!$A:$IZ,80,FALSE)</f>
        <v/>
      </c>
      <c r="BF10" s="54">
        <f>RANK(BE10,BE$5:BE$22)</f>
        <v/>
      </c>
      <c r="BG10" s="53">
        <f>VLOOKUP($A10,'2025'!$A:$IZ,177,FALSE)</f>
        <v/>
      </c>
      <c r="BH10" s="54">
        <f>RANK(BG10,BG$5:BG$22,1)</f>
        <v/>
      </c>
      <c r="BI10" s="53">
        <f>VLOOKUP($A10,'2025'!$A:$IZ,79,FALSE)</f>
        <v/>
      </c>
      <c r="BJ10" s="54">
        <f>RANK(BI10,BI$5:BI$22)</f>
        <v/>
      </c>
      <c r="BK10" s="53">
        <f>VLOOKUP($A10,'2025'!$A:$IZ,176,FALSE)</f>
        <v/>
      </c>
      <c r="BL10" s="54">
        <f>RANK(BK10,BK$5:BK$22,1)</f>
        <v/>
      </c>
      <c r="BM10" s="53">
        <f>VLOOKUP($A10,'2025'!$A:$IZ,11,FALSE)</f>
        <v/>
      </c>
      <c r="BN10" s="54">
        <f>RANK(BM10,BM$5:BM$22)</f>
        <v/>
      </c>
      <c r="BO10" s="53">
        <f>VLOOKUP($A10,'2025'!$A:$IZ,222,FALSE)</f>
        <v/>
      </c>
      <c r="BP10" s="54">
        <f>RANK(BO10,BO$5:BO$22)</f>
        <v/>
      </c>
      <c r="BQ10" s="65">
        <f>106-(BF10+BH10+BN10+BP10+BJ10+BL10)</f>
        <v/>
      </c>
      <c r="BR10" s="47">
        <f>RANK(BQ10,BQ$5:BQ$22)</f>
        <v/>
      </c>
      <c r="BS10" s="56" t="n"/>
      <c r="BT10" s="57">
        <f>VLOOKUP($A10,'Ratings Season'!$A:$M,10,FALSE)</f>
        <v/>
      </c>
      <c r="BU10" s="54">
        <f>RANK(BT10,BT$5:BT$22)</f>
        <v/>
      </c>
      <c r="BV10" s="57">
        <f>VLOOKUP($A10,'Ratings Season'!$A:$M,12,FALSE)</f>
        <v/>
      </c>
      <c r="BW10" s="54">
        <f>RANK(BV10,BV$5:BV$22)</f>
        <v/>
      </c>
      <c r="BX10" s="57">
        <f>VLOOKUP($A10,'Ratings Season'!$A:$M,8,FALSE)</f>
        <v/>
      </c>
      <c r="BY10" s="58">
        <f>RANK(BX10,BX$5:BX$22)</f>
        <v/>
      </c>
      <c r="BZ10" s="72" t="n"/>
    </row>
    <row r="11" ht="25" customFormat="1" customHeight="1" s="3">
      <c r="A11" s="81" t="inlineStr">
        <is>
          <t>Geelong</t>
        </is>
      </c>
      <c r="B11" s="53">
        <f>VLOOKUP($A11,'2025'!$A:$IZ,222,FALSE)</f>
        <v/>
      </c>
      <c r="C11" s="54">
        <f>RANK(B11,B$5:B$22)</f>
        <v/>
      </c>
      <c r="D11" s="55">
        <f>VLOOKUP($A11,'2025'!$A:$IZ,218,FALSE)</f>
        <v/>
      </c>
      <c r="E11" s="54">
        <f>RANK(D11,D$5:D$22)</f>
        <v/>
      </c>
      <c r="F11" s="55">
        <f>VLOOKUP($A11,'2025'!$A:$IZ,49,FALSE)</f>
        <v/>
      </c>
      <c r="G11" s="54">
        <f>RANK(F11,F$5:F$22)</f>
        <v/>
      </c>
      <c r="H11" s="55">
        <f>VLOOKUP($A11,'2025'!$A:$IZ,229,FALSE)</f>
        <v/>
      </c>
      <c r="I11" s="54">
        <f>RANK(H11,H$5:H$22)</f>
        <v/>
      </c>
      <c r="J11" s="49">
        <f>104-(C11+E11+G11+I11)</f>
        <v/>
      </c>
      <c r="K11" s="47">
        <f>RANK(J11,J$5:J$22)</f>
        <v/>
      </c>
      <c r="L11" s="56" t="n"/>
      <c r="M11" s="53">
        <f>VLOOKUP($A11,'2025'!$A:$IZ,88,FALSE)</f>
        <v/>
      </c>
      <c r="N11" s="54">
        <f>RANK(M11,M$5:M$22)</f>
        <v/>
      </c>
      <c r="O11" s="53">
        <f>VLOOKUP($A11,'2025'!$A:$IZ,84,FALSE)</f>
        <v/>
      </c>
      <c r="P11" s="54">
        <f>RANK(O11,O$5:O$22)</f>
        <v/>
      </c>
      <c r="Q11" s="53">
        <f>VLOOKUP($A11,'2025'!$A:$IZ,85,FALSE)</f>
        <v/>
      </c>
      <c r="R11" s="54">
        <f>RANK(Q11,Q$5:Q$22)</f>
        <v/>
      </c>
      <c r="S11" s="55">
        <f>VLOOKUP($A11,'2025'!$A:$IZ,29,FALSE)</f>
        <v/>
      </c>
      <c r="T11" s="54">
        <f>RANK(S11,S$5:S$22)</f>
        <v/>
      </c>
      <c r="U11" s="49">
        <f>104-(N11+P11+R11+T11)</f>
        <v/>
      </c>
      <c r="V11" s="47">
        <f>RANK(U11,U$5:U$22)</f>
        <v/>
      </c>
      <c r="W11" s="56" t="n"/>
      <c r="X11" s="53">
        <f>VLOOKUP($A11,'2025'!$A:$IZ,65,FALSE)</f>
        <v/>
      </c>
      <c r="Y11" s="54">
        <f>RANK(X11,X$5:X$22)</f>
        <v/>
      </c>
      <c r="Z11" s="53">
        <f>VLOOKUP($A11,'2025'!$A:$IZ,64,FALSE)</f>
        <v/>
      </c>
      <c r="AA11" s="54">
        <f>RANK(Z11,Z$5:Z$22)</f>
        <v/>
      </c>
      <c r="AB11" s="53">
        <f>VLOOKUP($A11,'2025'!$A:$IZ,63,FALSE)</f>
        <v/>
      </c>
      <c r="AC11" s="54">
        <f>RANK(AB11,AB$5:AB$22)</f>
        <v/>
      </c>
      <c r="AD11" s="53">
        <f>VLOOKUP($A11,'2025'!$A:$IZ,71,FALSE)</f>
        <v/>
      </c>
      <c r="AE11" s="54">
        <f>RANK(AD11,AD$5:AD$22)</f>
        <v/>
      </c>
      <c r="AF11" s="65">
        <f>104-(Y11+AA11+AC11+AE11)</f>
        <v/>
      </c>
      <c r="AG11" s="47">
        <f>RANK(AF11,AF$5:AF$22)</f>
        <v/>
      </c>
      <c r="AH11" s="56" t="n"/>
      <c r="AI11" s="53">
        <f>VLOOKUP($A11,'2025'!$A:$IZ,183,FALSE)</f>
        <v/>
      </c>
      <c r="AJ11" s="54">
        <f>RANK(AI11,AI$5:AI$22,1)</f>
        <v/>
      </c>
      <c r="AK11" s="53">
        <f>VLOOKUP($A11,'2025'!$A:$IZ,181,FALSE)</f>
        <v/>
      </c>
      <c r="AL11" s="54">
        <f>RANK(AK11,AK$5:AK$22,1)</f>
        <v/>
      </c>
      <c r="AM11" s="53">
        <f>VLOOKUP($A11,'2025'!$A:$IZ,182,FALSE)</f>
        <v/>
      </c>
      <c r="AN11" s="54">
        <f>RANK(AM11,AM$5:AM$22,1)</f>
        <v/>
      </c>
      <c r="AO11" s="53">
        <f>VLOOKUP($A11,'2025'!$A:$IZ,163,FALSE)</f>
        <v/>
      </c>
      <c r="AP11" s="54">
        <f>RANK(AO11,AO$5:AO$22,1)</f>
        <v/>
      </c>
      <c r="AQ11" s="65">
        <f>104-(AJ11+AL11+AN11+AP11)</f>
        <v/>
      </c>
      <c r="AR11" s="47">
        <f>RANK(AQ11,AQ$5:AQ$22)</f>
        <v/>
      </c>
      <c r="AS11" s="56" t="n"/>
      <c r="AT11" s="46">
        <f>VLOOKUP($A11,'2025'!$A:$IZ,250,FALSE)</f>
        <v/>
      </c>
      <c r="AU11" s="47">
        <f>RANK(AT11,AT$5:AT$22,0)</f>
        <v/>
      </c>
      <c r="AV11" s="46">
        <f>VLOOKUP($A11,'2025'!$A:$IZ,92,FALSE)</f>
        <v/>
      </c>
      <c r="AW11" s="47">
        <f>RANK(AV11,AV$5:AV$22,0)</f>
        <v/>
      </c>
      <c r="AX11" s="46">
        <f>VLOOKUP($A11,'2025'!$A:$IZ,93,FALSE)</f>
        <v/>
      </c>
      <c r="AY11" s="47">
        <f>RANK(AX11,AX$5:AX$22,0)</f>
        <v/>
      </c>
      <c r="AZ11" s="46">
        <f>VLOOKUP($A11,'2025'!$A:$IZ,108,FALSE)</f>
        <v/>
      </c>
      <c r="BA11" s="47">
        <f>RANK(AZ11,AZ$5:AZ$22,0)</f>
        <v/>
      </c>
      <c r="BB11" s="49">
        <f>104-(AU11+AW11+AY11+BA11)</f>
        <v/>
      </c>
      <c r="BC11" s="47">
        <f>RANK(BB11,BB$5:BB$22)</f>
        <v/>
      </c>
      <c r="BD11" s="56" t="n"/>
      <c r="BE11" s="53">
        <f>VLOOKUP($A11,'2025'!$A:$IZ,80,FALSE)</f>
        <v/>
      </c>
      <c r="BF11" s="54">
        <f>RANK(BE11,BE$5:BE$22)</f>
        <v/>
      </c>
      <c r="BG11" s="53">
        <f>VLOOKUP($A11,'2025'!$A:$IZ,177,FALSE)</f>
        <v/>
      </c>
      <c r="BH11" s="54">
        <f>RANK(BG11,BG$5:BG$22,1)</f>
        <v/>
      </c>
      <c r="BI11" s="53">
        <f>VLOOKUP($A11,'2025'!$A:$IZ,79,FALSE)</f>
        <v/>
      </c>
      <c r="BJ11" s="54">
        <f>RANK(BI11,BI$5:BI$22)</f>
        <v/>
      </c>
      <c r="BK11" s="53">
        <f>VLOOKUP($A11,'2025'!$A:$IZ,176,FALSE)</f>
        <v/>
      </c>
      <c r="BL11" s="54">
        <f>RANK(BK11,BK$5:BK$22,1)</f>
        <v/>
      </c>
      <c r="BM11" s="53">
        <f>VLOOKUP($A11,'2025'!$A:$IZ,11,FALSE)</f>
        <v/>
      </c>
      <c r="BN11" s="54">
        <f>RANK(BM11,BM$5:BM$22)</f>
        <v/>
      </c>
      <c r="BO11" s="53">
        <f>VLOOKUP($A11,'2025'!$A:$IZ,222,FALSE)</f>
        <v/>
      </c>
      <c r="BP11" s="54">
        <f>RANK(BO11,BO$5:BO$22)</f>
        <v/>
      </c>
      <c r="BQ11" s="65">
        <f>106-(BF11+BH11+BN11+BP11+BJ11+BL11)</f>
        <v/>
      </c>
      <c r="BR11" s="47">
        <f>RANK(BQ11,BQ$5:BQ$22)</f>
        <v/>
      </c>
      <c r="BS11" s="56" t="n"/>
      <c r="BT11" s="57">
        <f>VLOOKUP($A11,'Ratings Season'!$A:$M,10,FALSE)</f>
        <v/>
      </c>
      <c r="BU11" s="54">
        <f>RANK(BT11,BT$5:BT$22)</f>
        <v/>
      </c>
      <c r="BV11" s="57">
        <f>VLOOKUP($A11,'Ratings Season'!$A:$M,12,FALSE)</f>
        <v/>
      </c>
      <c r="BW11" s="54">
        <f>RANK(BV11,BV$5:BV$22)</f>
        <v/>
      </c>
      <c r="BX11" s="57">
        <f>VLOOKUP($A11,'Ratings Season'!$A:$M,8,FALSE)</f>
        <v/>
      </c>
      <c r="BY11" s="58">
        <f>RANK(BX11,BX$5:BX$22)</f>
        <v/>
      </c>
      <c r="BZ11" s="72" t="n"/>
    </row>
    <row r="12" ht="25" customFormat="1" customHeight="1" s="3">
      <c r="A12" s="82" t="inlineStr">
        <is>
          <t>Gold Coast</t>
        </is>
      </c>
      <c r="B12" s="53">
        <f>VLOOKUP($A12,'2025'!$A:$IZ,222,FALSE)</f>
        <v/>
      </c>
      <c r="C12" s="54">
        <f>RANK(B12,B$5:B$22)</f>
        <v/>
      </c>
      <c r="D12" s="55">
        <f>VLOOKUP($A12,'2025'!$A:$IZ,218,FALSE)</f>
        <v/>
      </c>
      <c r="E12" s="54">
        <f>RANK(D12,D$5:D$22)</f>
        <v/>
      </c>
      <c r="F12" s="55">
        <f>VLOOKUP($A12,'2025'!$A:$IZ,49,FALSE)</f>
        <v/>
      </c>
      <c r="G12" s="54">
        <f>RANK(F12,F$5:F$22)</f>
        <v/>
      </c>
      <c r="H12" s="55">
        <f>VLOOKUP($A12,'2025'!$A:$IZ,229,FALSE)</f>
        <v/>
      </c>
      <c r="I12" s="54">
        <f>RANK(H12,H$5:H$22)</f>
        <v/>
      </c>
      <c r="J12" s="49">
        <f>104-(C12+E12+G12+I12)</f>
        <v/>
      </c>
      <c r="K12" s="47">
        <f>RANK(J12,J$5:J$22)</f>
        <v/>
      </c>
      <c r="L12" s="56" t="n"/>
      <c r="M12" s="53">
        <f>VLOOKUP($A12,'2025'!$A:$IZ,88,FALSE)</f>
        <v/>
      </c>
      <c r="N12" s="54">
        <f>RANK(M12,M$5:M$22)</f>
        <v/>
      </c>
      <c r="O12" s="53">
        <f>VLOOKUP($A12,'2025'!$A:$IZ,84,FALSE)</f>
        <v/>
      </c>
      <c r="P12" s="54">
        <f>RANK(O12,O$5:O$22)</f>
        <v/>
      </c>
      <c r="Q12" s="53">
        <f>VLOOKUP($A12,'2025'!$A:$IZ,85,FALSE)</f>
        <v/>
      </c>
      <c r="R12" s="54">
        <f>RANK(Q12,Q$5:Q$22)</f>
        <v/>
      </c>
      <c r="S12" s="55">
        <f>VLOOKUP($A12,'2025'!$A:$IZ,29,FALSE)</f>
        <v/>
      </c>
      <c r="T12" s="54">
        <f>RANK(S12,S$5:S$22)</f>
        <v/>
      </c>
      <c r="U12" s="49">
        <f>104-(N12+P12+R12+T12)</f>
        <v/>
      </c>
      <c r="V12" s="47">
        <f>RANK(U12,U$5:U$22)</f>
        <v/>
      </c>
      <c r="W12" s="56" t="n"/>
      <c r="X12" s="53">
        <f>VLOOKUP($A12,'2025'!$A:$IZ,65,FALSE)</f>
        <v/>
      </c>
      <c r="Y12" s="54">
        <f>RANK(X12,X$5:X$22)</f>
        <v/>
      </c>
      <c r="Z12" s="53">
        <f>VLOOKUP($A12,'2025'!$A:$IZ,64,FALSE)</f>
        <v/>
      </c>
      <c r="AA12" s="54">
        <f>RANK(Z12,Z$5:Z$22)</f>
        <v/>
      </c>
      <c r="AB12" s="53">
        <f>VLOOKUP($A12,'2025'!$A:$IZ,63,FALSE)</f>
        <v/>
      </c>
      <c r="AC12" s="54">
        <f>RANK(AB12,AB$5:AB$22)</f>
        <v/>
      </c>
      <c r="AD12" s="53">
        <f>VLOOKUP($A12,'2025'!$A:$IZ,71,FALSE)</f>
        <v/>
      </c>
      <c r="AE12" s="54">
        <f>RANK(AD12,AD$5:AD$22)</f>
        <v/>
      </c>
      <c r="AF12" s="65">
        <f>104-(Y12+AA12+AC12+AE12)</f>
        <v/>
      </c>
      <c r="AG12" s="47">
        <f>RANK(AF12,AF$5:AF$22)</f>
        <v/>
      </c>
      <c r="AH12" s="56" t="n"/>
      <c r="AI12" s="53">
        <f>VLOOKUP($A12,'2025'!$A:$IZ,183,FALSE)</f>
        <v/>
      </c>
      <c r="AJ12" s="54">
        <f>RANK(AI12,AI$5:AI$22,1)</f>
        <v/>
      </c>
      <c r="AK12" s="53">
        <f>VLOOKUP($A12,'2025'!$A:$IZ,181,FALSE)</f>
        <v/>
      </c>
      <c r="AL12" s="54">
        <f>RANK(AK12,AK$5:AK$22,1)</f>
        <v/>
      </c>
      <c r="AM12" s="53">
        <f>VLOOKUP($A12,'2025'!$A:$IZ,182,FALSE)</f>
        <v/>
      </c>
      <c r="AN12" s="54">
        <f>RANK(AM12,AM$5:AM$22,1)</f>
        <v/>
      </c>
      <c r="AO12" s="53">
        <f>VLOOKUP($A12,'2025'!$A:$IZ,163,FALSE)</f>
        <v/>
      </c>
      <c r="AP12" s="54">
        <f>RANK(AO12,AO$5:AO$22,1)</f>
        <v/>
      </c>
      <c r="AQ12" s="65">
        <f>104-(AJ12+AL12+AN12+AP12)</f>
        <v/>
      </c>
      <c r="AR12" s="47">
        <f>RANK(AQ12,AQ$5:AQ$22)</f>
        <v/>
      </c>
      <c r="AS12" s="56" t="n"/>
      <c r="AT12" s="46">
        <f>VLOOKUP($A12,'2025'!$A:$IZ,250,FALSE)</f>
        <v/>
      </c>
      <c r="AU12" s="47">
        <f>RANK(AT12,AT$5:AT$22,0)</f>
        <v/>
      </c>
      <c r="AV12" s="46">
        <f>VLOOKUP($A12,'2025'!$A:$IZ,92,FALSE)</f>
        <v/>
      </c>
      <c r="AW12" s="47">
        <f>RANK(AV12,AV$5:AV$22,0)</f>
        <v/>
      </c>
      <c r="AX12" s="46">
        <f>VLOOKUP($A12,'2025'!$A:$IZ,93,FALSE)</f>
        <v/>
      </c>
      <c r="AY12" s="47">
        <f>RANK(AX12,AX$5:AX$22,0)</f>
        <v/>
      </c>
      <c r="AZ12" s="46">
        <f>VLOOKUP($A12,'2025'!$A:$IZ,108,FALSE)</f>
        <v/>
      </c>
      <c r="BA12" s="47">
        <f>RANK(AZ12,AZ$5:AZ$22,0)</f>
        <v/>
      </c>
      <c r="BB12" s="49">
        <f>104-(AU12+AW12+AY12+BA12)</f>
        <v/>
      </c>
      <c r="BC12" s="47">
        <f>RANK(BB12,BB$5:BB$22)</f>
        <v/>
      </c>
      <c r="BD12" s="56" t="n"/>
      <c r="BE12" s="53">
        <f>VLOOKUP($A12,'2025'!$A:$IZ,80,FALSE)</f>
        <v/>
      </c>
      <c r="BF12" s="54">
        <f>RANK(BE12,BE$5:BE$22)</f>
        <v/>
      </c>
      <c r="BG12" s="53">
        <f>VLOOKUP($A12,'2025'!$A:$IZ,177,FALSE)</f>
        <v/>
      </c>
      <c r="BH12" s="54">
        <f>RANK(BG12,BG$5:BG$22,1)</f>
        <v/>
      </c>
      <c r="BI12" s="53">
        <f>VLOOKUP($A12,'2025'!$A:$IZ,79,FALSE)</f>
        <v/>
      </c>
      <c r="BJ12" s="54">
        <f>RANK(BI12,BI$5:BI$22)</f>
        <v/>
      </c>
      <c r="BK12" s="53">
        <f>VLOOKUP($A12,'2025'!$A:$IZ,176,FALSE)</f>
        <v/>
      </c>
      <c r="BL12" s="54">
        <f>RANK(BK12,BK$5:BK$22,1)</f>
        <v/>
      </c>
      <c r="BM12" s="53">
        <f>VLOOKUP($A12,'2025'!$A:$IZ,11,FALSE)</f>
        <v/>
      </c>
      <c r="BN12" s="54">
        <f>RANK(BM12,BM$5:BM$22)</f>
        <v/>
      </c>
      <c r="BO12" s="53">
        <f>VLOOKUP($A12,'2025'!$A:$IZ,222,FALSE)</f>
        <v/>
      </c>
      <c r="BP12" s="54">
        <f>RANK(BO12,BO$5:BO$22)</f>
        <v/>
      </c>
      <c r="BQ12" s="65">
        <f>106-(BF12+BH12+BN12+BP12+BJ12+BL12)</f>
        <v/>
      </c>
      <c r="BR12" s="47">
        <f>RANK(BQ12,BQ$5:BQ$22)</f>
        <v/>
      </c>
      <c r="BS12" s="56" t="n"/>
      <c r="BT12" s="57">
        <f>VLOOKUP($A12,'Ratings Season'!$A:$M,10,FALSE)</f>
        <v/>
      </c>
      <c r="BU12" s="54">
        <f>RANK(BT12,BT$5:BT$22)</f>
        <v/>
      </c>
      <c r="BV12" s="57">
        <f>VLOOKUP($A12,'Ratings Season'!$A:$M,12,FALSE)</f>
        <v/>
      </c>
      <c r="BW12" s="54">
        <f>RANK(BV12,BV$5:BV$22)</f>
        <v/>
      </c>
      <c r="BX12" s="57">
        <f>VLOOKUP($A12,'Ratings Season'!$A:$M,8,FALSE)</f>
        <v/>
      </c>
      <c r="BY12" s="58">
        <f>RANK(BX12,BX$5:BX$22)</f>
        <v/>
      </c>
      <c r="BZ12" s="72" t="n"/>
    </row>
    <row r="13" ht="25" customFormat="1" customHeight="1" s="3">
      <c r="A13" s="83" t="inlineStr">
        <is>
          <t>Greater Western Sydney</t>
        </is>
      </c>
      <c r="B13" s="53">
        <f>VLOOKUP($A13,'2025'!$A:$IZ,222,FALSE)</f>
        <v/>
      </c>
      <c r="C13" s="54">
        <f>RANK(B13,B$5:B$22)</f>
        <v/>
      </c>
      <c r="D13" s="55">
        <f>VLOOKUP($A13,'2025'!$A:$IZ,218,FALSE)</f>
        <v/>
      </c>
      <c r="E13" s="54">
        <f>RANK(D13,D$5:D$22)</f>
        <v/>
      </c>
      <c r="F13" s="55">
        <f>VLOOKUP($A13,'2025'!$A:$IZ,49,FALSE)</f>
        <v/>
      </c>
      <c r="G13" s="54">
        <f>RANK(F13,F$5:F$22)</f>
        <v/>
      </c>
      <c r="H13" s="55">
        <f>VLOOKUP($A13,'2025'!$A:$IZ,229,FALSE)</f>
        <v/>
      </c>
      <c r="I13" s="54">
        <f>RANK(H13,H$5:H$22)</f>
        <v/>
      </c>
      <c r="J13" s="49">
        <f>104-(C13+E13+G13+I13)</f>
        <v/>
      </c>
      <c r="K13" s="47">
        <f>RANK(J13,J$5:J$22)</f>
        <v/>
      </c>
      <c r="L13" s="56" t="n"/>
      <c r="M13" s="53">
        <f>VLOOKUP($A13,'2025'!$A:$IZ,88,FALSE)</f>
        <v/>
      </c>
      <c r="N13" s="54">
        <f>RANK(M13,M$5:M$22)</f>
        <v/>
      </c>
      <c r="O13" s="53">
        <f>VLOOKUP($A13,'2025'!$A:$IZ,84,FALSE)</f>
        <v/>
      </c>
      <c r="P13" s="54">
        <f>RANK(O13,O$5:O$22)</f>
        <v/>
      </c>
      <c r="Q13" s="53">
        <f>VLOOKUP($A13,'2025'!$A:$IZ,85,FALSE)</f>
        <v/>
      </c>
      <c r="R13" s="54">
        <f>RANK(Q13,Q$5:Q$22)</f>
        <v/>
      </c>
      <c r="S13" s="55">
        <f>VLOOKUP($A13,'2025'!$A:$IZ,29,FALSE)</f>
        <v/>
      </c>
      <c r="T13" s="54">
        <f>RANK(S13,S$5:S$22)</f>
        <v/>
      </c>
      <c r="U13" s="49">
        <f>104-(N13+P13+R13+T13)</f>
        <v/>
      </c>
      <c r="V13" s="47">
        <f>RANK(U13,U$5:U$22)</f>
        <v/>
      </c>
      <c r="W13" s="56" t="n"/>
      <c r="X13" s="53">
        <f>VLOOKUP($A13,'2025'!$A:$IZ,65,FALSE)</f>
        <v/>
      </c>
      <c r="Y13" s="54">
        <f>RANK(X13,X$5:X$22)</f>
        <v/>
      </c>
      <c r="Z13" s="53">
        <f>VLOOKUP($A13,'2025'!$A:$IZ,64,FALSE)</f>
        <v/>
      </c>
      <c r="AA13" s="54">
        <f>RANK(Z13,Z$5:Z$22)</f>
        <v/>
      </c>
      <c r="AB13" s="53">
        <f>VLOOKUP($A13,'2025'!$A:$IZ,63,FALSE)</f>
        <v/>
      </c>
      <c r="AC13" s="54">
        <f>RANK(AB13,AB$5:AB$22)</f>
        <v/>
      </c>
      <c r="AD13" s="53">
        <f>VLOOKUP($A13,'2025'!$A:$IZ,71,FALSE)</f>
        <v/>
      </c>
      <c r="AE13" s="54">
        <f>RANK(AD13,AD$5:AD$22)</f>
        <v/>
      </c>
      <c r="AF13" s="65">
        <f>104-(Y13+AA13+AC13+AE13)</f>
        <v/>
      </c>
      <c r="AG13" s="47">
        <f>RANK(AF13,AF$5:AF$22)</f>
        <v/>
      </c>
      <c r="AH13" s="56" t="n"/>
      <c r="AI13" s="53">
        <f>VLOOKUP($A13,'2025'!$A:$IZ,183,FALSE)</f>
        <v/>
      </c>
      <c r="AJ13" s="54">
        <f>RANK(AI13,AI$5:AI$22,1)</f>
        <v/>
      </c>
      <c r="AK13" s="53">
        <f>VLOOKUP($A13,'2025'!$A:$IZ,181,FALSE)</f>
        <v/>
      </c>
      <c r="AL13" s="54">
        <f>RANK(AK13,AK$5:AK$22,1)</f>
        <v/>
      </c>
      <c r="AM13" s="53">
        <f>VLOOKUP($A13,'2025'!$A:$IZ,182,FALSE)</f>
        <v/>
      </c>
      <c r="AN13" s="54">
        <f>RANK(AM13,AM$5:AM$22,1)</f>
        <v/>
      </c>
      <c r="AO13" s="53">
        <f>VLOOKUP($A13,'2025'!$A:$IZ,163,FALSE)</f>
        <v/>
      </c>
      <c r="AP13" s="54">
        <f>RANK(AO13,AO$5:AO$22,1)</f>
        <v/>
      </c>
      <c r="AQ13" s="65">
        <f>104-(AJ13+AL13+AN13+AP13)</f>
        <v/>
      </c>
      <c r="AR13" s="47">
        <f>RANK(AQ13,AQ$5:AQ$22)</f>
        <v/>
      </c>
      <c r="AS13" s="56" t="n"/>
      <c r="AT13" s="46">
        <f>VLOOKUP($A13,'2025'!$A:$IZ,250,FALSE)</f>
        <v/>
      </c>
      <c r="AU13" s="47">
        <f>RANK(AT13,AT$5:AT$22,0)</f>
        <v/>
      </c>
      <c r="AV13" s="46">
        <f>VLOOKUP($A13,'2025'!$A:$IZ,92,FALSE)</f>
        <v/>
      </c>
      <c r="AW13" s="47">
        <f>RANK(AV13,AV$5:AV$22,0)</f>
        <v/>
      </c>
      <c r="AX13" s="46">
        <f>VLOOKUP($A13,'2025'!$A:$IZ,93,FALSE)</f>
        <v/>
      </c>
      <c r="AY13" s="47">
        <f>RANK(AX13,AX$5:AX$22,0)</f>
        <v/>
      </c>
      <c r="AZ13" s="46">
        <f>VLOOKUP($A13,'2025'!$A:$IZ,108,FALSE)</f>
        <v/>
      </c>
      <c r="BA13" s="47">
        <f>RANK(AZ13,AZ$5:AZ$22,0)</f>
        <v/>
      </c>
      <c r="BB13" s="49">
        <f>104-(AU13+AW13+AY13+BA13)</f>
        <v/>
      </c>
      <c r="BC13" s="47">
        <f>RANK(BB13,BB$5:BB$22)</f>
        <v/>
      </c>
      <c r="BD13" s="56" t="n"/>
      <c r="BE13" s="53">
        <f>VLOOKUP($A13,'2025'!$A:$IZ,80,FALSE)</f>
        <v/>
      </c>
      <c r="BF13" s="54">
        <f>RANK(BE13,BE$5:BE$22)</f>
        <v/>
      </c>
      <c r="BG13" s="53">
        <f>VLOOKUP($A13,'2025'!$A:$IZ,177,FALSE)</f>
        <v/>
      </c>
      <c r="BH13" s="54">
        <f>RANK(BG13,BG$5:BG$22,1)</f>
        <v/>
      </c>
      <c r="BI13" s="53">
        <f>VLOOKUP($A13,'2025'!$A:$IZ,79,FALSE)</f>
        <v/>
      </c>
      <c r="BJ13" s="54">
        <f>RANK(BI13,BI$5:BI$22)</f>
        <v/>
      </c>
      <c r="BK13" s="53">
        <f>VLOOKUP($A13,'2025'!$A:$IZ,176,FALSE)</f>
        <v/>
      </c>
      <c r="BL13" s="54">
        <f>RANK(BK13,BK$5:BK$22,1)</f>
        <v/>
      </c>
      <c r="BM13" s="53">
        <f>VLOOKUP($A13,'2025'!$A:$IZ,11,FALSE)</f>
        <v/>
      </c>
      <c r="BN13" s="54">
        <f>RANK(BM13,BM$5:BM$22)</f>
        <v/>
      </c>
      <c r="BO13" s="53">
        <f>VLOOKUP($A13,'2025'!$A:$IZ,222,FALSE)</f>
        <v/>
      </c>
      <c r="BP13" s="54">
        <f>RANK(BO13,BO$5:BO$22)</f>
        <v/>
      </c>
      <c r="BQ13" s="65">
        <f>106-(BF13+BH13+BN13+BP13+BJ13+BL13)</f>
        <v/>
      </c>
      <c r="BR13" s="47">
        <f>RANK(BQ13,BQ$5:BQ$22)</f>
        <v/>
      </c>
      <c r="BS13" s="56" t="n"/>
      <c r="BT13" s="57">
        <f>VLOOKUP($A13,'Ratings Season'!$A:$M,10,FALSE)</f>
        <v/>
      </c>
      <c r="BU13" s="54">
        <f>RANK(BT13,BT$5:BT$22)</f>
        <v/>
      </c>
      <c r="BV13" s="57">
        <f>VLOOKUP($A13,'Ratings Season'!$A:$M,12,FALSE)</f>
        <v/>
      </c>
      <c r="BW13" s="54">
        <f>RANK(BV13,BV$5:BV$22)</f>
        <v/>
      </c>
      <c r="BX13" s="57">
        <f>VLOOKUP($A13,'Ratings Season'!$A:$M,8,FALSE)</f>
        <v/>
      </c>
      <c r="BY13" s="58">
        <f>RANK(BX13,BX$5:BX$22)</f>
        <v/>
      </c>
      <c r="BZ13" s="72" t="n"/>
    </row>
    <row r="14" ht="25" customFormat="1" customHeight="1" s="3">
      <c r="A14" s="84" t="inlineStr">
        <is>
          <t>Hawthorn</t>
        </is>
      </c>
      <c r="B14" s="53">
        <f>VLOOKUP($A14,'2025'!$A:$IZ,222,FALSE)</f>
        <v/>
      </c>
      <c r="C14" s="54">
        <f>RANK(B14,B$5:B$22)</f>
        <v/>
      </c>
      <c r="D14" s="55">
        <f>VLOOKUP($A14,'2025'!$A:$IZ,218,FALSE)</f>
        <v/>
      </c>
      <c r="E14" s="54">
        <f>RANK(D14,D$5:D$22)</f>
        <v/>
      </c>
      <c r="F14" s="55">
        <f>VLOOKUP($A14,'2025'!$A:$IZ,49,FALSE)</f>
        <v/>
      </c>
      <c r="G14" s="54">
        <f>RANK(F14,F$5:F$22)</f>
        <v/>
      </c>
      <c r="H14" s="55">
        <f>VLOOKUP($A14,'2025'!$A:$IZ,229,FALSE)</f>
        <v/>
      </c>
      <c r="I14" s="54">
        <f>RANK(H14,H$5:H$22)</f>
        <v/>
      </c>
      <c r="J14" s="49">
        <f>104-(C14+E14+G14+I14)</f>
        <v/>
      </c>
      <c r="K14" s="47">
        <f>RANK(J14,J$5:J$22)</f>
        <v/>
      </c>
      <c r="L14" s="56" t="n"/>
      <c r="M14" s="53">
        <f>VLOOKUP($A14,'2025'!$A:$IZ,88,FALSE)</f>
        <v/>
      </c>
      <c r="N14" s="54">
        <f>RANK(M14,M$5:M$22)</f>
        <v/>
      </c>
      <c r="O14" s="53">
        <f>VLOOKUP($A14,'2025'!$A:$IZ,84,FALSE)</f>
        <v/>
      </c>
      <c r="P14" s="54">
        <f>RANK(O14,O$5:O$22)</f>
        <v/>
      </c>
      <c r="Q14" s="53">
        <f>VLOOKUP($A14,'2025'!$A:$IZ,85,FALSE)</f>
        <v/>
      </c>
      <c r="R14" s="54">
        <f>RANK(Q14,Q$5:Q$22)</f>
        <v/>
      </c>
      <c r="S14" s="55">
        <f>VLOOKUP($A14,'2025'!$A:$IZ,29,FALSE)</f>
        <v/>
      </c>
      <c r="T14" s="54">
        <f>RANK(S14,S$5:S$22)</f>
        <v/>
      </c>
      <c r="U14" s="49">
        <f>104-(N14+P14+R14+T14)</f>
        <v/>
      </c>
      <c r="V14" s="47">
        <f>RANK(U14,U$5:U$22)</f>
        <v/>
      </c>
      <c r="W14" s="56" t="n"/>
      <c r="X14" s="53">
        <f>VLOOKUP($A14,'2025'!$A:$IZ,65,FALSE)</f>
        <v/>
      </c>
      <c r="Y14" s="54">
        <f>RANK(X14,X$5:X$22)</f>
        <v/>
      </c>
      <c r="Z14" s="53">
        <f>VLOOKUP($A14,'2025'!$A:$IZ,64,FALSE)</f>
        <v/>
      </c>
      <c r="AA14" s="54">
        <f>RANK(Z14,Z$5:Z$22)</f>
        <v/>
      </c>
      <c r="AB14" s="53">
        <f>VLOOKUP($A14,'2025'!$A:$IZ,63,FALSE)</f>
        <v/>
      </c>
      <c r="AC14" s="54">
        <f>RANK(AB14,AB$5:AB$22)</f>
        <v/>
      </c>
      <c r="AD14" s="53">
        <f>VLOOKUP($A14,'2025'!$A:$IZ,71,FALSE)</f>
        <v/>
      </c>
      <c r="AE14" s="54">
        <f>RANK(AD14,AD$5:AD$22)</f>
        <v/>
      </c>
      <c r="AF14" s="65">
        <f>104-(Y14+AA14+AC14+AE14)</f>
        <v/>
      </c>
      <c r="AG14" s="47">
        <f>RANK(AF14,AF$5:AF$22)</f>
        <v/>
      </c>
      <c r="AH14" s="56" t="n"/>
      <c r="AI14" s="53">
        <f>VLOOKUP($A14,'2025'!$A:$IZ,183,FALSE)</f>
        <v/>
      </c>
      <c r="AJ14" s="54">
        <f>RANK(AI14,AI$5:AI$22,1)</f>
        <v/>
      </c>
      <c r="AK14" s="53">
        <f>VLOOKUP($A14,'2025'!$A:$IZ,181,FALSE)</f>
        <v/>
      </c>
      <c r="AL14" s="54">
        <f>RANK(AK14,AK$5:AK$22,1)</f>
        <v/>
      </c>
      <c r="AM14" s="53">
        <f>VLOOKUP($A14,'2025'!$A:$IZ,182,FALSE)</f>
        <v/>
      </c>
      <c r="AN14" s="54">
        <f>RANK(AM14,AM$5:AM$22,1)</f>
        <v/>
      </c>
      <c r="AO14" s="53">
        <f>VLOOKUP($A14,'2025'!$A:$IZ,163,FALSE)</f>
        <v/>
      </c>
      <c r="AP14" s="54">
        <f>RANK(AO14,AO$5:AO$22,1)</f>
        <v/>
      </c>
      <c r="AQ14" s="65">
        <f>104-(AJ14+AL14+AN14+AP14)</f>
        <v/>
      </c>
      <c r="AR14" s="47">
        <f>RANK(AQ14,AQ$5:AQ$22)</f>
        <v/>
      </c>
      <c r="AS14" s="56" t="n"/>
      <c r="AT14" s="46">
        <f>VLOOKUP($A14,'2025'!$A:$IZ,250,FALSE)</f>
        <v/>
      </c>
      <c r="AU14" s="47">
        <f>RANK(AT14,AT$5:AT$22,0)</f>
        <v/>
      </c>
      <c r="AV14" s="46">
        <f>VLOOKUP($A14,'2025'!$A:$IZ,92,FALSE)</f>
        <v/>
      </c>
      <c r="AW14" s="47">
        <f>RANK(AV14,AV$5:AV$22,0)</f>
        <v/>
      </c>
      <c r="AX14" s="46">
        <f>VLOOKUP($A14,'2025'!$A:$IZ,93,FALSE)</f>
        <v/>
      </c>
      <c r="AY14" s="47">
        <f>RANK(AX14,AX$5:AX$22,0)</f>
        <v/>
      </c>
      <c r="AZ14" s="46">
        <f>VLOOKUP($A14,'2025'!$A:$IZ,108,FALSE)</f>
        <v/>
      </c>
      <c r="BA14" s="47">
        <f>RANK(AZ14,AZ$5:AZ$22,0)</f>
        <v/>
      </c>
      <c r="BB14" s="49">
        <f>104-(AU14+AW14+AY14+BA14)</f>
        <v/>
      </c>
      <c r="BC14" s="47">
        <f>RANK(BB14,BB$5:BB$22)</f>
        <v/>
      </c>
      <c r="BD14" s="56" t="n"/>
      <c r="BE14" s="53">
        <f>VLOOKUP($A14,'2025'!$A:$IZ,80,FALSE)</f>
        <v/>
      </c>
      <c r="BF14" s="54">
        <f>RANK(BE14,BE$5:BE$22)</f>
        <v/>
      </c>
      <c r="BG14" s="53">
        <f>VLOOKUP($A14,'2025'!$A:$IZ,177,FALSE)</f>
        <v/>
      </c>
      <c r="BH14" s="54">
        <f>RANK(BG14,BG$5:BG$22,1)</f>
        <v/>
      </c>
      <c r="BI14" s="53">
        <f>VLOOKUP($A14,'2025'!$A:$IZ,79,FALSE)</f>
        <v/>
      </c>
      <c r="BJ14" s="54">
        <f>RANK(BI14,BI$5:BI$22)</f>
        <v/>
      </c>
      <c r="BK14" s="53">
        <f>VLOOKUP($A14,'2025'!$A:$IZ,176,FALSE)</f>
        <v/>
      </c>
      <c r="BL14" s="54">
        <f>RANK(BK14,BK$5:BK$22,1)</f>
        <v/>
      </c>
      <c r="BM14" s="53">
        <f>VLOOKUP($A14,'2025'!$A:$IZ,11,FALSE)</f>
        <v/>
      </c>
      <c r="BN14" s="54">
        <f>RANK(BM14,BM$5:BM$22)</f>
        <v/>
      </c>
      <c r="BO14" s="53">
        <f>VLOOKUP($A14,'2025'!$A:$IZ,222,FALSE)</f>
        <v/>
      </c>
      <c r="BP14" s="54">
        <f>RANK(BO14,BO$5:BO$22)</f>
        <v/>
      </c>
      <c r="BQ14" s="65">
        <f>106-(BF14+BH14+BN14+BP14+BJ14+BL14)</f>
        <v/>
      </c>
      <c r="BR14" s="47">
        <f>RANK(BQ14,BQ$5:BQ$22)</f>
        <v/>
      </c>
      <c r="BS14" s="56" t="n"/>
      <c r="BT14" s="57">
        <f>VLOOKUP($A14,'Ratings Season'!$A:$M,10,FALSE)</f>
        <v/>
      </c>
      <c r="BU14" s="54">
        <f>RANK(BT14,BT$5:BT$22)</f>
        <v/>
      </c>
      <c r="BV14" s="57">
        <f>VLOOKUP($A14,'Ratings Season'!$A:$M,12,FALSE)</f>
        <v/>
      </c>
      <c r="BW14" s="54">
        <f>RANK(BV14,BV$5:BV$22)</f>
        <v/>
      </c>
      <c r="BX14" s="57">
        <f>VLOOKUP($A14,'Ratings Season'!$A:$M,8,FALSE)</f>
        <v/>
      </c>
      <c r="BY14" s="58">
        <f>RANK(BX14,BX$5:BX$22)</f>
        <v/>
      </c>
      <c r="BZ14" s="72" t="n"/>
    </row>
    <row r="15" ht="25" customFormat="1" customHeight="1" s="3">
      <c r="A15" s="85" t="inlineStr">
        <is>
          <t>Melbourne</t>
        </is>
      </c>
      <c r="B15" s="53">
        <f>VLOOKUP($A15,'2025'!$A:$IZ,222,FALSE)</f>
        <v/>
      </c>
      <c r="C15" s="54">
        <f>RANK(B15,B$5:B$22)</f>
        <v/>
      </c>
      <c r="D15" s="55">
        <f>VLOOKUP($A15,'2025'!$A:$IZ,218,FALSE)</f>
        <v/>
      </c>
      <c r="E15" s="54">
        <f>RANK(D15,D$5:D$22)</f>
        <v/>
      </c>
      <c r="F15" s="55">
        <f>VLOOKUP($A15,'2025'!$A:$IZ,49,FALSE)</f>
        <v/>
      </c>
      <c r="G15" s="54">
        <f>RANK(F15,F$5:F$22)</f>
        <v/>
      </c>
      <c r="H15" s="55">
        <f>VLOOKUP($A15,'2025'!$A:$IZ,229,FALSE)</f>
        <v/>
      </c>
      <c r="I15" s="54">
        <f>RANK(H15,H$5:H$22)</f>
        <v/>
      </c>
      <c r="J15" s="49">
        <f>104-(C15+E15+G15+I15)</f>
        <v/>
      </c>
      <c r="K15" s="47">
        <f>RANK(J15,J$5:J$22)</f>
        <v/>
      </c>
      <c r="L15" s="56" t="n"/>
      <c r="M15" s="53">
        <f>VLOOKUP($A15,'2025'!$A:$IZ,88,FALSE)</f>
        <v/>
      </c>
      <c r="N15" s="54">
        <f>RANK(M15,M$5:M$22)</f>
        <v/>
      </c>
      <c r="O15" s="53">
        <f>VLOOKUP($A15,'2025'!$A:$IZ,84,FALSE)</f>
        <v/>
      </c>
      <c r="P15" s="54">
        <f>RANK(O15,O$5:O$22)</f>
        <v/>
      </c>
      <c r="Q15" s="53">
        <f>VLOOKUP($A15,'2025'!$A:$IZ,85,FALSE)</f>
        <v/>
      </c>
      <c r="R15" s="54">
        <f>RANK(Q15,Q$5:Q$22)</f>
        <v/>
      </c>
      <c r="S15" s="55">
        <f>VLOOKUP($A15,'2025'!$A:$IZ,29,FALSE)</f>
        <v/>
      </c>
      <c r="T15" s="54">
        <f>RANK(S15,S$5:S$22)</f>
        <v/>
      </c>
      <c r="U15" s="49">
        <f>104-(N15+P15+R15+T15)</f>
        <v/>
      </c>
      <c r="V15" s="47">
        <f>RANK(U15,U$5:U$22)</f>
        <v/>
      </c>
      <c r="W15" s="56" t="n"/>
      <c r="X15" s="53">
        <f>VLOOKUP($A15,'2025'!$A:$IZ,65,FALSE)</f>
        <v/>
      </c>
      <c r="Y15" s="54">
        <f>RANK(X15,X$5:X$22)</f>
        <v/>
      </c>
      <c r="Z15" s="53">
        <f>VLOOKUP($A15,'2025'!$A:$IZ,64,FALSE)</f>
        <v/>
      </c>
      <c r="AA15" s="54">
        <f>RANK(Z15,Z$5:Z$22)</f>
        <v/>
      </c>
      <c r="AB15" s="53">
        <f>VLOOKUP($A15,'2025'!$A:$IZ,63,FALSE)</f>
        <v/>
      </c>
      <c r="AC15" s="54">
        <f>RANK(AB15,AB$5:AB$22)</f>
        <v/>
      </c>
      <c r="AD15" s="53">
        <f>VLOOKUP($A15,'2025'!$A:$IZ,71,FALSE)</f>
        <v/>
      </c>
      <c r="AE15" s="54">
        <f>RANK(AD15,AD$5:AD$22)</f>
        <v/>
      </c>
      <c r="AF15" s="65">
        <f>104-(Y15+AA15+AC15+AE15)</f>
        <v/>
      </c>
      <c r="AG15" s="47">
        <f>RANK(AF15,AF$5:AF$22)</f>
        <v/>
      </c>
      <c r="AH15" s="56" t="n"/>
      <c r="AI15" s="53">
        <f>VLOOKUP($A15,'2025'!$A:$IZ,183,FALSE)</f>
        <v/>
      </c>
      <c r="AJ15" s="54">
        <f>RANK(AI15,AI$5:AI$22,1)</f>
        <v/>
      </c>
      <c r="AK15" s="53">
        <f>VLOOKUP($A15,'2025'!$A:$IZ,181,FALSE)</f>
        <v/>
      </c>
      <c r="AL15" s="54">
        <f>RANK(AK15,AK$5:AK$22,1)</f>
        <v/>
      </c>
      <c r="AM15" s="53">
        <f>VLOOKUP($A15,'2025'!$A:$IZ,182,FALSE)</f>
        <v/>
      </c>
      <c r="AN15" s="54">
        <f>RANK(AM15,AM$5:AM$22,1)</f>
        <v/>
      </c>
      <c r="AO15" s="53">
        <f>VLOOKUP($A15,'2025'!$A:$IZ,163,FALSE)</f>
        <v/>
      </c>
      <c r="AP15" s="54">
        <f>RANK(AO15,AO$5:AO$22,1)</f>
        <v/>
      </c>
      <c r="AQ15" s="65">
        <f>104-(AJ15+AL15+AN15+AP15)</f>
        <v/>
      </c>
      <c r="AR15" s="47">
        <f>RANK(AQ15,AQ$5:AQ$22)</f>
        <v/>
      </c>
      <c r="AS15" s="56" t="n"/>
      <c r="AT15" s="46">
        <f>VLOOKUP($A15,'2025'!$A:$IZ,250,FALSE)</f>
        <v/>
      </c>
      <c r="AU15" s="47">
        <f>RANK(AT15,AT$5:AT$22,0)</f>
        <v/>
      </c>
      <c r="AV15" s="46">
        <f>VLOOKUP($A15,'2025'!$A:$IZ,92,FALSE)</f>
        <v/>
      </c>
      <c r="AW15" s="47">
        <f>RANK(AV15,AV$5:AV$22,0)</f>
        <v/>
      </c>
      <c r="AX15" s="46">
        <f>VLOOKUP($A15,'2025'!$A:$IZ,93,FALSE)</f>
        <v/>
      </c>
      <c r="AY15" s="47">
        <f>RANK(AX15,AX$5:AX$22,0)</f>
        <v/>
      </c>
      <c r="AZ15" s="46">
        <f>VLOOKUP($A15,'2025'!$A:$IZ,108,FALSE)</f>
        <v/>
      </c>
      <c r="BA15" s="47">
        <f>RANK(AZ15,AZ$5:AZ$22,0)</f>
        <v/>
      </c>
      <c r="BB15" s="49">
        <f>104-(AU15+AW15+AY15+BA15)</f>
        <v/>
      </c>
      <c r="BC15" s="47">
        <f>RANK(BB15,BB$5:BB$22)</f>
        <v/>
      </c>
      <c r="BD15" s="56" t="n"/>
      <c r="BE15" s="53">
        <f>VLOOKUP($A15,'2025'!$A:$IZ,80,FALSE)</f>
        <v/>
      </c>
      <c r="BF15" s="54">
        <f>RANK(BE15,BE$5:BE$22)</f>
        <v/>
      </c>
      <c r="BG15" s="53">
        <f>VLOOKUP($A15,'2025'!$A:$IZ,177,FALSE)</f>
        <v/>
      </c>
      <c r="BH15" s="54">
        <f>RANK(BG15,BG$5:BG$22,1)</f>
        <v/>
      </c>
      <c r="BI15" s="53">
        <f>VLOOKUP($A15,'2025'!$A:$IZ,79,FALSE)</f>
        <v/>
      </c>
      <c r="BJ15" s="54">
        <f>RANK(BI15,BI$5:BI$22)</f>
        <v/>
      </c>
      <c r="BK15" s="53">
        <f>VLOOKUP($A15,'2025'!$A:$IZ,176,FALSE)</f>
        <v/>
      </c>
      <c r="BL15" s="54">
        <f>RANK(BK15,BK$5:BK$22,1)</f>
        <v/>
      </c>
      <c r="BM15" s="53">
        <f>VLOOKUP($A15,'2025'!$A:$IZ,11,FALSE)</f>
        <v/>
      </c>
      <c r="BN15" s="54">
        <f>RANK(BM15,BM$5:BM$22)</f>
        <v/>
      </c>
      <c r="BO15" s="53">
        <f>VLOOKUP($A15,'2025'!$A:$IZ,222,FALSE)</f>
        <v/>
      </c>
      <c r="BP15" s="54">
        <f>RANK(BO15,BO$5:BO$22)</f>
        <v/>
      </c>
      <c r="BQ15" s="65">
        <f>106-(BF15+BH15+BN15+BP15+BJ15+BL15)</f>
        <v/>
      </c>
      <c r="BR15" s="47">
        <f>RANK(BQ15,BQ$5:BQ$22)</f>
        <v/>
      </c>
      <c r="BS15" s="56" t="n"/>
      <c r="BT15" s="57">
        <f>VLOOKUP($A15,'Ratings Season'!$A:$M,10,FALSE)</f>
        <v/>
      </c>
      <c r="BU15" s="54">
        <f>RANK(BT15,BT$5:BT$22)</f>
        <v/>
      </c>
      <c r="BV15" s="57">
        <f>VLOOKUP($A15,'Ratings Season'!$A:$M,12,FALSE)</f>
        <v/>
      </c>
      <c r="BW15" s="54">
        <f>RANK(BV15,BV$5:BV$22)</f>
        <v/>
      </c>
      <c r="BX15" s="57">
        <f>VLOOKUP($A15,'Ratings Season'!$A:$M,8,FALSE)</f>
        <v/>
      </c>
      <c r="BY15" s="58">
        <f>RANK(BX15,BX$5:BX$22)</f>
        <v/>
      </c>
      <c r="BZ15" s="72" t="n"/>
    </row>
    <row r="16" ht="25" customFormat="1" customHeight="1" s="3">
      <c r="A16" s="86" t="inlineStr">
        <is>
          <t>North Melbourne</t>
        </is>
      </c>
      <c r="B16" s="53">
        <f>VLOOKUP($A16,'2025'!$A:$IZ,222,FALSE)</f>
        <v/>
      </c>
      <c r="C16" s="54">
        <f>RANK(B16,B$5:B$22)</f>
        <v/>
      </c>
      <c r="D16" s="55">
        <f>VLOOKUP($A16,'2025'!$A:$IZ,218,FALSE)</f>
        <v/>
      </c>
      <c r="E16" s="54">
        <f>RANK(D16,D$5:D$22)</f>
        <v/>
      </c>
      <c r="F16" s="55">
        <f>VLOOKUP($A16,'2025'!$A:$IZ,49,FALSE)</f>
        <v/>
      </c>
      <c r="G16" s="54">
        <f>RANK(F16,F$5:F$22)</f>
        <v/>
      </c>
      <c r="H16" s="55">
        <f>VLOOKUP($A16,'2025'!$A:$IZ,229,FALSE)</f>
        <v/>
      </c>
      <c r="I16" s="54">
        <f>RANK(H16,H$5:H$22)</f>
        <v/>
      </c>
      <c r="J16" s="49">
        <f>104-(C16+E16+G16+I16)</f>
        <v/>
      </c>
      <c r="K16" s="47">
        <f>RANK(J16,J$5:J$22)</f>
        <v/>
      </c>
      <c r="L16" s="56" t="n"/>
      <c r="M16" s="53">
        <f>VLOOKUP($A16,'2025'!$A:$IZ,88,FALSE)</f>
        <v/>
      </c>
      <c r="N16" s="54">
        <f>RANK(M16,M$5:M$22)</f>
        <v/>
      </c>
      <c r="O16" s="53">
        <f>VLOOKUP($A16,'2025'!$A:$IZ,84,FALSE)</f>
        <v/>
      </c>
      <c r="P16" s="54">
        <f>RANK(O16,O$5:O$22)</f>
        <v/>
      </c>
      <c r="Q16" s="53">
        <f>VLOOKUP($A16,'2025'!$A:$IZ,85,FALSE)</f>
        <v/>
      </c>
      <c r="R16" s="54">
        <f>RANK(Q16,Q$5:Q$22)</f>
        <v/>
      </c>
      <c r="S16" s="55">
        <f>VLOOKUP($A16,'2025'!$A:$IZ,29,FALSE)</f>
        <v/>
      </c>
      <c r="T16" s="54">
        <f>RANK(S16,S$5:S$22)</f>
        <v/>
      </c>
      <c r="U16" s="49">
        <f>104-(N16+P16+R16+T16)</f>
        <v/>
      </c>
      <c r="V16" s="47">
        <f>RANK(U16,U$5:U$22)</f>
        <v/>
      </c>
      <c r="W16" s="56" t="n"/>
      <c r="X16" s="53">
        <f>VLOOKUP($A16,'2025'!$A:$IZ,65,FALSE)</f>
        <v/>
      </c>
      <c r="Y16" s="54">
        <f>RANK(X16,X$5:X$22)</f>
        <v/>
      </c>
      <c r="Z16" s="53">
        <f>VLOOKUP($A16,'2025'!$A:$IZ,64,FALSE)</f>
        <v/>
      </c>
      <c r="AA16" s="54">
        <f>RANK(Z16,Z$5:Z$22)</f>
        <v/>
      </c>
      <c r="AB16" s="53">
        <f>VLOOKUP($A16,'2025'!$A:$IZ,63,FALSE)</f>
        <v/>
      </c>
      <c r="AC16" s="54">
        <f>RANK(AB16,AB$5:AB$22)</f>
        <v/>
      </c>
      <c r="AD16" s="53">
        <f>VLOOKUP($A16,'2025'!$A:$IZ,71,FALSE)</f>
        <v/>
      </c>
      <c r="AE16" s="54">
        <f>RANK(AD16,AD$5:AD$22)</f>
        <v/>
      </c>
      <c r="AF16" s="65">
        <f>104-(Y16+AA16+AC16+AE16)</f>
        <v/>
      </c>
      <c r="AG16" s="47">
        <f>RANK(AF16,AF$5:AF$22)</f>
        <v/>
      </c>
      <c r="AH16" s="56" t="n"/>
      <c r="AI16" s="53">
        <f>VLOOKUP($A16,'2025'!$A:$IZ,183,FALSE)</f>
        <v/>
      </c>
      <c r="AJ16" s="54">
        <f>RANK(AI16,AI$5:AI$22,1)</f>
        <v/>
      </c>
      <c r="AK16" s="53">
        <f>VLOOKUP($A16,'2025'!$A:$IZ,181,FALSE)</f>
        <v/>
      </c>
      <c r="AL16" s="54">
        <f>RANK(AK16,AK$5:AK$22,1)</f>
        <v/>
      </c>
      <c r="AM16" s="53">
        <f>VLOOKUP($A16,'2025'!$A:$IZ,182,FALSE)</f>
        <v/>
      </c>
      <c r="AN16" s="54">
        <f>RANK(AM16,AM$5:AM$22,1)</f>
        <v/>
      </c>
      <c r="AO16" s="53">
        <f>VLOOKUP($A16,'2025'!$A:$IZ,163,FALSE)</f>
        <v/>
      </c>
      <c r="AP16" s="54">
        <f>RANK(AO16,AO$5:AO$22,1)</f>
        <v/>
      </c>
      <c r="AQ16" s="65">
        <f>104-(AJ16+AL16+AN16+AP16)</f>
        <v/>
      </c>
      <c r="AR16" s="47">
        <f>RANK(AQ16,AQ$5:AQ$22)</f>
        <v/>
      </c>
      <c r="AS16" s="56" t="n"/>
      <c r="AT16" s="46">
        <f>VLOOKUP($A16,'2025'!$A:$IZ,250,FALSE)</f>
        <v/>
      </c>
      <c r="AU16" s="47">
        <f>RANK(AT16,AT$5:AT$22,0)</f>
        <v/>
      </c>
      <c r="AV16" s="46">
        <f>VLOOKUP($A16,'2025'!$A:$IZ,92,FALSE)</f>
        <v/>
      </c>
      <c r="AW16" s="47">
        <f>RANK(AV16,AV$5:AV$22,0)</f>
        <v/>
      </c>
      <c r="AX16" s="46">
        <f>VLOOKUP($A16,'2025'!$A:$IZ,93,FALSE)</f>
        <v/>
      </c>
      <c r="AY16" s="47">
        <f>RANK(AX16,AX$5:AX$22,0)</f>
        <v/>
      </c>
      <c r="AZ16" s="46">
        <f>VLOOKUP($A16,'2025'!$A:$IZ,108,FALSE)</f>
        <v/>
      </c>
      <c r="BA16" s="47">
        <f>RANK(AZ16,AZ$5:AZ$22,0)</f>
        <v/>
      </c>
      <c r="BB16" s="49">
        <f>104-(AU16+AW16+AY16+BA16)</f>
        <v/>
      </c>
      <c r="BC16" s="47">
        <f>RANK(BB16,BB$5:BB$22)</f>
        <v/>
      </c>
      <c r="BD16" s="56" t="n"/>
      <c r="BE16" s="53">
        <f>VLOOKUP($A16,'2025'!$A:$IZ,80,FALSE)</f>
        <v/>
      </c>
      <c r="BF16" s="54">
        <f>RANK(BE16,BE$5:BE$22)</f>
        <v/>
      </c>
      <c r="BG16" s="53">
        <f>VLOOKUP($A16,'2025'!$A:$IZ,177,FALSE)</f>
        <v/>
      </c>
      <c r="BH16" s="54">
        <f>RANK(BG16,BG$5:BG$22,1)</f>
        <v/>
      </c>
      <c r="BI16" s="53">
        <f>VLOOKUP($A16,'2025'!$A:$IZ,79,FALSE)</f>
        <v/>
      </c>
      <c r="BJ16" s="54">
        <f>RANK(BI16,BI$5:BI$22)</f>
        <v/>
      </c>
      <c r="BK16" s="53">
        <f>VLOOKUP($A16,'2025'!$A:$IZ,176,FALSE)</f>
        <v/>
      </c>
      <c r="BL16" s="54">
        <f>RANK(BK16,BK$5:BK$22,1)</f>
        <v/>
      </c>
      <c r="BM16" s="53">
        <f>VLOOKUP($A16,'2025'!$A:$IZ,11,FALSE)</f>
        <v/>
      </c>
      <c r="BN16" s="54">
        <f>RANK(BM16,BM$5:BM$22)</f>
        <v/>
      </c>
      <c r="BO16" s="53">
        <f>VLOOKUP($A16,'2025'!$A:$IZ,222,FALSE)</f>
        <v/>
      </c>
      <c r="BP16" s="54">
        <f>RANK(BO16,BO$5:BO$22)</f>
        <v/>
      </c>
      <c r="BQ16" s="65">
        <f>106-(BF16+BH16+BN16+BP16+BJ16+BL16)</f>
        <v/>
      </c>
      <c r="BR16" s="47">
        <f>RANK(BQ16,BQ$5:BQ$22)</f>
        <v/>
      </c>
      <c r="BS16" s="56" t="n"/>
      <c r="BT16" s="57">
        <f>VLOOKUP($A16,'Ratings Season'!$A:$M,10,FALSE)</f>
        <v/>
      </c>
      <c r="BU16" s="54">
        <f>RANK(BT16,BT$5:BT$22)</f>
        <v/>
      </c>
      <c r="BV16" s="57">
        <f>VLOOKUP($A16,'Ratings Season'!$A:$M,12,FALSE)</f>
        <v/>
      </c>
      <c r="BW16" s="54">
        <f>RANK(BV16,BV$5:BV$22)</f>
        <v/>
      </c>
      <c r="BX16" s="57">
        <f>VLOOKUP($A16,'Ratings Season'!$A:$M,8,FALSE)</f>
        <v/>
      </c>
      <c r="BY16" s="58">
        <f>RANK(BX16,BX$5:BX$22)</f>
        <v/>
      </c>
      <c r="BZ16" s="72" t="n"/>
    </row>
    <row r="17" ht="25" customFormat="1" customHeight="1" s="3">
      <c r="A17" s="87" t="inlineStr">
        <is>
          <t>Port Adelaide</t>
        </is>
      </c>
      <c r="B17" s="53">
        <f>VLOOKUP($A17,'2025'!$A:$IZ,222,FALSE)</f>
        <v/>
      </c>
      <c r="C17" s="54">
        <f>RANK(B17,B$5:B$22)</f>
        <v/>
      </c>
      <c r="D17" s="55">
        <f>VLOOKUP($A17,'2025'!$A:$IZ,218,FALSE)</f>
        <v/>
      </c>
      <c r="E17" s="54">
        <f>RANK(D17,D$5:D$22)</f>
        <v/>
      </c>
      <c r="F17" s="55">
        <f>VLOOKUP($A17,'2025'!$A:$IZ,49,FALSE)</f>
        <v/>
      </c>
      <c r="G17" s="54">
        <f>RANK(F17,F$5:F$22)</f>
        <v/>
      </c>
      <c r="H17" s="55">
        <f>VLOOKUP($A17,'2025'!$A:$IZ,229,FALSE)</f>
        <v/>
      </c>
      <c r="I17" s="54">
        <f>RANK(H17,H$5:H$22)</f>
        <v/>
      </c>
      <c r="J17" s="49">
        <f>104-(C17+E17+G17+I17)</f>
        <v/>
      </c>
      <c r="K17" s="47">
        <f>RANK(J17,J$5:J$22)</f>
        <v/>
      </c>
      <c r="L17" s="56" t="n"/>
      <c r="M17" s="53">
        <f>VLOOKUP($A17,'2025'!$A:$IZ,88,FALSE)</f>
        <v/>
      </c>
      <c r="N17" s="54">
        <f>RANK(M17,M$5:M$22)</f>
        <v/>
      </c>
      <c r="O17" s="53">
        <f>VLOOKUP($A17,'2025'!$A:$IZ,84,FALSE)</f>
        <v/>
      </c>
      <c r="P17" s="54">
        <f>RANK(O17,O$5:O$22)</f>
        <v/>
      </c>
      <c r="Q17" s="53">
        <f>VLOOKUP($A17,'2025'!$A:$IZ,85,FALSE)</f>
        <v/>
      </c>
      <c r="R17" s="54">
        <f>RANK(Q17,Q$5:Q$22)</f>
        <v/>
      </c>
      <c r="S17" s="55">
        <f>VLOOKUP($A17,'2025'!$A:$IZ,29,FALSE)</f>
        <v/>
      </c>
      <c r="T17" s="54">
        <f>RANK(S17,S$5:S$22)</f>
        <v/>
      </c>
      <c r="U17" s="49">
        <f>104-(N17+P17+R17+T17)</f>
        <v/>
      </c>
      <c r="V17" s="47">
        <f>RANK(U17,U$5:U$22)</f>
        <v/>
      </c>
      <c r="W17" s="56" t="n"/>
      <c r="X17" s="53">
        <f>VLOOKUP($A17,'2025'!$A:$IZ,65,FALSE)</f>
        <v/>
      </c>
      <c r="Y17" s="54">
        <f>RANK(X17,X$5:X$22)</f>
        <v/>
      </c>
      <c r="Z17" s="53">
        <f>VLOOKUP($A17,'2025'!$A:$IZ,64,FALSE)</f>
        <v/>
      </c>
      <c r="AA17" s="54">
        <f>RANK(Z17,Z$5:Z$22)</f>
        <v/>
      </c>
      <c r="AB17" s="53">
        <f>VLOOKUP($A17,'2025'!$A:$IZ,63,FALSE)</f>
        <v/>
      </c>
      <c r="AC17" s="54">
        <f>RANK(AB17,AB$5:AB$22)</f>
        <v/>
      </c>
      <c r="AD17" s="53">
        <f>VLOOKUP($A17,'2025'!$A:$IZ,71,FALSE)</f>
        <v/>
      </c>
      <c r="AE17" s="54">
        <f>RANK(AD17,AD$5:AD$22)</f>
        <v/>
      </c>
      <c r="AF17" s="65">
        <f>104-(Y17+AA17+AC17+AE17)</f>
        <v/>
      </c>
      <c r="AG17" s="47">
        <f>RANK(AF17,AF$5:AF$22)</f>
        <v/>
      </c>
      <c r="AH17" s="56" t="n"/>
      <c r="AI17" s="53">
        <f>VLOOKUP($A17,'2025'!$A:$IZ,183,FALSE)</f>
        <v/>
      </c>
      <c r="AJ17" s="54">
        <f>RANK(AI17,AI$5:AI$22,1)</f>
        <v/>
      </c>
      <c r="AK17" s="53">
        <f>VLOOKUP($A17,'2025'!$A:$IZ,181,FALSE)</f>
        <v/>
      </c>
      <c r="AL17" s="54">
        <f>RANK(AK17,AK$5:AK$22,1)</f>
        <v/>
      </c>
      <c r="AM17" s="53">
        <f>VLOOKUP($A17,'2025'!$A:$IZ,182,FALSE)</f>
        <v/>
      </c>
      <c r="AN17" s="54">
        <f>RANK(AM17,AM$5:AM$22,1)</f>
        <v/>
      </c>
      <c r="AO17" s="53">
        <f>VLOOKUP($A17,'2025'!$A:$IZ,163,FALSE)</f>
        <v/>
      </c>
      <c r="AP17" s="54">
        <f>RANK(AO17,AO$5:AO$22,1)</f>
        <v/>
      </c>
      <c r="AQ17" s="65">
        <f>104-(AJ17+AL17+AN17+AP17)</f>
        <v/>
      </c>
      <c r="AR17" s="47">
        <f>RANK(AQ17,AQ$5:AQ$22)</f>
        <v/>
      </c>
      <c r="AS17" s="56" t="n"/>
      <c r="AT17" s="46">
        <f>VLOOKUP($A17,'2025'!$A:$IZ,250,FALSE)</f>
        <v/>
      </c>
      <c r="AU17" s="47">
        <f>RANK(AT17,AT$5:AT$22,0)</f>
        <v/>
      </c>
      <c r="AV17" s="46">
        <f>VLOOKUP($A17,'2025'!$A:$IZ,92,FALSE)</f>
        <v/>
      </c>
      <c r="AW17" s="47">
        <f>RANK(AV17,AV$5:AV$22,0)</f>
        <v/>
      </c>
      <c r="AX17" s="46">
        <f>VLOOKUP($A17,'2025'!$A:$IZ,93,FALSE)</f>
        <v/>
      </c>
      <c r="AY17" s="47">
        <f>RANK(AX17,AX$5:AX$22,0)</f>
        <v/>
      </c>
      <c r="AZ17" s="46">
        <f>VLOOKUP($A17,'2025'!$A:$IZ,108,FALSE)</f>
        <v/>
      </c>
      <c r="BA17" s="47">
        <f>RANK(AZ17,AZ$5:AZ$22,0)</f>
        <v/>
      </c>
      <c r="BB17" s="49">
        <f>104-(AU17+AW17+AY17+BA17)</f>
        <v/>
      </c>
      <c r="BC17" s="47">
        <f>RANK(BB17,BB$5:BB$22)</f>
        <v/>
      </c>
      <c r="BD17" s="56" t="n"/>
      <c r="BE17" s="53">
        <f>VLOOKUP($A17,'2025'!$A:$IZ,80,FALSE)</f>
        <v/>
      </c>
      <c r="BF17" s="54">
        <f>RANK(BE17,BE$5:BE$22)</f>
        <v/>
      </c>
      <c r="BG17" s="53">
        <f>VLOOKUP($A17,'2025'!$A:$IZ,177,FALSE)</f>
        <v/>
      </c>
      <c r="BH17" s="54">
        <f>RANK(BG17,BG$5:BG$22,1)</f>
        <v/>
      </c>
      <c r="BI17" s="53">
        <f>VLOOKUP($A17,'2025'!$A:$IZ,79,FALSE)</f>
        <v/>
      </c>
      <c r="BJ17" s="54">
        <f>RANK(BI17,BI$5:BI$22)</f>
        <v/>
      </c>
      <c r="BK17" s="53">
        <f>VLOOKUP($A17,'2025'!$A:$IZ,176,FALSE)</f>
        <v/>
      </c>
      <c r="BL17" s="54">
        <f>RANK(BK17,BK$5:BK$22,1)</f>
        <v/>
      </c>
      <c r="BM17" s="53">
        <f>VLOOKUP($A17,'2025'!$A:$IZ,11,FALSE)</f>
        <v/>
      </c>
      <c r="BN17" s="54">
        <f>RANK(BM17,BM$5:BM$22)</f>
        <v/>
      </c>
      <c r="BO17" s="53">
        <f>VLOOKUP($A17,'2025'!$A:$IZ,222,FALSE)</f>
        <v/>
      </c>
      <c r="BP17" s="54">
        <f>RANK(BO17,BO$5:BO$22)</f>
        <v/>
      </c>
      <c r="BQ17" s="65">
        <f>106-(BF17+BH17+BN17+BP17+BJ17+BL17)</f>
        <v/>
      </c>
      <c r="BR17" s="47">
        <f>RANK(BQ17,BQ$5:BQ$22)</f>
        <v/>
      </c>
      <c r="BS17" s="56" t="n"/>
      <c r="BT17" s="57">
        <f>VLOOKUP($A17,'Ratings Season'!$A:$M,10,FALSE)</f>
        <v/>
      </c>
      <c r="BU17" s="54">
        <f>RANK(BT17,BT$5:BT$22)</f>
        <v/>
      </c>
      <c r="BV17" s="57">
        <f>VLOOKUP($A17,'Ratings Season'!$A:$M,12,FALSE)</f>
        <v/>
      </c>
      <c r="BW17" s="54">
        <f>RANK(BV17,BV$5:BV$22)</f>
        <v/>
      </c>
      <c r="BX17" s="57">
        <f>VLOOKUP($A17,'Ratings Season'!$A:$M,8,FALSE)</f>
        <v/>
      </c>
      <c r="BY17" s="58">
        <f>RANK(BX17,BX$5:BX$22)</f>
        <v/>
      </c>
      <c r="BZ17" s="72" t="n"/>
    </row>
    <row r="18" ht="25" customFormat="1" customHeight="1" s="3">
      <c r="A18" s="88" t="inlineStr">
        <is>
          <t>Richmond</t>
        </is>
      </c>
      <c r="B18" s="53">
        <f>VLOOKUP($A18,'2025'!$A:$IZ,222,FALSE)</f>
        <v/>
      </c>
      <c r="C18" s="54">
        <f>RANK(B18,B$5:B$22)</f>
        <v/>
      </c>
      <c r="D18" s="55">
        <f>VLOOKUP($A18,'2025'!$A:$IZ,218,FALSE)</f>
        <v/>
      </c>
      <c r="E18" s="54">
        <f>RANK(D18,D$5:D$22)</f>
        <v/>
      </c>
      <c r="F18" s="55">
        <f>VLOOKUP($A18,'2025'!$A:$IZ,49,FALSE)</f>
        <v/>
      </c>
      <c r="G18" s="54">
        <f>RANK(F18,F$5:F$22)</f>
        <v/>
      </c>
      <c r="H18" s="55">
        <f>VLOOKUP($A18,'2025'!$A:$IZ,229,FALSE)</f>
        <v/>
      </c>
      <c r="I18" s="54">
        <f>RANK(H18,H$5:H$22)</f>
        <v/>
      </c>
      <c r="J18" s="49">
        <f>104-(C18+E18+G18+I18)</f>
        <v/>
      </c>
      <c r="K18" s="47">
        <f>RANK(J18,J$5:J$22)</f>
        <v/>
      </c>
      <c r="L18" s="56" t="n"/>
      <c r="M18" s="53">
        <f>VLOOKUP($A18,'2025'!$A:$IZ,88,FALSE)</f>
        <v/>
      </c>
      <c r="N18" s="54">
        <f>RANK(M18,M$5:M$22)</f>
        <v/>
      </c>
      <c r="O18" s="53">
        <f>VLOOKUP($A18,'2025'!$A:$IZ,84,FALSE)</f>
        <v/>
      </c>
      <c r="P18" s="54">
        <f>RANK(O18,O$5:O$22)</f>
        <v/>
      </c>
      <c r="Q18" s="53">
        <f>VLOOKUP($A18,'2025'!$A:$IZ,85,FALSE)</f>
        <v/>
      </c>
      <c r="R18" s="54">
        <f>RANK(Q18,Q$5:Q$22)</f>
        <v/>
      </c>
      <c r="S18" s="55">
        <f>VLOOKUP($A18,'2025'!$A:$IZ,29,FALSE)</f>
        <v/>
      </c>
      <c r="T18" s="54">
        <f>RANK(S18,S$5:S$22)</f>
        <v/>
      </c>
      <c r="U18" s="49">
        <f>104-(N18+P18+R18+T18)</f>
        <v/>
      </c>
      <c r="V18" s="47">
        <f>RANK(U18,U$5:U$22)</f>
        <v/>
      </c>
      <c r="W18" s="56" t="n"/>
      <c r="X18" s="53">
        <f>VLOOKUP($A18,'2025'!$A:$IZ,65,FALSE)</f>
        <v/>
      </c>
      <c r="Y18" s="54">
        <f>RANK(X18,X$5:X$22)</f>
        <v/>
      </c>
      <c r="Z18" s="53">
        <f>VLOOKUP($A18,'2025'!$A:$IZ,64,FALSE)</f>
        <v/>
      </c>
      <c r="AA18" s="54">
        <f>RANK(Z18,Z$5:Z$22)</f>
        <v/>
      </c>
      <c r="AB18" s="53">
        <f>VLOOKUP($A18,'2025'!$A:$IZ,63,FALSE)</f>
        <v/>
      </c>
      <c r="AC18" s="54">
        <f>RANK(AB18,AB$5:AB$22)</f>
        <v/>
      </c>
      <c r="AD18" s="53">
        <f>VLOOKUP($A18,'2025'!$A:$IZ,71,FALSE)</f>
        <v/>
      </c>
      <c r="AE18" s="54">
        <f>RANK(AD18,AD$5:AD$22)</f>
        <v/>
      </c>
      <c r="AF18" s="65">
        <f>104-(Y18+AA18+AC18+AE18)</f>
        <v/>
      </c>
      <c r="AG18" s="47">
        <f>RANK(AF18,AF$5:AF$22)</f>
        <v/>
      </c>
      <c r="AH18" s="56" t="n"/>
      <c r="AI18" s="53">
        <f>VLOOKUP($A18,'2025'!$A:$IZ,183,FALSE)</f>
        <v/>
      </c>
      <c r="AJ18" s="54">
        <f>RANK(AI18,AI$5:AI$22,1)</f>
        <v/>
      </c>
      <c r="AK18" s="53">
        <f>VLOOKUP($A18,'2025'!$A:$IZ,181,FALSE)</f>
        <v/>
      </c>
      <c r="AL18" s="54">
        <f>RANK(AK18,AK$5:AK$22,1)</f>
        <v/>
      </c>
      <c r="AM18" s="53">
        <f>VLOOKUP($A18,'2025'!$A:$IZ,182,FALSE)</f>
        <v/>
      </c>
      <c r="AN18" s="54">
        <f>RANK(AM18,AM$5:AM$22,1)</f>
        <v/>
      </c>
      <c r="AO18" s="53">
        <f>VLOOKUP($A18,'2025'!$A:$IZ,163,FALSE)</f>
        <v/>
      </c>
      <c r="AP18" s="54">
        <f>RANK(AO18,AO$5:AO$22,1)</f>
        <v/>
      </c>
      <c r="AQ18" s="65">
        <f>104-(AJ18+AL18+AN18+AP18)</f>
        <v/>
      </c>
      <c r="AR18" s="47">
        <f>RANK(AQ18,AQ$5:AQ$22)</f>
        <v/>
      </c>
      <c r="AS18" s="56" t="n"/>
      <c r="AT18" s="46">
        <f>VLOOKUP($A18,'2025'!$A:$IZ,250,FALSE)</f>
        <v/>
      </c>
      <c r="AU18" s="47">
        <f>RANK(AT18,AT$5:AT$22,0)</f>
        <v/>
      </c>
      <c r="AV18" s="46">
        <f>VLOOKUP($A18,'2025'!$A:$IZ,92,FALSE)</f>
        <v/>
      </c>
      <c r="AW18" s="47">
        <f>RANK(AV18,AV$5:AV$22,0)</f>
        <v/>
      </c>
      <c r="AX18" s="46">
        <f>VLOOKUP($A18,'2025'!$A:$IZ,93,FALSE)</f>
        <v/>
      </c>
      <c r="AY18" s="47">
        <f>RANK(AX18,AX$5:AX$22,0)</f>
        <v/>
      </c>
      <c r="AZ18" s="46">
        <f>VLOOKUP($A18,'2025'!$A:$IZ,108,FALSE)</f>
        <v/>
      </c>
      <c r="BA18" s="47">
        <f>RANK(AZ18,AZ$5:AZ$22,0)</f>
        <v/>
      </c>
      <c r="BB18" s="49">
        <f>104-(AU18+AW18+AY18+BA18)</f>
        <v/>
      </c>
      <c r="BC18" s="47">
        <f>RANK(BB18,BB$5:BB$22)</f>
        <v/>
      </c>
      <c r="BD18" s="56" t="n"/>
      <c r="BE18" s="53">
        <f>VLOOKUP($A18,'2025'!$A:$IZ,80,FALSE)</f>
        <v/>
      </c>
      <c r="BF18" s="54">
        <f>RANK(BE18,BE$5:BE$22)</f>
        <v/>
      </c>
      <c r="BG18" s="53">
        <f>VLOOKUP($A18,'2025'!$A:$IZ,177,FALSE)</f>
        <v/>
      </c>
      <c r="BH18" s="54">
        <f>RANK(BG18,BG$5:BG$22,1)</f>
        <v/>
      </c>
      <c r="BI18" s="53">
        <f>VLOOKUP($A18,'2025'!$A:$IZ,79,FALSE)</f>
        <v/>
      </c>
      <c r="BJ18" s="54">
        <f>RANK(BI18,BI$5:BI$22)</f>
        <v/>
      </c>
      <c r="BK18" s="53">
        <f>VLOOKUP($A18,'2025'!$A:$IZ,176,FALSE)</f>
        <v/>
      </c>
      <c r="BL18" s="54">
        <f>RANK(BK18,BK$5:BK$22,1)</f>
        <v/>
      </c>
      <c r="BM18" s="53">
        <f>VLOOKUP($A18,'2025'!$A:$IZ,11,FALSE)</f>
        <v/>
      </c>
      <c r="BN18" s="54">
        <f>RANK(BM18,BM$5:BM$22)</f>
        <v/>
      </c>
      <c r="BO18" s="53">
        <f>VLOOKUP($A18,'2025'!$A:$IZ,222,FALSE)</f>
        <v/>
      </c>
      <c r="BP18" s="54">
        <f>RANK(BO18,BO$5:BO$22)</f>
        <v/>
      </c>
      <c r="BQ18" s="65">
        <f>106-(BF18+BH18+BN18+BP18+BJ18+BL18)</f>
        <v/>
      </c>
      <c r="BR18" s="47">
        <f>RANK(BQ18,BQ$5:BQ$22)</f>
        <v/>
      </c>
      <c r="BS18" s="56" t="n"/>
      <c r="BT18" s="57">
        <f>VLOOKUP($A18,'Ratings Season'!$A:$M,10,FALSE)</f>
        <v/>
      </c>
      <c r="BU18" s="54">
        <f>RANK(BT18,BT$5:BT$22)</f>
        <v/>
      </c>
      <c r="BV18" s="57">
        <f>VLOOKUP($A18,'Ratings Season'!$A:$M,12,FALSE)</f>
        <v/>
      </c>
      <c r="BW18" s="54">
        <f>RANK(BV18,BV$5:BV$22)</f>
        <v/>
      </c>
      <c r="BX18" s="57">
        <f>VLOOKUP($A18,'Ratings Season'!$A:$M,8,FALSE)</f>
        <v/>
      </c>
      <c r="BY18" s="58">
        <f>RANK(BX18,BX$5:BX$22)</f>
        <v/>
      </c>
      <c r="BZ18" s="72" t="n"/>
    </row>
    <row r="19" ht="25" customFormat="1" customHeight="1" s="3">
      <c r="A19" s="89" t="inlineStr">
        <is>
          <t>St Kilda</t>
        </is>
      </c>
      <c r="B19" s="53">
        <f>VLOOKUP($A19,'2025'!$A:$IZ,222,FALSE)</f>
        <v/>
      </c>
      <c r="C19" s="54">
        <f>RANK(B19,B$5:B$22)</f>
        <v/>
      </c>
      <c r="D19" s="55">
        <f>VLOOKUP($A19,'2025'!$A:$IZ,218,FALSE)</f>
        <v/>
      </c>
      <c r="E19" s="54">
        <f>RANK(D19,D$5:D$22)</f>
        <v/>
      </c>
      <c r="F19" s="55">
        <f>VLOOKUP($A19,'2025'!$A:$IZ,49,FALSE)</f>
        <v/>
      </c>
      <c r="G19" s="54">
        <f>RANK(F19,F$5:F$22)</f>
        <v/>
      </c>
      <c r="H19" s="55">
        <f>VLOOKUP($A19,'2025'!$A:$IZ,229,FALSE)</f>
        <v/>
      </c>
      <c r="I19" s="54">
        <f>RANK(H19,H$5:H$22)</f>
        <v/>
      </c>
      <c r="J19" s="49">
        <f>104-(C19+E19+G19+I19)</f>
        <v/>
      </c>
      <c r="K19" s="47">
        <f>RANK(J19,J$5:J$22)</f>
        <v/>
      </c>
      <c r="L19" s="56" t="n"/>
      <c r="M19" s="53">
        <f>VLOOKUP($A19,'2025'!$A:$IZ,88,FALSE)</f>
        <v/>
      </c>
      <c r="N19" s="54">
        <f>RANK(M19,M$5:M$22)</f>
        <v/>
      </c>
      <c r="O19" s="53">
        <f>VLOOKUP($A19,'2025'!$A:$IZ,84,FALSE)</f>
        <v/>
      </c>
      <c r="P19" s="54">
        <f>RANK(O19,O$5:O$22)</f>
        <v/>
      </c>
      <c r="Q19" s="53">
        <f>VLOOKUP($A19,'2025'!$A:$IZ,85,FALSE)</f>
        <v/>
      </c>
      <c r="R19" s="54">
        <f>RANK(Q19,Q$5:Q$22)</f>
        <v/>
      </c>
      <c r="S19" s="55">
        <f>VLOOKUP($A19,'2025'!$A:$IZ,29,FALSE)</f>
        <v/>
      </c>
      <c r="T19" s="54">
        <f>RANK(S19,S$5:S$22)</f>
        <v/>
      </c>
      <c r="U19" s="49">
        <f>104-(N19+P19+R19+T19)</f>
        <v/>
      </c>
      <c r="V19" s="47">
        <f>RANK(U19,U$5:U$22)</f>
        <v/>
      </c>
      <c r="W19" s="56" t="n"/>
      <c r="X19" s="53">
        <f>VLOOKUP($A19,'2025'!$A:$IZ,65,FALSE)</f>
        <v/>
      </c>
      <c r="Y19" s="54">
        <f>RANK(X19,X$5:X$22)</f>
        <v/>
      </c>
      <c r="Z19" s="53">
        <f>VLOOKUP($A19,'2025'!$A:$IZ,64,FALSE)</f>
        <v/>
      </c>
      <c r="AA19" s="54">
        <f>RANK(Z19,Z$5:Z$22)</f>
        <v/>
      </c>
      <c r="AB19" s="53">
        <f>VLOOKUP($A19,'2025'!$A:$IZ,63,FALSE)</f>
        <v/>
      </c>
      <c r="AC19" s="54">
        <f>RANK(AB19,AB$5:AB$22)</f>
        <v/>
      </c>
      <c r="AD19" s="53">
        <f>VLOOKUP($A19,'2025'!$A:$IZ,71,FALSE)</f>
        <v/>
      </c>
      <c r="AE19" s="54">
        <f>RANK(AD19,AD$5:AD$22)</f>
        <v/>
      </c>
      <c r="AF19" s="65">
        <f>104-(Y19+AA19+AC19+AE19)</f>
        <v/>
      </c>
      <c r="AG19" s="47">
        <f>RANK(AF19,AF$5:AF$22)</f>
        <v/>
      </c>
      <c r="AH19" s="56" t="n"/>
      <c r="AI19" s="53">
        <f>VLOOKUP($A19,'2025'!$A:$IZ,183,FALSE)</f>
        <v/>
      </c>
      <c r="AJ19" s="54">
        <f>RANK(AI19,AI$5:AI$22,1)</f>
        <v/>
      </c>
      <c r="AK19" s="53">
        <f>VLOOKUP($A19,'2025'!$A:$IZ,181,FALSE)</f>
        <v/>
      </c>
      <c r="AL19" s="54">
        <f>RANK(AK19,AK$5:AK$22,1)</f>
        <v/>
      </c>
      <c r="AM19" s="53">
        <f>VLOOKUP($A19,'2025'!$A:$IZ,182,FALSE)</f>
        <v/>
      </c>
      <c r="AN19" s="54">
        <f>RANK(AM19,AM$5:AM$22,1)</f>
        <v/>
      </c>
      <c r="AO19" s="53">
        <f>VLOOKUP($A19,'2025'!$A:$IZ,163,FALSE)</f>
        <v/>
      </c>
      <c r="AP19" s="54">
        <f>RANK(AO19,AO$5:AO$22,1)</f>
        <v/>
      </c>
      <c r="AQ19" s="65">
        <f>104-(AJ19+AL19+AN19+AP19)</f>
        <v/>
      </c>
      <c r="AR19" s="47">
        <f>RANK(AQ19,AQ$5:AQ$22)</f>
        <v/>
      </c>
      <c r="AS19" s="56" t="n"/>
      <c r="AT19" s="46">
        <f>VLOOKUP($A19,'2025'!$A:$IZ,250,FALSE)</f>
        <v/>
      </c>
      <c r="AU19" s="47">
        <f>RANK(AT19,AT$5:AT$22,0)</f>
        <v/>
      </c>
      <c r="AV19" s="46">
        <f>VLOOKUP($A19,'2025'!$A:$IZ,92,FALSE)</f>
        <v/>
      </c>
      <c r="AW19" s="47">
        <f>RANK(AV19,AV$5:AV$22,0)</f>
        <v/>
      </c>
      <c r="AX19" s="46">
        <f>VLOOKUP($A19,'2025'!$A:$IZ,93,FALSE)</f>
        <v/>
      </c>
      <c r="AY19" s="47">
        <f>RANK(AX19,AX$5:AX$22,0)</f>
        <v/>
      </c>
      <c r="AZ19" s="46">
        <f>VLOOKUP($A19,'2025'!$A:$IZ,108,FALSE)</f>
        <v/>
      </c>
      <c r="BA19" s="47">
        <f>RANK(AZ19,AZ$5:AZ$22,0)</f>
        <v/>
      </c>
      <c r="BB19" s="49">
        <f>104-(AU19+AW19+AY19+BA19)</f>
        <v/>
      </c>
      <c r="BC19" s="47">
        <f>RANK(BB19,BB$5:BB$22)</f>
        <v/>
      </c>
      <c r="BD19" s="56" t="n"/>
      <c r="BE19" s="53">
        <f>VLOOKUP($A19,'2025'!$A:$IZ,80,FALSE)</f>
        <v/>
      </c>
      <c r="BF19" s="54">
        <f>RANK(BE19,BE$5:BE$22)</f>
        <v/>
      </c>
      <c r="BG19" s="53">
        <f>VLOOKUP($A19,'2025'!$A:$IZ,177,FALSE)</f>
        <v/>
      </c>
      <c r="BH19" s="54">
        <f>RANK(BG19,BG$5:BG$22,1)</f>
        <v/>
      </c>
      <c r="BI19" s="53">
        <f>VLOOKUP($A19,'2025'!$A:$IZ,79,FALSE)</f>
        <v/>
      </c>
      <c r="BJ19" s="54">
        <f>RANK(BI19,BI$5:BI$22)</f>
        <v/>
      </c>
      <c r="BK19" s="53">
        <f>VLOOKUP($A19,'2025'!$A:$IZ,176,FALSE)</f>
        <v/>
      </c>
      <c r="BL19" s="54">
        <f>RANK(BK19,BK$5:BK$22,1)</f>
        <v/>
      </c>
      <c r="BM19" s="53">
        <f>VLOOKUP($A19,'2025'!$A:$IZ,11,FALSE)</f>
        <v/>
      </c>
      <c r="BN19" s="54">
        <f>RANK(BM19,BM$5:BM$22)</f>
        <v/>
      </c>
      <c r="BO19" s="53">
        <f>VLOOKUP($A19,'2025'!$A:$IZ,222,FALSE)</f>
        <v/>
      </c>
      <c r="BP19" s="54">
        <f>RANK(BO19,BO$5:BO$22)</f>
        <v/>
      </c>
      <c r="BQ19" s="65">
        <f>106-(BF19+BH19+BN19+BP19+BJ19+BL19)</f>
        <v/>
      </c>
      <c r="BR19" s="47">
        <f>RANK(BQ19,BQ$5:BQ$22)</f>
        <v/>
      </c>
      <c r="BS19" s="56" t="n"/>
      <c r="BT19" s="57">
        <f>VLOOKUP($A19,'Ratings Season'!$A:$M,10,FALSE)</f>
        <v/>
      </c>
      <c r="BU19" s="54">
        <f>RANK(BT19,BT$5:BT$22)</f>
        <v/>
      </c>
      <c r="BV19" s="57">
        <f>VLOOKUP($A19,'Ratings Season'!$A:$M,12,FALSE)</f>
        <v/>
      </c>
      <c r="BW19" s="54">
        <f>RANK(BV19,BV$5:BV$22)</f>
        <v/>
      </c>
      <c r="BX19" s="57">
        <f>VLOOKUP($A19,'Ratings Season'!$A:$M,8,FALSE)</f>
        <v/>
      </c>
      <c r="BY19" s="58">
        <f>RANK(BX19,BX$5:BX$22)</f>
        <v/>
      </c>
      <c r="BZ19" s="72" t="n"/>
    </row>
    <row r="20" ht="25" customFormat="1" customHeight="1" s="3">
      <c r="A20" s="90" t="inlineStr">
        <is>
          <t>Sydney</t>
        </is>
      </c>
      <c r="B20" s="53">
        <f>VLOOKUP($A20,'2025'!$A:$IZ,222,FALSE)</f>
        <v/>
      </c>
      <c r="C20" s="54">
        <f>RANK(B20,B$5:B$22)</f>
        <v/>
      </c>
      <c r="D20" s="55">
        <f>VLOOKUP($A20,'2025'!$A:$IZ,218,FALSE)</f>
        <v/>
      </c>
      <c r="E20" s="54">
        <f>RANK(D20,D$5:D$22)</f>
        <v/>
      </c>
      <c r="F20" s="55">
        <f>VLOOKUP($A20,'2025'!$A:$IZ,49,FALSE)</f>
        <v/>
      </c>
      <c r="G20" s="54">
        <f>RANK(F20,F$5:F$22)</f>
        <v/>
      </c>
      <c r="H20" s="55">
        <f>VLOOKUP($A20,'2025'!$A:$IZ,229,FALSE)</f>
        <v/>
      </c>
      <c r="I20" s="54">
        <f>RANK(H20,H$5:H$22)</f>
        <v/>
      </c>
      <c r="J20" s="49">
        <f>104-(C20+E20+G20+I20)</f>
        <v/>
      </c>
      <c r="K20" s="47">
        <f>RANK(J20,J$5:J$22)</f>
        <v/>
      </c>
      <c r="L20" s="56" t="n"/>
      <c r="M20" s="53">
        <f>VLOOKUP($A20,'2025'!$A:$IZ,88,FALSE)</f>
        <v/>
      </c>
      <c r="N20" s="54">
        <f>RANK(M20,M$5:M$22)</f>
        <v/>
      </c>
      <c r="O20" s="53">
        <f>VLOOKUP($A20,'2025'!$A:$IZ,84,FALSE)</f>
        <v/>
      </c>
      <c r="P20" s="54">
        <f>RANK(O20,O$5:O$22)</f>
        <v/>
      </c>
      <c r="Q20" s="53">
        <f>VLOOKUP($A20,'2025'!$A:$IZ,85,FALSE)</f>
        <v/>
      </c>
      <c r="R20" s="54">
        <f>RANK(Q20,Q$5:Q$22)</f>
        <v/>
      </c>
      <c r="S20" s="55">
        <f>VLOOKUP($A20,'2025'!$A:$IZ,29,FALSE)</f>
        <v/>
      </c>
      <c r="T20" s="54">
        <f>RANK(S20,S$5:S$22)</f>
        <v/>
      </c>
      <c r="U20" s="49">
        <f>104-(N20+P20+R20+T20)</f>
        <v/>
      </c>
      <c r="V20" s="47">
        <f>RANK(U20,U$5:U$22)</f>
        <v/>
      </c>
      <c r="W20" s="56" t="n"/>
      <c r="X20" s="53">
        <f>VLOOKUP($A20,'2025'!$A:$IZ,65,FALSE)</f>
        <v/>
      </c>
      <c r="Y20" s="54">
        <f>RANK(X20,X$5:X$22)</f>
        <v/>
      </c>
      <c r="Z20" s="53">
        <f>VLOOKUP($A20,'2025'!$A:$IZ,64,FALSE)</f>
        <v/>
      </c>
      <c r="AA20" s="54">
        <f>RANK(Z20,Z$5:Z$22)</f>
        <v/>
      </c>
      <c r="AB20" s="53">
        <f>VLOOKUP($A20,'2025'!$A:$IZ,63,FALSE)</f>
        <v/>
      </c>
      <c r="AC20" s="54">
        <f>RANK(AB20,AB$5:AB$22)</f>
        <v/>
      </c>
      <c r="AD20" s="53">
        <f>VLOOKUP($A20,'2025'!$A:$IZ,71,FALSE)</f>
        <v/>
      </c>
      <c r="AE20" s="54">
        <f>RANK(AD20,AD$5:AD$22)</f>
        <v/>
      </c>
      <c r="AF20" s="65">
        <f>104-(Y20+AA20+AC20+AE20)</f>
        <v/>
      </c>
      <c r="AG20" s="47">
        <f>RANK(AF20,AF$5:AF$22)</f>
        <v/>
      </c>
      <c r="AH20" s="56" t="n"/>
      <c r="AI20" s="53">
        <f>VLOOKUP($A20,'2025'!$A:$IZ,183,FALSE)</f>
        <v/>
      </c>
      <c r="AJ20" s="54">
        <f>RANK(AI20,AI$5:AI$22,1)</f>
        <v/>
      </c>
      <c r="AK20" s="53">
        <f>VLOOKUP($A20,'2025'!$A:$IZ,181,FALSE)</f>
        <v/>
      </c>
      <c r="AL20" s="54">
        <f>RANK(AK20,AK$5:AK$22,1)</f>
        <v/>
      </c>
      <c r="AM20" s="53">
        <f>VLOOKUP($A20,'2025'!$A:$IZ,182,FALSE)</f>
        <v/>
      </c>
      <c r="AN20" s="54">
        <f>RANK(AM20,AM$5:AM$22,1)</f>
        <v/>
      </c>
      <c r="AO20" s="53">
        <f>VLOOKUP($A20,'2025'!$A:$IZ,163,FALSE)</f>
        <v/>
      </c>
      <c r="AP20" s="54">
        <f>RANK(AO20,AO$5:AO$22,1)</f>
        <v/>
      </c>
      <c r="AQ20" s="65">
        <f>104-(AJ20+AL20+AN20+AP20)</f>
        <v/>
      </c>
      <c r="AR20" s="47">
        <f>RANK(AQ20,AQ$5:AQ$22)</f>
        <v/>
      </c>
      <c r="AS20" s="56" t="n"/>
      <c r="AT20" s="46">
        <f>VLOOKUP($A20,'2025'!$A:$IZ,250,FALSE)</f>
        <v/>
      </c>
      <c r="AU20" s="47">
        <f>RANK(AT20,AT$5:AT$22,0)</f>
        <v/>
      </c>
      <c r="AV20" s="46">
        <f>VLOOKUP($A20,'2025'!$A:$IZ,92,FALSE)</f>
        <v/>
      </c>
      <c r="AW20" s="47">
        <f>RANK(AV20,AV$5:AV$22,0)</f>
        <v/>
      </c>
      <c r="AX20" s="46">
        <f>VLOOKUP($A20,'2025'!$A:$IZ,93,FALSE)</f>
        <v/>
      </c>
      <c r="AY20" s="47">
        <f>RANK(AX20,AX$5:AX$22,0)</f>
        <v/>
      </c>
      <c r="AZ20" s="46">
        <f>VLOOKUP($A20,'2025'!$A:$IZ,108,FALSE)</f>
        <v/>
      </c>
      <c r="BA20" s="47">
        <f>RANK(AZ20,AZ$5:AZ$22,0)</f>
        <v/>
      </c>
      <c r="BB20" s="49">
        <f>104-(AU20+AW20+AY20+BA20)</f>
        <v/>
      </c>
      <c r="BC20" s="47">
        <f>RANK(BB20,BB$5:BB$22)</f>
        <v/>
      </c>
      <c r="BD20" s="56" t="n"/>
      <c r="BE20" s="53">
        <f>VLOOKUP($A20,'2025'!$A:$IZ,80,FALSE)</f>
        <v/>
      </c>
      <c r="BF20" s="54">
        <f>RANK(BE20,BE$5:BE$22)</f>
        <v/>
      </c>
      <c r="BG20" s="53">
        <f>VLOOKUP($A20,'2025'!$A:$IZ,177,FALSE)</f>
        <v/>
      </c>
      <c r="BH20" s="54">
        <f>RANK(BG20,BG$5:BG$22,1)</f>
        <v/>
      </c>
      <c r="BI20" s="53">
        <f>VLOOKUP($A20,'2025'!$A:$IZ,79,FALSE)</f>
        <v/>
      </c>
      <c r="BJ20" s="54">
        <f>RANK(BI20,BI$5:BI$22)</f>
        <v/>
      </c>
      <c r="BK20" s="53">
        <f>VLOOKUP($A20,'2025'!$A:$IZ,176,FALSE)</f>
        <v/>
      </c>
      <c r="BL20" s="54">
        <f>RANK(BK20,BK$5:BK$22,1)</f>
        <v/>
      </c>
      <c r="BM20" s="53">
        <f>VLOOKUP($A20,'2025'!$A:$IZ,11,FALSE)</f>
        <v/>
      </c>
      <c r="BN20" s="54">
        <f>RANK(BM20,BM$5:BM$22)</f>
        <v/>
      </c>
      <c r="BO20" s="53">
        <f>VLOOKUP($A20,'2025'!$A:$IZ,222,FALSE)</f>
        <v/>
      </c>
      <c r="BP20" s="54">
        <f>RANK(BO20,BO$5:BO$22)</f>
        <v/>
      </c>
      <c r="BQ20" s="65">
        <f>106-(BF20+BH20+BN20+BP20+BJ20+BL20)</f>
        <v/>
      </c>
      <c r="BR20" s="47">
        <f>RANK(BQ20,BQ$5:BQ$22)</f>
        <v/>
      </c>
      <c r="BS20" s="56" t="n"/>
      <c r="BT20" s="57">
        <f>VLOOKUP($A20,'Ratings Season'!$A:$M,10,FALSE)</f>
        <v/>
      </c>
      <c r="BU20" s="54">
        <f>RANK(BT20,BT$5:BT$22)</f>
        <v/>
      </c>
      <c r="BV20" s="57">
        <f>VLOOKUP($A20,'Ratings Season'!$A:$M,12,FALSE)</f>
        <v/>
      </c>
      <c r="BW20" s="54">
        <f>RANK(BV20,BV$5:BV$22)</f>
        <v/>
      </c>
      <c r="BX20" s="57">
        <f>VLOOKUP($A20,'Ratings Season'!$A:$M,8,FALSE)</f>
        <v/>
      </c>
      <c r="BY20" s="58">
        <f>RANK(BX20,BX$5:BX$22)</f>
        <v/>
      </c>
      <c r="BZ20" s="72" t="n"/>
    </row>
    <row r="21" ht="25" customFormat="1" customHeight="1" s="3">
      <c r="A21" s="91" t="inlineStr">
        <is>
          <t>West Coast</t>
        </is>
      </c>
      <c r="B21" s="53">
        <f>VLOOKUP($A21,'2025'!$A:$IZ,222,FALSE)</f>
        <v/>
      </c>
      <c r="C21" s="54">
        <f>RANK(B21,B$5:B$22)</f>
        <v/>
      </c>
      <c r="D21" s="55">
        <f>VLOOKUP($A21,'2025'!$A:$IZ,218,FALSE)</f>
        <v/>
      </c>
      <c r="E21" s="54">
        <f>RANK(D21,D$5:D$22)</f>
        <v/>
      </c>
      <c r="F21" s="55">
        <f>VLOOKUP($A21,'2025'!$A:$IZ,49,FALSE)</f>
        <v/>
      </c>
      <c r="G21" s="54">
        <f>RANK(F21,F$5:F$22)</f>
        <v/>
      </c>
      <c r="H21" s="55">
        <f>VLOOKUP($A21,'2025'!$A:$IZ,229,FALSE)</f>
        <v/>
      </c>
      <c r="I21" s="54">
        <f>RANK(H21,H$5:H$22)</f>
        <v/>
      </c>
      <c r="J21" s="49">
        <f>104-(C21+E21+G21+I21)</f>
        <v/>
      </c>
      <c r="K21" s="47">
        <f>RANK(J21,J$5:J$22)</f>
        <v/>
      </c>
      <c r="L21" s="56" t="n"/>
      <c r="M21" s="53">
        <f>VLOOKUP($A21,'2025'!$A:$IZ,88,FALSE)</f>
        <v/>
      </c>
      <c r="N21" s="54">
        <f>RANK(M21,M$5:M$22)</f>
        <v/>
      </c>
      <c r="O21" s="53">
        <f>VLOOKUP($A21,'2025'!$A:$IZ,84,FALSE)</f>
        <v/>
      </c>
      <c r="P21" s="54">
        <f>RANK(O21,O$5:O$22)</f>
        <v/>
      </c>
      <c r="Q21" s="53">
        <f>VLOOKUP($A21,'2025'!$A:$IZ,85,FALSE)</f>
        <v/>
      </c>
      <c r="R21" s="54">
        <f>RANK(Q21,Q$5:Q$22)</f>
        <v/>
      </c>
      <c r="S21" s="55">
        <f>VLOOKUP($A21,'2025'!$A:$IZ,29,FALSE)</f>
        <v/>
      </c>
      <c r="T21" s="54">
        <f>RANK(S21,S$5:S$22)</f>
        <v/>
      </c>
      <c r="U21" s="49">
        <f>104-(N21+P21+R21+T21)</f>
        <v/>
      </c>
      <c r="V21" s="47">
        <f>RANK(U21,U$5:U$22)</f>
        <v/>
      </c>
      <c r="W21" s="56" t="n"/>
      <c r="X21" s="53">
        <f>VLOOKUP($A21,'2025'!$A:$IZ,65,FALSE)</f>
        <v/>
      </c>
      <c r="Y21" s="54">
        <f>RANK(X21,X$5:X$22)</f>
        <v/>
      </c>
      <c r="Z21" s="53">
        <f>VLOOKUP($A21,'2025'!$A:$IZ,64,FALSE)</f>
        <v/>
      </c>
      <c r="AA21" s="54">
        <f>RANK(Z21,Z$5:Z$22)</f>
        <v/>
      </c>
      <c r="AB21" s="53">
        <f>VLOOKUP($A21,'2025'!$A:$IZ,63,FALSE)</f>
        <v/>
      </c>
      <c r="AC21" s="54">
        <f>RANK(AB21,AB$5:AB$22)</f>
        <v/>
      </c>
      <c r="AD21" s="53">
        <f>VLOOKUP($A21,'2025'!$A:$IZ,71,FALSE)</f>
        <v/>
      </c>
      <c r="AE21" s="54">
        <f>RANK(AD21,AD$5:AD$22)</f>
        <v/>
      </c>
      <c r="AF21" s="65">
        <f>104-(Y21+AA21+AC21+AE21)</f>
        <v/>
      </c>
      <c r="AG21" s="47">
        <f>RANK(AF21,AF$5:AF$22)</f>
        <v/>
      </c>
      <c r="AH21" s="56" t="n"/>
      <c r="AI21" s="53">
        <f>VLOOKUP($A21,'2025'!$A:$IZ,183,FALSE)</f>
        <v/>
      </c>
      <c r="AJ21" s="54">
        <f>RANK(AI21,AI$5:AI$22,1)</f>
        <v/>
      </c>
      <c r="AK21" s="53">
        <f>VLOOKUP($A21,'2025'!$A:$IZ,181,FALSE)</f>
        <v/>
      </c>
      <c r="AL21" s="54">
        <f>RANK(AK21,AK$5:AK$22,1)</f>
        <v/>
      </c>
      <c r="AM21" s="53">
        <f>VLOOKUP($A21,'2025'!$A:$IZ,182,FALSE)</f>
        <v/>
      </c>
      <c r="AN21" s="54">
        <f>RANK(AM21,AM$5:AM$22,1)</f>
        <v/>
      </c>
      <c r="AO21" s="53">
        <f>VLOOKUP($A21,'2025'!$A:$IZ,163,FALSE)</f>
        <v/>
      </c>
      <c r="AP21" s="54">
        <f>RANK(AO21,AO$5:AO$22,1)</f>
        <v/>
      </c>
      <c r="AQ21" s="65">
        <f>104-(AJ21+AL21+AN21+AP21)</f>
        <v/>
      </c>
      <c r="AR21" s="47">
        <f>RANK(AQ21,AQ$5:AQ$22)</f>
        <v/>
      </c>
      <c r="AS21" s="56" t="n"/>
      <c r="AT21" s="46">
        <f>VLOOKUP($A21,'2025'!$A:$IZ,250,FALSE)</f>
        <v/>
      </c>
      <c r="AU21" s="47">
        <f>RANK(AT21,AT$5:AT$22,0)</f>
        <v/>
      </c>
      <c r="AV21" s="46">
        <f>VLOOKUP($A21,'2025'!$A:$IZ,92,FALSE)</f>
        <v/>
      </c>
      <c r="AW21" s="47">
        <f>RANK(AV21,AV$5:AV$22,0)</f>
        <v/>
      </c>
      <c r="AX21" s="46">
        <f>VLOOKUP($A21,'2025'!$A:$IZ,93,FALSE)</f>
        <v/>
      </c>
      <c r="AY21" s="47">
        <f>RANK(AX21,AX$5:AX$22,0)</f>
        <v/>
      </c>
      <c r="AZ21" s="46">
        <f>VLOOKUP($A21,'2025'!$A:$IZ,108,FALSE)</f>
        <v/>
      </c>
      <c r="BA21" s="47">
        <f>RANK(AZ21,AZ$5:AZ$22,0)</f>
        <v/>
      </c>
      <c r="BB21" s="49">
        <f>104-(AU21+AW21+AY21+BA21)</f>
        <v/>
      </c>
      <c r="BC21" s="47">
        <f>RANK(BB21,BB$5:BB$22)</f>
        <v/>
      </c>
      <c r="BD21" s="56" t="n"/>
      <c r="BE21" s="53">
        <f>VLOOKUP($A21,'2025'!$A:$IZ,80,FALSE)</f>
        <v/>
      </c>
      <c r="BF21" s="54">
        <f>RANK(BE21,BE$5:BE$22)</f>
        <v/>
      </c>
      <c r="BG21" s="53">
        <f>VLOOKUP($A21,'2025'!$A:$IZ,177,FALSE)</f>
        <v/>
      </c>
      <c r="BH21" s="54">
        <f>RANK(BG21,BG$5:BG$22,1)</f>
        <v/>
      </c>
      <c r="BI21" s="53">
        <f>VLOOKUP($A21,'2025'!$A:$IZ,79,FALSE)</f>
        <v/>
      </c>
      <c r="BJ21" s="54">
        <f>RANK(BI21,BI$5:BI$22)</f>
        <v/>
      </c>
      <c r="BK21" s="53">
        <f>VLOOKUP($A21,'2025'!$A:$IZ,176,FALSE)</f>
        <v/>
      </c>
      <c r="BL21" s="54">
        <f>RANK(BK21,BK$5:BK$22,1)</f>
        <v/>
      </c>
      <c r="BM21" s="53">
        <f>VLOOKUP($A21,'2025'!$A:$IZ,11,FALSE)</f>
        <v/>
      </c>
      <c r="BN21" s="54">
        <f>RANK(BM21,BM$5:BM$22)</f>
        <v/>
      </c>
      <c r="BO21" s="53">
        <f>VLOOKUP($A21,'2025'!$A:$IZ,222,FALSE)</f>
        <v/>
      </c>
      <c r="BP21" s="54">
        <f>RANK(BO21,BO$5:BO$22)</f>
        <v/>
      </c>
      <c r="BQ21" s="65">
        <f>106-(BF21+BH21+BN21+BP21+BJ21+BL21)</f>
        <v/>
      </c>
      <c r="BR21" s="47">
        <f>RANK(BQ21,BQ$5:BQ$22)</f>
        <v/>
      </c>
      <c r="BS21" s="56" t="n"/>
      <c r="BT21" s="57">
        <f>VLOOKUP($A21,'Ratings Season'!$A:$M,10,FALSE)</f>
        <v/>
      </c>
      <c r="BU21" s="54">
        <f>RANK(BT21,BT$5:BT$22)</f>
        <v/>
      </c>
      <c r="BV21" s="57">
        <f>VLOOKUP($A21,'Ratings Season'!$A:$M,12,FALSE)</f>
        <v/>
      </c>
      <c r="BW21" s="54">
        <f>RANK(BV21,BV$5:BV$22)</f>
        <v/>
      </c>
      <c r="BX21" s="57">
        <f>VLOOKUP($A21,'Ratings Season'!$A:$M,8,FALSE)</f>
        <v/>
      </c>
      <c r="BY21" s="58">
        <f>RANK(BX21,BX$5:BX$22)</f>
        <v/>
      </c>
      <c r="BZ21" s="72" t="n"/>
    </row>
    <row r="22" ht="25" customFormat="1" customHeight="1" s="3" thickBot="1">
      <c r="A22" s="92" t="inlineStr">
        <is>
          <t>Western Bulldogs</t>
        </is>
      </c>
      <c r="B22" s="59">
        <f>VLOOKUP($A22,'2025'!$A:$IZ,222,FALSE)</f>
        <v/>
      </c>
      <c r="C22" s="60">
        <f>RANK(B22,B$5:B$22)</f>
        <v/>
      </c>
      <c r="D22" s="61">
        <f>VLOOKUP($A22,'2025'!$A:$IZ,218,FALSE)</f>
        <v/>
      </c>
      <c r="E22" s="60">
        <f>RANK(D22,D$5:D$22)</f>
        <v/>
      </c>
      <c r="F22" s="61">
        <f>VLOOKUP($A22,'2025'!$A:$IZ,49,FALSE)</f>
        <v/>
      </c>
      <c r="G22" s="60">
        <f>RANK(F22,F$5:F$22)</f>
        <v/>
      </c>
      <c r="H22" s="61">
        <f>VLOOKUP($A22,'2025'!$A:$IZ,229,FALSE)</f>
        <v/>
      </c>
      <c r="I22" s="60">
        <f>RANK(H22,H$5:H$22)</f>
        <v/>
      </c>
      <c r="J22" s="49">
        <f>104-(C22+E22+G22+I22)</f>
        <v/>
      </c>
      <c r="K22" s="47">
        <f>RANK(J22,J$5:J$22)</f>
        <v/>
      </c>
      <c r="L22" s="62" t="n"/>
      <c r="M22" s="59">
        <f>VLOOKUP($A22,'2025'!$A:$IZ,88,FALSE)</f>
        <v/>
      </c>
      <c r="N22" s="60">
        <f>RANK(M22,M$5:M$22)</f>
        <v/>
      </c>
      <c r="O22" s="59">
        <f>VLOOKUP($A22,'2025'!$A:$IZ,84,FALSE)</f>
        <v/>
      </c>
      <c r="P22" s="60">
        <f>RANK(O22,O$5:O$22)</f>
        <v/>
      </c>
      <c r="Q22" s="59">
        <f>VLOOKUP($A22,'2025'!$A:$IZ,85,FALSE)</f>
        <v/>
      </c>
      <c r="R22" s="60">
        <f>RANK(Q22,Q$5:Q$22)</f>
        <v/>
      </c>
      <c r="S22" s="61">
        <f>VLOOKUP($A22,'2025'!$A:$IZ,29,FALSE)</f>
        <v/>
      </c>
      <c r="T22" s="60">
        <f>RANK(S22,S$5:S$22)</f>
        <v/>
      </c>
      <c r="U22" s="49">
        <f>104-(N22+P22+R22+T22)</f>
        <v/>
      </c>
      <c r="V22" s="47">
        <f>RANK(U22,U$5:U$22)</f>
        <v/>
      </c>
      <c r="W22" s="62" t="n"/>
      <c r="X22" s="59">
        <f>VLOOKUP($A22,'2025'!$A:$IZ,65,FALSE)</f>
        <v/>
      </c>
      <c r="Y22" s="60">
        <f>RANK(X22,X$5:X$22)</f>
        <v/>
      </c>
      <c r="Z22" s="59">
        <f>VLOOKUP($A22,'2025'!$A:$IZ,64,FALSE)</f>
        <v/>
      </c>
      <c r="AA22" s="60">
        <f>RANK(Z22,Z$5:Z$22)</f>
        <v/>
      </c>
      <c r="AB22" s="59">
        <f>VLOOKUP($A22,'2025'!$A:$IZ,63,FALSE)</f>
        <v/>
      </c>
      <c r="AC22" s="60">
        <f>RANK(AB22,AB$5:AB$22)</f>
        <v/>
      </c>
      <c r="AD22" s="59">
        <f>VLOOKUP($A22,'2025'!$A:$IZ,71,FALSE)</f>
        <v/>
      </c>
      <c r="AE22" s="60">
        <f>RANK(AD22,AD$5:AD$22)</f>
        <v/>
      </c>
      <c r="AF22" s="66">
        <f>104-(Y22+AA22+AC22+AE22)</f>
        <v/>
      </c>
      <c r="AG22" s="47">
        <f>RANK(AF22,AF$5:AF$22)</f>
        <v/>
      </c>
      <c r="AH22" s="62" t="n"/>
      <c r="AI22" s="59">
        <f>VLOOKUP($A22,'2025'!$A:$IZ,183,FALSE)</f>
        <v/>
      </c>
      <c r="AJ22" s="60">
        <f>RANK(AI22,AI$5:AI$22,1)</f>
        <v/>
      </c>
      <c r="AK22" s="59">
        <f>VLOOKUP($A22,'2025'!$A:$IZ,181,FALSE)</f>
        <v/>
      </c>
      <c r="AL22" s="60">
        <f>RANK(AK22,AK$5:AK$22,1)</f>
        <v/>
      </c>
      <c r="AM22" s="59">
        <f>VLOOKUP($A22,'2025'!$A:$IZ,182,FALSE)</f>
        <v/>
      </c>
      <c r="AN22" s="60">
        <f>RANK(AM22,AM$5:AM$22,1)</f>
        <v/>
      </c>
      <c r="AO22" s="59">
        <f>VLOOKUP($A22,'2025'!$A:$IZ,163,FALSE)</f>
        <v/>
      </c>
      <c r="AP22" s="60">
        <f>RANK(AO22,AO$5:AO$22,1)</f>
        <v/>
      </c>
      <c r="AQ22" s="66">
        <f>104-(AJ22+AL22+AN22+AP22)</f>
        <v/>
      </c>
      <c r="AR22" s="47">
        <f>RANK(AQ22,AQ$5:AQ$22)</f>
        <v/>
      </c>
      <c r="AS22" s="62" t="n"/>
      <c r="AT22" s="46">
        <f>VLOOKUP($A22,'2025'!$A:$IZ,250,FALSE)</f>
        <v/>
      </c>
      <c r="AU22" s="47">
        <f>RANK(AT22,AT$5:AT$22,0)</f>
        <v/>
      </c>
      <c r="AV22" s="46">
        <f>VLOOKUP($A22,'2025'!$A:$IZ,92,FALSE)</f>
        <v/>
      </c>
      <c r="AW22" s="47">
        <f>RANK(AV22,AV$5:AV$22,0)</f>
        <v/>
      </c>
      <c r="AX22" s="46">
        <f>VLOOKUP($A22,'2025'!$A:$IZ,93,FALSE)</f>
        <v/>
      </c>
      <c r="AY22" s="47">
        <f>RANK(AX22,AX$5:AX$22,0)</f>
        <v/>
      </c>
      <c r="AZ22" s="46">
        <f>VLOOKUP($A22,'2025'!$A:$IZ,108,FALSE)</f>
        <v/>
      </c>
      <c r="BA22" s="47">
        <f>RANK(AZ22,AZ$5:AZ$22,0)</f>
        <v/>
      </c>
      <c r="BB22" s="49">
        <f>104-(AU22+AW22+AY22+BA22)</f>
        <v/>
      </c>
      <c r="BC22" s="47">
        <f>RANK(BB22,BB$5:BB$22)</f>
        <v/>
      </c>
      <c r="BD22" s="62" t="n"/>
      <c r="BE22" s="59">
        <f>VLOOKUP($A22,'2025'!$A:$IZ,80,FALSE)</f>
        <v/>
      </c>
      <c r="BF22" s="60">
        <f>RANK(BE22,BE$5:BE$22)</f>
        <v/>
      </c>
      <c r="BG22" s="59">
        <f>VLOOKUP($A22,'2025'!$A:$IZ,177,FALSE)</f>
        <v/>
      </c>
      <c r="BH22" s="60">
        <f>RANK(BG22,BG$5:BG$22,1)</f>
        <v/>
      </c>
      <c r="BI22" s="59">
        <f>VLOOKUP($A22,'2025'!$A:$IZ,79,FALSE)</f>
        <v/>
      </c>
      <c r="BJ22" s="60">
        <f>RANK(BI22,BI$5:BI$22)</f>
        <v/>
      </c>
      <c r="BK22" s="59">
        <f>VLOOKUP($A22,'2025'!$A:$IZ,176,FALSE)</f>
        <v/>
      </c>
      <c r="BL22" s="60">
        <f>RANK(BK22,BK$5:BK$22,1)</f>
        <v/>
      </c>
      <c r="BM22" s="59">
        <f>VLOOKUP($A22,'2025'!$A:$IZ,11,FALSE)</f>
        <v/>
      </c>
      <c r="BN22" s="60">
        <f>RANK(BM22,BM$5:BM$22)</f>
        <v/>
      </c>
      <c r="BO22" s="59">
        <f>VLOOKUP($A22,'2025'!$A:$IZ,222,FALSE)</f>
        <v/>
      </c>
      <c r="BP22" s="60">
        <f>RANK(BO22,BO$5:BO$22)</f>
        <v/>
      </c>
      <c r="BQ22" s="66">
        <f>106-(BF22+BH22+BN22+BP22+BJ22+BL22)</f>
        <v/>
      </c>
      <c r="BR22" s="47">
        <f>RANK(BQ22,BQ$5:BQ$22)</f>
        <v/>
      </c>
      <c r="BS22" s="62" t="n"/>
      <c r="BT22" s="63">
        <f>VLOOKUP($A22,'Ratings Season'!$A:$M,10,FALSE)</f>
        <v/>
      </c>
      <c r="BU22" s="60">
        <f>RANK(BT22,BT$5:BT$22)</f>
        <v/>
      </c>
      <c r="BV22" s="63">
        <f>VLOOKUP($A22,'Ratings Season'!$A:$M,12,FALSE)</f>
        <v/>
      </c>
      <c r="BW22" s="60">
        <f>RANK(BV22,BV$5:BV$22)</f>
        <v/>
      </c>
      <c r="BX22" s="63">
        <f>VLOOKUP($A22,'Ratings Season'!$A:$M,8,FALSE)</f>
        <v/>
      </c>
      <c r="BY22" s="64">
        <f>RANK(BX22,BX$5:BX$22)</f>
        <v/>
      </c>
      <c r="BZ22" s="72" t="n"/>
    </row>
    <row r="23">
      <c r="BZ23" s="69" t="n"/>
    </row>
    <row r="24" ht="35" customHeight="1">
      <c r="A24" s="67" t="inlineStr">
        <is>
          <t>LAST 10 GAMES</t>
        </is>
      </c>
      <c r="BZ24" s="69" t="n"/>
    </row>
    <row r="25" ht="17" customHeight="1" thickBot="1">
      <c r="BZ25" s="69" t="n"/>
    </row>
    <row r="26" ht="25" customFormat="1" customHeight="1" s="25" thickBot="1">
      <c r="A26" s="240" t="inlineStr">
        <is>
          <t>Team</t>
        </is>
      </c>
      <c r="B26" s="242" t="inlineStr">
        <is>
          <t>Ball Winning</t>
        </is>
      </c>
      <c r="C26" s="321" t="n"/>
      <c r="D26" s="321" t="n"/>
      <c r="E26" s="321" t="n"/>
      <c r="F26" s="321" t="n"/>
      <c r="G26" s="321" t="n"/>
      <c r="H26" s="321" t="n"/>
      <c r="I26" s="321" t="n"/>
      <c r="J26" s="321" t="n"/>
      <c r="K26" s="321" t="n"/>
      <c r="L26" s="39" t="n"/>
      <c r="M26" s="245" t="inlineStr">
        <is>
          <t>Ball Movement</t>
        </is>
      </c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9" t="n"/>
      <c r="X26" s="248" t="inlineStr">
        <is>
          <t>Scoring</t>
        </is>
      </c>
      <c r="Y26" s="321" t="n"/>
      <c r="Z26" s="321" t="n"/>
      <c r="AA26" s="321" t="n"/>
      <c r="AB26" s="321" t="n"/>
      <c r="AC26" s="321" t="n"/>
      <c r="AD26" s="321" t="n"/>
      <c r="AE26" s="321" t="n"/>
      <c r="AF26" s="321" t="n"/>
      <c r="AG26" s="321" t="n"/>
      <c r="AH26" s="39" t="n"/>
      <c r="AI26" s="251" t="inlineStr">
        <is>
          <t>Defence</t>
        </is>
      </c>
      <c r="AJ26" s="321" t="n"/>
      <c r="AK26" s="321" t="n"/>
      <c r="AL26" s="321" t="n"/>
      <c r="AM26" s="321" t="n"/>
      <c r="AN26" s="321" t="n"/>
      <c r="AO26" s="321" t="n"/>
      <c r="AP26" s="321" t="n"/>
      <c r="AQ26" s="321" t="n"/>
      <c r="AR26" s="321" t="n"/>
      <c r="AS26" s="39" t="n"/>
      <c r="AT26" s="254" t="inlineStr">
        <is>
          <t>Pressure</t>
        </is>
      </c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9" t="n"/>
      <c r="BE26" s="322" t="inlineStr">
        <is>
          <t>Health Check</t>
        </is>
      </c>
      <c r="BF26" s="321" t="n"/>
      <c r="BG26" s="321" t="n"/>
      <c r="BH26" s="321" t="n"/>
      <c r="BI26" s="321" t="n"/>
      <c r="BJ26" s="321" t="n"/>
      <c r="BK26" s="321" t="n"/>
      <c r="BL26" s="321" t="n"/>
      <c r="BM26" s="321" t="n"/>
      <c r="BN26" s="321" t="n"/>
      <c r="BO26" s="321" t="n"/>
      <c r="BP26" s="321" t="n"/>
      <c r="BQ26" s="321" t="n"/>
      <c r="BR26" s="323" t="n"/>
      <c r="BS26" s="39" t="n"/>
      <c r="BT26" s="237" t="inlineStr">
        <is>
          <t>Wheelo Ratings</t>
        </is>
      </c>
      <c r="BU26" s="321" t="n"/>
      <c r="BV26" s="321" t="n"/>
      <c r="BW26" s="321" t="n"/>
      <c r="BX26" s="321" t="n"/>
      <c r="BY26" s="324" t="n"/>
      <c r="BZ26" s="70" t="n"/>
    </row>
    <row r="27" ht="69" customHeight="1" thickBot="1">
      <c r="A27" s="325" t="n"/>
      <c r="B27" s="21" t="inlineStr">
        <is>
          <t>Post Clear CP Diff</t>
        </is>
      </c>
      <c r="C27" s="20" t="inlineStr">
        <is>
          <t>Rank</t>
        </is>
      </c>
      <c r="D27" s="20" t="inlineStr">
        <is>
          <t>Ground Ball Diff</t>
        </is>
      </c>
      <c r="E27" s="20" t="inlineStr">
        <is>
          <t>Rank</t>
        </is>
      </c>
      <c r="F27" s="20" t="inlineStr">
        <is>
          <t>1st Poss to Clear %</t>
        </is>
      </c>
      <c r="G27" s="20" t="inlineStr">
        <is>
          <t>Rank</t>
        </is>
      </c>
      <c r="H27" s="20" t="inlineStr">
        <is>
          <t>Clearance Diff</t>
        </is>
      </c>
      <c r="I27" s="29" t="inlineStr">
        <is>
          <t>Rank</t>
        </is>
      </c>
      <c r="J27" s="27" t="inlineStr">
        <is>
          <t>Ball Winning Ranking</t>
        </is>
      </c>
      <c r="K27" s="28" t="inlineStr">
        <is>
          <t>Rank</t>
        </is>
      </c>
      <c r="L27" s="40" t="n"/>
      <c r="M27" s="19" t="inlineStr">
        <is>
          <t>Def Half to Score %</t>
        </is>
      </c>
      <c r="N27" s="8" t="inlineStr">
        <is>
          <t>Rank</t>
        </is>
      </c>
      <c r="O27" s="8" t="inlineStr">
        <is>
          <t>Chain to Score %</t>
        </is>
      </c>
      <c r="P27" s="8" t="inlineStr">
        <is>
          <t>Rank</t>
        </is>
      </c>
      <c r="Q27" s="8" t="inlineStr">
        <is>
          <t>D50 to F50 %</t>
        </is>
      </c>
      <c r="R27" s="8" t="inlineStr">
        <is>
          <t>Rank</t>
        </is>
      </c>
      <c r="S27" s="8" t="inlineStr">
        <is>
          <t>Kick Rating</t>
        </is>
      </c>
      <c r="T27" s="9" t="inlineStr">
        <is>
          <t>Rank</t>
        </is>
      </c>
      <c r="U27" s="30" t="inlineStr">
        <is>
          <t>Ball Movement Ranking</t>
        </is>
      </c>
      <c r="V27" s="31" t="inlineStr">
        <is>
          <t>Rank</t>
        </is>
      </c>
      <c r="W27" s="40" t="n"/>
      <c r="X27" s="41" t="inlineStr">
        <is>
          <t>Scores per I50 %</t>
        </is>
      </c>
      <c r="Y27" s="23" t="inlineStr">
        <is>
          <t>Rank</t>
        </is>
      </c>
      <c r="Z27" s="23" t="inlineStr">
        <is>
          <t>Goals Per I 50 %</t>
        </is>
      </c>
      <c r="AA27" s="23" t="inlineStr">
        <is>
          <t>Rank</t>
        </is>
      </c>
      <c r="AB27" s="23" t="inlineStr">
        <is>
          <t>Accuracy %</t>
        </is>
      </c>
      <c r="AC27" s="23" t="inlineStr">
        <is>
          <t>Rank</t>
        </is>
      </c>
      <c r="AD27" s="42" t="inlineStr">
        <is>
          <t>+/- Exp Score</t>
        </is>
      </c>
      <c r="AE27" s="43" t="inlineStr">
        <is>
          <t>Rank</t>
        </is>
      </c>
      <c r="AF27" s="44" t="inlineStr">
        <is>
          <t>Scoring Ranking</t>
        </is>
      </c>
      <c r="AG27" s="45" t="inlineStr">
        <is>
          <t>Rank</t>
        </is>
      </c>
      <c r="AH27" s="40" t="n"/>
      <c r="AI27" s="13" t="inlineStr">
        <is>
          <t>Def Half to Score Ag %</t>
        </is>
      </c>
      <c r="AJ27" s="14" t="inlineStr">
        <is>
          <t>Rank</t>
        </is>
      </c>
      <c r="AK27" s="14" t="inlineStr">
        <is>
          <t>Chain to Score Ag %</t>
        </is>
      </c>
      <c r="AL27" s="14" t="inlineStr">
        <is>
          <t>Rank</t>
        </is>
      </c>
      <c r="AM27" s="14" t="inlineStr">
        <is>
          <t>D50 to F50 Ag %</t>
        </is>
      </c>
      <c r="AN27" s="14" t="inlineStr">
        <is>
          <t>Rank</t>
        </is>
      </c>
      <c r="AO27" s="14" t="inlineStr">
        <is>
          <t>Goals Per I50 Ag %</t>
        </is>
      </c>
      <c r="AP27" s="15" t="inlineStr">
        <is>
          <t>Rank</t>
        </is>
      </c>
      <c r="AQ27" s="33" t="inlineStr">
        <is>
          <t>Defence Ranking</t>
        </is>
      </c>
      <c r="AR27" s="34" t="inlineStr">
        <is>
          <t>Rank</t>
        </is>
      </c>
      <c r="AS27" s="40" t="n"/>
      <c r="AT27" s="183" t="inlineStr">
        <is>
          <t>Tackle Diff</t>
        </is>
      </c>
      <c r="AU27" s="184" t="inlineStr">
        <is>
          <t>Rank</t>
        </is>
      </c>
      <c r="AV27" s="184" t="inlineStr">
        <is>
          <t>F50 Tackles</t>
        </is>
      </c>
      <c r="AW27" s="184" t="inlineStr">
        <is>
          <t>Rank</t>
        </is>
      </c>
      <c r="AX27" s="184" t="inlineStr">
        <is>
          <t>Pressure Acts</t>
        </is>
      </c>
      <c r="AY27" s="184" t="inlineStr">
        <is>
          <t>Rank</t>
        </is>
      </c>
      <c r="AZ27" s="184" t="inlineStr">
        <is>
          <t>1%'ers</t>
        </is>
      </c>
      <c r="BA27" s="185" t="inlineStr">
        <is>
          <t>Rank</t>
        </is>
      </c>
      <c r="BB27" s="186" t="inlineStr">
        <is>
          <t>Pressure Ranking</t>
        </is>
      </c>
      <c r="BC27" s="187" t="inlineStr">
        <is>
          <t>Rank</t>
        </is>
      </c>
      <c r="BD27" s="40" t="n"/>
      <c r="BE27" s="16" t="inlineStr">
        <is>
          <t>Score from Turnover For</t>
        </is>
      </c>
      <c r="BF27" s="17" t="inlineStr">
        <is>
          <t>Rank</t>
        </is>
      </c>
      <c r="BG27" s="17" t="inlineStr">
        <is>
          <t>Scores from Turnover Ag</t>
        </is>
      </c>
      <c r="BH27" s="17" t="inlineStr">
        <is>
          <t>Rank</t>
        </is>
      </c>
      <c r="BI27" s="17" t="inlineStr">
        <is>
          <t>Scores from Stoppages For</t>
        </is>
      </c>
      <c r="BJ27" s="17" t="inlineStr">
        <is>
          <t>Rank</t>
        </is>
      </c>
      <c r="BK27" s="17" t="inlineStr">
        <is>
          <t>Scores from Stoppage Ag</t>
        </is>
      </c>
      <c r="BL27" s="17" t="inlineStr">
        <is>
          <t>Rank</t>
        </is>
      </c>
      <c r="BM27" s="17" t="inlineStr">
        <is>
          <t>Territory %</t>
        </is>
      </c>
      <c r="BN27" s="17" t="inlineStr">
        <is>
          <t>Rank</t>
        </is>
      </c>
      <c r="BO27" s="17" t="inlineStr">
        <is>
          <t>Post-Clearance CP Diff</t>
        </is>
      </c>
      <c r="BP27" s="35" t="inlineStr">
        <is>
          <t>Rank</t>
        </is>
      </c>
      <c r="BQ27" s="36" t="inlineStr">
        <is>
          <t>Health Check Ranking</t>
        </is>
      </c>
      <c r="BR27" s="37" t="inlineStr">
        <is>
          <t>Rank</t>
        </is>
      </c>
      <c r="BS27" s="40" t="n"/>
      <c r="BT27" s="22" t="inlineStr">
        <is>
          <t>Attack Rating</t>
        </is>
      </c>
      <c r="BU27" s="23" t="inlineStr">
        <is>
          <t>Rank</t>
        </is>
      </c>
      <c r="BV27" s="23" t="inlineStr">
        <is>
          <t>Defence Rating</t>
        </is>
      </c>
      <c r="BW27" s="23" t="inlineStr">
        <is>
          <t>Rank</t>
        </is>
      </c>
      <c r="BX27" s="23" t="inlineStr">
        <is>
          <t>Overall Rating</t>
        </is>
      </c>
      <c r="BY27" s="24" t="inlineStr">
        <is>
          <t>Rank</t>
        </is>
      </c>
      <c r="BZ27" s="69" t="n"/>
    </row>
    <row r="28" ht="25" customHeight="1">
      <c r="A28" s="75" t="inlineStr">
        <is>
          <t>Adelaide</t>
        </is>
      </c>
      <c r="B28" s="46">
        <f>VLOOKUP($A28,'L10'!$A:$IZ,222,FALSE)</f>
        <v/>
      </c>
      <c r="C28" s="47">
        <f>RANK(B28,B$28:B$45)</f>
        <v/>
      </c>
      <c r="D28" s="48">
        <f>VLOOKUP($A28,'L10'!$A:$IZ,218,FALSE)</f>
        <v/>
      </c>
      <c r="E28" s="47">
        <f>RANK(D28,D$28:D$45)</f>
        <v/>
      </c>
      <c r="F28" s="48">
        <f>VLOOKUP($A28,'L10'!$A:$IZ,49,FALSE)</f>
        <v/>
      </c>
      <c r="G28" s="47">
        <f>RANK(F28,F$28:F$45)</f>
        <v/>
      </c>
      <c r="H28" s="48">
        <f>VLOOKUP($A28,'L10'!$A:$IZ,229,FALSE)</f>
        <v/>
      </c>
      <c r="I28" s="47">
        <f>RANK(H28,H$28:H$45)</f>
        <v/>
      </c>
      <c r="J28" s="49">
        <f>104-(C28+E28+G28+I28)</f>
        <v/>
      </c>
      <c r="K28" s="47">
        <f>RANK(J28,J$28:J$45)</f>
        <v/>
      </c>
      <c r="L28" s="50" t="n"/>
      <c r="M28" s="46">
        <f>VLOOKUP($A28,'L10'!$A:$IZ,88,FALSE)</f>
        <v/>
      </c>
      <c r="N28" s="47">
        <f>RANK(M28,M$28:M$45)</f>
        <v/>
      </c>
      <c r="O28" s="46">
        <f>VLOOKUP($A28,'L10'!$A:$IZ,84,FALSE)</f>
        <v/>
      </c>
      <c r="P28" s="47">
        <f>RANK(O28,O$28:O$45)</f>
        <v/>
      </c>
      <c r="Q28" s="46">
        <f>VLOOKUP($A28,'L10'!$A:$IZ,85,FALSE)</f>
        <v/>
      </c>
      <c r="R28" s="47">
        <f>RANK(Q28,Q$28:Q$45)</f>
        <v/>
      </c>
      <c r="S28" s="48">
        <f>VLOOKUP($A28,'L10'!$A:$IZ,29,FALSE)</f>
        <v/>
      </c>
      <c r="T28" s="47">
        <f>RANK(S28,S$28:S$45)</f>
        <v/>
      </c>
      <c r="U28" s="49">
        <f>104-(N28+P28+R28+T28)</f>
        <v/>
      </c>
      <c r="V28" s="47">
        <f>RANK(U28,U$28:U$45)</f>
        <v/>
      </c>
      <c r="W28" s="50" t="n"/>
      <c r="X28" s="46">
        <f>VLOOKUP($A28,'L10'!$A:$IZ,65,FALSE)</f>
        <v/>
      </c>
      <c r="Y28" s="47">
        <f>RANK(X28,X$28:X$45)</f>
        <v/>
      </c>
      <c r="Z28" s="46">
        <f>VLOOKUP($A28,'L10'!$A:$IZ,64,FALSE)</f>
        <v/>
      </c>
      <c r="AA28" s="47">
        <f>RANK(Z28,Z$28:Z$45)</f>
        <v/>
      </c>
      <c r="AB28" s="46">
        <f>VLOOKUP($A28,'L10'!$A:$IZ,63,FALSE)</f>
        <v/>
      </c>
      <c r="AC28" s="47">
        <f>RANK(AB28,AB$28:AB$45)</f>
        <v/>
      </c>
      <c r="AD28" s="46">
        <f>VLOOKUP($A28,'L10'!$A:$IZ,71,FALSE)</f>
        <v/>
      </c>
      <c r="AE28" s="47">
        <f>RANK(AD28,AD$28:AD$45)</f>
        <v/>
      </c>
      <c r="AF28" s="49">
        <f>104-(Y28+AA28+AC28+AE28)</f>
        <v/>
      </c>
      <c r="AG28" s="47">
        <f>RANK(AF28,AF$28:AF$45)</f>
        <v/>
      </c>
      <c r="AH28" s="50" t="n"/>
      <c r="AI28" s="46">
        <f>VLOOKUP($A28,'L10'!$A:$IZ,183,FALSE)</f>
        <v/>
      </c>
      <c r="AJ28" s="47">
        <f>RANK(AI28,AI$28:AI$45,1)</f>
        <v/>
      </c>
      <c r="AK28" s="46">
        <f>VLOOKUP($A28,'L10'!$A:$IZ,181,FALSE)</f>
        <v/>
      </c>
      <c r="AL28" s="47">
        <f>RANK(AK28,AK$28:AK$45,1)</f>
        <v/>
      </c>
      <c r="AM28" s="46">
        <f>VLOOKUP($A28,'L10'!$A:$IZ,182,FALSE)</f>
        <v/>
      </c>
      <c r="AN28" s="47">
        <f>RANK(AM28,AM$28:AM$45,1)</f>
        <v/>
      </c>
      <c r="AO28" s="46">
        <f>VLOOKUP($A28,'L10'!$A:$IZ,163,FALSE)</f>
        <v/>
      </c>
      <c r="AP28" s="47">
        <f>RANK(AO28,AO$28:AO$45,1)</f>
        <v/>
      </c>
      <c r="AQ28" s="49">
        <f>104-(AJ28+AL28+AN28+AP28)</f>
        <v/>
      </c>
      <c r="AR28" s="47">
        <f>RANK(AQ28,AQ$28:AQ$45)</f>
        <v/>
      </c>
      <c r="AS28" s="50" t="n"/>
      <c r="AT28" s="46">
        <f>VLOOKUP($A28,'L10'!$A:$IZ,250,FALSE)</f>
        <v/>
      </c>
      <c r="AU28" s="47">
        <f>RANK(AT28,AT$28:AT$45,0)</f>
        <v/>
      </c>
      <c r="AV28" s="46">
        <f>VLOOKUP($A28,'L10'!$A:$IZ,92,FALSE)</f>
        <v/>
      </c>
      <c r="AW28" s="47">
        <f>RANK(AV28,AV$28:AV$45,0)</f>
        <v/>
      </c>
      <c r="AX28" s="46">
        <f>VLOOKUP($A28,'L10'!$A:$IZ,93,FALSE)</f>
        <v/>
      </c>
      <c r="AY28" s="47">
        <f>RANK(AX28,AX$28:AX$45,0)</f>
        <v/>
      </c>
      <c r="AZ28" s="46">
        <f>VLOOKUP($A28,'L10'!$A:$IZ,108,FALSE)</f>
        <v/>
      </c>
      <c r="BA28" s="47">
        <f>RANK(AZ28,AZ$28:AZ$45,0)</f>
        <v/>
      </c>
      <c r="BB28" s="49">
        <f>104-(AU28+AW28+AY28+BA28)</f>
        <v/>
      </c>
      <c r="BC28" s="47">
        <f>RANK(BB28,BB$28:BB$45,0)</f>
        <v/>
      </c>
      <c r="BD28" s="50" t="n"/>
      <c r="BE28" s="46">
        <f>VLOOKUP($A28,'L10'!$A:$IZ,80,FALSE)</f>
        <v/>
      </c>
      <c r="BF28" s="47">
        <f>RANK(BE28,BE$28:BE$45)</f>
        <v/>
      </c>
      <c r="BG28" s="46">
        <f>VLOOKUP($A28,'L10'!$A:$IZ,177,FALSE)</f>
        <v/>
      </c>
      <c r="BH28" s="47">
        <f>RANK(BG28,BG$28:BG$45,1)</f>
        <v/>
      </c>
      <c r="BI28" s="46">
        <f>VLOOKUP($A28,'L10'!$A:$IZ,79,FALSE)</f>
        <v/>
      </c>
      <c r="BJ28" s="47">
        <f>RANK(BI28,BI$28:BI$45)</f>
        <v/>
      </c>
      <c r="BK28" s="46">
        <f>VLOOKUP($A28,'L10'!$A:$IZ,176,FALSE)</f>
        <v/>
      </c>
      <c r="BL28" s="47">
        <f>RANK(BK28,BK$28:BK$45,1)</f>
        <v/>
      </c>
      <c r="BM28" s="46">
        <f>VLOOKUP($A28,'L10'!$A:$IZ,11,FALSE)</f>
        <v/>
      </c>
      <c r="BN28" s="47">
        <f>RANK(BM28,BM$28:BM$45)</f>
        <v/>
      </c>
      <c r="BO28" s="46">
        <f>VLOOKUP($A28,'L10'!$A:$IZ,222,FALSE)</f>
        <v/>
      </c>
      <c r="BP28" s="47">
        <f>RANK(BO28,BO$28:BO$45)</f>
        <v/>
      </c>
      <c r="BQ28" s="49">
        <f>104-(BJ28+BL28+BN28+BP28)</f>
        <v/>
      </c>
      <c r="BR28" s="47">
        <f>RANK(BQ28,BQ$28:BQ$45)</f>
        <v/>
      </c>
      <c r="BS28" s="50" t="n"/>
      <c r="BT28" s="51">
        <f>VLOOKUP($A28,'Ratings Season'!$A:$M,8,FALSE)</f>
        <v/>
      </c>
      <c r="BU28" s="47">
        <f>RANK(BT28,BT$28:BT$45)</f>
        <v/>
      </c>
      <c r="BV28" s="51">
        <f>VLOOKUP($A28,'Ratings Season'!$A:$M,4,FALSE)</f>
        <v/>
      </c>
      <c r="BW28" s="47">
        <f>RANK(BV28,BV$28:BV$45)</f>
        <v/>
      </c>
      <c r="BX28" s="51">
        <f>VLOOKUP($A28,'Ratings Season'!$A:$M,2,FALSE)</f>
        <v/>
      </c>
      <c r="BY28" s="52">
        <f>RANK(BX28,BX$28:BX$45)</f>
        <v/>
      </c>
      <c r="BZ28" s="69" t="n"/>
    </row>
    <row r="29" ht="25" customHeight="1">
      <c r="A29" s="76" t="inlineStr">
        <is>
          <t>Brisbane</t>
        </is>
      </c>
      <c r="B29" s="53">
        <f>VLOOKUP($A29,'L10'!$A:$IZ,222,FALSE)</f>
        <v/>
      </c>
      <c r="C29" s="54">
        <f>RANK(B29,B$28:B$45)</f>
        <v/>
      </c>
      <c r="D29" s="55">
        <f>VLOOKUP($A29,'L10'!$A:$IZ,218,FALSE)</f>
        <v/>
      </c>
      <c r="E29" s="54">
        <f>RANK(D29,D$28:D$45)</f>
        <v/>
      </c>
      <c r="F29" s="55">
        <f>VLOOKUP($A29,'L10'!$A:$IZ,49,FALSE)</f>
        <v/>
      </c>
      <c r="G29" s="54">
        <f>RANK(F29,F$28:F$45)</f>
        <v/>
      </c>
      <c r="H29" s="55">
        <f>VLOOKUP($A29,'L10'!$A:$IZ,229,FALSE)</f>
        <v/>
      </c>
      <c r="I29" s="54">
        <f>RANK(H29,H$28:H$45)</f>
        <v/>
      </c>
      <c r="J29" s="49">
        <f>104-(C29+E29+G29+I29)</f>
        <v/>
      </c>
      <c r="K29" s="47">
        <f>RANK(J29,J$28:J$45)</f>
        <v/>
      </c>
      <c r="L29" s="56" t="n"/>
      <c r="M29" s="53">
        <f>VLOOKUP($A29,'L10'!$A:$IZ,88,FALSE)</f>
        <v/>
      </c>
      <c r="N29" s="54">
        <f>RANK(M29,M$28:M$45)</f>
        <v/>
      </c>
      <c r="O29" s="53">
        <f>VLOOKUP($A29,'L10'!$A:$IZ,84,FALSE)</f>
        <v/>
      </c>
      <c r="P29" s="54">
        <f>RANK(O29,O$28:O$45)</f>
        <v/>
      </c>
      <c r="Q29" s="53">
        <f>VLOOKUP($A29,'L10'!$A:$IZ,85,FALSE)</f>
        <v/>
      </c>
      <c r="R29" s="54">
        <f>RANK(Q29,Q$28:Q$45)</f>
        <v/>
      </c>
      <c r="S29" s="55">
        <f>VLOOKUP($A29,'L10'!$A:$IZ,29,FALSE)</f>
        <v/>
      </c>
      <c r="T29" s="54">
        <f>RANK(S29,S$28:S$45)</f>
        <v/>
      </c>
      <c r="U29" s="49">
        <f>104-(N29+P29+R29+T29)</f>
        <v/>
      </c>
      <c r="V29" s="47">
        <f>RANK(U29,U$28:U$45)</f>
        <v/>
      </c>
      <c r="W29" s="56" t="n"/>
      <c r="X29" s="53">
        <f>VLOOKUP($A29,'L10'!$A:$IZ,65,FALSE)</f>
        <v/>
      </c>
      <c r="Y29" s="54">
        <f>RANK(X29,X$28:X$45)</f>
        <v/>
      </c>
      <c r="Z29" s="53">
        <f>VLOOKUP($A29,'L10'!$A:$IZ,64,FALSE)</f>
        <v/>
      </c>
      <c r="AA29" s="54">
        <f>RANK(Z29,Z$28:Z$45)</f>
        <v/>
      </c>
      <c r="AB29" s="53">
        <f>VLOOKUP($A29,'L10'!$A:$IZ,63,FALSE)</f>
        <v/>
      </c>
      <c r="AC29" s="54">
        <f>RANK(AB29,AB$28:AB$45)</f>
        <v/>
      </c>
      <c r="AD29" s="53">
        <f>VLOOKUP($A29,'L10'!$A:$IZ,71,FALSE)</f>
        <v/>
      </c>
      <c r="AE29" s="54">
        <f>RANK(AD29,AD$28:AD$45)</f>
        <v/>
      </c>
      <c r="AF29" s="65">
        <f>104-(Y29+AA29+AC29+AE29)</f>
        <v/>
      </c>
      <c r="AG29" s="47">
        <f>RANK(AF29,AF$28:AF$45)</f>
        <v/>
      </c>
      <c r="AH29" s="56" t="n"/>
      <c r="AI29" s="53">
        <f>VLOOKUP($A29,'L10'!$A:$IZ,183,FALSE)</f>
        <v/>
      </c>
      <c r="AJ29" s="54">
        <f>RANK(AI29,AI$28:AI$45,1)</f>
        <v/>
      </c>
      <c r="AK29" s="53">
        <f>VLOOKUP($A29,'L10'!$A:$IZ,181,FALSE)</f>
        <v/>
      </c>
      <c r="AL29" s="54">
        <f>RANK(AK29,AK$28:AK$45,1)</f>
        <v/>
      </c>
      <c r="AM29" s="53">
        <f>VLOOKUP($A29,'L10'!$A:$IZ,182,FALSE)</f>
        <v/>
      </c>
      <c r="AN29" s="54">
        <f>RANK(AM29,AM$28:AM$45,1)</f>
        <v/>
      </c>
      <c r="AO29" s="53">
        <f>VLOOKUP($A29,'L10'!$A:$IZ,163,FALSE)</f>
        <v/>
      </c>
      <c r="AP29" s="54">
        <f>RANK(AO29,AO$28:AO$45,1)</f>
        <v/>
      </c>
      <c r="AQ29" s="65">
        <f>104-(AJ29+AL29+AN29+AP29)</f>
        <v/>
      </c>
      <c r="AR29" s="47">
        <f>RANK(AQ29,AQ$28:AQ$45)</f>
        <v/>
      </c>
      <c r="AS29" s="56" t="n"/>
      <c r="AT29" s="46">
        <f>VLOOKUP($A29,'L10'!$A:$IZ,250,FALSE)</f>
        <v/>
      </c>
      <c r="AU29" s="47">
        <f>RANK(AT29,AT$28:AT$45,0)</f>
        <v/>
      </c>
      <c r="AV29" s="46">
        <f>VLOOKUP($A29,'L10'!$A:$IZ,92,FALSE)</f>
        <v/>
      </c>
      <c r="AW29" s="47">
        <f>RANK(AV29,AV$28:AV$45,0)</f>
        <v/>
      </c>
      <c r="AX29" s="46">
        <f>VLOOKUP($A29,'L10'!$A:$IZ,93,FALSE)</f>
        <v/>
      </c>
      <c r="AY29" s="47">
        <f>RANK(AX29,AX$28:AX$45,0)</f>
        <v/>
      </c>
      <c r="AZ29" s="46">
        <f>VLOOKUP($A29,'L10'!$A:$IZ,108,FALSE)</f>
        <v/>
      </c>
      <c r="BA29" s="47">
        <f>RANK(AZ29,AZ$28:AZ$45,0)</f>
        <v/>
      </c>
      <c r="BB29" s="49">
        <f>104-(AU29+AW29+AY29+BA29)</f>
        <v/>
      </c>
      <c r="BC29" s="47">
        <f>RANK(BB29,BB$28:BB$45,0)</f>
        <v/>
      </c>
      <c r="BD29" s="56" t="n"/>
      <c r="BE29" s="53">
        <f>VLOOKUP($A29,'L10'!$A:$IZ,80,FALSE)</f>
        <v/>
      </c>
      <c r="BF29" s="54">
        <f>RANK(BE29,BE$28:BE$45)</f>
        <v/>
      </c>
      <c r="BG29" s="53">
        <f>VLOOKUP($A29,'L10'!$A:$IZ,177,FALSE)</f>
        <v/>
      </c>
      <c r="BH29" s="54">
        <f>RANK(BG29,BG$28:BG$45,1)</f>
        <v/>
      </c>
      <c r="BI29" s="53">
        <f>VLOOKUP($A29,'L10'!$A:$IZ,79,FALSE)</f>
        <v/>
      </c>
      <c r="BJ29" s="54">
        <f>RANK(BI29,BI$28:BI$45)</f>
        <v/>
      </c>
      <c r="BK29" s="53">
        <f>VLOOKUP($A29,'L10'!$A:$IZ,176,FALSE)</f>
        <v/>
      </c>
      <c r="BL29" s="54">
        <f>RANK(BK29,BK$28:BK$45,1)</f>
        <v/>
      </c>
      <c r="BM29" s="53">
        <f>VLOOKUP($A29,'L10'!$A:$IZ,11,FALSE)</f>
        <v/>
      </c>
      <c r="BN29" s="54">
        <f>RANK(BM29,BM$28:BM$45)</f>
        <v/>
      </c>
      <c r="BO29" s="53">
        <f>VLOOKUP($A29,'L10'!$A:$IZ,222,FALSE)</f>
        <v/>
      </c>
      <c r="BP29" s="54">
        <f>RANK(BO29,BO$28:BO$45)</f>
        <v/>
      </c>
      <c r="BQ29" s="65">
        <f>104-(BJ29+BL29+BN29+BP29)</f>
        <v/>
      </c>
      <c r="BR29" s="47">
        <f>RANK(BQ29,BQ$28:BQ$45)</f>
        <v/>
      </c>
      <c r="BS29" s="56" t="n"/>
      <c r="BT29" s="57">
        <f>VLOOKUP($A29,'Ratings Season'!$A:$M,8,FALSE)</f>
        <v/>
      </c>
      <c r="BU29" s="54">
        <f>RANK(BT29,BT$28:BT$45)</f>
        <v/>
      </c>
      <c r="BV29" s="57">
        <f>VLOOKUP($A29,'Ratings Season'!$A:$M,4,FALSE)</f>
        <v/>
      </c>
      <c r="BW29" s="54">
        <f>RANK(BV29,BV$28:BV$45)</f>
        <v/>
      </c>
      <c r="BX29" s="57">
        <f>VLOOKUP($A29,'Ratings Season'!$A:$M,2,FALSE)</f>
        <v/>
      </c>
      <c r="BY29" s="58">
        <f>RANK(BX29,BX$28:BX$45)</f>
        <v/>
      </c>
      <c r="BZ29" s="69" t="n"/>
    </row>
    <row r="30" ht="25" customHeight="1">
      <c r="A30" s="77" t="inlineStr">
        <is>
          <t>Carlton</t>
        </is>
      </c>
      <c r="B30" s="53">
        <f>VLOOKUP($A30,'L10'!$A:$IZ,222,FALSE)</f>
        <v/>
      </c>
      <c r="C30" s="54">
        <f>RANK(B30,B$28:B$45)</f>
        <v/>
      </c>
      <c r="D30" s="55">
        <f>VLOOKUP($A30,'L10'!$A:$IZ,218,FALSE)</f>
        <v/>
      </c>
      <c r="E30" s="54">
        <f>RANK(D30,D$28:D$45)</f>
        <v/>
      </c>
      <c r="F30" s="55">
        <f>VLOOKUP($A30,'L10'!$A:$IZ,49,FALSE)</f>
        <v/>
      </c>
      <c r="G30" s="54">
        <f>RANK(F30,F$28:F$45)</f>
        <v/>
      </c>
      <c r="H30" s="55">
        <f>VLOOKUP($A30,'L10'!$A:$IZ,229,FALSE)</f>
        <v/>
      </c>
      <c r="I30" s="54">
        <f>RANK(H30,H$28:H$45)</f>
        <v/>
      </c>
      <c r="J30" s="49">
        <f>104-(C30+E30+G30+I30)</f>
        <v/>
      </c>
      <c r="K30" s="47">
        <f>RANK(J30,J$28:J$45)</f>
        <v/>
      </c>
      <c r="L30" s="56" t="n"/>
      <c r="M30" s="53">
        <f>VLOOKUP($A30,'L10'!$A:$IZ,88,FALSE)</f>
        <v/>
      </c>
      <c r="N30" s="54">
        <f>RANK(M30,M$28:M$45)</f>
        <v/>
      </c>
      <c r="O30" s="53">
        <f>VLOOKUP($A30,'L10'!$A:$IZ,84,FALSE)</f>
        <v/>
      </c>
      <c r="P30" s="54">
        <f>RANK(O30,O$28:O$45)</f>
        <v/>
      </c>
      <c r="Q30" s="53">
        <f>VLOOKUP($A30,'L10'!$A:$IZ,85,FALSE)</f>
        <v/>
      </c>
      <c r="R30" s="54">
        <f>RANK(Q30,Q$28:Q$45)</f>
        <v/>
      </c>
      <c r="S30" s="55">
        <f>VLOOKUP($A30,'L10'!$A:$IZ,29,FALSE)</f>
        <v/>
      </c>
      <c r="T30" s="54">
        <f>RANK(S30,S$28:S$45)</f>
        <v/>
      </c>
      <c r="U30" s="49">
        <f>104-(N30+P30+R30+T30)</f>
        <v/>
      </c>
      <c r="V30" s="47">
        <f>RANK(U30,U$28:U$45)</f>
        <v/>
      </c>
      <c r="W30" s="56" t="n"/>
      <c r="X30" s="53">
        <f>VLOOKUP($A30,'L10'!$A:$IZ,65,FALSE)</f>
        <v/>
      </c>
      <c r="Y30" s="54">
        <f>RANK(X30,X$28:X$45)</f>
        <v/>
      </c>
      <c r="Z30" s="53">
        <f>VLOOKUP($A30,'L10'!$A:$IZ,64,FALSE)</f>
        <v/>
      </c>
      <c r="AA30" s="54">
        <f>RANK(Z30,Z$28:Z$45)</f>
        <v/>
      </c>
      <c r="AB30" s="53">
        <f>VLOOKUP($A30,'L10'!$A:$IZ,63,FALSE)</f>
        <v/>
      </c>
      <c r="AC30" s="54">
        <f>RANK(AB30,AB$28:AB$45)</f>
        <v/>
      </c>
      <c r="AD30" s="53">
        <f>VLOOKUP($A30,'L10'!$A:$IZ,71,FALSE)</f>
        <v/>
      </c>
      <c r="AE30" s="54">
        <f>RANK(AD30,AD$28:AD$45)</f>
        <v/>
      </c>
      <c r="AF30" s="65">
        <f>104-(Y30+AA30+AC30+AE30)</f>
        <v/>
      </c>
      <c r="AG30" s="47">
        <f>RANK(AF30,AF$28:AF$45)</f>
        <v/>
      </c>
      <c r="AH30" s="56" t="n"/>
      <c r="AI30" s="53">
        <f>VLOOKUP($A30,'L10'!$A:$IZ,183,FALSE)</f>
        <v/>
      </c>
      <c r="AJ30" s="54">
        <f>RANK(AI30,AI$28:AI$45,1)</f>
        <v/>
      </c>
      <c r="AK30" s="53">
        <f>VLOOKUP($A30,'L10'!$A:$IZ,181,FALSE)</f>
        <v/>
      </c>
      <c r="AL30" s="54">
        <f>RANK(AK30,AK$28:AK$45,1)</f>
        <v/>
      </c>
      <c r="AM30" s="53">
        <f>VLOOKUP($A30,'L10'!$A:$IZ,182,FALSE)</f>
        <v/>
      </c>
      <c r="AN30" s="54">
        <f>RANK(AM30,AM$28:AM$45,1)</f>
        <v/>
      </c>
      <c r="AO30" s="53">
        <f>VLOOKUP($A30,'L10'!$A:$IZ,163,FALSE)</f>
        <v/>
      </c>
      <c r="AP30" s="54">
        <f>RANK(AO30,AO$28:AO$45,1)</f>
        <v/>
      </c>
      <c r="AQ30" s="65">
        <f>104-(AJ30+AL30+AN30+AP30)</f>
        <v/>
      </c>
      <c r="AR30" s="47">
        <f>RANK(AQ30,AQ$28:AQ$45)</f>
        <v/>
      </c>
      <c r="AS30" s="56" t="n"/>
      <c r="AT30" s="46">
        <f>VLOOKUP($A30,'L10'!$A:$IZ,250,FALSE)</f>
        <v/>
      </c>
      <c r="AU30" s="47">
        <f>RANK(AT30,AT$28:AT$45,0)</f>
        <v/>
      </c>
      <c r="AV30" s="46">
        <f>VLOOKUP($A30,'L10'!$A:$IZ,92,FALSE)</f>
        <v/>
      </c>
      <c r="AW30" s="47">
        <f>RANK(AV30,AV$28:AV$45,0)</f>
        <v/>
      </c>
      <c r="AX30" s="46">
        <f>VLOOKUP($A30,'L10'!$A:$IZ,93,FALSE)</f>
        <v/>
      </c>
      <c r="AY30" s="47">
        <f>RANK(AX30,AX$28:AX$45,0)</f>
        <v/>
      </c>
      <c r="AZ30" s="46">
        <f>VLOOKUP($A30,'L10'!$A:$IZ,108,FALSE)</f>
        <v/>
      </c>
      <c r="BA30" s="47">
        <f>RANK(AZ30,AZ$28:AZ$45,0)</f>
        <v/>
      </c>
      <c r="BB30" s="49">
        <f>104-(AU30+AW30+AY30+BA30)</f>
        <v/>
      </c>
      <c r="BC30" s="47">
        <f>RANK(BB30,BB$28:BB$45,0)</f>
        <v/>
      </c>
      <c r="BD30" s="56" t="n"/>
      <c r="BE30" s="53">
        <f>VLOOKUP($A30,'L10'!$A:$IZ,80,FALSE)</f>
        <v/>
      </c>
      <c r="BF30" s="54">
        <f>RANK(BE30,BE$28:BE$45)</f>
        <v/>
      </c>
      <c r="BG30" s="53">
        <f>VLOOKUP($A30,'L10'!$A:$IZ,177,FALSE)</f>
        <v/>
      </c>
      <c r="BH30" s="54">
        <f>RANK(BG30,BG$28:BG$45,1)</f>
        <v/>
      </c>
      <c r="BI30" s="53">
        <f>VLOOKUP($A30,'L10'!$A:$IZ,79,FALSE)</f>
        <v/>
      </c>
      <c r="BJ30" s="54">
        <f>RANK(BI30,BI$28:BI$45)</f>
        <v/>
      </c>
      <c r="BK30" s="53">
        <f>VLOOKUP($A30,'L10'!$A:$IZ,176,FALSE)</f>
        <v/>
      </c>
      <c r="BL30" s="54">
        <f>RANK(BK30,BK$28:BK$45,1)</f>
        <v/>
      </c>
      <c r="BM30" s="53">
        <f>VLOOKUP($A30,'L10'!$A:$IZ,11,FALSE)</f>
        <v/>
      </c>
      <c r="BN30" s="54">
        <f>RANK(BM30,BM$28:BM$45)</f>
        <v/>
      </c>
      <c r="BO30" s="53">
        <f>VLOOKUP($A30,'L10'!$A:$IZ,222,FALSE)</f>
        <v/>
      </c>
      <c r="BP30" s="54">
        <f>RANK(BO30,BO$28:BO$45)</f>
        <v/>
      </c>
      <c r="BQ30" s="65">
        <f>104-(BJ30+BL30+BN30+BP30)</f>
        <v/>
      </c>
      <c r="BR30" s="47">
        <f>RANK(BQ30,BQ$28:BQ$45)</f>
        <v/>
      </c>
      <c r="BS30" s="56" t="n"/>
      <c r="BT30" s="57">
        <f>VLOOKUP($A30,'Ratings Season'!$A:$M,8,FALSE)</f>
        <v/>
      </c>
      <c r="BU30" s="54">
        <f>RANK(BT30,BT$28:BT$45)</f>
        <v/>
      </c>
      <c r="BV30" s="57">
        <f>VLOOKUP($A30,'Ratings Season'!$A:$M,4,FALSE)</f>
        <v/>
      </c>
      <c r="BW30" s="54">
        <f>RANK(BV30,BV$28:BV$45)</f>
        <v/>
      </c>
      <c r="BX30" s="57">
        <f>VLOOKUP($A30,'Ratings Season'!$A:$M,2,FALSE)</f>
        <v/>
      </c>
      <c r="BY30" s="58">
        <f>RANK(BX30,BX$28:BX$45)</f>
        <v/>
      </c>
      <c r="BZ30" s="69" t="n"/>
    </row>
    <row r="31" ht="25" customHeight="1">
      <c r="A31" s="78" t="inlineStr">
        <is>
          <t>Collingwood</t>
        </is>
      </c>
      <c r="B31" s="53">
        <f>VLOOKUP($A31,'L10'!$A:$IZ,222,FALSE)</f>
        <v/>
      </c>
      <c r="C31" s="54">
        <f>RANK(B31,B$28:B$45)</f>
        <v/>
      </c>
      <c r="D31" s="55">
        <f>VLOOKUP($A31,'L10'!$A:$IZ,218,FALSE)</f>
        <v/>
      </c>
      <c r="E31" s="54">
        <f>RANK(D31,D$28:D$45)</f>
        <v/>
      </c>
      <c r="F31" s="55">
        <f>VLOOKUP($A31,'L10'!$A:$IZ,49,FALSE)</f>
        <v/>
      </c>
      <c r="G31" s="54">
        <f>RANK(F31,F$28:F$45)</f>
        <v/>
      </c>
      <c r="H31" s="55">
        <f>VLOOKUP($A31,'L10'!$A:$IZ,229,FALSE)</f>
        <v/>
      </c>
      <c r="I31" s="54">
        <f>RANK(H31,H$28:H$45)</f>
        <v/>
      </c>
      <c r="J31" s="49">
        <f>104-(C31+E31+G31+I31)</f>
        <v/>
      </c>
      <c r="K31" s="47">
        <f>RANK(J31,J$28:J$45)</f>
        <v/>
      </c>
      <c r="L31" s="56" t="n"/>
      <c r="M31" s="53">
        <f>VLOOKUP($A31,'L10'!$A:$IZ,88,FALSE)</f>
        <v/>
      </c>
      <c r="N31" s="54">
        <f>RANK(M31,M$28:M$45)</f>
        <v/>
      </c>
      <c r="O31" s="53">
        <f>VLOOKUP($A31,'L10'!$A:$IZ,84,FALSE)</f>
        <v/>
      </c>
      <c r="P31" s="54">
        <f>RANK(O31,O$28:O$45)</f>
        <v/>
      </c>
      <c r="Q31" s="53">
        <f>VLOOKUP($A31,'L10'!$A:$IZ,85,FALSE)</f>
        <v/>
      </c>
      <c r="R31" s="54">
        <f>RANK(Q31,Q$28:Q$45)</f>
        <v/>
      </c>
      <c r="S31" s="55">
        <f>VLOOKUP($A31,'L10'!$A:$IZ,29,FALSE)</f>
        <v/>
      </c>
      <c r="T31" s="54">
        <f>RANK(S31,S$28:S$45)</f>
        <v/>
      </c>
      <c r="U31" s="49">
        <f>104-(N31+P31+R31+T31)</f>
        <v/>
      </c>
      <c r="V31" s="47">
        <f>RANK(U31,U$28:U$45)</f>
        <v/>
      </c>
      <c r="W31" s="56" t="n"/>
      <c r="X31" s="53">
        <f>VLOOKUP($A31,'L10'!$A:$IZ,65,FALSE)</f>
        <v/>
      </c>
      <c r="Y31" s="54">
        <f>RANK(X31,X$28:X$45)</f>
        <v/>
      </c>
      <c r="Z31" s="53">
        <f>VLOOKUP($A31,'L10'!$A:$IZ,64,FALSE)</f>
        <v/>
      </c>
      <c r="AA31" s="54">
        <f>RANK(Z31,Z$28:Z$45)</f>
        <v/>
      </c>
      <c r="AB31" s="53">
        <f>VLOOKUP($A31,'L10'!$A:$IZ,63,FALSE)</f>
        <v/>
      </c>
      <c r="AC31" s="54">
        <f>RANK(AB31,AB$28:AB$45)</f>
        <v/>
      </c>
      <c r="AD31" s="53">
        <f>VLOOKUP($A31,'L10'!$A:$IZ,71,FALSE)</f>
        <v/>
      </c>
      <c r="AE31" s="54">
        <f>RANK(AD31,AD$28:AD$45)</f>
        <v/>
      </c>
      <c r="AF31" s="65">
        <f>104-(Y31+AA31+AC31+AE31)</f>
        <v/>
      </c>
      <c r="AG31" s="47">
        <f>RANK(AF31,AF$28:AF$45)</f>
        <v/>
      </c>
      <c r="AH31" s="56" t="n"/>
      <c r="AI31" s="53">
        <f>VLOOKUP($A31,'L10'!$A:$IZ,183,FALSE)</f>
        <v/>
      </c>
      <c r="AJ31" s="54">
        <f>RANK(AI31,AI$28:AI$45,1)</f>
        <v/>
      </c>
      <c r="AK31" s="53">
        <f>VLOOKUP($A31,'L10'!$A:$IZ,181,FALSE)</f>
        <v/>
      </c>
      <c r="AL31" s="54">
        <f>RANK(AK31,AK$28:AK$45,1)</f>
        <v/>
      </c>
      <c r="AM31" s="53">
        <f>VLOOKUP($A31,'L10'!$A:$IZ,182,FALSE)</f>
        <v/>
      </c>
      <c r="AN31" s="54">
        <f>RANK(AM31,AM$28:AM$45,1)</f>
        <v/>
      </c>
      <c r="AO31" s="53">
        <f>VLOOKUP($A31,'L10'!$A:$IZ,163,FALSE)</f>
        <v/>
      </c>
      <c r="AP31" s="54">
        <f>RANK(AO31,AO$28:AO$45,1)</f>
        <v/>
      </c>
      <c r="AQ31" s="65">
        <f>104-(AJ31+AL31+AN31+AP31)</f>
        <v/>
      </c>
      <c r="AR31" s="47">
        <f>RANK(AQ31,AQ$28:AQ$45)</f>
        <v/>
      </c>
      <c r="AS31" s="56" t="n"/>
      <c r="AT31" s="46">
        <f>VLOOKUP($A31,'L10'!$A:$IZ,250,FALSE)</f>
        <v/>
      </c>
      <c r="AU31" s="47">
        <f>RANK(AT31,AT$28:AT$45,0)</f>
        <v/>
      </c>
      <c r="AV31" s="46">
        <f>VLOOKUP($A31,'L10'!$A:$IZ,92,FALSE)</f>
        <v/>
      </c>
      <c r="AW31" s="47">
        <f>RANK(AV31,AV$28:AV$45,0)</f>
        <v/>
      </c>
      <c r="AX31" s="46">
        <f>VLOOKUP($A31,'L10'!$A:$IZ,93,FALSE)</f>
        <v/>
      </c>
      <c r="AY31" s="47">
        <f>RANK(AX31,AX$28:AX$45,0)</f>
        <v/>
      </c>
      <c r="AZ31" s="46">
        <f>VLOOKUP($A31,'L10'!$A:$IZ,108,FALSE)</f>
        <v/>
      </c>
      <c r="BA31" s="47">
        <f>RANK(AZ31,AZ$28:AZ$45,0)</f>
        <v/>
      </c>
      <c r="BB31" s="49">
        <f>104-(AU31+AW31+AY31+BA31)</f>
        <v/>
      </c>
      <c r="BC31" s="47">
        <f>RANK(BB31,BB$28:BB$45,0)</f>
        <v/>
      </c>
      <c r="BD31" s="56" t="n"/>
      <c r="BE31" s="53">
        <f>VLOOKUP($A31,'L10'!$A:$IZ,80,FALSE)</f>
        <v/>
      </c>
      <c r="BF31" s="54">
        <f>RANK(BE31,BE$28:BE$45)</f>
        <v/>
      </c>
      <c r="BG31" s="53">
        <f>VLOOKUP($A31,'L10'!$A:$IZ,177,FALSE)</f>
        <v/>
      </c>
      <c r="BH31" s="54">
        <f>RANK(BG31,BG$28:BG$45,1)</f>
        <v/>
      </c>
      <c r="BI31" s="53">
        <f>VLOOKUP($A31,'L10'!$A:$IZ,79,FALSE)</f>
        <v/>
      </c>
      <c r="BJ31" s="54">
        <f>RANK(BI31,BI$28:BI$45)</f>
        <v/>
      </c>
      <c r="BK31" s="53">
        <f>VLOOKUP($A31,'L10'!$A:$IZ,176,FALSE)</f>
        <v/>
      </c>
      <c r="BL31" s="54">
        <f>RANK(BK31,BK$28:BK$45,1)</f>
        <v/>
      </c>
      <c r="BM31" s="53">
        <f>VLOOKUP($A31,'L10'!$A:$IZ,11,FALSE)</f>
        <v/>
      </c>
      <c r="BN31" s="54">
        <f>RANK(BM31,BM$28:BM$45)</f>
        <v/>
      </c>
      <c r="BO31" s="53">
        <f>VLOOKUP($A31,'L10'!$A:$IZ,222,FALSE)</f>
        <v/>
      </c>
      <c r="BP31" s="54">
        <f>RANK(BO31,BO$28:BO$45)</f>
        <v/>
      </c>
      <c r="BQ31" s="65">
        <f>104-(BJ31+BL31+BN31+BP31)</f>
        <v/>
      </c>
      <c r="BR31" s="47">
        <f>RANK(BQ31,BQ$28:BQ$45)</f>
        <v/>
      </c>
      <c r="BS31" s="56" t="n"/>
      <c r="BT31" s="57">
        <f>VLOOKUP($A31,'Ratings Season'!$A:$M,8,FALSE)</f>
        <v/>
      </c>
      <c r="BU31" s="54">
        <f>RANK(BT31,BT$28:BT$45)</f>
        <v/>
      </c>
      <c r="BV31" s="57">
        <f>VLOOKUP($A31,'Ratings Season'!$A:$M,4,FALSE)</f>
        <v/>
      </c>
      <c r="BW31" s="54">
        <f>RANK(BV31,BV$28:BV$45)</f>
        <v/>
      </c>
      <c r="BX31" s="57">
        <f>VLOOKUP($A31,'Ratings Season'!$A:$M,2,FALSE)</f>
        <v/>
      </c>
      <c r="BY31" s="58">
        <f>RANK(BX31,BX$28:BX$45)</f>
        <v/>
      </c>
      <c r="BZ31" s="69" t="n"/>
    </row>
    <row r="32" ht="25" customHeight="1">
      <c r="A32" s="79" t="inlineStr">
        <is>
          <t>Essendon</t>
        </is>
      </c>
      <c r="B32" s="53">
        <f>VLOOKUP($A32,'L10'!$A:$IZ,222,FALSE)</f>
        <v/>
      </c>
      <c r="C32" s="54">
        <f>RANK(B32,B$28:B$45)</f>
        <v/>
      </c>
      <c r="D32" s="55">
        <f>VLOOKUP($A32,'L10'!$A:$IZ,218,FALSE)</f>
        <v/>
      </c>
      <c r="E32" s="54">
        <f>RANK(D32,D$28:D$45)</f>
        <v/>
      </c>
      <c r="F32" s="55">
        <f>VLOOKUP($A32,'L10'!$A:$IZ,49,FALSE)</f>
        <v/>
      </c>
      <c r="G32" s="54">
        <f>RANK(F32,F$28:F$45)</f>
        <v/>
      </c>
      <c r="H32" s="55">
        <f>VLOOKUP($A32,'L10'!$A:$IZ,229,FALSE)</f>
        <v/>
      </c>
      <c r="I32" s="54">
        <f>RANK(H32,H$28:H$45)</f>
        <v/>
      </c>
      <c r="J32" s="49">
        <f>104-(C32+E32+G32+I32)</f>
        <v/>
      </c>
      <c r="K32" s="47">
        <f>RANK(J32,J$28:J$45)</f>
        <v/>
      </c>
      <c r="L32" s="56" t="n"/>
      <c r="M32" s="53">
        <f>VLOOKUP($A32,'L10'!$A:$IZ,88,FALSE)</f>
        <v/>
      </c>
      <c r="N32" s="54">
        <f>RANK(M32,M$28:M$45)</f>
        <v/>
      </c>
      <c r="O32" s="53">
        <f>VLOOKUP($A32,'L10'!$A:$IZ,84,FALSE)</f>
        <v/>
      </c>
      <c r="P32" s="54">
        <f>RANK(O32,O$28:O$45)</f>
        <v/>
      </c>
      <c r="Q32" s="53">
        <f>VLOOKUP($A32,'L10'!$A:$IZ,85,FALSE)</f>
        <v/>
      </c>
      <c r="R32" s="54">
        <f>RANK(Q32,Q$28:Q$45)</f>
        <v/>
      </c>
      <c r="S32" s="55">
        <f>VLOOKUP($A32,'L10'!$A:$IZ,29,FALSE)</f>
        <v/>
      </c>
      <c r="T32" s="54">
        <f>RANK(S32,S$28:S$45)</f>
        <v/>
      </c>
      <c r="U32" s="49">
        <f>104-(N32+P32+R32+T32)</f>
        <v/>
      </c>
      <c r="V32" s="47">
        <f>RANK(U32,U$28:U$45)</f>
        <v/>
      </c>
      <c r="W32" s="56" t="n"/>
      <c r="X32" s="53">
        <f>VLOOKUP($A32,'L10'!$A:$IZ,65,FALSE)</f>
        <v/>
      </c>
      <c r="Y32" s="54">
        <f>RANK(X32,X$28:X$45)</f>
        <v/>
      </c>
      <c r="Z32" s="53">
        <f>VLOOKUP($A32,'L10'!$A:$IZ,64,FALSE)</f>
        <v/>
      </c>
      <c r="AA32" s="54">
        <f>RANK(Z32,Z$28:Z$45)</f>
        <v/>
      </c>
      <c r="AB32" s="53">
        <f>VLOOKUP($A32,'L10'!$A:$IZ,63,FALSE)</f>
        <v/>
      </c>
      <c r="AC32" s="54">
        <f>RANK(AB32,AB$28:AB$45)</f>
        <v/>
      </c>
      <c r="AD32" s="53">
        <f>VLOOKUP($A32,'L10'!$A:$IZ,71,FALSE)</f>
        <v/>
      </c>
      <c r="AE32" s="54">
        <f>RANK(AD32,AD$28:AD$45)</f>
        <v/>
      </c>
      <c r="AF32" s="65">
        <f>104-(Y32+AA32+AC32+AE32)</f>
        <v/>
      </c>
      <c r="AG32" s="47">
        <f>RANK(AF32,AF$28:AF$45)</f>
        <v/>
      </c>
      <c r="AH32" s="56" t="n"/>
      <c r="AI32" s="53">
        <f>VLOOKUP($A32,'L10'!$A:$IZ,183,FALSE)</f>
        <v/>
      </c>
      <c r="AJ32" s="54">
        <f>RANK(AI32,AI$28:AI$45,1)</f>
        <v/>
      </c>
      <c r="AK32" s="53">
        <f>VLOOKUP($A32,'L10'!$A:$IZ,181,FALSE)</f>
        <v/>
      </c>
      <c r="AL32" s="54">
        <f>RANK(AK32,AK$28:AK$45,1)</f>
        <v/>
      </c>
      <c r="AM32" s="53">
        <f>VLOOKUP($A32,'L10'!$A:$IZ,182,FALSE)</f>
        <v/>
      </c>
      <c r="AN32" s="54">
        <f>RANK(AM32,AM$28:AM$45,1)</f>
        <v/>
      </c>
      <c r="AO32" s="53">
        <f>VLOOKUP($A32,'L10'!$A:$IZ,163,FALSE)</f>
        <v/>
      </c>
      <c r="AP32" s="54">
        <f>RANK(AO32,AO$28:AO$45,1)</f>
        <v/>
      </c>
      <c r="AQ32" s="65">
        <f>104-(AJ32+AL32+AN32+AP32)</f>
        <v/>
      </c>
      <c r="AR32" s="47">
        <f>RANK(AQ32,AQ$28:AQ$45)</f>
        <v/>
      </c>
      <c r="AS32" s="56" t="n"/>
      <c r="AT32" s="46">
        <f>VLOOKUP($A32,'L10'!$A:$IZ,250,FALSE)</f>
        <v/>
      </c>
      <c r="AU32" s="47">
        <f>RANK(AT32,AT$28:AT$45,0)</f>
        <v/>
      </c>
      <c r="AV32" s="46">
        <f>VLOOKUP($A32,'L10'!$A:$IZ,92,FALSE)</f>
        <v/>
      </c>
      <c r="AW32" s="47">
        <f>RANK(AV32,AV$28:AV$45,0)</f>
        <v/>
      </c>
      <c r="AX32" s="46">
        <f>VLOOKUP($A32,'L10'!$A:$IZ,93,FALSE)</f>
        <v/>
      </c>
      <c r="AY32" s="47">
        <f>RANK(AX32,AX$28:AX$45,0)</f>
        <v/>
      </c>
      <c r="AZ32" s="46">
        <f>VLOOKUP($A32,'L10'!$A:$IZ,108,FALSE)</f>
        <v/>
      </c>
      <c r="BA32" s="47">
        <f>RANK(AZ32,AZ$28:AZ$45,0)</f>
        <v/>
      </c>
      <c r="BB32" s="49">
        <f>104-(AU32+AW32+AY32+BA32)</f>
        <v/>
      </c>
      <c r="BC32" s="47">
        <f>RANK(BB32,BB$28:BB$45,0)</f>
        <v/>
      </c>
      <c r="BD32" s="56" t="n"/>
      <c r="BE32" s="53">
        <f>VLOOKUP($A32,'L10'!$A:$IZ,80,FALSE)</f>
        <v/>
      </c>
      <c r="BF32" s="54">
        <f>RANK(BE32,BE$28:BE$45)</f>
        <v/>
      </c>
      <c r="BG32" s="53">
        <f>VLOOKUP($A32,'L10'!$A:$IZ,177,FALSE)</f>
        <v/>
      </c>
      <c r="BH32" s="54">
        <f>RANK(BG32,BG$28:BG$45,1)</f>
        <v/>
      </c>
      <c r="BI32" s="53">
        <f>VLOOKUP($A32,'L10'!$A:$IZ,79,FALSE)</f>
        <v/>
      </c>
      <c r="BJ32" s="54">
        <f>RANK(BI32,BI$28:BI$45)</f>
        <v/>
      </c>
      <c r="BK32" s="53">
        <f>VLOOKUP($A32,'L10'!$A:$IZ,176,FALSE)</f>
        <v/>
      </c>
      <c r="BL32" s="54">
        <f>RANK(BK32,BK$28:BK$45,1)</f>
        <v/>
      </c>
      <c r="BM32" s="53">
        <f>VLOOKUP($A32,'L10'!$A:$IZ,11,FALSE)</f>
        <v/>
      </c>
      <c r="BN32" s="54">
        <f>RANK(BM32,BM$28:BM$45)</f>
        <v/>
      </c>
      <c r="BO32" s="53">
        <f>VLOOKUP($A32,'L10'!$A:$IZ,222,FALSE)</f>
        <v/>
      </c>
      <c r="BP32" s="54">
        <f>RANK(BO32,BO$28:BO$45)</f>
        <v/>
      </c>
      <c r="BQ32" s="65">
        <f>104-(BJ32+BL32+BN32+BP32)</f>
        <v/>
      </c>
      <c r="BR32" s="47">
        <f>RANK(BQ32,BQ$28:BQ$45)</f>
        <v/>
      </c>
      <c r="BS32" s="56" t="n"/>
      <c r="BT32" s="57">
        <f>VLOOKUP($A32,'Ratings Season'!$A:$M,8,FALSE)</f>
        <v/>
      </c>
      <c r="BU32" s="54">
        <f>RANK(BT32,BT$28:BT$45)</f>
        <v/>
      </c>
      <c r="BV32" s="57">
        <f>VLOOKUP($A32,'Ratings Season'!$A:$M,4,FALSE)</f>
        <v/>
      </c>
      <c r="BW32" s="54">
        <f>RANK(BV32,BV$28:BV$45)</f>
        <v/>
      </c>
      <c r="BX32" s="57">
        <f>VLOOKUP($A32,'Ratings Season'!$A:$M,2,FALSE)</f>
        <v/>
      </c>
      <c r="BY32" s="58">
        <f>RANK(BX32,BX$28:BX$45)</f>
        <v/>
      </c>
      <c r="BZ32" s="69" t="n"/>
    </row>
    <row r="33" ht="25" customHeight="1">
      <c r="A33" s="80" t="inlineStr">
        <is>
          <t>Fremantle</t>
        </is>
      </c>
      <c r="B33" s="53">
        <f>VLOOKUP($A33,'L10'!$A:$IZ,222,FALSE)</f>
        <v/>
      </c>
      <c r="C33" s="54">
        <f>RANK(B33,B$28:B$45)</f>
        <v/>
      </c>
      <c r="D33" s="55">
        <f>VLOOKUP($A33,'L10'!$A:$IZ,218,FALSE)</f>
        <v/>
      </c>
      <c r="E33" s="54">
        <f>RANK(D33,D$28:D$45)</f>
        <v/>
      </c>
      <c r="F33" s="55">
        <f>VLOOKUP($A33,'L10'!$A:$IZ,49,FALSE)</f>
        <v/>
      </c>
      <c r="G33" s="54">
        <f>RANK(F33,F$28:F$45)</f>
        <v/>
      </c>
      <c r="H33" s="55">
        <f>VLOOKUP($A33,'L10'!$A:$IZ,229,FALSE)</f>
        <v/>
      </c>
      <c r="I33" s="54">
        <f>RANK(H33,H$28:H$45)</f>
        <v/>
      </c>
      <c r="J33" s="49">
        <f>104-(C33+E33+G33+I33)</f>
        <v/>
      </c>
      <c r="K33" s="47">
        <f>RANK(J33,J$28:J$45)</f>
        <v/>
      </c>
      <c r="L33" s="56" t="n"/>
      <c r="M33" s="53">
        <f>VLOOKUP($A33,'L10'!$A:$IZ,88,FALSE)</f>
        <v/>
      </c>
      <c r="N33" s="54">
        <f>RANK(M33,M$28:M$45)</f>
        <v/>
      </c>
      <c r="O33" s="53">
        <f>VLOOKUP($A33,'L10'!$A:$IZ,84,FALSE)</f>
        <v/>
      </c>
      <c r="P33" s="54">
        <f>RANK(O33,O$28:O$45)</f>
        <v/>
      </c>
      <c r="Q33" s="53">
        <f>VLOOKUP($A33,'L10'!$A:$IZ,85,FALSE)</f>
        <v/>
      </c>
      <c r="R33" s="54">
        <f>RANK(Q33,Q$28:Q$45)</f>
        <v/>
      </c>
      <c r="S33" s="55">
        <f>VLOOKUP($A33,'L10'!$A:$IZ,29,FALSE)</f>
        <v/>
      </c>
      <c r="T33" s="54">
        <f>RANK(S33,S$28:S$45)</f>
        <v/>
      </c>
      <c r="U33" s="49">
        <f>104-(N33+P33+R33+T33)</f>
        <v/>
      </c>
      <c r="V33" s="47">
        <f>RANK(U33,U$28:U$45)</f>
        <v/>
      </c>
      <c r="W33" s="56" t="n"/>
      <c r="X33" s="53">
        <f>VLOOKUP($A33,'L10'!$A:$IZ,65,FALSE)</f>
        <v/>
      </c>
      <c r="Y33" s="54">
        <f>RANK(X33,X$28:X$45)</f>
        <v/>
      </c>
      <c r="Z33" s="53">
        <f>VLOOKUP($A33,'L10'!$A:$IZ,64,FALSE)</f>
        <v/>
      </c>
      <c r="AA33" s="54">
        <f>RANK(Z33,Z$28:Z$45)</f>
        <v/>
      </c>
      <c r="AB33" s="53">
        <f>VLOOKUP($A33,'L10'!$A:$IZ,63,FALSE)</f>
        <v/>
      </c>
      <c r="AC33" s="54">
        <f>RANK(AB33,AB$28:AB$45)</f>
        <v/>
      </c>
      <c r="AD33" s="53">
        <f>VLOOKUP($A33,'L10'!$A:$IZ,71,FALSE)</f>
        <v/>
      </c>
      <c r="AE33" s="54">
        <f>RANK(AD33,AD$28:AD$45)</f>
        <v/>
      </c>
      <c r="AF33" s="65">
        <f>104-(Y33+AA33+AC33+AE33)</f>
        <v/>
      </c>
      <c r="AG33" s="47">
        <f>RANK(AF33,AF$28:AF$45)</f>
        <v/>
      </c>
      <c r="AH33" s="56" t="n"/>
      <c r="AI33" s="53">
        <f>VLOOKUP($A33,'L10'!$A:$IZ,183,FALSE)</f>
        <v/>
      </c>
      <c r="AJ33" s="54">
        <f>RANK(AI33,AI$28:AI$45,1)</f>
        <v/>
      </c>
      <c r="AK33" s="53">
        <f>VLOOKUP($A33,'L10'!$A:$IZ,181,FALSE)</f>
        <v/>
      </c>
      <c r="AL33" s="54">
        <f>RANK(AK33,AK$28:AK$45,1)</f>
        <v/>
      </c>
      <c r="AM33" s="53">
        <f>VLOOKUP($A33,'L10'!$A:$IZ,182,FALSE)</f>
        <v/>
      </c>
      <c r="AN33" s="54">
        <f>RANK(AM33,AM$28:AM$45,1)</f>
        <v/>
      </c>
      <c r="AO33" s="53">
        <f>VLOOKUP($A33,'L10'!$A:$IZ,163,FALSE)</f>
        <v/>
      </c>
      <c r="AP33" s="54">
        <f>RANK(AO33,AO$28:AO$45,1)</f>
        <v/>
      </c>
      <c r="AQ33" s="65">
        <f>104-(AJ33+AL33+AN33+AP33)</f>
        <v/>
      </c>
      <c r="AR33" s="47">
        <f>RANK(AQ33,AQ$28:AQ$45)</f>
        <v/>
      </c>
      <c r="AS33" s="56" t="n"/>
      <c r="AT33" s="46">
        <f>VLOOKUP($A33,'L10'!$A:$IZ,250,FALSE)</f>
        <v/>
      </c>
      <c r="AU33" s="47">
        <f>RANK(AT33,AT$28:AT$45,0)</f>
        <v/>
      </c>
      <c r="AV33" s="46">
        <f>VLOOKUP($A33,'L10'!$A:$IZ,92,FALSE)</f>
        <v/>
      </c>
      <c r="AW33" s="47">
        <f>RANK(AV33,AV$28:AV$45,0)</f>
        <v/>
      </c>
      <c r="AX33" s="46">
        <f>VLOOKUP($A33,'L10'!$A:$IZ,93,FALSE)</f>
        <v/>
      </c>
      <c r="AY33" s="47">
        <f>RANK(AX33,AX$28:AX$45,0)</f>
        <v/>
      </c>
      <c r="AZ33" s="46">
        <f>VLOOKUP($A33,'L10'!$A:$IZ,108,FALSE)</f>
        <v/>
      </c>
      <c r="BA33" s="47">
        <f>RANK(AZ33,AZ$28:AZ$45,0)</f>
        <v/>
      </c>
      <c r="BB33" s="49">
        <f>104-(AU33+AW33+AY33+BA33)</f>
        <v/>
      </c>
      <c r="BC33" s="47">
        <f>RANK(BB33,BB$28:BB$45,0)</f>
        <v/>
      </c>
      <c r="BD33" s="56" t="n"/>
      <c r="BE33" s="53">
        <f>VLOOKUP($A33,'L10'!$A:$IZ,80,FALSE)</f>
        <v/>
      </c>
      <c r="BF33" s="54">
        <f>RANK(BE33,BE$28:BE$45)</f>
        <v/>
      </c>
      <c r="BG33" s="53">
        <f>VLOOKUP($A33,'L10'!$A:$IZ,177,FALSE)</f>
        <v/>
      </c>
      <c r="BH33" s="54">
        <f>RANK(BG33,BG$28:BG$45,1)</f>
        <v/>
      </c>
      <c r="BI33" s="53">
        <f>VLOOKUP($A33,'L10'!$A:$IZ,79,FALSE)</f>
        <v/>
      </c>
      <c r="BJ33" s="54">
        <f>RANK(BI33,BI$28:BI$45)</f>
        <v/>
      </c>
      <c r="BK33" s="53">
        <f>VLOOKUP($A33,'L10'!$A:$IZ,176,FALSE)</f>
        <v/>
      </c>
      <c r="BL33" s="54">
        <f>RANK(BK33,BK$28:BK$45,1)</f>
        <v/>
      </c>
      <c r="BM33" s="53">
        <f>VLOOKUP($A33,'L10'!$A:$IZ,11,FALSE)</f>
        <v/>
      </c>
      <c r="BN33" s="54">
        <f>RANK(BM33,BM$28:BM$45)</f>
        <v/>
      </c>
      <c r="BO33" s="53">
        <f>VLOOKUP($A33,'L10'!$A:$IZ,222,FALSE)</f>
        <v/>
      </c>
      <c r="BP33" s="54">
        <f>RANK(BO33,BO$28:BO$45)</f>
        <v/>
      </c>
      <c r="BQ33" s="65">
        <f>104-(BJ33+BL33+BN33+BP33)</f>
        <v/>
      </c>
      <c r="BR33" s="47">
        <f>RANK(BQ33,BQ$28:BQ$45)</f>
        <v/>
      </c>
      <c r="BS33" s="56" t="n"/>
      <c r="BT33" s="57">
        <f>VLOOKUP($A33,'Ratings Season'!$A:$M,8,FALSE)</f>
        <v/>
      </c>
      <c r="BU33" s="54">
        <f>RANK(BT33,BT$28:BT$45)</f>
        <v/>
      </c>
      <c r="BV33" s="57">
        <f>VLOOKUP($A33,'Ratings Season'!$A:$M,4,FALSE)</f>
        <v/>
      </c>
      <c r="BW33" s="54">
        <f>RANK(BV33,BV$28:BV$45)</f>
        <v/>
      </c>
      <c r="BX33" s="57">
        <f>VLOOKUP($A33,'Ratings Season'!$A:$M,2,FALSE)</f>
        <v/>
      </c>
      <c r="BY33" s="58">
        <f>RANK(BX33,BX$28:BX$45)</f>
        <v/>
      </c>
      <c r="BZ33" s="69" t="n"/>
    </row>
    <row r="34" ht="25" customHeight="1">
      <c r="A34" s="81" t="inlineStr">
        <is>
          <t>Geelong</t>
        </is>
      </c>
      <c r="B34" s="53">
        <f>VLOOKUP($A34,'L10'!$A:$IZ,222,FALSE)</f>
        <v/>
      </c>
      <c r="C34" s="54">
        <f>RANK(B34,B$28:B$45)</f>
        <v/>
      </c>
      <c r="D34" s="55">
        <f>VLOOKUP($A34,'L10'!$A:$IZ,218,FALSE)</f>
        <v/>
      </c>
      <c r="E34" s="54">
        <f>RANK(D34,D$28:D$45)</f>
        <v/>
      </c>
      <c r="F34" s="55">
        <f>VLOOKUP($A34,'L10'!$A:$IZ,49,FALSE)</f>
        <v/>
      </c>
      <c r="G34" s="54">
        <f>RANK(F34,F$28:F$45)</f>
        <v/>
      </c>
      <c r="H34" s="55">
        <f>VLOOKUP($A34,'L10'!$A:$IZ,229,FALSE)</f>
        <v/>
      </c>
      <c r="I34" s="54">
        <f>RANK(H34,H$28:H$45)</f>
        <v/>
      </c>
      <c r="J34" s="49">
        <f>104-(C34+E34+G34+I34)</f>
        <v/>
      </c>
      <c r="K34" s="47">
        <f>RANK(J34,J$28:J$45)</f>
        <v/>
      </c>
      <c r="L34" s="56" t="n"/>
      <c r="M34" s="53">
        <f>VLOOKUP($A34,'L10'!$A:$IZ,88,FALSE)</f>
        <v/>
      </c>
      <c r="N34" s="54">
        <f>RANK(M34,M$28:M$45)</f>
        <v/>
      </c>
      <c r="O34" s="53">
        <f>VLOOKUP($A34,'L10'!$A:$IZ,84,FALSE)</f>
        <v/>
      </c>
      <c r="P34" s="54">
        <f>RANK(O34,O$28:O$45)</f>
        <v/>
      </c>
      <c r="Q34" s="53">
        <f>VLOOKUP($A34,'L10'!$A:$IZ,85,FALSE)</f>
        <v/>
      </c>
      <c r="R34" s="54">
        <f>RANK(Q34,Q$28:Q$45)</f>
        <v/>
      </c>
      <c r="S34" s="55">
        <f>VLOOKUP($A34,'L10'!$A:$IZ,29,FALSE)</f>
        <v/>
      </c>
      <c r="T34" s="54">
        <f>RANK(S34,S$28:S$45)</f>
        <v/>
      </c>
      <c r="U34" s="49">
        <f>104-(N34+P34+R34+T34)</f>
        <v/>
      </c>
      <c r="V34" s="47">
        <f>RANK(U34,U$28:U$45)</f>
        <v/>
      </c>
      <c r="W34" s="56" t="n"/>
      <c r="X34" s="53">
        <f>VLOOKUP($A34,'L10'!$A:$IZ,65,FALSE)</f>
        <v/>
      </c>
      <c r="Y34" s="54">
        <f>RANK(X34,X$28:X$45)</f>
        <v/>
      </c>
      <c r="Z34" s="53">
        <f>VLOOKUP($A34,'L10'!$A:$IZ,64,FALSE)</f>
        <v/>
      </c>
      <c r="AA34" s="54">
        <f>RANK(Z34,Z$28:Z$45)</f>
        <v/>
      </c>
      <c r="AB34" s="53">
        <f>VLOOKUP($A34,'L10'!$A:$IZ,63,FALSE)</f>
        <v/>
      </c>
      <c r="AC34" s="54">
        <f>RANK(AB34,AB$28:AB$45)</f>
        <v/>
      </c>
      <c r="AD34" s="53">
        <f>VLOOKUP($A34,'L10'!$A:$IZ,71,FALSE)</f>
        <v/>
      </c>
      <c r="AE34" s="54">
        <f>RANK(AD34,AD$28:AD$45)</f>
        <v/>
      </c>
      <c r="AF34" s="65">
        <f>104-(Y34+AA34+AC34+AE34)</f>
        <v/>
      </c>
      <c r="AG34" s="47">
        <f>RANK(AF34,AF$28:AF$45)</f>
        <v/>
      </c>
      <c r="AH34" s="56" t="n"/>
      <c r="AI34" s="53">
        <f>VLOOKUP($A34,'L10'!$A:$IZ,183,FALSE)</f>
        <v/>
      </c>
      <c r="AJ34" s="54">
        <f>RANK(AI34,AI$28:AI$45,1)</f>
        <v/>
      </c>
      <c r="AK34" s="53">
        <f>VLOOKUP($A34,'L10'!$A:$IZ,181,FALSE)</f>
        <v/>
      </c>
      <c r="AL34" s="54">
        <f>RANK(AK34,AK$28:AK$45,1)</f>
        <v/>
      </c>
      <c r="AM34" s="53">
        <f>VLOOKUP($A34,'L10'!$A:$IZ,182,FALSE)</f>
        <v/>
      </c>
      <c r="AN34" s="54">
        <f>RANK(AM34,AM$28:AM$45,1)</f>
        <v/>
      </c>
      <c r="AO34" s="53">
        <f>VLOOKUP($A34,'L10'!$A:$IZ,163,FALSE)</f>
        <v/>
      </c>
      <c r="AP34" s="54">
        <f>RANK(AO34,AO$28:AO$45,1)</f>
        <v/>
      </c>
      <c r="AQ34" s="65">
        <f>104-(AJ34+AL34+AN34+AP34)</f>
        <v/>
      </c>
      <c r="AR34" s="47">
        <f>RANK(AQ34,AQ$28:AQ$45)</f>
        <v/>
      </c>
      <c r="AS34" s="56" t="n"/>
      <c r="AT34" s="46">
        <f>VLOOKUP($A34,'L10'!$A:$IZ,250,FALSE)</f>
        <v/>
      </c>
      <c r="AU34" s="47">
        <f>RANK(AT34,AT$28:AT$45,0)</f>
        <v/>
      </c>
      <c r="AV34" s="46">
        <f>VLOOKUP($A34,'L10'!$A:$IZ,92,FALSE)</f>
        <v/>
      </c>
      <c r="AW34" s="47">
        <f>RANK(AV34,AV$28:AV$45,0)</f>
        <v/>
      </c>
      <c r="AX34" s="46">
        <f>VLOOKUP($A34,'L10'!$A:$IZ,93,FALSE)</f>
        <v/>
      </c>
      <c r="AY34" s="47">
        <f>RANK(AX34,AX$28:AX$45,0)</f>
        <v/>
      </c>
      <c r="AZ34" s="46">
        <f>VLOOKUP($A34,'L10'!$A:$IZ,108,FALSE)</f>
        <v/>
      </c>
      <c r="BA34" s="47">
        <f>RANK(AZ34,AZ$28:AZ$45,0)</f>
        <v/>
      </c>
      <c r="BB34" s="49">
        <f>104-(AU34+AW34+AY34+BA34)</f>
        <v/>
      </c>
      <c r="BC34" s="47">
        <f>RANK(BB34,BB$28:BB$45,0)</f>
        <v/>
      </c>
      <c r="BD34" s="56" t="n"/>
      <c r="BE34" s="53">
        <f>VLOOKUP($A34,'L10'!$A:$IZ,80,FALSE)</f>
        <v/>
      </c>
      <c r="BF34" s="54">
        <f>RANK(BE34,BE$28:BE$45)</f>
        <v/>
      </c>
      <c r="BG34" s="53">
        <f>VLOOKUP($A34,'L10'!$A:$IZ,177,FALSE)</f>
        <v/>
      </c>
      <c r="BH34" s="54">
        <f>RANK(BG34,BG$28:BG$45,1)</f>
        <v/>
      </c>
      <c r="BI34" s="53">
        <f>VLOOKUP($A34,'L10'!$A:$IZ,79,FALSE)</f>
        <v/>
      </c>
      <c r="BJ34" s="54">
        <f>RANK(BI34,BI$28:BI$45)</f>
        <v/>
      </c>
      <c r="BK34" s="53">
        <f>VLOOKUP($A34,'L10'!$A:$IZ,176,FALSE)</f>
        <v/>
      </c>
      <c r="BL34" s="54">
        <f>RANK(BK34,BK$28:BK$45,1)</f>
        <v/>
      </c>
      <c r="BM34" s="53">
        <f>VLOOKUP($A34,'L10'!$A:$IZ,11,FALSE)</f>
        <v/>
      </c>
      <c r="BN34" s="54">
        <f>RANK(BM34,BM$28:BM$45)</f>
        <v/>
      </c>
      <c r="BO34" s="53">
        <f>VLOOKUP($A34,'L10'!$A:$IZ,222,FALSE)</f>
        <v/>
      </c>
      <c r="BP34" s="54">
        <f>RANK(BO34,BO$28:BO$45)</f>
        <v/>
      </c>
      <c r="BQ34" s="65">
        <f>104-(BJ34+BL34+BN34+BP34)</f>
        <v/>
      </c>
      <c r="BR34" s="47">
        <f>RANK(BQ34,BQ$28:BQ$45)</f>
        <v/>
      </c>
      <c r="BS34" s="56" t="n"/>
      <c r="BT34" s="57">
        <f>VLOOKUP($A34,'Ratings Season'!$A:$M,8,FALSE)</f>
        <v/>
      </c>
      <c r="BU34" s="54">
        <f>RANK(BT34,BT$28:BT$45)</f>
        <v/>
      </c>
      <c r="BV34" s="57">
        <f>VLOOKUP($A34,'Ratings Season'!$A:$M,4,FALSE)</f>
        <v/>
      </c>
      <c r="BW34" s="54">
        <f>RANK(BV34,BV$28:BV$45)</f>
        <v/>
      </c>
      <c r="BX34" s="57">
        <f>VLOOKUP($A34,'Ratings Season'!$A:$M,2,FALSE)</f>
        <v/>
      </c>
      <c r="BY34" s="58">
        <f>RANK(BX34,BX$28:BX$45)</f>
        <v/>
      </c>
      <c r="BZ34" s="69" t="n"/>
    </row>
    <row r="35" ht="25" customHeight="1">
      <c r="A35" s="82" t="inlineStr">
        <is>
          <t>Gold Coast</t>
        </is>
      </c>
      <c r="B35" s="53">
        <f>VLOOKUP($A35,'L10'!$A:$IZ,222,FALSE)</f>
        <v/>
      </c>
      <c r="C35" s="54">
        <f>RANK(B35,B$28:B$45)</f>
        <v/>
      </c>
      <c r="D35" s="55">
        <f>VLOOKUP($A35,'L10'!$A:$IZ,218,FALSE)</f>
        <v/>
      </c>
      <c r="E35" s="54">
        <f>RANK(D35,D$28:D$45)</f>
        <v/>
      </c>
      <c r="F35" s="55">
        <f>VLOOKUP($A35,'L10'!$A:$IZ,49,FALSE)</f>
        <v/>
      </c>
      <c r="G35" s="54">
        <f>RANK(F35,F$28:F$45)</f>
        <v/>
      </c>
      <c r="H35" s="55">
        <f>VLOOKUP($A35,'L10'!$A:$IZ,229,FALSE)</f>
        <v/>
      </c>
      <c r="I35" s="54">
        <f>RANK(H35,H$28:H$45)</f>
        <v/>
      </c>
      <c r="J35" s="49">
        <f>104-(C35+E35+G35+I35)</f>
        <v/>
      </c>
      <c r="K35" s="47">
        <f>RANK(J35,J$28:J$45)</f>
        <v/>
      </c>
      <c r="L35" s="56" t="n"/>
      <c r="M35" s="53">
        <f>VLOOKUP($A35,'L10'!$A:$IZ,88,FALSE)</f>
        <v/>
      </c>
      <c r="N35" s="54">
        <f>RANK(M35,M$28:M$45)</f>
        <v/>
      </c>
      <c r="O35" s="53">
        <f>VLOOKUP($A35,'L10'!$A:$IZ,84,FALSE)</f>
        <v/>
      </c>
      <c r="P35" s="54">
        <f>RANK(O35,O$28:O$45)</f>
        <v/>
      </c>
      <c r="Q35" s="53">
        <f>VLOOKUP($A35,'L10'!$A:$IZ,85,FALSE)</f>
        <v/>
      </c>
      <c r="R35" s="54">
        <f>RANK(Q35,Q$28:Q$45)</f>
        <v/>
      </c>
      <c r="S35" s="55">
        <f>VLOOKUP($A35,'L10'!$A:$IZ,29,FALSE)</f>
        <v/>
      </c>
      <c r="T35" s="54">
        <f>RANK(S35,S$28:S$45)</f>
        <v/>
      </c>
      <c r="U35" s="49">
        <f>104-(N35+P35+R35+T35)</f>
        <v/>
      </c>
      <c r="V35" s="47">
        <f>RANK(U35,U$28:U$45)</f>
        <v/>
      </c>
      <c r="W35" s="56" t="n"/>
      <c r="X35" s="53">
        <f>VLOOKUP($A35,'L10'!$A:$IZ,65,FALSE)</f>
        <v/>
      </c>
      <c r="Y35" s="54">
        <f>RANK(X35,X$28:X$45)</f>
        <v/>
      </c>
      <c r="Z35" s="53">
        <f>VLOOKUP($A35,'L10'!$A:$IZ,64,FALSE)</f>
        <v/>
      </c>
      <c r="AA35" s="54">
        <f>RANK(Z35,Z$28:Z$45)</f>
        <v/>
      </c>
      <c r="AB35" s="53">
        <f>VLOOKUP($A35,'L10'!$A:$IZ,63,FALSE)</f>
        <v/>
      </c>
      <c r="AC35" s="54">
        <f>RANK(AB35,AB$28:AB$45)</f>
        <v/>
      </c>
      <c r="AD35" s="53">
        <f>VLOOKUP($A35,'L10'!$A:$IZ,71,FALSE)</f>
        <v/>
      </c>
      <c r="AE35" s="54">
        <f>RANK(AD35,AD$28:AD$45)</f>
        <v/>
      </c>
      <c r="AF35" s="65">
        <f>104-(Y35+AA35+AC35+AE35)</f>
        <v/>
      </c>
      <c r="AG35" s="47">
        <f>RANK(AF35,AF$28:AF$45)</f>
        <v/>
      </c>
      <c r="AH35" s="56" t="n"/>
      <c r="AI35" s="53">
        <f>VLOOKUP($A35,'L10'!$A:$IZ,183,FALSE)</f>
        <v/>
      </c>
      <c r="AJ35" s="54">
        <f>RANK(AI35,AI$28:AI$45,1)</f>
        <v/>
      </c>
      <c r="AK35" s="53">
        <f>VLOOKUP($A35,'L10'!$A:$IZ,181,FALSE)</f>
        <v/>
      </c>
      <c r="AL35" s="54">
        <f>RANK(AK35,AK$28:AK$45,1)</f>
        <v/>
      </c>
      <c r="AM35" s="53">
        <f>VLOOKUP($A35,'L10'!$A:$IZ,182,FALSE)</f>
        <v/>
      </c>
      <c r="AN35" s="54">
        <f>RANK(AM35,AM$28:AM$45,1)</f>
        <v/>
      </c>
      <c r="AO35" s="53">
        <f>VLOOKUP($A35,'L10'!$A:$IZ,163,FALSE)</f>
        <v/>
      </c>
      <c r="AP35" s="54">
        <f>RANK(AO35,AO$28:AO$45,1)</f>
        <v/>
      </c>
      <c r="AQ35" s="65">
        <f>104-(AJ35+AL35+AN35+AP35)</f>
        <v/>
      </c>
      <c r="AR35" s="47">
        <f>RANK(AQ35,AQ$28:AQ$45)</f>
        <v/>
      </c>
      <c r="AS35" s="56" t="n"/>
      <c r="AT35" s="46">
        <f>VLOOKUP($A35,'L10'!$A:$IZ,250,FALSE)</f>
        <v/>
      </c>
      <c r="AU35" s="47">
        <f>RANK(AT35,AT$28:AT$45,0)</f>
        <v/>
      </c>
      <c r="AV35" s="46">
        <f>VLOOKUP($A35,'L10'!$A:$IZ,92,FALSE)</f>
        <v/>
      </c>
      <c r="AW35" s="47">
        <f>RANK(AV35,AV$28:AV$45,0)</f>
        <v/>
      </c>
      <c r="AX35" s="46">
        <f>VLOOKUP($A35,'L10'!$A:$IZ,93,FALSE)</f>
        <v/>
      </c>
      <c r="AY35" s="47">
        <f>RANK(AX35,AX$28:AX$45,0)</f>
        <v/>
      </c>
      <c r="AZ35" s="46">
        <f>VLOOKUP($A35,'L10'!$A:$IZ,108,FALSE)</f>
        <v/>
      </c>
      <c r="BA35" s="47">
        <f>RANK(AZ35,AZ$28:AZ$45,0)</f>
        <v/>
      </c>
      <c r="BB35" s="49">
        <f>104-(AU35+AW35+AY35+BA35)</f>
        <v/>
      </c>
      <c r="BC35" s="47">
        <f>RANK(BB35,BB$28:BB$45,0)</f>
        <v/>
      </c>
      <c r="BD35" s="56" t="n"/>
      <c r="BE35" s="53">
        <f>VLOOKUP($A35,'L10'!$A:$IZ,80,FALSE)</f>
        <v/>
      </c>
      <c r="BF35" s="54">
        <f>RANK(BE35,BE$28:BE$45)</f>
        <v/>
      </c>
      <c r="BG35" s="53">
        <f>VLOOKUP($A35,'L10'!$A:$IZ,177,FALSE)</f>
        <v/>
      </c>
      <c r="BH35" s="54">
        <f>RANK(BG35,BG$28:BG$45,1)</f>
        <v/>
      </c>
      <c r="BI35" s="53">
        <f>VLOOKUP($A35,'L10'!$A:$IZ,79,FALSE)</f>
        <v/>
      </c>
      <c r="BJ35" s="54">
        <f>RANK(BI35,BI$28:BI$45)</f>
        <v/>
      </c>
      <c r="BK35" s="53">
        <f>VLOOKUP($A35,'L10'!$A:$IZ,176,FALSE)</f>
        <v/>
      </c>
      <c r="BL35" s="54">
        <f>RANK(BK35,BK$28:BK$45,1)</f>
        <v/>
      </c>
      <c r="BM35" s="53">
        <f>VLOOKUP($A35,'L10'!$A:$IZ,11,FALSE)</f>
        <v/>
      </c>
      <c r="BN35" s="54">
        <f>RANK(BM35,BM$28:BM$45)</f>
        <v/>
      </c>
      <c r="BO35" s="53">
        <f>VLOOKUP($A35,'L10'!$A:$IZ,222,FALSE)</f>
        <v/>
      </c>
      <c r="BP35" s="54">
        <f>RANK(BO35,BO$28:BO$45)</f>
        <v/>
      </c>
      <c r="BQ35" s="65">
        <f>104-(BJ35+BL35+BN35+BP35)</f>
        <v/>
      </c>
      <c r="BR35" s="47">
        <f>RANK(BQ35,BQ$28:BQ$45)</f>
        <v/>
      </c>
      <c r="BS35" s="56" t="n"/>
      <c r="BT35" s="57">
        <f>VLOOKUP($A35,'Ratings Season'!$A:$M,8,FALSE)</f>
        <v/>
      </c>
      <c r="BU35" s="54">
        <f>RANK(BT35,BT$28:BT$45)</f>
        <v/>
      </c>
      <c r="BV35" s="57">
        <f>VLOOKUP($A35,'Ratings Season'!$A:$M,4,FALSE)</f>
        <v/>
      </c>
      <c r="BW35" s="54">
        <f>RANK(BV35,BV$28:BV$45)</f>
        <v/>
      </c>
      <c r="BX35" s="57">
        <f>VLOOKUP($A35,'Ratings Season'!$A:$M,2,FALSE)</f>
        <v/>
      </c>
      <c r="BY35" s="58">
        <f>RANK(BX35,BX$28:BX$45)</f>
        <v/>
      </c>
      <c r="BZ35" s="69" t="n"/>
    </row>
    <row r="36" ht="25" customHeight="1">
      <c r="A36" s="83" t="inlineStr">
        <is>
          <t>Greater Western Sydney</t>
        </is>
      </c>
      <c r="B36" s="53">
        <f>VLOOKUP($A36,'L10'!$A:$IZ,222,FALSE)</f>
        <v/>
      </c>
      <c r="C36" s="54">
        <f>RANK(B36,B$28:B$45)</f>
        <v/>
      </c>
      <c r="D36" s="55">
        <f>VLOOKUP($A36,'L10'!$A:$IZ,218,FALSE)</f>
        <v/>
      </c>
      <c r="E36" s="54">
        <f>RANK(D36,D$28:D$45)</f>
        <v/>
      </c>
      <c r="F36" s="55">
        <f>VLOOKUP($A36,'L10'!$A:$IZ,49,FALSE)</f>
        <v/>
      </c>
      <c r="G36" s="54">
        <f>RANK(F36,F$28:F$45)</f>
        <v/>
      </c>
      <c r="H36" s="55">
        <f>VLOOKUP($A36,'L10'!$A:$IZ,229,FALSE)</f>
        <v/>
      </c>
      <c r="I36" s="54">
        <f>RANK(H36,H$28:H$45)</f>
        <v/>
      </c>
      <c r="J36" s="49">
        <f>104-(C36+E36+G36+I36)</f>
        <v/>
      </c>
      <c r="K36" s="47">
        <f>RANK(J36,J$28:J$45)</f>
        <v/>
      </c>
      <c r="L36" s="56" t="n"/>
      <c r="M36" s="53">
        <f>VLOOKUP($A36,'L10'!$A:$IZ,88,FALSE)</f>
        <v/>
      </c>
      <c r="N36" s="54">
        <f>RANK(M36,M$28:M$45)</f>
        <v/>
      </c>
      <c r="O36" s="53">
        <f>VLOOKUP($A36,'L10'!$A:$IZ,84,FALSE)</f>
        <v/>
      </c>
      <c r="P36" s="54">
        <f>RANK(O36,O$28:O$45)</f>
        <v/>
      </c>
      <c r="Q36" s="53">
        <f>VLOOKUP($A36,'L10'!$A:$IZ,85,FALSE)</f>
        <v/>
      </c>
      <c r="R36" s="54">
        <f>RANK(Q36,Q$28:Q$45)</f>
        <v/>
      </c>
      <c r="S36" s="55">
        <f>VLOOKUP($A36,'L10'!$A:$IZ,29,FALSE)</f>
        <v/>
      </c>
      <c r="T36" s="54">
        <f>RANK(S36,S$28:S$45)</f>
        <v/>
      </c>
      <c r="U36" s="49">
        <f>104-(N36+P36+R36+T36)</f>
        <v/>
      </c>
      <c r="V36" s="47">
        <f>RANK(U36,U$28:U$45)</f>
        <v/>
      </c>
      <c r="W36" s="56" t="n"/>
      <c r="X36" s="53">
        <f>VLOOKUP($A36,'L10'!$A:$IZ,65,FALSE)</f>
        <v/>
      </c>
      <c r="Y36" s="54">
        <f>RANK(X36,X$28:X$45)</f>
        <v/>
      </c>
      <c r="Z36" s="53">
        <f>VLOOKUP($A36,'L10'!$A:$IZ,64,FALSE)</f>
        <v/>
      </c>
      <c r="AA36" s="54">
        <f>RANK(Z36,Z$28:Z$45)</f>
        <v/>
      </c>
      <c r="AB36" s="53">
        <f>VLOOKUP($A36,'L10'!$A:$IZ,63,FALSE)</f>
        <v/>
      </c>
      <c r="AC36" s="54">
        <f>RANK(AB36,AB$28:AB$45)</f>
        <v/>
      </c>
      <c r="AD36" s="53">
        <f>VLOOKUP($A36,'L10'!$A:$IZ,71,FALSE)</f>
        <v/>
      </c>
      <c r="AE36" s="54">
        <f>RANK(AD36,AD$28:AD$45)</f>
        <v/>
      </c>
      <c r="AF36" s="65">
        <f>104-(Y36+AA36+AC36+AE36)</f>
        <v/>
      </c>
      <c r="AG36" s="47">
        <f>RANK(AF36,AF$28:AF$45)</f>
        <v/>
      </c>
      <c r="AH36" s="56" t="n"/>
      <c r="AI36" s="53">
        <f>VLOOKUP($A36,'L10'!$A:$IZ,183,FALSE)</f>
        <v/>
      </c>
      <c r="AJ36" s="54">
        <f>RANK(AI36,AI$28:AI$45,1)</f>
        <v/>
      </c>
      <c r="AK36" s="53">
        <f>VLOOKUP($A36,'L10'!$A:$IZ,181,FALSE)</f>
        <v/>
      </c>
      <c r="AL36" s="54">
        <f>RANK(AK36,AK$28:AK$45,1)</f>
        <v/>
      </c>
      <c r="AM36" s="53">
        <f>VLOOKUP($A36,'L10'!$A:$IZ,182,FALSE)</f>
        <v/>
      </c>
      <c r="AN36" s="54">
        <f>RANK(AM36,AM$28:AM$45,1)</f>
        <v/>
      </c>
      <c r="AO36" s="53">
        <f>VLOOKUP($A36,'L10'!$A:$IZ,163,FALSE)</f>
        <v/>
      </c>
      <c r="AP36" s="54">
        <f>RANK(AO36,AO$28:AO$45,1)</f>
        <v/>
      </c>
      <c r="AQ36" s="65">
        <f>104-(AJ36+AL36+AN36+AP36)</f>
        <v/>
      </c>
      <c r="AR36" s="47">
        <f>RANK(AQ36,AQ$28:AQ$45)</f>
        <v/>
      </c>
      <c r="AS36" s="56" t="n"/>
      <c r="AT36" s="46">
        <f>VLOOKUP($A36,'L10'!$A:$IZ,250,FALSE)</f>
        <v/>
      </c>
      <c r="AU36" s="47">
        <f>RANK(AT36,AT$28:AT$45,0)</f>
        <v/>
      </c>
      <c r="AV36" s="46">
        <f>VLOOKUP($A36,'L10'!$A:$IZ,92,FALSE)</f>
        <v/>
      </c>
      <c r="AW36" s="47">
        <f>RANK(AV36,AV$28:AV$45,0)</f>
        <v/>
      </c>
      <c r="AX36" s="46">
        <f>VLOOKUP($A36,'L10'!$A:$IZ,93,FALSE)</f>
        <v/>
      </c>
      <c r="AY36" s="47">
        <f>RANK(AX36,AX$28:AX$45,0)</f>
        <v/>
      </c>
      <c r="AZ36" s="46">
        <f>VLOOKUP($A36,'L10'!$A:$IZ,108,FALSE)</f>
        <v/>
      </c>
      <c r="BA36" s="47">
        <f>RANK(AZ36,AZ$28:AZ$45,0)</f>
        <v/>
      </c>
      <c r="BB36" s="49">
        <f>104-(AU36+AW36+AY36+BA36)</f>
        <v/>
      </c>
      <c r="BC36" s="47">
        <f>RANK(BB36,BB$28:BB$45,0)</f>
        <v/>
      </c>
      <c r="BD36" s="56" t="n"/>
      <c r="BE36" s="53">
        <f>VLOOKUP($A36,'L10'!$A:$IZ,80,FALSE)</f>
        <v/>
      </c>
      <c r="BF36" s="54">
        <f>RANK(BE36,BE$28:BE$45)</f>
        <v/>
      </c>
      <c r="BG36" s="53">
        <f>VLOOKUP($A36,'L10'!$A:$IZ,177,FALSE)</f>
        <v/>
      </c>
      <c r="BH36" s="54">
        <f>RANK(BG36,BG$28:BG$45,1)</f>
        <v/>
      </c>
      <c r="BI36" s="53">
        <f>VLOOKUP($A36,'L10'!$A:$IZ,79,FALSE)</f>
        <v/>
      </c>
      <c r="BJ36" s="54">
        <f>RANK(BI36,BI$28:BI$45)</f>
        <v/>
      </c>
      <c r="BK36" s="53">
        <f>VLOOKUP($A36,'L10'!$A:$IZ,176,FALSE)</f>
        <v/>
      </c>
      <c r="BL36" s="54">
        <f>RANK(BK36,BK$28:BK$45,1)</f>
        <v/>
      </c>
      <c r="BM36" s="53">
        <f>VLOOKUP($A36,'L10'!$A:$IZ,11,FALSE)</f>
        <v/>
      </c>
      <c r="BN36" s="54">
        <f>RANK(BM36,BM$28:BM$45)</f>
        <v/>
      </c>
      <c r="BO36" s="53">
        <f>VLOOKUP($A36,'L10'!$A:$IZ,222,FALSE)</f>
        <v/>
      </c>
      <c r="BP36" s="54">
        <f>RANK(BO36,BO$28:BO$45)</f>
        <v/>
      </c>
      <c r="BQ36" s="65">
        <f>104-(BJ36+BL36+BN36+BP36)</f>
        <v/>
      </c>
      <c r="BR36" s="47">
        <f>RANK(BQ36,BQ$28:BQ$45)</f>
        <v/>
      </c>
      <c r="BS36" s="56" t="n"/>
      <c r="BT36" s="57">
        <f>VLOOKUP($A36,'Ratings Season'!$A:$M,8,FALSE)</f>
        <v/>
      </c>
      <c r="BU36" s="54">
        <f>RANK(BT36,BT$28:BT$45)</f>
        <v/>
      </c>
      <c r="BV36" s="57">
        <f>VLOOKUP($A36,'Ratings Season'!$A:$M,4,FALSE)</f>
        <v/>
      </c>
      <c r="BW36" s="54">
        <f>RANK(BV36,BV$28:BV$45)</f>
        <v/>
      </c>
      <c r="BX36" s="57">
        <f>VLOOKUP($A36,'Ratings Season'!$A:$M,2,FALSE)</f>
        <v/>
      </c>
      <c r="BY36" s="58">
        <f>RANK(BX36,BX$28:BX$45)</f>
        <v/>
      </c>
      <c r="BZ36" s="69" t="n"/>
    </row>
    <row r="37" ht="25" customHeight="1">
      <c r="A37" s="84" t="inlineStr">
        <is>
          <t>Hawthorn</t>
        </is>
      </c>
      <c r="B37" s="53">
        <f>VLOOKUP($A37,'L10'!$A:$IZ,222,FALSE)</f>
        <v/>
      </c>
      <c r="C37" s="54">
        <f>RANK(B37,B$28:B$45)</f>
        <v/>
      </c>
      <c r="D37" s="55">
        <f>VLOOKUP($A37,'L10'!$A:$IZ,218,FALSE)</f>
        <v/>
      </c>
      <c r="E37" s="54">
        <f>RANK(D37,D$28:D$45)</f>
        <v/>
      </c>
      <c r="F37" s="55">
        <f>VLOOKUP($A37,'L10'!$A:$IZ,49,FALSE)</f>
        <v/>
      </c>
      <c r="G37" s="54">
        <f>RANK(F37,F$28:F$45)</f>
        <v/>
      </c>
      <c r="H37" s="55">
        <f>VLOOKUP($A37,'L10'!$A:$IZ,229,FALSE)</f>
        <v/>
      </c>
      <c r="I37" s="54">
        <f>RANK(H37,H$28:H$45)</f>
        <v/>
      </c>
      <c r="J37" s="49">
        <f>104-(C37+E37+G37+I37)</f>
        <v/>
      </c>
      <c r="K37" s="47">
        <f>RANK(J37,J$28:J$45)</f>
        <v/>
      </c>
      <c r="L37" s="56" t="n"/>
      <c r="M37" s="53">
        <f>VLOOKUP($A37,'L10'!$A:$IZ,88,FALSE)</f>
        <v/>
      </c>
      <c r="N37" s="54">
        <f>RANK(M37,M$28:M$45)</f>
        <v/>
      </c>
      <c r="O37" s="53">
        <f>VLOOKUP($A37,'L10'!$A:$IZ,84,FALSE)</f>
        <v/>
      </c>
      <c r="P37" s="54">
        <f>RANK(O37,O$28:O$45)</f>
        <v/>
      </c>
      <c r="Q37" s="53">
        <f>VLOOKUP($A37,'L10'!$A:$IZ,85,FALSE)</f>
        <v/>
      </c>
      <c r="R37" s="54">
        <f>RANK(Q37,Q$28:Q$45)</f>
        <v/>
      </c>
      <c r="S37" s="55">
        <f>VLOOKUP($A37,'L10'!$A:$IZ,29,FALSE)</f>
        <v/>
      </c>
      <c r="T37" s="54">
        <f>RANK(S37,S$28:S$45)</f>
        <v/>
      </c>
      <c r="U37" s="49">
        <f>104-(N37+P37+R37+T37)</f>
        <v/>
      </c>
      <c r="V37" s="47">
        <f>RANK(U37,U$28:U$45)</f>
        <v/>
      </c>
      <c r="W37" s="56" t="n"/>
      <c r="X37" s="53">
        <f>VLOOKUP($A37,'L10'!$A:$IZ,65,FALSE)</f>
        <v/>
      </c>
      <c r="Y37" s="54">
        <f>RANK(X37,X$28:X$45)</f>
        <v/>
      </c>
      <c r="Z37" s="53">
        <f>VLOOKUP($A37,'L10'!$A:$IZ,64,FALSE)</f>
        <v/>
      </c>
      <c r="AA37" s="54">
        <f>RANK(Z37,Z$28:Z$45)</f>
        <v/>
      </c>
      <c r="AB37" s="53">
        <f>VLOOKUP($A37,'L10'!$A:$IZ,63,FALSE)</f>
        <v/>
      </c>
      <c r="AC37" s="54">
        <f>RANK(AB37,AB$28:AB$45)</f>
        <v/>
      </c>
      <c r="AD37" s="53">
        <f>VLOOKUP($A37,'L10'!$A:$IZ,71,FALSE)</f>
        <v/>
      </c>
      <c r="AE37" s="54">
        <f>RANK(AD37,AD$28:AD$45)</f>
        <v/>
      </c>
      <c r="AF37" s="65">
        <f>104-(Y37+AA37+AC37+AE37)</f>
        <v/>
      </c>
      <c r="AG37" s="47">
        <f>RANK(AF37,AF$28:AF$45)</f>
        <v/>
      </c>
      <c r="AH37" s="56" t="n"/>
      <c r="AI37" s="53">
        <f>VLOOKUP($A37,'L10'!$A:$IZ,183,FALSE)</f>
        <v/>
      </c>
      <c r="AJ37" s="54">
        <f>RANK(AI37,AI$28:AI$45,1)</f>
        <v/>
      </c>
      <c r="AK37" s="53">
        <f>VLOOKUP($A37,'L10'!$A:$IZ,181,FALSE)</f>
        <v/>
      </c>
      <c r="AL37" s="54">
        <f>RANK(AK37,AK$28:AK$45,1)</f>
        <v/>
      </c>
      <c r="AM37" s="53">
        <f>VLOOKUP($A37,'L10'!$A:$IZ,182,FALSE)</f>
        <v/>
      </c>
      <c r="AN37" s="54">
        <f>RANK(AM37,AM$28:AM$45,1)</f>
        <v/>
      </c>
      <c r="AO37" s="53">
        <f>VLOOKUP($A37,'L10'!$A:$IZ,163,FALSE)</f>
        <v/>
      </c>
      <c r="AP37" s="54">
        <f>RANK(AO37,AO$28:AO$45,1)</f>
        <v/>
      </c>
      <c r="AQ37" s="65">
        <f>104-(AJ37+AL37+AN37+AP37)</f>
        <v/>
      </c>
      <c r="AR37" s="47">
        <f>RANK(AQ37,AQ$28:AQ$45)</f>
        <v/>
      </c>
      <c r="AS37" s="56" t="n"/>
      <c r="AT37" s="46">
        <f>VLOOKUP($A37,'L10'!$A:$IZ,250,FALSE)</f>
        <v/>
      </c>
      <c r="AU37" s="47">
        <f>RANK(AT37,AT$28:AT$45,0)</f>
        <v/>
      </c>
      <c r="AV37" s="46">
        <f>VLOOKUP($A37,'L10'!$A:$IZ,92,FALSE)</f>
        <v/>
      </c>
      <c r="AW37" s="47">
        <f>RANK(AV37,AV$28:AV$45,0)</f>
        <v/>
      </c>
      <c r="AX37" s="46">
        <f>VLOOKUP($A37,'L10'!$A:$IZ,93,FALSE)</f>
        <v/>
      </c>
      <c r="AY37" s="47">
        <f>RANK(AX37,AX$28:AX$45,0)</f>
        <v/>
      </c>
      <c r="AZ37" s="46">
        <f>VLOOKUP($A37,'L10'!$A:$IZ,108,FALSE)</f>
        <v/>
      </c>
      <c r="BA37" s="47">
        <f>RANK(AZ37,AZ$28:AZ$45,0)</f>
        <v/>
      </c>
      <c r="BB37" s="49">
        <f>104-(AU37+AW37+AY37+BA37)</f>
        <v/>
      </c>
      <c r="BC37" s="47">
        <f>RANK(BB37,BB$28:BB$45,0)</f>
        <v/>
      </c>
      <c r="BD37" s="56" t="n"/>
      <c r="BE37" s="53">
        <f>VLOOKUP($A37,'L10'!$A:$IZ,80,FALSE)</f>
        <v/>
      </c>
      <c r="BF37" s="54">
        <f>RANK(BE37,BE$28:BE$45)</f>
        <v/>
      </c>
      <c r="BG37" s="53">
        <f>VLOOKUP($A37,'L10'!$A:$IZ,177,FALSE)</f>
        <v/>
      </c>
      <c r="BH37" s="54">
        <f>RANK(BG37,BG$28:BG$45,1)</f>
        <v/>
      </c>
      <c r="BI37" s="53">
        <f>VLOOKUP($A37,'L10'!$A:$IZ,79,FALSE)</f>
        <v/>
      </c>
      <c r="BJ37" s="54">
        <f>RANK(BI37,BI$28:BI$45)</f>
        <v/>
      </c>
      <c r="BK37" s="53">
        <f>VLOOKUP($A37,'L10'!$A:$IZ,176,FALSE)</f>
        <v/>
      </c>
      <c r="BL37" s="54">
        <f>RANK(BK37,BK$28:BK$45,1)</f>
        <v/>
      </c>
      <c r="BM37" s="53">
        <f>VLOOKUP($A37,'L10'!$A:$IZ,11,FALSE)</f>
        <v/>
      </c>
      <c r="BN37" s="54">
        <f>RANK(BM37,BM$28:BM$45)</f>
        <v/>
      </c>
      <c r="BO37" s="53">
        <f>VLOOKUP($A37,'L10'!$A:$IZ,222,FALSE)</f>
        <v/>
      </c>
      <c r="BP37" s="54">
        <f>RANK(BO37,BO$28:BO$45)</f>
        <v/>
      </c>
      <c r="BQ37" s="65">
        <f>104-(BJ37+BL37+BN37+BP37)</f>
        <v/>
      </c>
      <c r="BR37" s="47">
        <f>RANK(BQ37,BQ$28:BQ$45)</f>
        <v/>
      </c>
      <c r="BS37" s="56" t="n"/>
      <c r="BT37" s="57">
        <f>VLOOKUP($A37,'Ratings Season'!$A:$M,8,FALSE)</f>
        <v/>
      </c>
      <c r="BU37" s="54">
        <f>RANK(BT37,BT$28:BT$45)</f>
        <v/>
      </c>
      <c r="BV37" s="57">
        <f>VLOOKUP($A37,'Ratings Season'!$A:$M,4,FALSE)</f>
        <v/>
      </c>
      <c r="BW37" s="54">
        <f>RANK(BV37,BV$28:BV$45)</f>
        <v/>
      </c>
      <c r="BX37" s="57">
        <f>VLOOKUP($A37,'Ratings Season'!$A:$M,2,FALSE)</f>
        <v/>
      </c>
      <c r="BY37" s="58">
        <f>RANK(BX37,BX$28:BX$45)</f>
        <v/>
      </c>
      <c r="BZ37" s="69" t="n"/>
    </row>
    <row r="38" ht="25" customHeight="1">
      <c r="A38" s="85" t="inlineStr">
        <is>
          <t>Melbourne</t>
        </is>
      </c>
      <c r="B38" s="53">
        <f>VLOOKUP($A38,'L10'!$A:$IZ,222,FALSE)</f>
        <v/>
      </c>
      <c r="C38" s="54">
        <f>RANK(B38,B$28:B$45)</f>
        <v/>
      </c>
      <c r="D38" s="55">
        <f>VLOOKUP($A38,'L10'!$A:$IZ,218,FALSE)</f>
        <v/>
      </c>
      <c r="E38" s="54">
        <f>RANK(D38,D$28:D$45)</f>
        <v/>
      </c>
      <c r="F38" s="55">
        <f>VLOOKUP($A38,'L10'!$A:$IZ,49,FALSE)</f>
        <v/>
      </c>
      <c r="G38" s="54">
        <f>RANK(F38,F$28:F$45)</f>
        <v/>
      </c>
      <c r="H38" s="55">
        <f>VLOOKUP($A38,'L10'!$A:$IZ,229,FALSE)</f>
        <v/>
      </c>
      <c r="I38" s="54">
        <f>RANK(H38,H$28:H$45)</f>
        <v/>
      </c>
      <c r="J38" s="49">
        <f>104-(C38+E38+G38+I38)</f>
        <v/>
      </c>
      <c r="K38" s="47">
        <f>RANK(J38,J$28:J$45)</f>
        <v/>
      </c>
      <c r="L38" s="56" t="n"/>
      <c r="M38" s="53">
        <f>VLOOKUP($A38,'L10'!$A:$IZ,88,FALSE)</f>
        <v/>
      </c>
      <c r="N38" s="54">
        <f>RANK(M38,M$28:M$45)</f>
        <v/>
      </c>
      <c r="O38" s="53">
        <f>VLOOKUP($A38,'L10'!$A:$IZ,84,FALSE)</f>
        <v/>
      </c>
      <c r="P38" s="54">
        <f>RANK(O38,O$28:O$45)</f>
        <v/>
      </c>
      <c r="Q38" s="53">
        <f>VLOOKUP($A38,'L10'!$A:$IZ,85,FALSE)</f>
        <v/>
      </c>
      <c r="R38" s="54">
        <f>RANK(Q38,Q$28:Q$45)</f>
        <v/>
      </c>
      <c r="S38" s="55">
        <f>VLOOKUP($A38,'L10'!$A:$IZ,29,FALSE)</f>
        <v/>
      </c>
      <c r="T38" s="54">
        <f>RANK(S38,S$28:S$45)</f>
        <v/>
      </c>
      <c r="U38" s="49">
        <f>104-(N38+P38+R38+T38)</f>
        <v/>
      </c>
      <c r="V38" s="47">
        <f>RANK(U38,U$28:U$45)</f>
        <v/>
      </c>
      <c r="W38" s="56" t="n"/>
      <c r="X38" s="53">
        <f>VLOOKUP($A38,'L10'!$A:$IZ,65,FALSE)</f>
        <v/>
      </c>
      <c r="Y38" s="54">
        <f>RANK(X38,X$28:X$45)</f>
        <v/>
      </c>
      <c r="Z38" s="53">
        <f>VLOOKUP($A38,'L10'!$A:$IZ,64,FALSE)</f>
        <v/>
      </c>
      <c r="AA38" s="54">
        <f>RANK(Z38,Z$28:Z$45)</f>
        <v/>
      </c>
      <c r="AB38" s="53">
        <f>VLOOKUP($A38,'L10'!$A:$IZ,63,FALSE)</f>
        <v/>
      </c>
      <c r="AC38" s="54">
        <f>RANK(AB38,AB$28:AB$45)</f>
        <v/>
      </c>
      <c r="AD38" s="53">
        <f>VLOOKUP($A38,'L10'!$A:$IZ,71,FALSE)</f>
        <v/>
      </c>
      <c r="AE38" s="54">
        <f>RANK(AD38,AD$28:AD$45)</f>
        <v/>
      </c>
      <c r="AF38" s="65">
        <f>104-(Y38+AA38+AC38+AE38)</f>
        <v/>
      </c>
      <c r="AG38" s="47">
        <f>RANK(AF38,AF$28:AF$45)</f>
        <v/>
      </c>
      <c r="AH38" s="56" t="n"/>
      <c r="AI38" s="53">
        <f>VLOOKUP($A38,'L10'!$A:$IZ,183,FALSE)</f>
        <v/>
      </c>
      <c r="AJ38" s="54">
        <f>RANK(AI38,AI$28:AI$45,1)</f>
        <v/>
      </c>
      <c r="AK38" s="53">
        <f>VLOOKUP($A38,'L10'!$A:$IZ,181,FALSE)</f>
        <v/>
      </c>
      <c r="AL38" s="54">
        <f>RANK(AK38,AK$28:AK$45,1)</f>
        <v/>
      </c>
      <c r="AM38" s="53">
        <f>VLOOKUP($A38,'L10'!$A:$IZ,182,FALSE)</f>
        <v/>
      </c>
      <c r="AN38" s="54">
        <f>RANK(AM38,AM$28:AM$45,1)</f>
        <v/>
      </c>
      <c r="AO38" s="53">
        <f>VLOOKUP($A38,'L10'!$A:$IZ,163,FALSE)</f>
        <v/>
      </c>
      <c r="AP38" s="54">
        <f>RANK(AO38,AO$28:AO$45,1)</f>
        <v/>
      </c>
      <c r="AQ38" s="65">
        <f>104-(AJ38+AL38+AN38+AP38)</f>
        <v/>
      </c>
      <c r="AR38" s="47">
        <f>RANK(AQ38,AQ$28:AQ$45)</f>
        <v/>
      </c>
      <c r="AS38" s="56" t="n"/>
      <c r="AT38" s="46">
        <f>VLOOKUP($A38,'L10'!$A:$IZ,250,FALSE)</f>
        <v/>
      </c>
      <c r="AU38" s="47">
        <f>RANK(AT38,AT$28:AT$45,0)</f>
        <v/>
      </c>
      <c r="AV38" s="46">
        <f>VLOOKUP($A38,'L10'!$A:$IZ,92,FALSE)</f>
        <v/>
      </c>
      <c r="AW38" s="47">
        <f>RANK(AV38,AV$28:AV$45,0)</f>
        <v/>
      </c>
      <c r="AX38" s="46">
        <f>VLOOKUP($A38,'L10'!$A:$IZ,93,FALSE)</f>
        <v/>
      </c>
      <c r="AY38" s="47">
        <f>RANK(AX38,AX$28:AX$45,0)</f>
        <v/>
      </c>
      <c r="AZ38" s="46">
        <f>VLOOKUP($A38,'L10'!$A:$IZ,108,FALSE)</f>
        <v/>
      </c>
      <c r="BA38" s="47">
        <f>RANK(AZ38,AZ$28:AZ$45,0)</f>
        <v/>
      </c>
      <c r="BB38" s="49">
        <f>104-(AU38+AW38+AY38+BA38)</f>
        <v/>
      </c>
      <c r="BC38" s="47">
        <f>RANK(BB38,BB$28:BB$45,0)</f>
        <v/>
      </c>
      <c r="BD38" s="56" t="n"/>
      <c r="BE38" s="53">
        <f>VLOOKUP($A38,'L10'!$A:$IZ,80,FALSE)</f>
        <v/>
      </c>
      <c r="BF38" s="54">
        <f>RANK(BE38,BE$28:BE$45)</f>
        <v/>
      </c>
      <c r="BG38" s="53">
        <f>VLOOKUP($A38,'L10'!$A:$IZ,177,FALSE)</f>
        <v/>
      </c>
      <c r="BH38" s="54">
        <f>RANK(BG38,BG$28:BG$45,1)</f>
        <v/>
      </c>
      <c r="BI38" s="53">
        <f>VLOOKUP($A38,'L10'!$A:$IZ,79,FALSE)</f>
        <v/>
      </c>
      <c r="BJ38" s="54">
        <f>RANK(BI38,BI$28:BI$45)</f>
        <v/>
      </c>
      <c r="BK38" s="53">
        <f>VLOOKUP($A38,'L10'!$A:$IZ,176,FALSE)</f>
        <v/>
      </c>
      <c r="BL38" s="54">
        <f>RANK(BK38,BK$28:BK$45,1)</f>
        <v/>
      </c>
      <c r="BM38" s="53">
        <f>VLOOKUP($A38,'L10'!$A:$IZ,11,FALSE)</f>
        <v/>
      </c>
      <c r="BN38" s="54">
        <f>RANK(BM38,BM$28:BM$45)</f>
        <v/>
      </c>
      <c r="BO38" s="53">
        <f>VLOOKUP($A38,'L10'!$A:$IZ,222,FALSE)</f>
        <v/>
      </c>
      <c r="BP38" s="54">
        <f>RANK(BO38,BO$28:BO$45)</f>
        <v/>
      </c>
      <c r="BQ38" s="65">
        <f>104-(BJ38+BL38+BN38+BP38)</f>
        <v/>
      </c>
      <c r="BR38" s="47">
        <f>RANK(BQ38,BQ$28:BQ$45)</f>
        <v/>
      </c>
      <c r="BS38" s="56" t="n"/>
      <c r="BT38" s="57">
        <f>VLOOKUP($A38,'Ratings Season'!$A:$M,8,FALSE)</f>
        <v/>
      </c>
      <c r="BU38" s="54">
        <f>RANK(BT38,BT$28:BT$45)</f>
        <v/>
      </c>
      <c r="BV38" s="57">
        <f>VLOOKUP($A38,'Ratings Season'!$A:$M,4,FALSE)</f>
        <v/>
      </c>
      <c r="BW38" s="54">
        <f>RANK(BV38,BV$28:BV$45)</f>
        <v/>
      </c>
      <c r="BX38" s="57">
        <f>VLOOKUP($A38,'Ratings Season'!$A:$M,2,FALSE)</f>
        <v/>
      </c>
      <c r="BY38" s="58">
        <f>RANK(BX38,BX$28:BX$45)</f>
        <v/>
      </c>
      <c r="BZ38" s="69" t="n"/>
    </row>
    <row r="39" ht="25" customHeight="1">
      <c r="A39" s="86" t="inlineStr">
        <is>
          <t>North Melbourne</t>
        </is>
      </c>
      <c r="B39" s="53">
        <f>VLOOKUP($A39,'L10'!$A:$IZ,222,FALSE)</f>
        <v/>
      </c>
      <c r="C39" s="54">
        <f>RANK(B39,B$28:B$45)</f>
        <v/>
      </c>
      <c r="D39" s="55">
        <f>VLOOKUP($A39,'L10'!$A:$IZ,218,FALSE)</f>
        <v/>
      </c>
      <c r="E39" s="54">
        <f>RANK(D39,D$28:D$45)</f>
        <v/>
      </c>
      <c r="F39" s="55">
        <f>VLOOKUP($A39,'L10'!$A:$IZ,49,FALSE)</f>
        <v/>
      </c>
      <c r="G39" s="54">
        <f>RANK(F39,F$28:F$45)</f>
        <v/>
      </c>
      <c r="H39" s="55">
        <f>VLOOKUP($A39,'L10'!$A:$IZ,229,FALSE)</f>
        <v/>
      </c>
      <c r="I39" s="54">
        <f>RANK(H39,H$28:H$45)</f>
        <v/>
      </c>
      <c r="J39" s="49">
        <f>104-(C39+E39+G39+I39)</f>
        <v/>
      </c>
      <c r="K39" s="47">
        <f>RANK(J39,J$28:J$45)</f>
        <v/>
      </c>
      <c r="L39" s="56" t="n"/>
      <c r="M39" s="53">
        <f>VLOOKUP($A39,'L10'!$A:$IZ,88,FALSE)</f>
        <v/>
      </c>
      <c r="N39" s="54">
        <f>RANK(M39,M$28:M$45)</f>
        <v/>
      </c>
      <c r="O39" s="53">
        <f>VLOOKUP($A39,'L10'!$A:$IZ,84,FALSE)</f>
        <v/>
      </c>
      <c r="P39" s="54">
        <f>RANK(O39,O$28:O$45)</f>
        <v/>
      </c>
      <c r="Q39" s="53">
        <f>VLOOKUP($A39,'L10'!$A:$IZ,85,FALSE)</f>
        <v/>
      </c>
      <c r="R39" s="54">
        <f>RANK(Q39,Q$28:Q$45)</f>
        <v/>
      </c>
      <c r="S39" s="55">
        <f>VLOOKUP($A39,'L10'!$A:$IZ,29,FALSE)</f>
        <v/>
      </c>
      <c r="T39" s="54">
        <f>RANK(S39,S$28:S$45)</f>
        <v/>
      </c>
      <c r="U39" s="49">
        <f>104-(N39+P39+R39+T39)</f>
        <v/>
      </c>
      <c r="V39" s="47">
        <f>RANK(U39,U$28:U$45)</f>
        <v/>
      </c>
      <c r="W39" s="56" t="n"/>
      <c r="X39" s="53">
        <f>VLOOKUP($A39,'L10'!$A:$IZ,65,FALSE)</f>
        <v/>
      </c>
      <c r="Y39" s="54">
        <f>RANK(X39,X$28:X$45)</f>
        <v/>
      </c>
      <c r="Z39" s="53">
        <f>VLOOKUP($A39,'L10'!$A:$IZ,64,FALSE)</f>
        <v/>
      </c>
      <c r="AA39" s="54">
        <f>RANK(Z39,Z$28:Z$45)</f>
        <v/>
      </c>
      <c r="AB39" s="53">
        <f>VLOOKUP($A39,'L10'!$A:$IZ,63,FALSE)</f>
        <v/>
      </c>
      <c r="AC39" s="54">
        <f>RANK(AB39,AB$28:AB$45)</f>
        <v/>
      </c>
      <c r="AD39" s="53">
        <f>VLOOKUP($A39,'L10'!$A:$IZ,71,FALSE)</f>
        <v/>
      </c>
      <c r="AE39" s="54">
        <f>RANK(AD39,AD$28:AD$45)</f>
        <v/>
      </c>
      <c r="AF39" s="65">
        <f>104-(Y39+AA39+AC39+AE39)</f>
        <v/>
      </c>
      <c r="AG39" s="47">
        <f>RANK(AF39,AF$28:AF$45)</f>
        <v/>
      </c>
      <c r="AH39" s="56" t="n"/>
      <c r="AI39" s="53">
        <f>VLOOKUP($A39,'L10'!$A:$IZ,183,FALSE)</f>
        <v/>
      </c>
      <c r="AJ39" s="54">
        <f>RANK(AI39,AI$28:AI$45,1)</f>
        <v/>
      </c>
      <c r="AK39" s="53">
        <f>VLOOKUP($A39,'L10'!$A:$IZ,181,FALSE)</f>
        <v/>
      </c>
      <c r="AL39" s="54">
        <f>RANK(AK39,AK$28:AK$45,1)</f>
        <v/>
      </c>
      <c r="AM39" s="53">
        <f>VLOOKUP($A39,'L10'!$A:$IZ,182,FALSE)</f>
        <v/>
      </c>
      <c r="AN39" s="54">
        <f>RANK(AM39,AM$28:AM$45,1)</f>
        <v/>
      </c>
      <c r="AO39" s="53">
        <f>VLOOKUP($A39,'L10'!$A:$IZ,163,FALSE)</f>
        <v/>
      </c>
      <c r="AP39" s="54">
        <f>RANK(AO39,AO$28:AO$45,1)</f>
        <v/>
      </c>
      <c r="AQ39" s="65">
        <f>104-(AJ39+AL39+AN39+AP39)</f>
        <v/>
      </c>
      <c r="AR39" s="47">
        <f>RANK(AQ39,AQ$28:AQ$45)</f>
        <v/>
      </c>
      <c r="AS39" s="56" t="n"/>
      <c r="AT39" s="46">
        <f>VLOOKUP($A39,'L10'!$A:$IZ,250,FALSE)</f>
        <v/>
      </c>
      <c r="AU39" s="47">
        <f>RANK(AT39,AT$28:AT$45,0)</f>
        <v/>
      </c>
      <c r="AV39" s="46">
        <f>VLOOKUP($A39,'L10'!$A:$IZ,92,FALSE)</f>
        <v/>
      </c>
      <c r="AW39" s="47">
        <f>RANK(AV39,AV$28:AV$45,0)</f>
        <v/>
      </c>
      <c r="AX39" s="46">
        <f>VLOOKUP($A39,'L10'!$A:$IZ,93,FALSE)</f>
        <v/>
      </c>
      <c r="AY39" s="47">
        <f>RANK(AX39,AX$28:AX$45,0)</f>
        <v/>
      </c>
      <c r="AZ39" s="46">
        <f>VLOOKUP($A39,'L10'!$A:$IZ,108,FALSE)</f>
        <v/>
      </c>
      <c r="BA39" s="47">
        <f>RANK(AZ39,AZ$28:AZ$45,0)</f>
        <v/>
      </c>
      <c r="BB39" s="49">
        <f>104-(AU39+AW39+AY39+BA39)</f>
        <v/>
      </c>
      <c r="BC39" s="47">
        <f>RANK(BB39,BB$28:BB$45,0)</f>
        <v/>
      </c>
      <c r="BD39" s="56" t="n"/>
      <c r="BE39" s="53">
        <f>VLOOKUP($A39,'L10'!$A:$IZ,80,FALSE)</f>
        <v/>
      </c>
      <c r="BF39" s="54">
        <f>RANK(BE39,BE$28:BE$45)</f>
        <v/>
      </c>
      <c r="BG39" s="53">
        <f>VLOOKUP($A39,'L10'!$A:$IZ,177,FALSE)</f>
        <v/>
      </c>
      <c r="BH39" s="54">
        <f>RANK(BG39,BG$28:BG$45,1)</f>
        <v/>
      </c>
      <c r="BI39" s="53">
        <f>VLOOKUP($A39,'L10'!$A:$IZ,79,FALSE)</f>
        <v/>
      </c>
      <c r="BJ39" s="54">
        <f>RANK(BI39,BI$28:BI$45)</f>
        <v/>
      </c>
      <c r="BK39" s="53">
        <f>VLOOKUP($A39,'L10'!$A:$IZ,176,FALSE)</f>
        <v/>
      </c>
      <c r="BL39" s="54">
        <f>RANK(BK39,BK$28:BK$45,1)</f>
        <v/>
      </c>
      <c r="BM39" s="53">
        <f>VLOOKUP($A39,'L10'!$A:$IZ,11,FALSE)</f>
        <v/>
      </c>
      <c r="BN39" s="54">
        <f>RANK(BM39,BM$28:BM$45)</f>
        <v/>
      </c>
      <c r="BO39" s="53">
        <f>VLOOKUP($A39,'L10'!$A:$IZ,222,FALSE)</f>
        <v/>
      </c>
      <c r="BP39" s="54">
        <f>RANK(BO39,BO$28:BO$45)</f>
        <v/>
      </c>
      <c r="BQ39" s="65">
        <f>104-(BJ39+BL39+BN39+BP39)</f>
        <v/>
      </c>
      <c r="BR39" s="47">
        <f>RANK(BQ39,BQ$28:BQ$45)</f>
        <v/>
      </c>
      <c r="BS39" s="56" t="n"/>
      <c r="BT39" s="57">
        <f>VLOOKUP($A39,'Ratings Season'!$A:$M,8,FALSE)</f>
        <v/>
      </c>
      <c r="BU39" s="54">
        <f>RANK(BT39,BT$28:BT$45)</f>
        <v/>
      </c>
      <c r="BV39" s="57">
        <f>VLOOKUP($A39,'Ratings Season'!$A:$M,4,FALSE)</f>
        <v/>
      </c>
      <c r="BW39" s="54">
        <f>RANK(BV39,BV$28:BV$45)</f>
        <v/>
      </c>
      <c r="BX39" s="57">
        <f>VLOOKUP($A39,'Ratings Season'!$A:$M,2,FALSE)</f>
        <v/>
      </c>
      <c r="BY39" s="58">
        <f>RANK(BX39,BX$28:BX$45)</f>
        <v/>
      </c>
      <c r="BZ39" s="69" t="n"/>
    </row>
    <row r="40" ht="25" customHeight="1">
      <c r="A40" s="87" t="inlineStr">
        <is>
          <t>Port Adelaide</t>
        </is>
      </c>
      <c r="B40" s="53">
        <f>VLOOKUP($A40,'L10'!$A:$IZ,222,FALSE)</f>
        <v/>
      </c>
      <c r="C40" s="54">
        <f>RANK(B40,B$28:B$45)</f>
        <v/>
      </c>
      <c r="D40" s="55">
        <f>VLOOKUP($A40,'L10'!$A:$IZ,218,FALSE)</f>
        <v/>
      </c>
      <c r="E40" s="54">
        <f>RANK(D40,D$28:D$45)</f>
        <v/>
      </c>
      <c r="F40" s="55">
        <f>VLOOKUP($A40,'L10'!$A:$IZ,49,FALSE)</f>
        <v/>
      </c>
      <c r="G40" s="54">
        <f>RANK(F40,F$28:F$45)</f>
        <v/>
      </c>
      <c r="H40" s="55">
        <f>VLOOKUP($A40,'L10'!$A:$IZ,229,FALSE)</f>
        <v/>
      </c>
      <c r="I40" s="54">
        <f>RANK(H40,H$28:H$45)</f>
        <v/>
      </c>
      <c r="J40" s="49">
        <f>104-(C40+E40+G40+I40)</f>
        <v/>
      </c>
      <c r="K40" s="47">
        <f>RANK(J40,J$28:J$45)</f>
        <v/>
      </c>
      <c r="L40" s="56" t="n"/>
      <c r="M40" s="53">
        <f>VLOOKUP($A40,'L10'!$A:$IZ,88,FALSE)</f>
        <v/>
      </c>
      <c r="N40" s="54">
        <f>RANK(M40,M$28:M$45)</f>
        <v/>
      </c>
      <c r="O40" s="53">
        <f>VLOOKUP($A40,'L10'!$A:$IZ,84,FALSE)</f>
        <v/>
      </c>
      <c r="P40" s="54">
        <f>RANK(O40,O$28:O$45)</f>
        <v/>
      </c>
      <c r="Q40" s="53">
        <f>VLOOKUP($A40,'L10'!$A:$IZ,85,FALSE)</f>
        <v/>
      </c>
      <c r="R40" s="54">
        <f>RANK(Q40,Q$28:Q$45)</f>
        <v/>
      </c>
      <c r="S40" s="55">
        <f>VLOOKUP($A40,'L10'!$A:$IZ,29,FALSE)</f>
        <v/>
      </c>
      <c r="T40" s="54">
        <f>RANK(S40,S$28:S$45)</f>
        <v/>
      </c>
      <c r="U40" s="49">
        <f>104-(N40+P40+R40+T40)</f>
        <v/>
      </c>
      <c r="V40" s="47">
        <f>RANK(U40,U$28:U$45)</f>
        <v/>
      </c>
      <c r="W40" s="56" t="n"/>
      <c r="X40" s="53">
        <f>VLOOKUP($A40,'L10'!$A:$IZ,65,FALSE)</f>
        <v/>
      </c>
      <c r="Y40" s="54">
        <f>RANK(X40,X$28:X$45)</f>
        <v/>
      </c>
      <c r="Z40" s="53">
        <f>VLOOKUP($A40,'L10'!$A:$IZ,64,FALSE)</f>
        <v/>
      </c>
      <c r="AA40" s="54">
        <f>RANK(Z40,Z$28:Z$45)</f>
        <v/>
      </c>
      <c r="AB40" s="53">
        <f>VLOOKUP($A40,'L10'!$A:$IZ,63,FALSE)</f>
        <v/>
      </c>
      <c r="AC40" s="54">
        <f>RANK(AB40,AB$28:AB$45)</f>
        <v/>
      </c>
      <c r="AD40" s="53">
        <f>VLOOKUP($A40,'L10'!$A:$IZ,71,FALSE)</f>
        <v/>
      </c>
      <c r="AE40" s="54">
        <f>RANK(AD40,AD$28:AD$45)</f>
        <v/>
      </c>
      <c r="AF40" s="65">
        <f>104-(Y40+AA40+AC40+AE40)</f>
        <v/>
      </c>
      <c r="AG40" s="47">
        <f>RANK(AF40,AF$28:AF$45)</f>
        <v/>
      </c>
      <c r="AH40" s="56" t="n"/>
      <c r="AI40" s="53">
        <f>VLOOKUP($A40,'L10'!$A:$IZ,183,FALSE)</f>
        <v/>
      </c>
      <c r="AJ40" s="54">
        <f>RANK(AI40,AI$28:AI$45,1)</f>
        <v/>
      </c>
      <c r="AK40" s="53">
        <f>VLOOKUP($A40,'L10'!$A:$IZ,181,FALSE)</f>
        <v/>
      </c>
      <c r="AL40" s="54">
        <f>RANK(AK40,AK$28:AK$45,1)</f>
        <v/>
      </c>
      <c r="AM40" s="53">
        <f>VLOOKUP($A40,'L10'!$A:$IZ,182,FALSE)</f>
        <v/>
      </c>
      <c r="AN40" s="54">
        <f>RANK(AM40,AM$28:AM$45,1)</f>
        <v/>
      </c>
      <c r="AO40" s="53">
        <f>VLOOKUP($A40,'L10'!$A:$IZ,163,FALSE)</f>
        <v/>
      </c>
      <c r="AP40" s="54">
        <f>RANK(AO40,AO$28:AO$45,1)</f>
        <v/>
      </c>
      <c r="AQ40" s="65">
        <f>104-(AJ40+AL40+AN40+AP40)</f>
        <v/>
      </c>
      <c r="AR40" s="47">
        <f>RANK(AQ40,AQ$28:AQ$45)</f>
        <v/>
      </c>
      <c r="AS40" s="56" t="n"/>
      <c r="AT40" s="46">
        <f>VLOOKUP($A40,'L10'!$A:$IZ,250,FALSE)</f>
        <v/>
      </c>
      <c r="AU40" s="47">
        <f>RANK(AT40,AT$28:AT$45,0)</f>
        <v/>
      </c>
      <c r="AV40" s="46">
        <f>VLOOKUP($A40,'L10'!$A:$IZ,92,FALSE)</f>
        <v/>
      </c>
      <c r="AW40" s="47">
        <f>RANK(AV40,AV$28:AV$45,0)</f>
        <v/>
      </c>
      <c r="AX40" s="46">
        <f>VLOOKUP($A40,'L10'!$A:$IZ,93,FALSE)</f>
        <v/>
      </c>
      <c r="AY40" s="47">
        <f>RANK(AX40,AX$28:AX$45,0)</f>
        <v/>
      </c>
      <c r="AZ40" s="46">
        <f>VLOOKUP($A40,'L10'!$A:$IZ,108,FALSE)</f>
        <v/>
      </c>
      <c r="BA40" s="47">
        <f>RANK(AZ40,AZ$28:AZ$45,0)</f>
        <v/>
      </c>
      <c r="BB40" s="49">
        <f>104-(AU40+AW40+AY40+BA40)</f>
        <v/>
      </c>
      <c r="BC40" s="47">
        <f>RANK(BB40,BB$28:BB$45,0)</f>
        <v/>
      </c>
      <c r="BD40" s="56" t="n"/>
      <c r="BE40" s="53">
        <f>VLOOKUP($A40,'L10'!$A:$IZ,80,FALSE)</f>
        <v/>
      </c>
      <c r="BF40" s="54">
        <f>RANK(BE40,BE$28:BE$45)</f>
        <v/>
      </c>
      <c r="BG40" s="53">
        <f>VLOOKUP($A40,'L10'!$A:$IZ,177,FALSE)</f>
        <v/>
      </c>
      <c r="BH40" s="54">
        <f>RANK(BG40,BG$28:BG$45,1)</f>
        <v/>
      </c>
      <c r="BI40" s="53">
        <f>VLOOKUP($A40,'L10'!$A:$IZ,79,FALSE)</f>
        <v/>
      </c>
      <c r="BJ40" s="54">
        <f>RANK(BI40,BI$28:BI$45)</f>
        <v/>
      </c>
      <c r="BK40" s="53">
        <f>VLOOKUP($A40,'L10'!$A:$IZ,176,FALSE)</f>
        <v/>
      </c>
      <c r="BL40" s="54">
        <f>RANK(BK40,BK$28:BK$45,1)</f>
        <v/>
      </c>
      <c r="BM40" s="53">
        <f>VLOOKUP($A40,'L10'!$A:$IZ,11,FALSE)</f>
        <v/>
      </c>
      <c r="BN40" s="54">
        <f>RANK(BM40,BM$28:BM$45)</f>
        <v/>
      </c>
      <c r="BO40" s="53">
        <f>VLOOKUP($A40,'L10'!$A:$IZ,222,FALSE)</f>
        <v/>
      </c>
      <c r="BP40" s="54">
        <f>RANK(BO40,BO$28:BO$45)</f>
        <v/>
      </c>
      <c r="BQ40" s="65">
        <f>104-(BJ40+BL40+BN40+BP40)</f>
        <v/>
      </c>
      <c r="BR40" s="47">
        <f>RANK(BQ40,BQ$28:BQ$45)</f>
        <v/>
      </c>
      <c r="BS40" s="56" t="n"/>
      <c r="BT40" s="57">
        <f>VLOOKUP($A40,'Ratings Season'!$A:$M,8,FALSE)</f>
        <v/>
      </c>
      <c r="BU40" s="54">
        <f>RANK(BT40,BT$28:BT$45)</f>
        <v/>
      </c>
      <c r="BV40" s="57">
        <f>VLOOKUP($A40,'Ratings Season'!$A:$M,4,FALSE)</f>
        <v/>
      </c>
      <c r="BW40" s="54">
        <f>RANK(BV40,BV$28:BV$45)</f>
        <v/>
      </c>
      <c r="BX40" s="57">
        <f>VLOOKUP($A40,'Ratings Season'!$A:$M,2,FALSE)</f>
        <v/>
      </c>
      <c r="BY40" s="58">
        <f>RANK(BX40,BX$28:BX$45)</f>
        <v/>
      </c>
      <c r="BZ40" s="69" t="n"/>
    </row>
    <row r="41" ht="25" customHeight="1">
      <c r="A41" s="88" t="inlineStr">
        <is>
          <t>Richmond</t>
        </is>
      </c>
      <c r="B41" s="53">
        <f>VLOOKUP($A41,'L10'!$A:$IZ,222,FALSE)</f>
        <v/>
      </c>
      <c r="C41" s="54">
        <f>RANK(B41,B$28:B$45)</f>
        <v/>
      </c>
      <c r="D41" s="55">
        <f>VLOOKUP($A41,'L10'!$A:$IZ,218,FALSE)</f>
        <v/>
      </c>
      <c r="E41" s="54">
        <f>RANK(D41,D$28:D$45)</f>
        <v/>
      </c>
      <c r="F41" s="55">
        <f>VLOOKUP($A41,'L10'!$A:$IZ,49,FALSE)</f>
        <v/>
      </c>
      <c r="G41" s="54">
        <f>RANK(F41,F$28:F$45)</f>
        <v/>
      </c>
      <c r="H41" s="55">
        <f>VLOOKUP($A41,'L10'!$A:$IZ,229,FALSE)</f>
        <v/>
      </c>
      <c r="I41" s="54">
        <f>RANK(H41,H$28:H$45)</f>
        <v/>
      </c>
      <c r="J41" s="49">
        <f>104-(C41+E41+G41+I41)</f>
        <v/>
      </c>
      <c r="K41" s="47">
        <f>RANK(J41,J$28:J$45)</f>
        <v/>
      </c>
      <c r="L41" s="56" t="n"/>
      <c r="M41" s="53">
        <f>VLOOKUP($A41,'L10'!$A:$IZ,88,FALSE)</f>
        <v/>
      </c>
      <c r="N41" s="54">
        <f>RANK(M41,M$28:M$45)</f>
        <v/>
      </c>
      <c r="O41" s="53">
        <f>VLOOKUP($A41,'L10'!$A:$IZ,84,FALSE)</f>
        <v/>
      </c>
      <c r="P41" s="54">
        <f>RANK(O41,O$28:O$45)</f>
        <v/>
      </c>
      <c r="Q41" s="53">
        <f>VLOOKUP($A41,'L10'!$A:$IZ,85,FALSE)</f>
        <v/>
      </c>
      <c r="R41" s="54">
        <f>RANK(Q41,Q$28:Q$45)</f>
        <v/>
      </c>
      <c r="S41" s="55">
        <f>VLOOKUP($A41,'L10'!$A:$IZ,29,FALSE)</f>
        <v/>
      </c>
      <c r="T41" s="54">
        <f>RANK(S41,S$28:S$45)</f>
        <v/>
      </c>
      <c r="U41" s="49">
        <f>104-(N41+P41+R41+T41)</f>
        <v/>
      </c>
      <c r="V41" s="47">
        <f>RANK(U41,U$28:U$45)</f>
        <v/>
      </c>
      <c r="W41" s="56" t="n"/>
      <c r="X41" s="53">
        <f>VLOOKUP($A41,'L10'!$A:$IZ,65,FALSE)</f>
        <v/>
      </c>
      <c r="Y41" s="54">
        <f>RANK(X41,X$28:X$45)</f>
        <v/>
      </c>
      <c r="Z41" s="53">
        <f>VLOOKUP($A41,'L10'!$A:$IZ,64,FALSE)</f>
        <v/>
      </c>
      <c r="AA41" s="54">
        <f>RANK(Z41,Z$28:Z$45)</f>
        <v/>
      </c>
      <c r="AB41" s="53">
        <f>VLOOKUP($A41,'L10'!$A:$IZ,63,FALSE)</f>
        <v/>
      </c>
      <c r="AC41" s="54">
        <f>RANK(AB41,AB$28:AB$45)</f>
        <v/>
      </c>
      <c r="AD41" s="53">
        <f>VLOOKUP($A41,'L10'!$A:$IZ,71,FALSE)</f>
        <v/>
      </c>
      <c r="AE41" s="54">
        <f>RANK(AD41,AD$28:AD$45)</f>
        <v/>
      </c>
      <c r="AF41" s="65">
        <f>104-(Y41+AA41+AC41+AE41)</f>
        <v/>
      </c>
      <c r="AG41" s="47">
        <f>RANK(AF41,AF$28:AF$45)</f>
        <v/>
      </c>
      <c r="AH41" s="56" t="n"/>
      <c r="AI41" s="53">
        <f>VLOOKUP($A41,'L10'!$A:$IZ,183,FALSE)</f>
        <v/>
      </c>
      <c r="AJ41" s="54">
        <f>RANK(AI41,AI$28:AI$45,1)</f>
        <v/>
      </c>
      <c r="AK41" s="53">
        <f>VLOOKUP($A41,'L10'!$A:$IZ,181,FALSE)</f>
        <v/>
      </c>
      <c r="AL41" s="54">
        <f>RANK(AK41,AK$28:AK$45,1)</f>
        <v/>
      </c>
      <c r="AM41" s="53">
        <f>VLOOKUP($A41,'L10'!$A:$IZ,182,FALSE)</f>
        <v/>
      </c>
      <c r="AN41" s="54">
        <f>RANK(AM41,AM$28:AM$45,1)</f>
        <v/>
      </c>
      <c r="AO41" s="53">
        <f>VLOOKUP($A41,'L10'!$A:$IZ,163,FALSE)</f>
        <v/>
      </c>
      <c r="AP41" s="54">
        <f>RANK(AO41,AO$28:AO$45,1)</f>
        <v/>
      </c>
      <c r="AQ41" s="65">
        <f>104-(AJ41+AL41+AN41+AP41)</f>
        <v/>
      </c>
      <c r="AR41" s="47">
        <f>RANK(AQ41,AQ$28:AQ$45)</f>
        <v/>
      </c>
      <c r="AS41" s="56" t="n"/>
      <c r="AT41" s="46">
        <f>VLOOKUP($A41,'L10'!$A:$IZ,250,FALSE)</f>
        <v/>
      </c>
      <c r="AU41" s="47">
        <f>RANK(AT41,AT$28:AT$45,0)</f>
        <v/>
      </c>
      <c r="AV41" s="46">
        <f>VLOOKUP($A41,'L10'!$A:$IZ,92,FALSE)</f>
        <v/>
      </c>
      <c r="AW41" s="47">
        <f>RANK(AV41,AV$28:AV$45,0)</f>
        <v/>
      </c>
      <c r="AX41" s="46">
        <f>VLOOKUP($A41,'L10'!$A:$IZ,93,FALSE)</f>
        <v/>
      </c>
      <c r="AY41" s="47">
        <f>RANK(AX41,AX$28:AX$45,0)</f>
        <v/>
      </c>
      <c r="AZ41" s="46">
        <f>VLOOKUP($A41,'L10'!$A:$IZ,108,FALSE)</f>
        <v/>
      </c>
      <c r="BA41" s="47">
        <f>RANK(AZ41,AZ$28:AZ$45,0)</f>
        <v/>
      </c>
      <c r="BB41" s="49">
        <f>104-(AU41+AW41+AY41+BA41)</f>
        <v/>
      </c>
      <c r="BC41" s="47">
        <f>RANK(BB41,BB$28:BB$45,0)</f>
        <v/>
      </c>
      <c r="BD41" s="56" t="n"/>
      <c r="BE41" s="53">
        <f>VLOOKUP($A41,'L10'!$A:$IZ,80,FALSE)</f>
        <v/>
      </c>
      <c r="BF41" s="54">
        <f>RANK(BE41,BE$28:BE$45)</f>
        <v/>
      </c>
      <c r="BG41" s="53">
        <f>VLOOKUP($A41,'L10'!$A:$IZ,177,FALSE)</f>
        <v/>
      </c>
      <c r="BH41" s="54">
        <f>RANK(BG41,BG$28:BG$45,1)</f>
        <v/>
      </c>
      <c r="BI41" s="53">
        <f>VLOOKUP($A41,'L10'!$A:$IZ,79,FALSE)</f>
        <v/>
      </c>
      <c r="BJ41" s="54">
        <f>RANK(BI41,BI$28:BI$45)</f>
        <v/>
      </c>
      <c r="BK41" s="53">
        <f>VLOOKUP($A41,'L10'!$A:$IZ,176,FALSE)</f>
        <v/>
      </c>
      <c r="BL41" s="54">
        <f>RANK(BK41,BK$28:BK$45,1)</f>
        <v/>
      </c>
      <c r="BM41" s="53">
        <f>VLOOKUP($A41,'L10'!$A:$IZ,11,FALSE)</f>
        <v/>
      </c>
      <c r="BN41" s="54">
        <f>RANK(BM41,BM$28:BM$45)</f>
        <v/>
      </c>
      <c r="BO41" s="53">
        <f>VLOOKUP($A41,'L10'!$A:$IZ,222,FALSE)</f>
        <v/>
      </c>
      <c r="BP41" s="54">
        <f>RANK(BO41,BO$28:BO$45)</f>
        <v/>
      </c>
      <c r="BQ41" s="65">
        <f>104-(BJ41+BL41+BN41+BP41)</f>
        <v/>
      </c>
      <c r="BR41" s="47">
        <f>RANK(BQ41,BQ$28:BQ$45)</f>
        <v/>
      </c>
      <c r="BS41" s="56" t="n"/>
      <c r="BT41" s="57">
        <f>VLOOKUP($A41,'Ratings Season'!$A:$M,8,FALSE)</f>
        <v/>
      </c>
      <c r="BU41" s="54">
        <f>RANK(BT41,BT$28:BT$45)</f>
        <v/>
      </c>
      <c r="BV41" s="57">
        <f>VLOOKUP($A41,'Ratings Season'!$A:$M,4,FALSE)</f>
        <v/>
      </c>
      <c r="BW41" s="54">
        <f>RANK(BV41,BV$28:BV$45)</f>
        <v/>
      </c>
      <c r="BX41" s="57">
        <f>VLOOKUP($A41,'Ratings Season'!$A:$M,2,FALSE)</f>
        <v/>
      </c>
      <c r="BY41" s="58">
        <f>RANK(BX41,BX$28:BX$45)</f>
        <v/>
      </c>
      <c r="BZ41" s="69" t="n"/>
    </row>
    <row r="42" ht="25" customHeight="1">
      <c r="A42" s="89" t="inlineStr">
        <is>
          <t>St Kilda</t>
        </is>
      </c>
      <c r="B42" s="53">
        <f>VLOOKUP($A42,'L10'!$A:$IZ,222,FALSE)</f>
        <v/>
      </c>
      <c r="C42" s="54">
        <f>RANK(B42,B$28:B$45)</f>
        <v/>
      </c>
      <c r="D42" s="55">
        <f>VLOOKUP($A42,'L10'!$A:$IZ,218,FALSE)</f>
        <v/>
      </c>
      <c r="E42" s="54">
        <f>RANK(D42,D$28:D$45)</f>
        <v/>
      </c>
      <c r="F42" s="55">
        <f>VLOOKUP($A42,'L10'!$A:$IZ,49,FALSE)</f>
        <v/>
      </c>
      <c r="G42" s="54">
        <f>RANK(F42,F$28:F$45)</f>
        <v/>
      </c>
      <c r="H42" s="55">
        <f>VLOOKUP($A42,'L10'!$A:$IZ,229,FALSE)</f>
        <v/>
      </c>
      <c r="I42" s="54">
        <f>RANK(H42,H$28:H$45)</f>
        <v/>
      </c>
      <c r="J42" s="49">
        <f>104-(C42+E42+G42+I42)</f>
        <v/>
      </c>
      <c r="K42" s="47">
        <f>RANK(J42,J$28:J$45)</f>
        <v/>
      </c>
      <c r="L42" s="56" t="n"/>
      <c r="M42" s="53">
        <f>VLOOKUP($A42,'L10'!$A:$IZ,88,FALSE)</f>
        <v/>
      </c>
      <c r="N42" s="54">
        <f>RANK(M42,M$28:M$45)</f>
        <v/>
      </c>
      <c r="O42" s="53">
        <f>VLOOKUP($A42,'L10'!$A:$IZ,84,FALSE)</f>
        <v/>
      </c>
      <c r="P42" s="54">
        <f>RANK(O42,O$28:O$45)</f>
        <v/>
      </c>
      <c r="Q42" s="53">
        <f>VLOOKUP($A42,'L10'!$A:$IZ,85,FALSE)</f>
        <v/>
      </c>
      <c r="R42" s="54">
        <f>RANK(Q42,Q$28:Q$45)</f>
        <v/>
      </c>
      <c r="S42" s="55">
        <f>VLOOKUP($A42,'L10'!$A:$IZ,29,FALSE)</f>
        <v/>
      </c>
      <c r="T42" s="54">
        <f>RANK(S42,S$28:S$45)</f>
        <v/>
      </c>
      <c r="U42" s="49">
        <f>104-(N42+P42+R42+T42)</f>
        <v/>
      </c>
      <c r="V42" s="47">
        <f>RANK(U42,U$28:U$45)</f>
        <v/>
      </c>
      <c r="W42" s="56" t="n"/>
      <c r="X42" s="53">
        <f>VLOOKUP($A42,'L10'!$A:$IZ,65,FALSE)</f>
        <v/>
      </c>
      <c r="Y42" s="54">
        <f>RANK(X42,X$28:X$45)</f>
        <v/>
      </c>
      <c r="Z42" s="53">
        <f>VLOOKUP($A42,'L10'!$A:$IZ,64,FALSE)</f>
        <v/>
      </c>
      <c r="AA42" s="54">
        <f>RANK(Z42,Z$28:Z$45)</f>
        <v/>
      </c>
      <c r="AB42" s="53">
        <f>VLOOKUP($A42,'L10'!$A:$IZ,63,FALSE)</f>
        <v/>
      </c>
      <c r="AC42" s="54">
        <f>RANK(AB42,AB$28:AB$45)</f>
        <v/>
      </c>
      <c r="AD42" s="53">
        <f>VLOOKUP($A42,'L10'!$A:$IZ,71,FALSE)</f>
        <v/>
      </c>
      <c r="AE42" s="54">
        <f>RANK(AD42,AD$28:AD$45)</f>
        <v/>
      </c>
      <c r="AF42" s="65">
        <f>104-(Y42+AA42+AC42+AE42)</f>
        <v/>
      </c>
      <c r="AG42" s="47">
        <f>RANK(AF42,AF$28:AF$45)</f>
        <v/>
      </c>
      <c r="AH42" s="56" t="n"/>
      <c r="AI42" s="53">
        <f>VLOOKUP($A42,'L10'!$A:$IZ,183,FALSE)</f>
        <v/>
      </c>
      <c r="AJ42" s="54">
        <f>RANK(AI42,AI$28:AI$45,1)</f>
        <v/>
      </c>
      <c r="AK42" s="53">
        <f>VLOOKUP($A42,'L10'!$A:$IZ,181,FALSE)</f>
        <v/>
      </c>
      <c r="AL42" s="54">
        <f>RANK(AK42,AK$28:AK$45,1)</f>
        <v/>
      </c>
      <c r="AM42" s="53">
        <f>VLOOKUP($A42,'L10'!$A:$IZ,182,FALSE)</f>
        <v/>
      </c>
      <c r="AN42" s="54">
        <f>RANK(AM42,AM$28:AM$45,1)</f>
        <v/>
      </c>
      <c r="AO42" s="53">
        <f>VLOOKUP($A42,'L10'!$A:$IZ,163,FALSE)</f>
        <v/>
      </c>
      <c r="AP42" s="54">
        <f>RANK(AO42,AO$28:AO$45,1)</f>
        <v/>
      </c>
      <c r="AQ42" s="65">
        <f>104-(AJ42+AL42+AN42+AP42)</f>
        <v/>
      </c>
      <c r="AR42" s="47">
        <f>RANK(AQ42,AQ$28:AQ$45)</f>
        <v/>
      </c>
      <c r="AS42" s="56" t="n"/>
      <c r="AT42" s="46">
        <f>VLOOKUP($A42,'L10'!$A:$IZ,250,FALSE)</f>
        <v/>
      </c>
      <c r="AU42" s="47">
        <f>RANK(AT42,AT$28:AT$45,0)</f>
        <v/>
      </c>
      <c r="AV42" s="46">
        <f>VLOOKUP($A42,'L10'!$A:$IZ,92,FALSE)</f>
        <v/>
      </c>
      <c r="AW42" s="47">
        <f>RANK(AV42,AV$28:AV$45,0)</f>
        <v/>
      </c>
      <c r="AX42" s="46">
        <f>VLOOKUP($A42,'L10'!$A:$IZ,93,FALSE)</f>
        <v/>
      </c>
      <c r="AY42" s="47">
        <f>RANK(AX42,AX$28:AX$45,0)</f>
        <v/>
      </c>
      <c r="AZ42" s="46">
        <f>VLOOKUP($A42,'L10'!$A:$IZ,108,FALSE)</f>
        <v/>
      </c>
      <c r="BA42" s="47">
        <f>RANK(AZ42,AZ$28:AZ$45,0)</f>
        <v/>
      </c>
      <c r="BB42" s="49">
        <f>104-(AU42+AW42+AY42+BA42)</f>
        <v/>
      </c>
      <c r="BC42" s="47">
        <f>RANK(BB42,BB$28:BB$45,0)</f>
        <v/>
      </c>
      <c r="BD42" s="56" t="n"/>
      <c r="BE42" s="53">
        <f>VLOOKUP($A42,'L10'!$A:$IZ,80,FALSE)</f>
        <v/>
      </c>
      <c r="BF42" s="54">
        <f>RANK(BE42,BE$28:BE$45)</f>
        <v/>
      </c>
      <c r="BG42" s="53">
        <f>VLOOKUP($A42,'L10'!$A:$IZ,177,FALSE)</f>
        <v/>
      </c>
      <c r="BH42" s="54">
        <f>RANK(BG42,BG$28:BG$45,1)</f>
        <v/>
      </c>
      <c r="BI42" s="53">
        <f>VLOOKUP($A42,'L10'!$A:$IZ,79,FALSE)</f>
        <v/>
      </c>
      <c r="BJ42" s="54">
        <f>RANK(BI42,BI$28:BI$45)</f>
        <v/>
      </c>
      <c r="BK42" s="53">
        <f>VLOOKUP($A42,'L10'!$A:$IZ,176,FALSE)</f>
        <v/>
      </c>
      <c r="BL42" s="54">
        <f>RANK(BK42,BK$28:BK$45,1)</f>
        <v/>
      </c>
      <c r="BM42" s="53">
        <f>VLOOKUP($A42,'L10'!$A:$IZ,11,FALSE)</f>
        <v/>
      </c>
      <c r="BN42" s="54">
        <f>RANK(BM42,BM$28:BM$45)</f>
        <v/>
      </c>
      <c r="BO42" s="53">
        <f>VLOOKUP($A42,'L10'!$A:$IZ,222,FALSE)</f>
        <v/>
      </c>
      <c r="BP42" s="54">
        <f>RANK(BO42,BO$28:BO$45)</f>
        <v/>
      </c>
      <c r="BQ42" s="65">
        <f>104-(BJ42+BL42+BN42+BP42)</f>
        <v/>
      </c>
      <c r="BR42" s="47">
        <f>RANK(BQ42,BQ$28:BQ$45)</f>
        <v/>
      </c>
      <c r="BS42" s="56" t="n"/>
      <c r="BT42" s="57">
        <f>VLOOKUP($A42,'Ratings Season'!$A:$M,8,FALSE)</f>
        <v/>
      </c>
      <c r="BU42" s="54">
        <f>RANK(BT42,BT$28:BT$45)</f>
        <v/>
      </c>
      <c r="BV42" s="57">
        <f>VLOOKUP($A42,'Ratings Season'!$A:$M,4,FALSE)</f>
        <v/>
      </c>
      <c r="BW42" s="54">
        <f>RANK(BV42,BV$28:BV$45)</f>
        <v/>
      </c>
      <c r="BX42" s="57">
        <f>VLOOKUP($A42,'Ratings Season'!$A:$M,2,FALSE)</f>
        <v/>
      </c>
      <c r="BY42" s="58">
        <f>RANK(BX42,BX$28:BX$45)</f>
        <v/>
      </c>
      <c r="BZ42" s="69" t="n"/>
    </row>
    <row r="43" ht="25" customHeight="1">
      <c r="A43" s="90" t="inlineStr">
        <is>
          <t>Sydney</t>
        </is>
      </c>
      <c r="B43" s="53">
        <f>VLOOKUP($A43,'L10'!$A:$IZ,222,FALSE)</f>
        <v/>
      </c>
      <c r="C43" s="54">
        <f>RANK(B43,B$28:B$45)</f>
        <v/>
      </c>
      <c r="D43" s="55">
        <f>VLOOKUP($A43,'L10'!$A:$IZ,218,FALSE)</f>
        <v/>
      </c>
      <c r="E43" s="54">
        <f>RANK(D43,D$28:D$45)</f>
        <v/>
      </c>
      <c r="F43" s="55">
        <f>VLOOKUP($A43,'L10'!$A:$IZ,49,FALSE)</f>
        <v/>
      </c>
      <c r="G43" s="54">
        <f>RANK(F43,F$28:F$45)</f>
        <v/>
      </c>
      <c r="H43" s="55">
        <f>VLOOKUP($A43,'L10'!$A:$IZ,229,FALSE)</f>
        <v/>
      </c>
      <c r="I43" s="54">
        <f>RANK(H43,H$28:H$45)</f>
        <v/>
      </c>
      <c r="J43" s="49">
        <f>104-(C43+E43+G43+I43)</f>
        <v/>
      </c>
      <c r="K43" s="47">
        <f>RANK(J43,J$28:J$45)</f>
        <v/>
      </c>
      <c r="L43" s="56" t="n"/>
      <c r="M43" s="53">
        <f>VLOOKUP($A43,'L10'!$A:$IZ,88,FALSE)</f>
        <v/>
      </c>
      <c r="N43" s="54">
        <f>RANK(M43,M$28:M$45)</f>
        <v/>
      </c>
      <c r="O43" s="53">
        <f>VLOOKUP($A43,'L10'!$A:$IZ,84,FALSE)</f>
        <v/>
      </c>
      <c r="P43" s="54">
        <f>RANK(O43,O$28:O$45)</f>
        <v/>
      </c>
      <c r="Q43" s="53">
        <f>VLOOKUP($A43,'L10'!$A:$IZ,85,FALSE)</f>
        <v/>
      </c>
      <c r="R43" s="54">
        <f>RANK(Q43,Q$28:Q$45)</f>
        <v/>
      </c>
      <c r="S43" s="55">
        <f>VLOOKUP($A43,'L10'!$A:$IZ,29,FALSE)</f>
        <v/>
      </c>
      <c r="T43" s="54">
        <f>RANK(S43,S$28:S$45)</f>
        <v/>
      </c>
      <c r="U43" s="49">
        <f>104-(N43+P43+R43+T43)</f>
        <v/>
      </c>
      <c r="V43" s="47">
        <f>RANK(U43,U$28:U$45)</f>
        <v/>
      </c>
      <c r="W43" s="56" t="n"/>
      <c r="X43" s="53">
        <f>VLOOKUP($A43,'L10'!$A:$IZ,65,FALSE)</f>
        <v/>
      </c>
      <c r="Y43" s="54">
        <f>RANK(X43,X$28:X$45)</f>
        <v/>
      </c>
      <c r="Z43" s="53">
        <f>VLOOKUP($A43,'L10'!$A:$IZ,64,FALSE)</f>
        <v/>
      </c>
      <c r="AA43" s="54">
        <f>RANK(Z43,Z$28:Z$45)</f>
        <v/>
      </c>
      <c r="AB43" s="53">
        <f>VLOOKUP($A43,'L10'!$A:$IZ,63,FALSE)</f>
        <v/>
      </c>
      <c r="AC43" s="54">
        <f>RANK(AB43,AB$28:AB$45)</f>
        <v/>
      </c>
      <c r="AD43" s="53">
        <f>VLOOKUP($A43,'L10'!$A:$IZ,71,FALSE)</f>
        <v/>
      </c>
      <c r="AE43" s="54">
        <f>RANK(AD43,AD$28:AD$45)</f>
        <v/>
      </c>
      <c r="AF43" s="65">
        <f>104-(Y43+AA43+AC43+AE43)</f>
        <v/>
      </c>
      <c r="AG43" s="47">
        <f>RANK(AF43,AF$28:AF$45)</f>
        <v/>
      </c>
      <c r="AH43" s="56" t="n"/>
      <c r="AI43" s="53">
        <f>VLOOKUP($A43,'L10'!$A:$IZ,183,FALSE)</f>
        <v/>
      </c>
      <c r="AJ43" s="54">
        <f>RANK(AI43,AI$28:AI$45,1)</f>
        <v/>
      </c>
      <c r="AK43" s="53">
        <f>VLOOKUP($A43,'L10'!$A:$IZ,181,FALSE)</f>
        <v/>
      </c>
      <c r="AL43" s="54">
        <f>RANK(AK43,AK$28:AK$45,1)</f>
        <v/>
      </c>
      <c r="AM43" s="53">
        <f>VLOOKUP($A43,'L10'!$A:$IZ,182,FALSE)</f>
        <v/>
      </c>
      <c r="AN43" s="54">
        <f>RANK(AM43,AM$28:AM$45,1)</f>
        <v/>
      </c>
      <c r="AO43" s="53">
        <f>VLOOKUP($A43,'L10'!$A:$IZ,163,FALSE)</f>
        <v/>
      </c>
      <c r="AP43" s="54">
        <f>RANK(AO43,AO$28:AO$45,1)</f>
        <v/>
      </c>
      <c r="AQ43" s="65">
        <f>104-(AJ43+AL43+AN43+AP43)</f>
        <v/>
      </c>
      <c r="AR43" s="47">
        <f>RANK(AQ43,AQ$28:AQ$45)</f>
        <v/>
      </c>
      <c r="AS43" s="56" t="n"/>
      <c r="AT43" s="46">
        <f>VLOOKUP($A43,'L10'!$A:$IZ,250,FALSE)</f>
        <v/>
      </c>
      <c r="AU43" s="47">
        <f>RANK(AT43,AT$28:AT$45,0)</f>
        <v/>
      </c>
      <c r="AV43" s="46">
        <f>VLOOKUP($A43,'L10'!$A:$IZ,92,FALSE)</f>
        <v/>
      </c>
      <c r="AW43" s="47">
        <f>RANK(AV43,AV$28:AV$45,0)</f>
        <v/>
      </c>
      <c r="AX43" s="46">
        <f>VLOOKUP($A43,'L10'!$A:$IZ,93,FALSE)</f>
        <v/>
      </c>
      <c r="AY43" s="47">
        <f>RANK(AX43,AX$28:AX$45,0)</f>
        <v/>
      </c>
      <c r="AZ43" s="46">
        <f>VLOOKUP($A43,'L10'!$A:$IZ,108,FALSE)</f>
        <v/>
      </c>
      <c r="BA43" s="47">
        <f>RANK(AZ43,AZ$28:AZ$45,0)</f>
        <v/>
      </c>
      <c r="BB43" s="49">
        <f>104-(AU43+AW43+AY43+BA43)</f>
        <v/>
      </c>
      <c r="BC43" s="47">
        <f>RANK(BB43,BB$28:BB$45,0)</f>
        <v/>
      </c>
      <c r="BD43" s="56" t="n"/>
      <c r="BE43" s="53">
        <f>VLOOKUP($A43,'L10'!$A:$IZ,80,FALSE)</f>
        <v/>
      </c>
      <c r="BF43" s="54">
        <f>RANK(BE43,BE$28:BE$45)</f>
        <v/>
      </c>
      <c r="BG43" s="53">
        <f>VLOOKUP($A43,'L10'!$A:$IZ,177,FALSE)</f>
        <v/>
      </c>
      <c r="BH43" s="54">
        <f>RANK(BG43,BG$28:BG$45,1)</f>
        <v/>
      </c>
      <c r="BI43" s="53">
        <f>VLOOKUP($A43,'L10'!$A:$IZ,79,FALSE)</f>
        <v/>
      </c>
      <c r="BJ43" s="54">
        <f>RANK(BI43,BI$28:BI$45)</f>
        <v/>
      </c>
      <c r="BK43" s="53">
        <f>VLOOKUP($A43,'L10'!$A:$IZ,176,FALSE)</f>
        <v/>
      </c>
      <c r="BL43" s="54">
        <f>RANK(BK43,BK$28:BK$45,1)</f>
        <v/>
      </c>
      <c r="BM43" s="53">
        <f>VLOOKUP($A43,'L10'!$A:$IZ,11,FALSE)</f>
        <v/>
      </c>
      <c r="BN43" s="54">
        <f>RANK(BM43,BM$28:BM$45)</f>
        <v/>
      </c>
      <c r="BO43" s="53">
        <f>VLOOKUP($A43,'L10'!$A:$IZ,222,FALSE)</f>
        <v/>
      </c>
      <c r="BP43" s="54">
        <f>RANK(BO43,BO$28:BO$45)</f>
        <v/>
      </c>
      <c r="BQ43" s="65">
        <f>104-(BJ43+BL43+BN43+BP43)</f>
        <v/>
      </c>
      <c r="BR43" s="47">
        <f>RANK(BQ43,BQ$28:BQ$45)</f>
        <v/>
      </c>
      <c r="BS43" s="56" t="n"/>
      <c r="BT43" s="57">
        <f>VLOOKUP($A43,'Ratings Season'!$A:$M,8,FALSE)</f>
        <v/>
      </c>
      <c r="BU43" s="54">
        <f>RANK(BT43,BT$28:BT$45)</f>
        <v/>
      </c>
      <c r="BV43" s="57">
        <f>VLOOKUP($A43,'Ratings Season'!$A:$M,4,FALSE)</f>
        <v/>
      </c>
      <c r="BW43" s="54">
        <f>RANK(BV43,BV$28:BV$45)</f>
        <v/>
      </c>
      <c r="BX43" s="57">
        <f>VLOOKUP($A43,'Ratings Season'!$A:$M,2,FALSE)</f>
        <v/>
      </c>
      <c r="BY43" s="58">
        <f>RANK(BX43,BX$28:BX$45)</f>
        <v/>
      </c>
      <c r="BZ43" s="69" t="n"/>
    </row>
    <row r="44" ht="25" customHeight="1">
      <c r="A44" s="91" t="inlineStr">
        <is>
          <t>West Coast</t>
        </is>
      </c>
      <c r="B44" s="53">
        <f>VLOOKUP($A44,'L10'!$A:$IZ,222,FALSE)</f>
        <v/>
      </c>
      <c r="C44" s="54">
        <f>RANK(B44,B$28:B$45)</f>
        <v/>
      </c>
      <c r="D44" s="55">
        <f>VLOOKUP($A44,'L10'!$A:$IZ,218,FALSE)</f>
        <v/>
      </c>
      <c r="E44" s="54">
        <f>RANK(D44,D$28:D$45)</f>
        <v/>
      </c>
      <c r="F44" s="55">
        <f>VLOOKUP($A44,'L10'!$A:$IZ,49,FALSE)</f>
        <v/>
      </c>
      <c r="G44" s="54">
        <f>RANK(F44,F$28:F$45)</f>
        <v/>
      </c>
      <c r="H44" s="55">
        <f>VLOOKUP($A44,'L10'!$A:$IZ,229,FALSE)</f>
        <v/>
      </c>
      <c r="I44" s="54">
        <f>RANK(H44,H$28:H$45)</f>
        <v/>
      </c>
      <c r="J44" s="49">
        <f>104-(C44+E44+G44+I44)</f>
        <v/>
      </c>
      <c r="K44" s="47">
        <f>RANK(J44,J$28:J$45)</f>
        <v/>
      </c>
      <c r="L44" s="56" t="n"/>
      <c r="M44" s="53">
        <f>VLOOKUP($A44,'L10'!$A:$IZ,88,FALSE)</f>
        <v/>
      </c>
      <c r="N44" s="54">
        <f>RANK(M44,M$28:M$45)</f>
        <v/>
      </c>
      <c r="O44" s="53">
        <f>VLOOKUP($A44,'L10'!$A:$IZ,84,FALSE)</f>
        <v/>
      </c>
      <c r="P44" s="54">
        <f>RANK(O44,O$28:O$45)</f>
        <v/>
      </c>
      <c r="Q44" s="53">
        <f>VLOOKUP($A44,'L10'!$A:$IZ,85,FALSE)</f>
        <v/>
      </c>
      <c r="R44" s="54">
        <f>RANK(Q44,Q$28:Q$45)</f>
        <v/>
      </c>
      <c r="S44" s="55">
        <f>VLOOKUP($A44,'L10'!$A:$IZ,29,FALSE)</f>
        <v/>
      </c>
      <c r="T44" s="54">
        <f>RANK(S44,S$28:S$45)</f>
        <v/>
      </c>
      <c r="U44" s="49">
        <f>104-(N44+P44+R44+T44)</f>
        <v/>
      </c>
      <c r="V44" s="47">
        <f>RANK(U44,U$28:U$45)</f>
        <v/>
      </c>
      <c r="W44" s="56" t="n"/>
      <c r="X44" s="53">
        <f>VLOOKUP($A44,'L10'!$A:$IZ,65,FALSE)</f>
        <v/>
      </c>
      <c r="Y44" s="54">
        <f>RANK(X44,X$28:X$45)</f>
        <v/>
      </c>
      <c r="Z44" s="53">
        <f>VLOOKUP($A44,'L10'!$A:$IZ,64,FALSE)</f>
        <v/>
      </c>
      <c r="AA44" s="54">
        <f>RANK(Z44,Z$28:Z$45)</f>
        <v/>
      </c>
      <c r="AB44" s="53">
        <f>VLOOKUP($A44,'L10'!$A:$IZ,63,FALSE)</f>
        <v/>
      </c>
      <c r="AC44" s="54">
        <f>RANK(AB44,AB$28:AB$45)</f>
        <v/>
      </c>
      <c r="AD44" s="53">
        <f>VLOOKUP($A44,'L10'!$A:$IZ,71,FALSE)</f>
        <v/>
      </c>
      <c r="AE44" s="54">
        <f>RANK(AD44,AD$28:AD$45)</f>
        <v/>
      </c>
      <c r="AF44" s="65">
        <f>104-(Y44+AA44+AC44+AE44)</f>
        <v/>
      </c>
      <c r="AG44" s="47">
        <f>RANK(AF44,AF$28:AF$45)</f>
        <v/>
      </c>
      <c r="AH44" s="56" t="n"/>
      <c r="AI44" s="53">
        <f>VLOOKUP($A44,'L10'!$A:$IZ,183,FALSE)</f>
        <v/>
      </c>
      <c r="AJ44" s="54">
        <f>RANK(AI44,AI$28:AI$45,1)</f>
        <v/>
      </c>
      <c r="AK44" s="53">
        <f>VLOOKUP($A44,'L10'!$A:$IZ,181,FALSE)</f>
        <v/>
      </c>
      <c r="AL44" s="54">
        <f>RANK(AK44,AK$28:AK$45,1)</f>
        <v/>
      </c>
      <c r="AM44" s="53">
        <f>VLOOKUP($A44,'L10'!$A:$IZ,182,FALSE)</f>
        <v/>
      </c>
      <c r="AN44" s="54">
        <f>RANK(AM44,AM$28:AM$45,1)</f>
        <v/>
      </c>
      <c r="AO44" s="53">
        <f>VLOOKUP($A44,'L10'!$A:$IZ,163,FALSE)</f>
        <v/>
      </c>
      <c r="AP44" s="54">
        <f>RANK(AO44,AO$28:AO$45,1)</f>
        <v/>
      </c>
      <c r="AQ44" s="65">
        <f>104-(AJ44+AL44+AN44+AP44)</f>
        <v/>
      </c>
      <c r="AR44" s="47">
        <f>RANK(AQ44,AQ$28:AQ$45)</f>
        <v/>
      </c>
      <c r="AS44" s="56" t="n"/>
      <c r="AT44" s="46">
        <f>VLOOKUP($A44,'L10'!$A:$IZ,250,FALSE)</f>
        <v/>
      </c>
      <c r="AU44" s="47">
        <f>RANK(AT44,AT$28:AT$45,0)</f>
        <v/>
      </c>
      <c r="AV44" s="46">
        <f>VLOOKUP($A44,'L10'!$A:$IZ,92,FALSE)</f>
        <v/>
      </c>
      <c r="AW44" s="47">
        <f>RANK(AV44,AV$28:AV$45,0)</f>
        <v/>
      </c>
      <c r="AX44" s="46">
        <f>VLOOKUP($A44,'L10'!$A:$IZ,93,FALSE)</f>
        <v/>
      </c>
      <c r="AY44" s="47">
        <f>RANK(AX44,AX$28:AX$45,0)</f>
        <v/>
      </c>
      <c r="AZ44" s="46">
        <f>VLOOKUP($A44,'L10'!$A:$IZ,108,FALSE)</f>
        <v/>
      </c>
      <c r="BA44" s="47">
        <f>RANK(AZ44,AZ$28:AZ$45,0)</f>
        <v/>
      </c>
      <c r="BB44" s="49">
        <f>104-(AU44+AW44+AY44+BA44)</f>
        <v/>
      </c>
      <c r="BC44" s="47">
        <f>RANK(BB44,BB$28:BB$45,0)</f>
        <v/>
      </c>
      <c r="BD44" s="56" t="n"/>
      <c r="BE44" s="53">
        <f>VLOOKUP($A44,'L10'!$A:$IZ,80,FALSE)</f>
        <v/>
      </c>
      <c r="BF44" s="54">
        <f>RANK(BE44,BE$28:BE$45)</f>
        <v/>
      </c>
      <c r="BG44" s="53">
        <f>VLOOKUP($A44,'L10'!$A:$IZ,177,FALSE)</f>
        <v/>
      </c>
      <c r="BH44" s="54">
        <f>RANK(BG44,BG$28:BG$45,1)</f>
        <v/>
      </c>
      <c r="BI44" s="53">
        <f>VLOOKUP($A44,'L10'!$A:$IZ,79,FALSE)</f>
        <v/>
      </c>
      <c r="BJ44" s="54">
        <f>RANK(BI44,BI$28:BI$45)</f>
        <v/>
      </c>
      <c r="BK44" s="53">
        <f>VLOOKUP($A44,'L10'!$A:$IZ,176,FALSE)</f>
        <v/>
      </c>
      <c r="BL44" s="54">
        <f>RANK(BK44,BK$28:BK$45,1)</f>
        <v/>
      </c>
      <c r="BM44" s="53">
        <f>VLOOKUP($A44,'L10'!$A:$IZ,11,FALSE)</f>
        <v/>
      </c>
      <c r="BN44" s="54">
        <f>RANK(BM44,BM$28:BM$45)</f>
        <v/>
      </c>
      <c r="BO44" s="53">
        <f>VLOOKUP($A44,'L10'!$A:$IZ,222,FALSE)</f>
        <v/>
      </c>
      <c r="BP44" s="54">
        <f>RANK(BO44,BO$28:BO$45)</f>
        <v/>
      </c>
      <c r="BQ44" s="65">
        <f>104-(BJ44+BL44+BN44+BP44)</f>
        <v/>
      </c>
      <c r="BR44" s="47">
        <f>RANK(BQ44,BQ$28:BQ$45)</f>
        <v/>
      </c>
      <c r="BS44" s="56" t="n"/>
      <c r="BT44" s="57">
        <f>VLOOKUP($A44,'Ratings Season'!$A:$M,8,FALSE)</f>
        <v/>
      </c>
      <c r="BU44" s="54">
        <f>RANK(BT44,BT$28:BT$45)</f>
        <v/>
      </c>
      <c r="BV44" s="57">
        <f>VLOOKUP($A44,'Ratings Season'!$A:$M,4,FALSE)</f>
        <v/>
      </c>
      <c r="BW44" s="54">
        <f>RANK(BV44,BV$28:BV$45)</f>
        <v/>
      </c>
      <c r="BX44" s="57">
        <f>VLOOKUP($A44,'Ratings Season'!$A:$M,2,FALSE)</f>
        <v/>
      </c>
      <c r="BY44" s="58">
        <f>RANK(BX44,BX$28:BX$45)</f>
        <v/>
      </c>
      <c r="BZ44" s="69" t="n"/>
    </row>
    <row r="45" ht="25" customHeight="1" thickBot="1">
      <c r="A45" s="92" t="inlineStr">
        <is>
          <t>Western Bulldogs</t>
        </is>
      </c>
      <c r="B45" s="59">
        <f>VLOOKUP($A45,'L10'!$A:$IZ,222,FALSE)</f>
        <v/>
      </c>
      <c r="C45" s="60">
        <f>RANK(B45,B$28:B$45)</f>
        <v/>
      </c>
      <c r="D45" s="61">
        <f>VLOOKUP($A45,'L10'!$A:$IZ,218,FALSE)</f>
        <v/>
      </c>
      <c r="E45" s="60">
        <f>RANK(D45,D$28:D$45)</f>
        <v/>
      </c>
      <c r="F45" s="61">
        <f>VLOOKUP($A45,'L10'!$A:$IZ,49,FALSE)</f>
        <v/>
      </c>
      <c r="G45" s="60">
        <f>RANK(F45,F$28:F$45)</f>
        <v/>
      </c>
      <c r="H45" s="61">
        <f>VLOOKUP($A45,'L10'!$A:$IZ,229,FALSE)</f>
        <v/>
      </c>
      <c r="I45" s="60">
        <f>RANK(H45,H$28:H$45)</f>
        <v/>
      </c>
      <c r="J45" s="49">
        <f>104-(C45+E45+G45+I45)</f>
        <v/>
      </c>
      <c r="K45" s="47">
        <f>RANK(J45,J$28:J$45)</f>
        <v/>
      </c>
      <c r="L45" s="62" t="n"/>
      <c r="M45" s="59">
        <f>VLOOKUP($A45,'L10'!$A:$IZ,88,FALSE)</f>
        <v/>
      </c>
      <c r="N45" s="60">
        <f>RANK(M45,M$28:M$45)</f>
        <v/>
      </c>
      <c r="O45" s="59">
        <f>VLOOKUP($A45,'L10'!$A:$IZ,84,FALSE)</f>
        <v/>
      </c>
      <c r="P45" s="60">
        <f>RANK(O45,O$28:O$45)</f>
        <v/>
      </c>
      <c r="Q45" s="59">
        <f>VLOOKUP($A45,'L10'!$A:$IZ,85,FALSE)</f>
        <v/>
      </c>
      <c r="R45" s="60">
        <f>RANK(Q45,Q$28:Q$45)</f>
        <v/>
      </c>
      <c r="S45" s="61">
        <f>VLOOKUP($A45,'L10'!$A:$IZ,29,FALSE)</f>
        <v/>
      </c>
      <c r="T45" s="60">
        <f>RANK(S45,S$28:S$45)</f>
        <v/>
      </c>
      <c r="U45" s="49">
        <f>104-(N45+P45+R45+T45)</f>
        <v/>
      </c>
      <c r="V45" s="47">
        <f>RANK(U45,U$28:U$45)</f>
        <v/>
      </c>
      <c r="W45" s="62" t="n"/>
      <c r="X45" s="59">
        <f>VLOOKUP($A45,'L10'!$A:$IZ,65,FALSE)</f>
        <v/>
      </c>
      <c r="Y45" s="60">
        <f>RANK(X45,X$28:X$45)</f>
        <v/>
      </c>
      <c r="Z45" s="59">
        <f>VLOOKUP($A45,'L10'!$A:$IZ,64,FALSE)</f>
        <v/>
      </c>
      <c r="AA45" s="60">
        <f>RANK(Z45,Z$28:Z$45)</f>
        <v/>
      </c>
      <c r="AB45" s="59">
        <f>VLOOKUP($A45,'L10'!$A:$IZ,63,FALSE)</f>
        <v/>
      </c>
      <c r="AC45" s="60">
        <f>RANK(AB45,AB$28:AB$45)</f>
        <v/>
      </c>
      <c r="AD45" s="59">
        <f>VLOOKUP($A45,'L10'!$A:$IZ,71,FALSE)</f>
        <v/>
      </c>
      <c r="AE45" s="60">
        <f>RANK(AD45,AD$28:AD$45)</f>
        <v/>
      </c>
      <c r="AF45" s="66">
        <f>104-(Y45+AA45+AC45+AE45)</f>
        <v/>
      </c>
      <c r="AG45" s="47">
        <f>RANK(AF45,AF$28:AF$45)</f>
        <v/>
      </c>
      <c r="AH45" s="62" t="n"/>
      <c r="AI45" s="59">
        <f>VLOOKUP($A45,'L10'!$A:$IZ,183,FALSE)</f>
        <v/>
      </c>
      <c r="AJ45" s="60">
        <f>RANK(AI45,AI$28:AI$45,1)</f>
        <v/>
      </c>
      <c r="AK45" s="59">
        <f>VLOOKUP($A45,'L10'!$A:$IZ,181,FALSE)</f>
        <v/>
      </c>
      <c r="AL45" s="60">
        <f>RANK(AK45,AK$28:AK$45,1)</f>
        <v/>
      </c>
      <c r="AM45" s="59">
        <f>VLOOKUP($A45,'L10'!$A:$IZ,182,FALSE)</f>
        <v/>
      </c>
      <c r="AN45" s="60">
        <f>RANK(AM45,AM$28:AM$45,1)</f>
        <v/>
      </c>
      <c r="AO45" s="59">
        <f>VLOOKUP($A45,'L10'!$A:$IZ,163,FALSE)</f>
        <v/>
      </c>
      <c r="AP45" s="60">
        <f>RANK(AO45,AO$28:AO$45,1)</f>
        <v/>
      </c>
      <c r="AQ45" s="66">
        <f>104-(AJ45+AL45+AN45+AP45)</f>
        <v/>
      </c>
      <c r="AR45" s="47">
        <f>RANK(AQ45,AQ$28:AQ$45)</f>
        <v/>
      </c>
      <c r="AS45" s="62" t="n"/>
      <c r="AT45" s="46">
        <f>VLOOKUP($A45,'L10'!$A:$IZ,250,FALSE)</f>
        <v/>
      </c>
      <c r="AU45" s="47">
        <f>RANK(AT45,AT$28:AT$45,0)</f>
        <v/>
      </c>
      <c r="AV45" s="46">
        <f>VLOOKUP($A45,'L10'!$A:$IZ,92,FALSE)</f>
        <v/>
      </c>
      <c r="AW45" s="47">
        <f>RANK(AV45,AV$28:AV$45,0)</f>
        <v/>
      </c>
      <c r="AX45" s="46">
        <f>VLOOKUP($A45,'L10'!$A:$IZ,93,FALSE)</f>
        <v/>
      </c>
      <c r="AY45" s="47">
        <f>RANK(AX45,AX$28:AX$45,0)</f>
        <v/>
      </c>
      <c r="AZ45" s="46">
        <f>VLOOKUP($A45,'L10'!$A:$IZ,108,FALSE)</f>
        <v/>
      </c>
      <c r="BA45" s="47">
        <f>RANK(AZ45,AZ$28:AZ$45,0)</f>
        <v/>
      </c>
      <c r="BB45" s="49">
        <f>104-(AU45+AW45+AY45+BA45)</f>
        <v/>
      </c>
      <c r="BC45" s="47">
        <f>RANK(BB45,BB$28:BB$45,0)</f>
        <v/>
      </c>
      <c r="BD45" s="62" t="n"/>
      <c r="BE45" s="59">
        <f>VLOOKUP($A45,'L10'!$A:$IZ,80,FALSE)</f>
        <v/>
      </c>
      <c r="BF45" s="60">
        <f>RANK(BE45,BE$28:BE$45)</f>
        <v/>
      </c>
      <c r="BG45" s="59">
        <f>VLOOKUP($A45,'L10'!$A:$IZ,177,FALSE)</f>
        <v/>
      </c>
      <c r="BH45" s="60">
        <f>RANK(BG45,BG$28:BG$45,1)</f>
        <v/>
      </c>
      <c r="BI45" s="59">
        <f>VLOOKUP($A45,'L10'!$A:$IZ,79,FALSE)</f>
        <v/>
      </c>
      <c r="BJ45" s="60">
        <f>RANK(BI45,BI$28:BI$45)</f>
        <v/>
      </c>
      <c r="BK45" s="59">
        <f>VLOOKUP($A45,'L10'!$A:$IZ,176,FALSE)</f>
        <v/>
      </c>
      <c r="BL45" s="60">
        <f>RANK(BK45,BK$28:BK$45,1)</f>
        <v/>
      </c>
      <c r="BM45" s="59">
        <f>VLOOKUP($A45,'L10'!$A:$IZ,11,FALSE)</f>
        <v/>
      </c>
      <c r="BN45" s="60">
        <f>RANK(BM45,BM$28:BM$45)</f>
        <v/>
      </c>
      <c r="BO45" s="59">
        <f>VLOOKUP($A45,'L10'!$A:$IZ,222,FALSE)</f>
        <v/>
      </c>
      <c r="BP45" s="60">
        <f>RANK(BO45,BO$28:BO$45)</f>
        <v/>
      </c>
      <c r="BQ45" s="66">
        <f>104-(BJ45+BL45+BN45+BP45)</f>
        <v/>
      </c>
      <c r="BR45" s="47">
        <f>RANK(BQ45,BQ$28:BQ$45)</f>
        <v/>
      </c>
      <c r="BS45" s="62" t="n"/>
      <c r="BT45" s="63">
        <f>VLOOKUP($A45,'Ratings Season'!$A:$M,8,FALSE)</f>
        <v/>
      </c>
      <c r="BU45" s="60">
        <f>RANK(BT45,BT$28:BT$45)</f>
        <v/>
      </c>
      <c r="BV45" s="63">
        <f>VLOOKUP($A45,'Ratings Season'!$A:$M,4,FALSE)</f>
        <v/>
      </c>
      <c r="BW45" s="60">
        <f>RANK(BV45,BV$28:BV$45)</f>
        <v/>
      </c>
      <c r="BX45" s="63">
        <f>VLOOKUP($A45,'Ratings Season'!$A:$M,2,FALSE)</f>
        <v/>
      </c>
      <c r="BY45" s="64">
        <f>RANK(BX45,BX$28:BX$45)</f>
        <v/>
      </c>
      <c r="BZ45" s="69" t="n"/>
    </row>
    <row r="46">
      <c r="A46" s="69" t="n"/>
      <c r="B46" s="69" t="n"/>
      <c r="C46" s="69" t="n"/>
      <c r="D46" s="69" t="n"/>
      <c r="E46" s="69" t="n"/>
      <c r="F46" s="69" t="n"/>
      <c r="G46" s="69" t="n"/>
      <c r="H46" s="69" t="n"/>
      <c r="I46" s="69" t="n"/>
      <c r="J46" s="69" t="n"/>
      <c r="K46" s="69" t="n"/>
      <c r="L46" s="69" t="n"/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  <c r="Z46" s="69" t="n"/>
      <c r="AA46" s="69" t="n"/>
      <c r="AB46" s="69" t="n"/>
      <c r="AC46" s="69" t="n"/>
      <c r="AD46" s="69" t="n"/>
      <c r="AE46" s="69" t="n"/>
      <c r="AF46" s="69" t="n"/>
      <c r="AG46" s="69" t="n"/>
      <c r="AH46" s="69" t="n"/>
      <c r="AI46" s="69" t="n"/>
      <c r="AJ46" s="69" t="n"/>
      <c r="AK46" s="69" t="n"/>
      <c r="AL46" s="69" t="n"/>
      <c r="AM46" s="69" t="n"/>
      <c r="AN46" s="69" t="n"/>
      <c r="AO46" s="69" t="n"/>
      <c r="AP46" s="69" t="n"/>
      <c r="AQ46" s="69" t="n"/>
      <c r="AR46" s="69" t="n"/>
      <c r="AS46" s="69" t="n"/>
      <c r="AT46" s="69" t="n"/>
      <c r="AU46" s="69" t="n"/>
      <c r="AV46" s="69" t="n"/>
      <c r="AW46" s="69" t="n"/>
      <c r="AX46" s="69" t="n"/>
      <c r="AY46" s="69" t="n"/>
      <c r="AZ46" s="69" t="n"/>
      <c r="BA46" s="69" t="n"/>
      <c r="BB46" s="69" t="n"/>
      <c r="BC46" s="69" t="n"/>
      <c r="BD46" s="69" t="n"/>
      <c r="BE46" s="69" t="n"/>
      <c r="BF46" s="69" t="n"/>
      <c r="BG46" s="69" t="n"/>
      <c r="BH46" s="69" t="n"/>
      <c r="BI46" s="69" t="n"/>
      <c r="BJ46" s="69" t="n"/>
      <c r="BK46" s="69" t="n"/>
      <c r="BL46" s="69" t="n"/>
      <c r="BM46" s="69" t="n"/>
      <c r="BN46" s="69" t="n"/>
      <c r="BO46" s="69" t="n"/>
      <c r="BP46" s="69" t="n"/>
      <c r="BQ46" s="69" t="n"/>
      <c r="BR46" s="69" t="n"/>
      <c r="BS46" s="69" t="n"/>
      <c r="BT46" s="69" t="n"/>
      <c r="BU46" s="69" t="n"/>
      <c r="BV46" s="69" t="n"/>
      <c r="BW46" s="69" t="n"/>
      <c r="BX46" s="69" t="n"/>
      <c r="BY46" s="69" t="n"/>
      <c r="BZ46" s="69" t="n"/>
    </row>
    <row r="47" ht="35" customHeight="1">
      <c r="A47" s="68" t="inlineStr">
        <is>
          <t>TREND</t>
        </is>
      </c>
      <c r="B47" s="69" t="n"/>
      <c r="C47" s="69" t="n"/>
      <c r="D47" s="69" t="n"/>
      <c r="E47" s="69" t="n"/>
      <c r="F47" s="69" t="n"/>
      <c r="G47" s="69" t="n"/>
      <c r="H47" s="69" t="n"/>
      <c r="I47" s="69" t="n"/>
      <c r="J47" s="69" t="n"/>
      <c r="K47" s="69" t="n"/>
      <c r="L47" s="69" t="n"/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  <c r="Z47" s="69" t="n"/>
      <c r="AA47" s="69" t="n"/>
      <c r="AB47" s="69" t="n"/>
      <c r="AC47" s="69" t="n"/>
      <c r="AD47" s="69" t="n"/>
      <c r="AE47" s="69" t="n"/>
      <c r="AF47" s="69" t="n"/>
      <c r="AG47" s="69" t="n"/>
      <c r="AH47" s="69" t="n"/>
      <c r="AI47" s="69" t="n"/>
      <c r="AJ47" s="69" t="n"/>
      <c r="AK47" s="69" t="n"/>
      <c r="AL47" s="69" t="n"/>
      <c r="AM47" s="69" t="n"/>
      <c r="AN47" s="69" t="n"/>
      <c r="AO47" s="69" t="n"/>
      <c r="AP47" s="69" t="n"/>
      <c r="AQ47" s="69" t="n"/>
      <c r="AR47" s="69" t="n"/>
      <c r="AS47" s="69" t="n"/>
      <c r="AT47" s="69" t="n"/>
      <c r="AU47" s="69" t="n"/>
      <c r="AV47" s="69" t="n"/>
      <c r="AW47" s="69" t="n"/>
      <c r="AX47" s="69" t="n"/>
      <c r="AY47" s="69" t="n"/>
      <c r="AZ47" s="69" t="n"/>
      <c r="BA47" s="69" t="n"/>
      <c r="BB47" s="69" t="n"/>
      <c r="BC47" s="69" t="n"/>
      <c r="BD47" s="69" t="n"/>
      <c r="BE47" s="69" t="n"/>
      <c r="BF47" s="69" t="n"/>
      <c r="BG47" s="69" t="n"/>
      <c r="BH47" s="69" t="n"/>
      <c r="BI47" s="69" t="n"/>
      <c r="BJ47" s="69" t="n"/>
      <c r="BK47" s="69" t="n"/>
      <c r="BL47" s="69" t="n"/>
      <c r="BM47" s="69" t="n"/>
      <c r="BN47" s="69" t="n"/>
      <c r="BO47" s="69" t="n"/>
      <c r="BP47" s="69" t="n"/>
      <c r="BQ47" s="69" t="n"/>
      <c r="BR47" s="69" t="n"/>
      <c r="BS47" s="69" t="n"/>
      <c r="BT47" s="69" t="n"/>
      <c r="BU47" s="69" t="n"/>
      <c r="BV47" s="69" t="n"/>
      <c r="BW47" s="69" t="n"/>
      <c r="BX47" s="69" t="n"/>
      <c r="BY47" s="69" t="n"/>
      <c r="BZ47" s="69" t="n"/>
    </row>
    <row r="48" ht="17" customHeight="1" thickBot="1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  <c r="Z48" s="69" t="n"/>
      <c r="AA48" s="69" t="n"/>
      <c r="AB48" s="69" t="n"/>
      <c r="AC48" s="69" t="n"/>
      <c r="AD48" s="69" t="n"/>
      <c r="AE48" s="69" t="n"/>
      <c r="AF48" s="69" t="n"/>
      <c r="AG48" s="69" t="n"/>
      <c r="AH48" s="69" t="n"/>
      <c r="AI48" s="69" t="n"/>
      <c r="AJ48" s="69" t="n"/>
      <c r="AK48" s="69" t="n"/>
      <c r="AL48" s="69" t="n"/>
      <c r="AM48" s="69" t="n"/>
      <c r="AN48" s="69" t="n"/>
      <c r="AO48" s="69" t="n"/>
      <c r="AP48" s="69" t="n"/>
      <c r="AQ48" s="69" t="n"/>
      <c r="AR48" s="69" t="n"/>
      <c r="AS48" s="69" t="n"/>
      <c r="AT48" s="69" t="n"/>
      <c r="AU48" s="69" t="n"/>
      <c r="AV48" s="69" t="n"/>
      <c r="AW48" s="69" t="n"/>
      <c r="AX48" s="69" t="n"/>
      <c r="AY48" s="69" t="n"/>
      <c r="AZ48" s="69" t="n"/>
      <c r="BA48" s="69" t="n"/>
      <c r="BB48" s="69" t="n"/>
      <c r="BC48" s="69" t="n"/>
      <c r="BD48" s="69" t="n"/>
      <c r="BE48" s="69" t="n"/>
      <c r="BF48" s="69" t="n"/>
      <c r="BG48" s="69" t="n"/>
      <c r="BH48" s="69" t="n"/>
      <c r="BI48" s="69" t="n"/>
      <c r="BJ48" s="69" t="n"/>
      <c r="BK48" s="69" t="n"/>
      <c r="BL48" s="69" t="n"/>
      <c r="BM48" s="69" t="n"/>
      <c r="BN48" s="69" t="n"/>
      <c r="BO48" s="69" t="n"/>
      <c r="BP48" s="69" t="n"/>
      <c r="BQ48" s="69" t="n"/>
      <c r="BR48" s="69" t="n"/>
      <c r="BS48" s="69" t="n"/>
      <c r="BT48" s="69" t="n"/>
      <c r="BU48" s="69" t="n"/>
      <c r="BV48" s="69" t="n"/>
      <c r="BW48" s="69" t="n"/>
      <c r="BX48" s="69" t="n"/>
      <c r="BY48" s="69" t="n"/>
      <c r="BZ48" s="69" t="n"/>
    </row>
    <row r="49" ht="25" customFormat="1" customHeight="1" s="25" thickBot="1">
      <c r="A49" s="240" t="inlineStr">
        <is>
          <t>Team</t>
        </is>
      </c>
      <c r="B49" s="242" t="inlineStr">
        <is>
          <t>Ball Winning</t>
        </is>
      </c>
      <c r="C49" s="321" t="n"/>
      <c r="D49" s="321" t="n"/>
      <c r="E49" s="321" t="n"/>
      <c r="F49" s="321" t="n"/>
      <c r="G49" s="321" t="n"/>
      <c r="H49" s="321" t="n"/>
      <c r="I49" s="321" t="n"/>
      <c r="J49" s="321" t="n"/>
      <c r="K49" s="321" t="n"/>
      <c r="L49" s="39" t="n"/>
      <c r="M49" s="245" t="inlineStr">
        <is>
          <t>Ball Movement</t>
        </is>
      </c>
      <c r="N49" s="321" t="n"/>
      <c r="O49" s="321" t="n"/>
      <c r="P49" s="321" t="n"/>
      <c r="Q49" s="321" t="n"/>
      <c r="R49" s="321" t="n"/>
      <c r="S49" s="321" t="n"/>
      <c r="T49" s="321" t="n"/>
      <c r="U49" s="321" t="n"/>
      <c r="V49" s="321" t="n"/>
      <c r="W49" s="39" t="n"/>
      <c r="X49" s="248" t="inlineStr">
        <is>
          <t>Scoring</t>
        </is>
      </c>
      <c r="Y49" s="321" t="n"/>
      <c r="Z49" s="321" t="n"/>
      <c r="AA49" s="321" t="n"/>
      <c r="AB49" s="321" t="n"/>
      <c r="AC49" s="321" t="n"/>
      <c r="AD49" s="321" t="n"/>
      <c r="AE49" s="321" t="n"/>
      <c r="AF49" s="321" t="n"/>
      <c r="AG49" s="321" t="n"/>
      <c r="AH49" s="39" t="n"/>
      <c r="AI49" s="251" t="inlineStr">
        <is>
          <t>Defence</t>
        </is>
      </c>
      <c r="AJ49" s="321" t="n"/>
      <c r="AK49" s="321" t="n"/>
      <c r="AL49" s="321" t="n"/>
      <c r="AM49" s="321" t="n"/>
      <c r="AN49" s="321" t="n"/>
      <c r="AO49" s="321" t="n"/>
      <c r="AP49" s="321" t="n"/>
      <c r="AQ49" s="321" t="n"/>
      <c r="AR49" s="321" t="n"/>
      <c r="AS49" s="39" t="n"/>
      <c r="AT49" s="254" t="inlineStr">
        <is>
          <t>Pressure</t>
        </is>
      </c>
      <c r="AU49" s="321" t="n"/>
      <c r="AV49" s="321" t="n"/>
      <c r="AW49" s="321" t="n"/>
      <c r="AX49" s="321" t="n"/>
      <c r="AY49" s="321" t="n"/>
      <c r="AZ49" s="321" t="n"/>
      <c r="BA49" s="321" t="n"/>
      <c r="BB49" s="321" t="n"/>
      <c r="BC49" s="321" t="n"/>
      <c r="BD49" s="39" t="n"/>
      <c r="BE49" s="322" t="inlineStr">
        <is>
          <t>Health Check</t>
        </is>
      </c>
      <c r="BF49" s="321" t="n"/>
      <c r="BG49" s="321" t="n"/>
      <c r="BH49" s="321" t="n"/>
      <c r="BI49" s="321" t="n"/>
      <c r="BJ49" s="321" t="n"/>
      <c r="BK49" s="321" t="n"/>
      <c r="BL49" s="321" t="n"/>
      <c r="BM49" s="321" t="n"/>
      <c r="BN49" s="321" t="n"/>
      <c r="BO49" s="321" t="n"/>
      <c r="BP49" s="321" t="n"/>
      <c r="BQ49" s="321" t="n"/>
      <c r="BR49" s="323" t="n"/>
      <c r="BS49" s="39" t="n"/>
      <c r="BT49" s="237" t="inlineStr">
        <is>
          <t>Wheelo Ratings</t>
        </is>
      </c>
      <c r="BU49" s="321" t="n"/>
      <c r="BV49" s="321" t="n"/>
      <c r="BW49" s="321" t="n"/>
      <c r="BX49" s="321" t="n"/>
      <c r="BY49" s="324" t="n"/>
      <c r="BZ49" s="70" t="n"/>
    </row>
    <row r="50" ht="69" customHeight="1" thickBot="1">
      <c r="A50" s="325" t="n"/>
      <c r="B50" s="4" t="inlineStr">
        <is>
          <t>Post Clear CP Diff</t>
        </is>
      </c>
      <c r="C50" s="5" t="inlineStr">
        <is>
          <t>Rank</t>
        </is>
      </c>
      <c r="D50" s="5" t="inlineStr">
        <is>
          <t>Ground Ball Diff</t>
        </is>
      </c>
      <c r="E50" s="5" t="inlineStr">
        <is>
          <t>Rank</t>
        </is>
      </c>
      <c r="F50" s="5" t="inlineStr">
        <is>
          <t>1st Poss to Clear %</t>
        </is>
      </c>
      <c r="G50" s="5" t="inlineStr">
        <is>
          <t>Rank</t>
        </is>
      </c>
      <c r="H50" s="5" t="inlineStr">
        <is>
          <t>Clearance Diff</t>
        </is>
      </c>
      <c r="I50" s="6" t="inlineStr">
        <is>
          <t>Rank</t>
        </is>
      </c>
      <c r="J50" s="27" t="inlineStr">
        <is>
          <t>Ball Winning Ranking</t>
        </is>
      </c>
      <c r="K50" s="28" t="inlineStr">
        <is>
          <t>Rank</t>
        </is>
      </c>
      <c r="L50" s="40" t="n"/>
      <c r="M50" s="7" t="inlineStr">
        <is>
          <t>Def Half to Score %</t>
        </is>
      </c>
      <c r="N50" s="8" t="inlineStr">
        <is>
          <t>Rank</t>
        </is>
      </c>
      <c r="O50" s="8" t="inlineStr">
        <is>
          <t>Chain to Score %</t>
        </is>
      </c>
      <c r="P50" s="8" t="inlineStr">
        <is>
          <t>Rank</t>
        </is>
      </c>
      <c r="Q50" s="8" t="inlineStr">
        <is>
          <t>D50 to F50 %</t>
        </is>
      </c>
      <c r="R50" s="8" t="inlineStr">
        <is>
          <t>Rank</t>
        </is>
      </c>
      <c r="S50" s="8" t="inlineStr">
        <is>
          <t>Kick Rating</t>
        </is>
      </c>
      <c r="T50" s="9" t="inlineStr">
        <is>
          <t>Rank</t>
        </is>
      </c>
      <c r="U50" s="30" t="inlineStr">
        <is>
          <t>Ball Movement Ranking</t>
        </is>
      </c>
      <c r="V50" s="31" t="inlineStr">
        <is>
          <t>Rank</t>
        </is>
      </c>
      <c r="W50" s="40" t="n"/>
      <c r="X50" s="41" t="inlineStr">
        <is>
          <t>Scores per I50 %</t>
        </is>
      </c>
      <c r="Y50" s="23" t="inlineStr">
        <is>
          <t>Rank</t>
        </is>
      </c>
      <c r="Z50" s="23" t="inlineStr">
        <is>
          <t>Goals Per I 50 %</t>
        </is>
      </c>
      <c r="AA50" s="23" t="inlineStr">
        <is>
          <t>Rank</t>
        </is>
      </c>
      <c r="AB50" s="23" t="inlineStr">
        <is>
          <t>Accuracy %</t>
        </is>
      </c>
      <c r="AC50" s="23" t="inlineStr">
        <is>
          <t>Rank</t>
        </is>
      </c>
      <c r="AD50" s="42" t="inlineStr">
        <is>
          <t>+/- Exp Score</t>
        </is>
      </c>
      <c r="AE50" s="43" t="inlineStr">
        <is>
          <t>Rank</t>
        </is>
      </c>
      <c r="AF50" s="44" t="inlineStr">
        <is>
          <t>Scoring Ranking</t>
        </is>
      </c>
      <c r="AG50" s="45" t="inlineStr">
        <is>
          <t>Rank</t>
        </is>
      </c>
      <c r="AH50" s="40" t="n"/>
      <c r="AI50" s="13" t="inlineStr">
        <is>
          <t>Def Half to Score Ag %</t>
        </is>
      </c>
      <c r="AJ50" s="14" t="inlineStr">
        <is>
          <t>Rank</t>
        </is>
      </c>
      <c r="AK50" s="14" t="inlineStr">
        <is>
          <t>Chain to Score Ag %</t>
        </is>
      </c>
      <c r="AL50" s="14" t="inlineStr">
        <is>
          <t>Rank</t>
        </is>
      </c>
      <c r="AM50" s="14" t="inlineStr">
        <is>
          <t>D50 to F50 Ag %</t>
        </is>
      </c>
      <c r="AN50" s="14" t="inlineStr">
        <is>
          <t>Rank</t>
        </is>
      </c>
      <c r="AO50" s="14" t="inlineStr">
        <is>
          <t>Goals Per I50 Ag %</t>
        </is>
      </c>
      <c r="AP50" s="15" t="inlineStr">
        <is>
          <t>Rank</t>
        </is>
      </c>
      <c r="AQ50" s="33" t="inlineStr">
        <is>
          <t>Defence Ranking</t>
        </is>
      </c>
      <c r="AR50" s="34" t="inlineStr">
        <is>
          <t>Rank</t>
        </is>
      </c>
      <c r="AS50" s="40" t="n"/>
      <c r="AT50" s="183" t="inlineStr">
        <is>
          <t>Tackle Diff</t>
        </is>
      </c>
      <c r="AU50" s="184" t="inlineStr">
        <is>
          <t>Rank</t>
        </is>
      </c>
      <c r="AV50" s="184" t="inlineStr">
        <is>
          <t>F50 Tackles</t>
        </is>
      </c>
      <c r="AW50" s="184" t="inlineStr">
        <is>
          <t>Rank</t>
        </is>
      </c>
      <c r="AX50" s="184" t="inlineStr">
        <is>
          <t>Pressure Acts</t>
        </is>
      </c>
      <c r="AY50" s="184" t="inlineStr">
        <is>
          <t>Rank</t>
        </is>
      </c>
      <c r="AZ50" s="184" t="inlineStr">
        <is>
          <t>1%'ers</t>
        </is>
      </c>
      <c r="BA50" s="185" t="inlineStr">
        <is>
          <t>Rank</t>
        </is>
      </c>
      <c r="BB50" s="186" t="inlineStr">
        <is>
          <t>Pressure Ranking</t>
        </is>
      </c>
      <c r="BC50" s="187" t="inlineStr">
        <is>
          <t>Rank</t>
        </is>
      </c>
      <c r="BD50" s="40" t="n"/>
      <c r="BE50" s="16" t="inlineStr">
        <is>
          <t>Score from Turnover For</t>
        </is>
      </c>
      <c r="BF50" s="17" t="inlineStr">
        <is>
          <t>Rank</t>
        </is>
      </c>
      <c r="BG50" s="17" t="inlineStr">
        <is>
          <t>Scores from Turnover Ag</t>
        </is>
      </c>
      <c r="BH50" s="17" t="inlineStr">
        <is>
          <t>Rank</t>
        </is>
      </c>
      <c r="BI50" s="17" t="inlineStr">
        <is>
          <t>Scores from Stoppages For</t>
        </is>
      </c>
      <c r="BJ50" s="17" t="inlineStr">
        <is>
          <t>Rank</t>
        </is>
      </c>
      <c r="BK50" s="17" t="inlineStr">
        <is>
          <t>Scores from Stoppage Ag</t>
        </is>
      </c>
      <c r="BL50" s="17" t="inlineStr">
        <is>
          <t>Rank</t>
        </is>
      </c>
      <c r="BM50" s="17" t="inlineStr">
        <is>
          <t>Territory %</t>
        </is>
      </c>
      <c r="BN50" s="17" t="inlineStr">
        <is>
          <t>Rank</t>
        </is>
      </c>
      <c r="BO50" s="17" t="inlineStr">
        <is>
          <t>Post-Clearance CP Diff</t>
        </is>
      </c>
      <c r="BP50" s="35" t="inlineStr">
        <is>
          <t>Rank</t>
        </is>
      </c>
      <c r="BQ50" s="36" t="inlineStr">
        <is>
          <t>Health Check Ranking</t>
        </is>
      </c>
      <c r="BR50" s="37" t="inlineStr">
        <is>
          <t>Rank</t>
        </is>
      </c>
      <c r="BS50" s="40" t="n"/>
      <c r="BT50" s="22" t="inlineStr">
        <is>
          <t>Attack Rating</t>
        </is>
      </c>
      <c r="BU50" s="23" t="inlineStr">
        <is>
          <t>Rank</t>
        </is>
      </c>
      <c r="BV50" s="23" t="inlineStr">
        <is>
          <t>Defence Rating</t>
        </is>
      </c>
      <c r="BW50" s="23" t="inlineStr">
        <is>
          <t>Rank</t>
        </is>
      </c>
      <c r="BX50" s="23" t="inlineStr">
        <is>
          <t>Overall Rating</t>
        </is>
      </c>
      <c r="BY50" s="24" t="inlineStr">
        <is>
          <t>Rank</t>
        </is>
      </c>
      <c r="BZ50" s="69" t="n"/>
    </row>
    <row r="51" ht="25" customHeight="1">
      <c r="A51" s="75" t="inlineStr">
        <is>
          <t>Adelaide</t>
        </is>
      </c>
      <c r="B51" s="46">
        <f>B28-B5</f>
        <v/>
      </c>
      <c r="C51" s="47">
        <f>RANK(B51,B$51:B$68)</f>
        <v/>
      </c>
      <c r="D51" s="48">
        <f>D28-D5</f>
        <v/>
      </c>
      <c r="E51" s="47">
        <f>RANK(D51,D$51:D$68)</f>
        <v/>
      </c>
      <c r="F51" s="48">
        <f>F28-F5</f>
        <v/>
      </c>
      <c r="G51" s="47">
        <f>RANK(F51,F$51:F$68)</f>
        <v/>
      </c>
      <c r="H51" s="48">
        <f>H28-H5</f>
        <v/>
      </c>
      <c r="I51" s="47">
        <f>RANK(H51,H$51:H$68)</f>
        <v/>
      </c>
      <c r="J51" s="49">
        <f>J28-J5</f>
        <v/>
      </c>
      <c r="K51" s="47">
        <f>RANK(J51,J$51:J$68)</f>
        <v/>
      </c>
      <c r="L51" s="50" t="n"/>
      <c r="M51" s="46">
        <f>M28-M5</f>
        <v/>
      </c>
      <c r="N51" s="47">
        <f>RANK(M51,M$51:M$68)</f>
        <v/>
      </c>
      <c r="O51" s="46">
        <f>O28-O5</f>
        <v/>
      </c>
      <c r="P51" s="47">
        <f>RANK(O51,O$51:O$68)</f>
        <v/>
      </c>
      <c r="Q51" s="46">
        <f>Q28-Q5</f>
        <v/>
      </c>
      <c r="R51" s="47">
        <f>RANK(Q51,Q$51:Q$68)</f>
        <v/>
      </c>
      <c r="S51" s="48">
        <f>S28-S5</f>
        <v/>
      </c>
      <c r="T51" s="47">
        <f>RANK(S51,S$51:S$68)</f>
        <v/>
      </c>
      <c r="U51" s="49">
        <f>U28-U5</f>
        <v/>
      </c>
      <c r="V51" s="47">
        <f>RANK(U51,U$51:U$68)</f>
        <v/>
      </c>
      <c r="W51" s="50" t="n"/>
      <c r="X51" s="46">
        <f>X28-X5</f>
        <v/>
      </c>
      <c r="Y51" s="47">
        <f>RANK(X51,X$51:X$68)</f>
        <v/>
      </c>
      <c r="Z51" s="46">
        <f>Z28-Z5</f>
        <v/>
      </c>
      <c r="AA51" s="47">
        <f>RANK(Z51,Z$51:Z$68)</f>
        <v/>
      </c>
      <c r="AB51" s="46">
        <f>AB28-AB5</f>
        <v/>
      </c>
      <c r="AC51" s="47">
        <f>RANK(AB51,AB$51:AB$68)</f>
        <v/>
      </c>
      <c r="AD51" s="46">
        <f>AD28-AD5</f>
        <v/>
      </c>
      <c r="AE51" s="47">
        <f>RANK(AD51,AD$51:AD$68)</f>
        <v/>
      </c>
      <c r="AF51" s="49">
        <f>AF28-AF5</f>
        <v/>
      </c>
      <c r="AG51" s="47">
        <f>RANK(AF51,AF$51:AF$68)</f>
        <v/>
      </c>
      <c r="AH51" s="50" t="n"/>
      <c r="AI51" s="46">
        <f>AI28-AI5</f>
        <v/>
      </c>
      <c r="AJ51" s="47">
        <f>RANK(AI51,AI$51:AI$68,1)</f>
        <v/>
      </c>
      <c r="AK51" s="46">
        <f>AK28-AK5</f>
        <v/>
      </c>
      <c r="AL51" s="47">
        <f>RANK(AK51,AK$51:AK$68,1)</f>
        <v/>
      </c>
      <c r="AM51" s="46">
        <f>AM28-AM5</f>
        <v/>
      </c>
      <c r="AN51" s="47">
        <f>RANK(AM51,AM$51:AM$68,1)</f>
        <v/>
      </c>
      <c r="AO51" s="48">
        <f>AO28-AO5</f>
        <v/>
      </c>
      <c r="AP51" s="47">
        <f>RANK(AO51,AO$51:AO$68,1)</f>
        <v/>
      </c>
      <c r="AQ51" s="49">
        <f>AQ28-AQ5</f>
        <v/>
      </c>
      <c r="AR51" s="47">
        <f>RANK(AQ51,AQ$51:AQ$68)</f>
        <v/>
      </c>
      <c r="AS51" s="50" t="n"/>
      <c r="AT51" s="46">
        <f>AT28-AT5</f>
        <v/>
      </c>
      <c r="AU51" s="47">
        <f>RANK(AT51,AT$51:AT$68,1)</f>
        <v/>
      </c>
      <c r="AV51" s="46">
        <f>AV28-AV5</f>
        <v/>
      </c>
      <c r="AW51" s="47">
        <f>RANK(AV51,AV$51:AV$68,1)</f>
        <v/>
      </c>
      <c r="AX51" s="46">
        <f>AX28-AX5</f>
        <v/>
      </c>
      <c r="AY51" s="47">
        <f>RANK(AX51,AX$51:AX$68,1)</f>
        <v/>
      </c>
      <c r="AZ51" s="46">
        <f>AZ28-AZ5</f>
        <v/>
      </c>
      <c r="BA51" s="47">
        <f>RANK(AZ51,AZ$51:AZ$68,1)</f>
        <v/>
      </c>
      <c r="BB51" s="46">
        <f>BB28-BB5</f>
        <v/>
      </c>
      <c r="BC51" s="47">
        <f>RANK(BB51,BB$51:BB$68)</f>
        <v/>
      </c>
      <c r="BD51" s="50" t="n"/>
      <c r="BE51" s="46">
        <f>BE28-BE5</f>
        <v/>
      </c>
      <c r="BF51" s="47">
        <f>RANK(BE51,BE$51:BE$68)</f>
        <v/>
      </c>
      <c r="BG51" s="46">
        <f>BG28-BG5</f>
        <v/>
      </c>
      <c r="BH51" s="47">
        <f>RANK(BG51,BG$51:BG$68,1)</f>
        <v/>
      </c>
      <c r="BI51" s="46">
        <f>BI28-BI5</f>
        <v/>
      </c>
      <c r="BJ51" s="47">
        <f>RANK(BI51,BI$51:BI$68)</f>
        <v/>
      </c>
      <c r="BK51" s="46">
        <f>BK28-BK5</f>
        <v/>
      </c>
      <c r="BL51" s="47">
        <f>RANK(BK51,BK$51:BK$68,1)</f>
        <v/>
      </c>
      <c r="BM51" s="46">
        <f>BM28-BM5</f>
        <v/>
      </c>
      <c r="BN51" s="47">
        <f>RANK(BM51,BM$51:BM$68)</f>
        <v/>
      </c>
      <c r="BO51" s="46">
        <f>BO28-BO5</f>
        <v/>
      </c>
      <c r="BP51" s="47">
        <f>RANK(BO51,BO$51:BO$68)</f>
        <v/>
      </c>
      <c r="BQ51" s="49">
        <f>BQ28-BQ5</f>
        <v/>
      </c>
      <c r="BR51" s="47">
        <f>RANK(BQ51,BQ$51:BQ$68)</f>
        <v/>
      </c>
      <c r="BS51" s="50" t="n"/>
      <c r="BT51" s="51">
        <f>BT28-BT5</f>
        <v/>
      </c>
      <c r="BU51" s="47">
        <f>RANK(BT51,BT$51:BT$68)</f>
        <v/>
      </c>
      <c r="BV51" s="51">
        <f>BV28-BV5</f>
        <v/>
      </c>
      <c r="BW51" s="47">
        <f>RANK(BV51,BV$51:BV$68)</f>
        <v/>
      </c>
      <c r="BX51" s="51">
        <f>BX28-BX5</f>
        <v/>
      </c>
      <c r="BY51" s="52">
        <f>RANK(BX51,BX$51:BX$68)</f>
        <v/>
      </c>
      <c r="BZ51" s="69" t="n"/>
    </row>
    <row r="52" ht="25" customHeight="1">
      <c r="A52" s="76" t="inlineStr">
        <is>
          <t>Brisbane</t>
        </is>
      </c>
      <c r="B52" s="53">
        <f>B29-B6</f>
        <v/>
      </c>
      <c r="C52" s="54">
        <f>RANK(B52,B$51:B$68)</f>
        <v/>
      </c>
      <c r="D52" s="55">
        <f>D29-D6</f>
        <v/>
      </c>
      <c r="E52" s="54">
        <f>RANK(D52,D$51:D$68)</f>
        <v/>
      </c>
      <c r="F52" s="55">
        <f>F29-F6</f>
        <v/>
      </c>
      <c r="G52" s="54">
        <f>RANK(F52,F$51:F$68)</f>
        <v/>
      </c>
      <c r="H52" s="55">
        <f>H29-H6</f>
        <v/>
      </c>
      <c r="I52" s="54">
        <f>RANK(H52,H$51:H$68)</f>
        <v/>
      </c>
      <c r="J52" s="49">
        <f>J29-J6</f>
        <v/>
      </c>
      <c r="K52" s="47">
        <f>RANK(J52,J$51:J$68)</f>
        <v/>
      </c>
      <c r="L52" s="56" t="n"/>
      <c r="M52" s="53">
        <f>M29-M6</f>
        <v/>
      </c>
      <c r="N52" s="54">
        <f>RANK(M52,M$51:M$68)</f>
        <v/>
      </c>
      <c r="O52" s="53">
        <f>O29-O6</f>
        <v/>
      </c>
      <c r="P52" s="54">
        <f>RANK(O52,O$51:O$68)</f>
        <v/>
      </c>
      <c r="Q52" s="53">
        <f>Q29-Q6</f>
        <v/>
      </c>
      <c r="R52" s="54">
        <f>RANK(Q52,Q$51:Q$68)</f>
        <v/>
      </c>
      <c r="S52" s="55">
        <f>S29-S6</f>
        <v/>
      </c>
      <c r="T52" s="54">
        <f>RANK(S52,S$51:S$68)</f>
        <v/>
      </c>
      <c r="U52" s="49">
        <f>U29-U6</f>
        <v/>
      </c>
      <c r="V52" s="47">
        <f>RANK(U52,U$51:U$68)</f>
        <v/>
      </c>
      <c r="W52" s="56" t="n"/>
      <c r="X52" s="53">
        <f>X29-X6</f>
        <v/>
      </c>
      <c r="Y52" s="54">
        <f>RANK(X52,X$51:X$68)</f>
        <v/>
      </c>
      <c r="Z52" s="53">
        <f>Z29-Z6</f>
        <v/>
      </c>
      <c r="AA52" s="54">
        <f>RANK(Z52,Z$51:Z$68)</f>
        <v/>
      </c>
      <c r="AB52" s="53">
        <f>AB29-AB6</f>
        <v/>
      </c>
      <c r="AC52" s="54">
        <f>RANK(AB52,AB$51:AB$68)</f>
        <v/>
      </c>
      <c r="AD52" s="53">
        <f>AD29-AD6</f>
        <v/>
      </c>
      <c r="AE52" s="54">
        <f>RANK(AD52,AD$51:AD$68)</f>
        <v/>
      </c>
      <c r="AF52" s="65">
        <f>AF29-AF6</f>
        <v/>
      </c>
      <c r="AG52" s="47">
        <f>RANK(AF52,AF$51:AF$68)</f>
        <v/>
      </c>
      <c r="AH52" s="56" t="n"/>
      <c r="AI52" s="53">
        <f>AI29-AI6</f>
        <v/>
      </c>
      <c r="AJ52" s="54">
        <f>RANK(AI52,AI$51:AI$68,1)</f>
        <v/>
      </c>
      <c r="AK52" s="53">
        <f>AK29-AK6</f>
        <v/>
      </c>
      <c r="AL52" s="54">
        <f>RANK(AK52,AK$51:AK$68,1)</f>
        <v/>
      </c>
      <c r="AM52" s="53">
        <f>AM29-AM6</f>
        <v/>
      </c>
      <c r="AN52" s="54">
        <f>RANK(AM52,AM$51:AM$68,1)</f>
        <v/>
      </c>
      <c r="AO52" s="55">
        <f>AO29-AO6</f>
        <v/>
      </c>
      <c r="AP52" s="54">
        <f>RANK(AO52,AO$51:AO$68,1)</f>
        <v/>
      </c>
      <c r="AQ52" s="65">
        <f>AQ29-AQ6</f>
        <v/>
      </c>
      <c r="AR52" s="47">
        <f>RANK(AQ52,AQ$51:AQ$68)</f>
        <v/>
      </c>
      <c r="AS52" s="56" t="n"/>
      <c r="AT52" s="46">
        <f>AT29-AT6</f>
        <v/>
      </c>
      <c r="AU52" s="47">
        <f>RANK(AT52,AT$51:AT$68,1)</f>
        <v/>
      </c>
      <c r="AV52" s="46">
        <f>AV29-AV6</f>
        <v/>
      </c>
      <c r="AW52" s="47">
        <f>RANK(AV52,AV$51:AV$68,1)</f>
        <v/>
      </c>
      <c r="AX52" s="46">
        <f>AX29-AX6</f>
        <v/>
      </c>
      <c r="AY52" s="47">
        <f>RANK(AX52,AX$51:AX$68,1)</f>
        <v/>
      </c>
      <c r="AZ52" s="46">
        <f>AZ29-AZ6</f>
        <v/>
      </c>
      <c r="BA52" s="47">
        <f>RANK(AZ52,AZ$51:AZ$68,1)</f>
        <v/>
      </c>
      <c r="BB52" s="46">
        <f>BB29-BB6</f>
        <v/>
      </c>
      <c r="BC52" s="47">
        <f>RANK(BB52,BB$51:BB$68)</f>
        <v/>
      </c>
      <c r="BD52" s="56" t="n"/>
      <c r="BE52" s="53">
        <f>BE29-BE6</f>
        <v/>
      </c>
      <c r="BF52" s="54">
        <f>RANK(BE52,BE$51:BE$68)</f>
        <v/>
      </c>
      <c r="BG52" s="53">
        <f>BG29-BG6</f>
        <v/>
      </c>
      <c r="BH52" s="54">
        <f>RANK(BG52,BG$51:BG$68,1)</f>
        <v/>
      </c>
      <c r="BI52" s="53">
        <f>BI29-BI6</f>
        <v/>
      </c>
      <c r="BJ52" s="54">
        <f>RANK(BI52,BI$51:BI$68)</f>
        <v/>
      </c>
      <c r="BK52" s="53">
        <f>BK29-BK6</f>
        <v/>
      </c>
      <c r="BL52" s="54">
        <f>RANK(BK52,BK$51:BK$68,1)</f>
        <v/>
      </c>
      <c r="BM52" s="53">
        <f>BM29-BM6</f>
        <v/>
      </c>
      <c r="BN52" s="54">
        <f>RANK(BM52,BM$51:BM$68)</f>
        <v/>
      </c>
      <c r="BO52" s="53">
        <f>BO29-BO6</f>
        <v/>
      </c>
      <c r="BP52" s="54">
        <f>RANK(BO52,BO$51:BO$68)</f>
        <v/>
      </c>
      <c r="BQ52" s="65">
        <f>BQ29-BQ6</f>
        <v/>
      </c>
      <c r="BR52" s="47">
        <f>RANK(BQ52,BQ$51:BQ$68)</f>
        <v/>
      </c>
      <c r="BS52" s="56" t="n"/>
      <c r="BT52" s="57">
        <f>BT29-BT6</f>
        <v/>
      </c>
      <c r="BU52" s="54">
        <f>RANK(BT52,BT$51:BT$68)</f>
        <v/>
      </c>
      <c r="BV52" s="57">
        <f>BV29-BV6</f>
        <v/>
      </c>
      <c r="BW52" s="54">
        <f>RANK(BV52,BV$51:BV$68)</f>
        <v/>
      </c>
      <c r="BX52" s="57">
        <f>BX29-BX6</f>
        <v/>
      </c>
      <c r="BY52" s="58">
        <f>RANK(BX52,BX$51:BX$68)</f>
        <v/>
      </c>
      <c r="BZ52" s="69" t="n"/>
    </row>
    <row r="53" ht="25" customHeight="1">
      <c r="A53" s="77" t="inlineStr">
        <is>
          <t>Carlton</t>
        </is>
      </c>
      <c r="B53" s="53">
        <f>B30-B7</f>
        <v/>
      </c>
      <c r="C53" s="54">
        <f>RANK(B53,B$51:B$68)</f>
        <v/>
      </c>
      <c r="D53" s="55">
        <f>D30-D7</f>
        <v/>
      </c>
      <c r="E53" s="54">
        <f>RANK(D53,D$51:D$68)</f>
        <v/>
      </c>
      <c r="F53" s="55">
        <f>F30-F7</f>
        <v/>
      </c>
      <c r="G53" s="54">
        <f>RANK(F53,F$51:F$68)</f>
        <v/>
      </c>
      <c r="H53" s="55">
        <f>H30-H7</f>
        <v/>
      </c>
      <c r="I53" s="54">
        <f>RANK(H53,H$51:H$68)</f>
        <v/>
      </c>
      <c r="J53" s="49">
        <f>J30-J7</f>
        <v/>
      </c>
      <c r="K53" s="47">
        <f>RANK(J53,J$51:J$68)</f>
        <v/>
      </c>
      <c r="L53" s="56" t="n"/>
      <c r="M53" s="53">
        <f>M30-M7</f>
        <v/>
      </c>
      <c r="N53" s="54">
        <f>RANK(M53,M$51:M$68)</f>
        <v/>
      </c>
      <c r="O53" s="53">
        <f>O30-O7</f>
        <v/>
      </c>
      <c r="P53" s="54">
        <f>RANK(O53,O$51:O$68)</f>
        <v/>
      </c>
      <c r="Q53" s="53">
        <f>Q30-Q7</f>
        <v/>
      </c>
      <c r="R53" s="54">
        <f>RANK(Q53,Q$51:Q$68)</f>
        <v/>
      </c>
      <c r="S53" s="55">
        <f>S30-S7</f>
        <v/>
      </c>
      <c r="T53" s="54">
        <f>RANK(S53,S$51:S$68)</f>
        <v/>
      </c>
      <c r="U53" s="49">
        <f>U30-U7</f>
        <v/>
      </c>
      <c r="V53" s="47">
        <f>RANK(U53,U$51:U$68)</f>
        <v/>
      </c>
      <c r="W53" s="56" t="n"/>
      <c r="X53" s="53">
        <f>X30-X7</f>
        <v/>
      </c>
      <c r="Y53" s="54">
        <f>RANK(X53,X$51:X$68)</f>
        <v/>
      </c>
      <c r="Z53" s="53">
        <f>Z30-Z7</f>
        <v/>
      </c>
      <c r="AA53" s="54">
        <f>RANK(Z53,Z$51:Z$68)</f>
        <v/>
      </c>
      <c r="AB53" s="53">
        <f>AB30-AB7</f>
        <v/>
      </c>
      <c r="AC53" s="54">
        <f>RANK(AB53,AB$51:AB$68)</f>
        <v/>
      </c>
      <c r="AD53" s="53">
        <f>AD30-AD7</f>
        <v/>
      </c>
      <c r="AE53" s="54">
        <f>RANK(AD53,AD$51:AD$68)</f>
        <v/>
      </c>
      <c r="AF53" s="65">
        <f>AF30-AF7</f>
        <v/>
      </c>
      <c r="AG53" s="47">
        <f>RANK(AF53,AF$51:AF$68)</f>
        <v/>
      </c>
      <c r="AH53" s="56" t="n"/>
      <c r="AI53" s="53">
        <f>AI30-AI7</f>
        <v/>
      </c>
      <c r="AJ53" s="54">
        <f>RANK(AI53,AI$51:AI$68,1)</f>
        <v/>
      </c>
      <c r="AK53" s="53">
        <f>AK30-AK7</f>
        <v/>
      </c>
      <c r="AL53" s="54">
        <f>RANK(AK53,AK$51:AK$68,1)</f>
        <v/>
      </c>
      <c r="AM53" s="53">
        <f>AM30-AM7</f>
        <v/>
      </c>
      <c r="AN53" s="54">
        <f>RANK(AM53,AM$51:AM$68,1)</f>
        <v/>
      </c>
      <c r="AO53" s="55">
        <f>AO30-AO7</f>
        <v/>
      </c>
      <c r="AP53" s="54">
        <f>RANK(AO53,AO$51:AO$68,1)</f>
        <v/>
      </c>
      <c r="AQ53" s="65">
        <f>AQ30-AQ7</f>
        <v/>
      </c>
      <c r="AR53" s="47">
        <f>RANK(AQ53,AQ$51:AQ$68)</f>
        <v/>
      </c>
      <c r="AS53" s="56" t="n"/>
      <c r="AT53" s="46">
        <f>AT30-AT7</f>
        <v/>
      </c>
      <c r="AU53" s="47">
        <f>RANK(AT53,AT$51:AT$68,1)</f>
        <v/>
      </c>
      <c r="AV53" s="46">
        <f>AV30-AV7</f>
        <v/>
      </c>
      <c r="AW53" s="47">
        <f>RANK(AV53,AV$51:AV$68,1)</f>
        <v/>
      </c>
      <c r="AX53" s="46">
        <f>AX30-AX7</f>
        <v/>
      </c>
      <c r="AY53" s="47">
        <f>RANK(AX53,AX$51:AX$68,1)</f>
        <v/>
      </c>
      <c r="AZ53" s="46">
        <f>AZ30-AZ7</f>
        <v/>
      </c>
      <c r="BA53" s="47">
        <f>RANK(AZ53,AZ$51:AZ$68,1)</f>
        <v/>
      </c>
      <c r="BB53" s="46">
        <f>BB30-BB7</f>
        <v/>
      </c>
      <c r="BC53" s="47">
        <f>RANK(BB53,BB$51:BB$68)</f>
        <v/>
      </c>
      <c r="BD53" s="56" t="n"/>
      <c r="BE53" s="53">
        <f>BE30-BE7</f>
        <v/>
      </c>
      <c r="BF53" s="54">
        <f>RANK(BE53,BE$51:BE$68)</f>
        <v/>
      </c>
      <c r="BG53" s="53">
        <f>BG30-BG7</f>
        <v/>
      </c>
      <c r="BH53" s="54">
        <f>RANK(BG53,BG$51:BG$68,1)</f>
        <v/>
      </c>
      <c r="BI53" s="53">
        <f>BI30-BI7</f>
        <v/>
      </c>
      <c r="BJ53" s="54">
        <f>RANK(BI53,BI$51:BI$68)</f>
        <v/>
      </c>
      <c r="BK53" s="53">
        <f>BK30-BK7</f>
        <v/>
      </c>
      <c r="BL53" s="54">
        <f>RANK(BK53,BK$51:BK$68,1)</f>
        <v/>
      </c>
      <c r="BM53" s="53">
        <f>BM30-BM7</f>
        <v/>
      </c>
      <c r="BN53" s="54">
        <f>RANK(BM53,BM$51:BM$68)</f>
        <v/>
      </c>
      <c r="BO53" s="53">
        <f>BO30-BO7</f>
        <v/>
      </c>
      <c r="BP53" s="54">
        <f>RANK(BO53,BO$51:BO$68)</f>
        <v/>
      </c>
      <c r="BQ53" s="65">
        <f>BQ30-BQ7</f>
        <v/>
      </c>
      <c r="BR53" s="47">
        <f>RANK(BQ53,BQ$51:BQ$68)</f>
        <v/>
      </c>
      <c r="BS53" s="56" t="n"/>
      <c r="BT53" s="57">
        <f>BT30-BT7</f>
        <v/>
      </c>
      <c r="BU53" s="54">
        <f>RANK(BT53,BT$51:BT$68)</f>
        <v/>
      </c>
      <c r="BV53" s="57">
        <f>BV30-BV7</f>
        <v/>
      </c>
      <c r="BW53" s="54">
        <f>RANK(BV53,BV$51:BV$68)</f>
        <v/>
      </c>
      <c r="BX53" s="57">
        <f>BX30-BX7</f>
        <v/>
      </c>
      <c r="BY53" s="58">
        <f>RANK(BX53,BX$51:BX$68)</f>
        <v/>
      </c>
      <c r="BZ53" s="69" t="n"/>
    </row>
    <row r="54" ht="25" customHeight="1">
      <c r="A54" s="78" t="inlineStr">
        <is>
          <t>Collingwood</t>
        </is>
      </c>
      <c r="B54" s="53">
        <f>B31-B8</f>
        <v/>
      </c>
      <c r="C54" s="54">
        <f>RANK(B54,B$51:B$68)</f>
        <v/>
      </c>
      <c r="D54" s="55">
        <f>D31-D8</f>
        <v/>
      </c>
      <c r="E54" s="54">
        <f>RANK(D54,D$51:D$68)</f>
        <v/>
      </c>
      <c r="F54" s="55">
        <f>F31-F8</f>
        <v/>
      </c>
      <c r="G54" s="54">
        <f>RANK(F54,F$51:F$68)</f>
        <v/>
      </c>
      <c r="H54" s="55">
        <f>H31-H8</f>
        <v/>
      </c>
      <c r="I54" s="54">
        <f>RANK(H54,H$51:H$68)</f>
        <v/>
      </c>
      <c r="J54" s="49">
        <f>J31-J8</f>
        <v/>
      </c>
      <c r="K54" s="47">
        <f>RANK(J54,J$51:J$68)</f>
        <v/>
      </c>
      <c r="L54" s="56" t="n"/>
      <c r="M54" s="53">
        <f>M31-M8</f>
        <v/>
      </c>
      <c r="N54" s="54">
        <f>RANK(M54,M$51:M$68)</f>
        <v/>
      </c>
      <c r="O54" s="53">
        <f>O31-O8</f>
        <v/>
      </c>
      <c r="P54" s="54">
        <f>RANK(O54,O$51:O$68)</f>
        <v/>
      </c>
      <c r="Q54" s="53">
        <f>Q31-Q8</f>
        <v/>
      </c>
      <c r="R54" s="54">
        <f>RANK(Q54,Q$51:Q$68)</f>
        <v/>
      </c>
      <c r="S54" s="55">
        <f>S31-S8</f>
        <v/>
      </c>
      <c r="T54" s="54">
        <f>RANK(S54,S$51:S$68)</f>
        <v/>
      </c>
      <c r="U54" s="49">
        <f>U31-U8</f>
        <v/>
      </c>
      <c r="V54" s="47">
        <f>RANK(U54,U$51:U$68)</f>
        <v/>
      </c>
      <c r="W54" s="56" t="n"/>
      <c r="X54" s="53">
        <f>X31-X8</f>
        <v/>
      </c>
      <c r="Y54" s="54">
        <f>RANK(X54,X$51:X$68)</f>
        <v/>
      </c>
      <c r="Z54" s="53">
        <f>Z31-Z8</f>
        <v/>
      </c>
      <c r="AA54" s="54">
        <f>RANK(Z54,Z$51:Z$68)</f>
        <v/>
      </c>
      <c r="AB54" s="53">
        <f>AB31-AB8</f>
        <v/>
      </c>
      <c r="AC54" s="54">
        <f>RANK(AB54,AB$51:AB$68)</f>
        <v/>
      </c>
      <c r="AD54" s="53">
        <f>AD31-AD8</f>
        <v/>
      </c>
      <c r="AE54" s="54">
        <f>RANK(AD54,AD$51:AD$68)</f>
        <v/>
      </c>
      <c r="AF54" s="65">
        <f>AF31-AF8</f>
        <v/>
      </c>
      <c r="AG54" s="47">
        <f>RANK(AF54,AF$51:AF$68)</f>
        <v/>
      </c>
      <c r="AH54" s="56" t="n"/>
      <c r="AI54" s="53">
        <f>AI31-AI8</f>
        <v/>
      </c>
      <c r="AJ54" s="54">
        <f>RANK(AI54,AI$51:AI$68,1)</f>
        <v/>
      </c>
      <c r="AK54" s="53">
        <f>AK31-AK8</f>
        <v/>
      </c>
      <c r="AL54" s="54">
        <f>RANK(AK54,AK$51:AK$68,1)</f>
        <v/>
      </c>
      <c r="AM54" s="53">
        <f>AM31-AM8</f>
        <v/>
      </c>
      <c r="AN54" s="54">
        <f>RANK(AM54,AM$51:AM$68,1)</f>
        <v/>
      </c>
      <c r="AO54" s="55">
        <f>AO31-AO8</f>
        <v/>
      </c>
      <c r="AP54" s="54">
        <f>RANK(AO54,AO$51:AO$68,1)</f>
        <v/>
      </c>
      <c r="AQ54" s="65">
        <f>AQ31-AQ8</f>
        <v/>
      </c>
      <c r="AR54" s="47">
        <f>RANK(AQ54,AQ$51:AQ$68)</f>
        <v/>
      </c>
      <c r="AS54" s="56" t="n"/>
      <c r="AT54" s="46">
        <f>AT31-AT8</f>
        <v/>
      </c>
      <c r="AU54" s="47">
        <f>RANK(AT54,AT$51:AT$68,1)</f>
        <v/>
      </c>
      <c r="AV54" s="46">
        <f>AV31-AV8</f>
        <v/>
      </c>
      <c r="AW54" s="47">
        <f>RANK(AV54,AV$51:AV$68,1)</f>
        <v/>
      </c>
      <c r="AX54" s="46">
        <f>AX31-AX8</f>
        <v/>
      </c>
      <c r="AY54" s="47">
        <f>RANK(AX54,AX$51:AX$68,1)</f>
        <v/>
      </c>
      <c r="AZ54" s="46">
        <f>AZ31-AZ8</f>
        <v/>
      </c>
      <c r="BA54" s="47">
        <f>RANK(AZ54,AZ$51:AZ$68,1)</f>
        <v/>
      </c>
      <c r="BB54" s="46">
        <f>BB31-BB8</f>
        <v/>
      </c>
      <c r="BC54" s="47">
        <f>RANK(BB54,BB$51:BB$68)</f>
        <v/>
      </c>
      <c r="BD54" s="56" t="n"/>
      <c r="BE54" s="53">
        <f>BE31-BE8</f>
        <v/>
      </c>
      <c r="BF54" s="54">
        <f>RANK(BE54,BE$51:BE$68)</f>
        <v/>
      </c>
      <c r="BG54" s="53">
        <f>BG31-BG8</f>
        <v/>
      </c>
      <c r="BH54" s="54">
        <f>RANK(BG54,BG$51:BG$68,1)</f>
        <v/>
      </c>
      <c r="BI54" s="53">
        <f>BI31-BI8</f>
        <v/>
      </c>
      <c r="BJ54" s="54">
        <f>RANK(BI54,BI$51:BI$68)</f>
        <v/>
      </c>
      <c r="BK54" s="53">
        <f>BK31-BK8</f>
        <v/>
      </c>
      <c r="BL54" s="54">
        <f>RANK(BK54,BK$51:BK$68,1)</f>
        <v/>
      </c>
      <c r="BM54" s="53">
        <f>BM31-BM8</f>
        <v/>
      </c>
      <c r="BN54" s="54">
        <f>RANK(BM54,BM$51:BM$68)</f>
        <v/>
      </c>
      <c r="BO54" s="53">
        <f>BO31-BO8</f>
        <v/>
      </c>
      <c r="BP54" s="54">
        <f>RANK(BO54,BO$51:BO$68)</f>
        <v/>
      </c>
      <c r="BQ54" s="65">
        <f>BQ31-BQ8</f>
        <v/>
      </c>
      <c r="BR54" s="47">
        <f>RANK(BQ54,BQ$51:BQ$68)</f>
        <v/>
      </c>
      <c r="BS54" s="56" t="n"/>
      <c r="BT54" s="57">
        <f>BT31-BT8</f>
        <v/>
      </c>
      <c r="BU54" s="54">
        <f>RANK(BT54,BT$51:BT$68)</f>
        <v/>
      </c>
      <c r="BV54" s="57">
        <f>BV31-BV8</f>
        <v/>
      </c>
      <c r="BW54" s="54">
        <f>RANK(BV54,BV$51:BV$68)</f>
        <v/>
      </c>
      <c r="BX54" s="57">
        <f>BX31-BX8</f>
        <v/>
      </c>
      <c r="BY54" s="58">
        <f>RANK(BX54,BX$51:BX$68)</f>
        <v/>
      </c>
      <c r="BZ54" s="69" t="n"/>
    </row>
    <row r="55" ht="25" customHeight="1">
      <c r="A55" s="79" t="inlineStr">
        <is>
          <t>Essendon</t>
        </is>
      </c>
      <c r="B55" s="53">
        <f>B32-B9</f>
        <v/>
      </c>
      <c r="C55" s="54">
        <f>RANK(B55,B$51:B$68)</f>
        <v/>
      </c>
      <c r="D55" s="55">
        <f>D32-D9</f>
        <v/>
      </c>
      <c r="E55" s="54">
        <f>RANK(D55,D$51:D$68)</f>
        <v/>
      </c>
      <c r="F55" s="55">
        <f>F32-F9</f>
        <v/>
      </c>
      <c r="G55" s="54">
        <f>RANK(F55,F$51:F$68)</f>
        <v/>
      </c>
      <c r="H55" s="55">
        <f>H32-H9</f>
        <v/>
      </c>
      <c r="I55" s="54">
        <f>RANK(H55,H$51:H$68)</f>
        <v/>
      </c>
      <c r="J55" s="49">
        <f>J32-J9</f>
        <v/>
      </c>
      <c r="K55" s="47">
        <f>RANK(J55,J$51:J$68)</f>
        <v/>
      </c>
      <c r="L55" s="56" t="n"/>
      <c r="M55" s="53">
        <f>M32-M9</f>
        <v/>
      </c>
      <c r="N55" s="54">
        <f>RANK(M55,M$51:M$68)</f>
        <v/>
      </c>
      <c r="O55" s="53">
        <f>O32-O9</f>
        <v/>
      </c>
      <c r="P55" s="54">
        <f>RANK(O55,O$51:O$68)</f>
        <v/>
      </c>
      <c r="Q55" s="53">
        <f>Q32-Q9</f>
        <v/>
      </c>
      <c r="R55" s="54">
        <f>RANK(Q55,Q$51:Q$68)</f>
        <v/>
      </c>
      <c r="S55" s="55">
        <f>S32-S9</f>
        <v/>
      </c>
      <c r="T55" s="54">
        <f>RANK(S55,S$51:S$68)</f>
        <v/>
      </c>
      <c r="U55" s="49">
        <f>U32-U9</f>
        <v/>
      </c>
      <c r="V55" s="47">
        <f>RANK(U55,U$51:U$68)</f>
        <v/>
      </c>
      <c r="W55" s="56" t="n"/>
      <c r="X55" s="53">
        <f>X32-X9</f>
        <v/>
      </c>
      <c r="Y55" s="54">
        <f>RANK(X55,X$51:X$68)</f>
        <v/>
      </c>
      <c r="Z55" s="53">
        <f>Z32-Z9</f>
        <v/>
      </c>
      <c r="AA55" s="54">
        <f>RANK(Z55,Z$51:Z$68)</f>
        <v/>
      </c>
      <c r="AB55" s="53">
        <f>AB32-AB9</f>
        <v/>
      </c>
      <c r="AC55" s="54">
        <f>RANK(AB55,AB$51:AB$68)</f>
        <v/>
      </c>
      <c r="AD55" s="53">
        <f>AD32-AD9</f>
        <v/>
      </c>
      <c r="AE55" s="54">
        <f>RANK(AD55,AD$51:AD$68)</f>
        <v/>
      </c>
      <c r="AF55" s="65">
        <f>AF32-AF9</f>
        <v/>
      </c>
      <c r="AG55" s="47">
        <f>RANK(AF55,AF$51:AF$68)</f>
        <v/>
      </c>
      <c r="AH55" s="56" t="n"/>
      <c r="AI55" s="53">
        <f>AI32-AI9</f>
        <v/>
      </c>
      <c r="AJ55" s="54">
        <f>RANK(AI55,AI$51:AI$68,1)</f>
        <v/>
      </c>
      <c r="AK55" s="53">
        <f>AK32-AK9</f>
        <v/>
      </c>
      <c r="AL55" s="54">
        <f>RANK(AK55,AK$51:AK$68,1)</f>
        <v/>
      </c>
      <c r="AM55" s="53">
        <f>AM32-AM9</f>
        <v/>
      </c>
      <c r="AN55" s="54">
        <f>RANK(AM55,AM$51:AM$68,1)</f>
        <v/>
      </c>
      <c r="AO55" s="55">
        <f>AO32-AO9</f>
        <v/>
      </c>
      <c r="AP55" s="54">
        <f>RANK(AO55,AO$51:AO$68,1)</f>
        <v/>
      </c>
      <c r="AQ55" s="65">
        <f>AQ32-AQ9</f>
        <v/>
      </c>
      <c r="AR55" s="47">
        <f>RANK(AQ55,AQ$51:AQ$68)</f>
        <v/>
      </c>
      <c r="AS55" s="56" t="n"/>
      <c r="AT55" s="46">
        <f>AT32-AT9</f>
        <v/>
      </c>
      <c r="AU55" s="47">
        <f>RANK(AT55,AT$51:AT$68,1)</f>
        <v/>
      </c>
      <c r="AV55" s="46">
        <f>AV32-AV9</f>
        <v/>
      </c>
      <c r="AW55" s="47">
        <f>RANK(AV55,AV$51:AV$68,1)</f>
        <v/>
      </c>
      <c r="AX55" s="46">
        <f>AX32-AX9</f>
        <v/>
      </c>
      <c r="AY55" s="47">
        <f>RANK(AX55,AX$51:AX$68,1)</f>
        <v/>
      </c>
      <c r="AZ55" s="46">
        <f>AZ32-AZ9</f>
        <v/>
      </c>
      <c r="BA55" s="47">
        <f>RANK(AZ55,AZ$51:AZ$68,1)</f>
        <v/>
      </c>
      <c r="BB55" s="46">
        <f>BB32-BB9</f>
        <v/>
      </c>
      <c r="BC55" s="47">
        <f>RANK(BB55,BB$51:BB$68)</f>
        <v/>
      </c>
      <c r="BD55" s="56" t="n"/>
      <c r="BE55" s="53">
        <f>BE32-BE9</f>
        <v/>
      </c>
      <c r="BF55" s="54">
        <f>RANK(BE55,BE$51:BE$68)</f>
        <v/>
      </c>
      <c r="BG55" s="53">
        <f>BG32-BG9</f>
        <v/>
      </c>
      <c r="BH55" s="54">
        <f>RANK(BG55,BG$51:BG$68,1)</f>
        <v/>
      </c>
      <c r="BI55" s="53">
        <f>BI32-BI9</f>
        <v/>
      </c>
      <c r="BJ55" s="54">
        <f>RANK(BI55,BI$51:BI$68)</f>
        <v/>
      </c>
      <c r="BK55" s="53">
        <f>BK32-BK9</f>
        <v/>
      </c>
      <c r="BL55" s="54">
        <f>RANK(BK55,BK$51:BK$68,1)</f>
        <v/>
      </c>
      <c r="BM55" s="53">
        <f>BM32-BM9</f>
        <v/>
      </c>
      <c r="BN55" s="54">
        <f>RANK(BM55,BM$51:BM$68)</f>
        <v/>
      </c>
      <c r="BO55" s="53">
        <f>BO32-BO9</f>
        <v/>
      </c>
      <c r="BP55" s="54">
        <f>RANK(BO55,BO$51:BO$68)</f>
        <v/>
      </c>
      <c r="BQ55" s="65">
        <f>BQ32-BQ9</f>
        <v/>
      </c>
      <c r="BR55" s="47">
        <f>RANK(BQ55,BQ$51:BQ$68)</f>
        <v/>
      </c>
      <c r="BS55" s="56" t="n"/>
      <c r="BT55" s="57">
        <f>BT32-BT9</f>
        <v/>
      </c>
      <c r="BU55" s="54">
        <f>RANK(BT55,BT$51:BT$68)</f>
        <v/>
      </c>
      <c r="BV55" s="57">
        <f>BV32-BV9</f>
        <v/>
      </c>
      <c r="BW55" s="54">
        <f>RANK(BV55,BV$51:BV$68)</f>
        <v/>
      </c>
      <c r="BX55" s="57">
        <f>BX32-BX9</f>
        <v/>
      </c>
      <c r="BY55" s="58">
        <f>RANK(BX55,BX$51:BX$68)</f>
        <v/>
      </c>
      <c r="BZ55" s="69" t="n"/>
    </row>
    <row r="56" ht="25" customHeight="1">
      <c r="A56" s="80" t="inlineStr">
        <is>
          <t>Fremantle</t>
        </is>
      </c>
      <c r="B56" s="53">
        <f>B33-B10</f>
        <v/>
      </c>
      <c r="C56" s="54">
        <f>RANK(B56,B$51:B$68)</f>
        <v/>
      </c>
      <c r="D56" s="55">
        <f>D33-D10</f>
        <v/>
      </c>
      <c r="E56" s="54">
        <f>RANK(D56,D$51:D$68)</f>
        <v/>
      </c>
      <c r="F56" s="55">
        <f>F33-F10</f>
        <v/>
      </c>
      <c r="G56" s="54">
        <f>RANK(F56,F$51:F$68)</f>
        <v/>
      </c>
      <c r="H56" s="55">
        <f>H33-H10</f>
        <v/>
      </c>
      <c r="I56" s="54">
        <f>RANK(H56,H$51:H$68)</f>
        <v/>
      </c>
      <c r="J56" s="49">
        <f>J33-J10</f>
        <v/>
      </c>
      <c r="K56" s="47">
        <f>RANK(J56,J$51:J$68)</f>
        <v/>
      </c>
      <c r="L56" s="56" t="n"/>
      <c r="M56" s="53">
        <f>M33-M10</f>
        <v/>
      </c>
      <c r="N56" s="54">
        <f>RANK(M56,M$51:M$68)</f>
        <v/>
      </c>
      <c r="O56" s="53">
        <f>O33-O10</f>
        <v/>
      </c>
      <c r="P56" s="54">
        <f>RANK(O56,O$51:O$68)</f>
        <v/>
      </c>
      <c r="Q56" s="53">
        <f>Q33-Q10</f>
        <v/>
      </c>
      <c r="R56" s="54">
        <f>RANK(Q56,Q$51:Q$68)</f>
        <v/>
      </c>
      <c r="S56" s="55">
        <f>S33-S10</f>
        <v/>
      </c>
      <c r="T56" s="54">
        <f>RANK(S56,S$51:S$68)</f>
        <v/>
      </c>
      <c r="U56" s="49">
        <f>U33-U10</f>
        <v/>
      </c>
      <c r="V56" s="47">
        <f>RANK(U56,U$51:U$68)</f>
        <v/>
      </c>
      <c r="W56" s="56" t="n"/>
      <c r="X56" s="53">
        <f>X33-X10</f>
        <v/>
      </c>
      <c r="Y56" s="54">
        <f>RANK(X56,X$51:X$68)</f>
        <v/>
      </c>
      <c r="Z56" s="53">
        <f>Z33-Z10</f>
        <v/>
      </c>
      <c r="AA56" s="54">
        <f>RANK(Z56,Z$51:Z$68)</f>
        <v/>
      </c>
      <c r="AB56" s="53">
        <f>AB33-AB10</f>
        <v/>
      </c>
      <c r="AC56" s="54">
        <f>RANK(AB56,AB$51:AB$68)</f>
        <v/>
      </c>
      <c r="AD56" s="53">
        <f>AD33-AD10</f>
        <v/>
      </c>
      <c r="AE56" s="54">
        <f>RANK(AD56,AD$51:AD$68)</f>
        <v/>
      </c>
      <c r="AF56" s="65">
        <f>AF33-AF10</f>
        <v/>
      </c>
      <c r="AG56" s="47">
        <f>RANK(AF56,AF$51:AF$68)</f>
        <v/>
      </c>
      <c r="AH56" s="56" t="n"/>
      <c r="AI56" s="53">
        <f>AI33-AI10</f>
        <v/>
      </c>
      <c r="AJ56" s="54">
        <f>RANK(AI56,AI$51:AI$68,1)</f>
        <v/>
      </c>
      <c r="AK56" s="53">
        <f>AK33-AK10</f>
        <v/>
      </c>
      <c r="AL56" s="54">
        <f>RANK(AK56,AK$51:AK$68,1)</f>
        <v/>
      </c>
      <c r="AM56" s="53">
        <f>AM33-AM10</f>
        <v/>
      </c>
      <c r="AN56" s="54">
        <f>RANK(AM56,AM$51:AM$68,1)</f>
        <v/>
      </c>
      <c r="AO56" s="55">
        <f>AO33-AO10</f>
        <v/>
      </c>
      <c r="AP56" s="54">
        <f>RANK(AO56,AO$51:AO$68,1)</f>
        <v/>
      </c>
      <c r="AQ56" s="65">
        <f>AQ33-AQ10</f>
        <v/>
      </c>
      <c r="AR56" s="47">
        <f>RANK(AQ56,AQ$51:AQ$68)</f>
        <v/>
      </c>
      <c r="AS56" s="56" t="n"/>
      <c r="AT56" s="46">
        <f>AT33-AT10</f>
        <v/>
      </c>
      <c r="AU56" s="47">
        <f>RANK(AT56,AT$51:AT$68,1)</f>
        <v/>
      </c>
      <c r="AV56" s="46">
        <f>AV33-AV10</f>
        <v/>
      </c>
      <c r="AW56" s="47">
        <f>RANK(AV56,AV$51:AV$68,1)</f>
        <v/>
      </c>
      <c r="AX56" s="46">
        <f>AX33-AX10</f>
        <v/>
      </c>
      <c r="AY56" s="47">
        <f>RANK(AX56,AX$51:AX$68,1)</f>
        <v/>
      </c>
      <c r="AZ56" s="46">
        <f>AZ33-AZ10</f>
        <v/>
      </c>
      <c r="BA56" s="47">
        <f>RANK(AZ56,AZ$51:AZ$68,1)</f>
        <v/>
      </c>
      <c r="BB56" s="46">
        <f>BB33-BB10</f>
        <v/>
      </c>
      <c r="BC56" s="47">
        <f>RANK(BB56,BB$51:BB$68)</f>
        <v/>
      </c>
      <c r="BD56" s="56" t="n"/>
      <c r="BE56" s="53">
        <f>BE33-BE10</f>
        <v/>
      </c>
      <c r="BF56" s="54">
        <f>RANK(BE56,BE$51:BE$68)</f>
        <v/>
      </c>
      <c r="BG56" s="53">
        <f>BG33-BG10</f>
        <v/>
      </c>
      <c r="BH56" s="54">
        <f>RANK(BG56,BG$51:BG$68,1)</f>
        <v/>
      </c>
      <c r="BI56" s="53">
        <f>BI33-BI10</f>
        <v/>
      </c>
      <c r="BJ56" s="54">
        <f>RANK(BI56,BI$51:BI$68)</f>
        <v/>
      </c>
      <c r="BK56" s="53">
        <f>BK33-BK10</f>
        <v/>
      </c>
      <c r="BL56" s="54">
        <f>RANK(BK56,BK$51:BK$68,1)</f>
        <v/>
      </c>
      <c r="BM56" s="53">
        <f>BM33-BM10</f>
        <v/>
      </c>
      <c r="BN56" s="54">
        <f>RANK(BM56,BM$51:BM$68)</f>
        <v/>
      </c>
      <c r="BO56" s="53">
        <f>BO33-BO10</f>
        <v/>
      </c>
      <c r="BP56" s="54">
        <f>RANK(BO56,BO$51:BO$68)</f>
        <v/>
      </c>
      <c r="BQ56" s="65">
        <f>BQ33-BQ10</f>
        <v/>
      </c>
      <c r="BR56" s="47">
        <f>RANK(BQ56,BQ$51:BQ$68)</f>
        <v/>
      </c>
      <c r="BS56" s="56" t="n"/>
      <c r="BT56" s="57">
        <f>BT33-BT10</f>
        <v/>
      </c>
      <c r="BU56" s="54">
        <f>RANK(BT56,BT$51:BT$68)</f>
        <v/>
      </c>
      <c r="BV56" s="57">
        <f>BV33-BV10</f>
        <v/>
      </c>
      <c r="BW56" s="54">
        <f>RANK(BV56,BV$51:BV$68)</f>
        <v/>
      </c>
      <c r="BX56" s="57">
        <f>BX33-BX10</f>
        <v/>
      </c>
      <c r="BY56" s="58">
        <f>RANK(BX56,BX$51:BX$68)</f>
        <v/>
      </c>
      <c r="BZ56" s="69" t="n"/>
    </row>
    <row r="57" ht="25" customHeight="1">
      <c r="A57" s="81" t="inlineStr">
        <is>
          <t>Geelong</t>
        </is>
      </c>
      <c r="B57" s="53">
        <f>B34-B11</f>
        <v/>
      </c>
      <c r="C57" s="54">
        <f>RANK(B57,B$51:B$68)</f>
        <v/>
      </c>
      <c r="D57" s="55">
        <f>D34-D11</f>
        <v/>
      </c>
      <c r="E57" s="54">
        <f>RANK(D57,D$51:D$68)</f>
        <v/>
      </c>
      <c r="F57" s="55">
        <f>F34-F11</f>
        <v/>
      </c>
      <c r="G57" s="54">
        <f>RANK(F57,F$51:F$68)</f>
        <v/>
      </c>
      <c r="H57" s="55">
        <f>H34-H11</f>
        <v/>
      </c>
      <c r="I57" s="54">
        <f>RANK(H57,H$51:H$68)</f>
        <v/>
      </c>
      <c r="J57" s="49">
        <f>J34-J11</f>
        <v/>
      </c>
      <c r="K57" s="47">
        <f>RANK(J57,J$51:J$68)</f>
        <v/>
      </c>
      <c r="L57" s="56" t="n"/>
      <c r="M57" s="53">
        <f>M34-M11</f>
        <v/>
      </c>
      <c r="N57" s="54">
        <f>RANK(M57,M$51:M$68)</f>
        <v/>
      </c>
      <c r="O57" s="53">
        <f>O34-O11</f>
        <v/>
      </c>
      <c r="P57" s="54">
        <f>RANK(O57,O$51:O$68)</f>
        <v/>
      </c>
      <c r="Q57" s="53">
        <f>Q34-Q11</f>
        <v/>
      </c>
      <c r="R57" s="54">
        <f>RANK(Q57,Q$51:Q$68)</f>
        <v/>
      </c>
      <c r="S57" s="55">
        <f>S34-S11</f>
        <v/>
      </c>
      <c r="T57" s="54">
        <f>RANK(S57,S$51:S$68)</f>
        <v/>
      </c>
      <c r="U57" s="49">
        <f>U34-U11</f>
        <v/>
      </c>
      <c r="V57" s="47">
        <f>RANK(U57,U$51:U$68)</f>
        <v/>
      </c>
      <c r="W57" s="56" t="n"/>
      <c r="X57" s="53">
        <f>X34-X11</f>
        <v/>
      </c>
      <c r="Y57" s="54">
        <f>RANK(X57,X$51:X$68)</f>
        <v/>
      </c>
      <c r="Z57" s="53">
        <f>Z34-Z11</f>
        <v/>
      </c>
      <c r="AA57" s="54">
        <f>RANK(Z57,Z$51:Z$68)</f>
        <v/>
      </c>
      <c r="AB57" s="53">
        <f>AB34-AB11</f>
        <v/>
      </c>
      <c r="AC57" s="54">
        <f>RANK(AB57,AB$51:AB$68)</f>
        <v/>
      </c>
      <c r="AD57" s="53">
        <f>AD34-AD11</f>
        <v/>
      </c>
      <c r="AE57" s="54">
        <f>RANK(AD57,AD$51:AD$68)</f>
        <v/>
      </c>
      <c r="AF57" s="65">
        <f>AF34-AF11</f>
        <v/>
      </c>
      <c r="AG57" s="47">
        <f>RANK(AF57,AF$51:AF$68)</f>
        <v/>
      </c>
      <c r="AH57" s="56" t="n"/>
      <c r="AI57" s="53">
        <f>AI34-AI11</f>
        <v/>
      </c>
      <c r="AJ57" s="54">
        <f>RANK(AI57,AI$51:AI$68,1)</f>
        <v/>
      </c>
      <c r="AK57" s="53">
        <f>AK34-AK11</f>
        <v/>
      </c>
      <c r="AL57" s="54">
        <f>RANK(AK57,AK$51:AK$68,1)</f>
        <v/>
      </c>
      <c r="AM57" s="53">
        <f>AM34-AM11</f>
        <v/>
      </c>
      <c r="AN57" s="54">
        <f>RANK(AM57,AM$51:AM$68,1)</f>
        <v/>
      </c>
      <c r="AO57" s="55">
        <f>AO34-AO11</f>
        <v/>
      </c>
      <c r="AP57" s="54">
        <f>RANK(AO57,AO$51:AO$68,1)</f>
        <v/>
      </c>
      <c r="AQ57" s="65">
        <f>AQ34-AQ11</f>
        <v/>
      </c>
      <c r="AR57" s="47">
        <f>RANK(AQ57,AQ$51:AQ$68)</f>
        <v/>
      </c>
      <c r="AS57" s="56" t="n"/>
      <c r="AT57" s="46">
        <f>AT34-AT11</f>
        <v/>
      </c>
      <c r="AU57" s="47">
        <f>RANK(AT57,AT$51:AT$68,1)</f>
        <v/>
      </c>
      <c r="AV57" s="46">
        <f>AV34-AV11</f>
        <v/>
      </c>
      <c r="AW57" s="47">
        <f>RANK(AV57,AV$51:AV$68,1)</f>
        <v/>
      </c>
      <c r="AX57" s="46">
        <f>AX34-AX11</f>
        <v/>
      </c>
      <c r="AY57" s="47">
        <f>RANK(AX57,AX$51:AX$68,1)</f>
        <v/>
      </c>
      <c r="AZ57" s="46">
        <f>AZ34-AZ11</f>
        <v/>
      </c>
      <c r="BA57" s="47">
        <f>RANK(AZ57,AZ$51:AZ$68,1)</f>
        <v/>
      </c>
      <c r="BB57" s="46">
        <f>BB34-BB11</f>
        <v/>
      </c>
      <c r="BC57" s="47">
        <f>RANK(BB57,BB$51:BB$68)</f>
        <v/>
      </c>
      <c r="BD57" s="56" t="n"/>
      <c r="BE57" s="53">
        <f>BE34-BE11</f>
        <v/>
      </c>
      <c r="BF57" s="54">
        <f>RANK(BE57,BE$51:BE$68)</f>
        <v/>
      </c>
      <c r="BG57" s="53">
        <f>BG34-BG11</f>
        <v/>
      </c>
      <c r="BH57" s="54">
        <f>RANK(BG57,BG$51:BG$68,1)</f>
        <v/>
      </c>
      <c r="BI57" s="53">
        <f>BI34-BI11</f>
        <v/>
      </c>
      <c r="BJ57" s="54">
        <f>RANK(BI57,BI$51:BI$68)</f>
        <v/>
      </c>
      <c r="BK57" s="53">
        <f>BK34-BK11</f>
        <v/>
      </c>
      <c r="BL57" s="54">
        <f>RANK(BK57,BK$51:BK$68,1)</f>
        <v/>
      </c>
      <c r="BM57" s="53">
        <f>BM34-BM11</f>
        <v/>
      </c>
      <c r="BN57" s="54">
        <f>RANK(BM57,BM$51:BM$68)</f>
        <v/>
      </c>
      <c r="BO57" s="53">
        <f>BO34-BO11</f>
        <v/>
      </c>
      <c r="BP57" s="54">
        <f>RANK(BO57,BO$51:BO$68)</f>
        <v/>
      </c>
      <c r="BQ57" s="65">
        <f>BQ34-BQ11</f>
        <v/>
      </c>
      <c r="BR57" s="47">
        <f>RANK(BQ57,BQ$51:BQ$68)</f>
        <v/>
      </c>
      <c r="BS57" s="56" t="n"/>
      <c r="BT57" s="57">
        <f>BT34-BT11</f>
        <v/>
      </c>
      <c r="BU57" s="54">
        <f>RANK(BT57,BT$51:BT$68)</f>
        <v/>
      </c>
      <c r="BV57" s="57">
        <f>BV34-BV11</f>
        <v/>
      </c>
      <c r="BW57" s="54">
        <f>RANK(BV57,BV$51:BV$68)</f>
        <v/>
      </c>
      <c r="BX57" s="57">
        <f>BX34-BX11</f>
        <v/>
      </c>
      <c r="BY57" s="58">
        <f>RANK(BX57,BX$51:BX$68)</f>
        <v/>
      </c>
      <c r="BZ57" s="69" t="n"/>
    </row>
    <row r="58" ht="25" customHeight="1">
      <c r="A58" s="82" t="inlineStr">
        <is>
          <t>Gold Coast</t>
        </is>
      </c>
      <c r="B58" s="53">
        <f>B35-B12</f>
        <v/>
      </c>
      <c r="C58" s="54">
        <f>RANK(B58,B$51:B$68)</f>
        <v/>
      </c>
      <c r="D58" s="55">
        <f>D35-D12</f>
        <v/>
      </c>
      <c r="E58" s="54">
        <f>RANK(D58,D$51:D$68)</f>
        <v/>
      </c>
      <c r="F58" s="55">
        <f>F35-F12</f>
        <v/>
      </c>
      <c r="G58" s="54">
        <f>RANK(F58,F$51:F$68)</f>
        <v/>
      </c>
      <c r="H58" s="55">
        <f>H35-H12</f>
        <v/>
      </c>
      <c r="I58" s="54">
        <f>RANK(H58,H$51:H$68)</f>
        <v/>
      </c>
      <c r="J58" s="49">
        <f>J35-J12</f>
        <v/>
      </c>
      <c r="K58" s="47">
        <f>RANK(J58,J$51:J$68)</f>
        <v/>
      </c>
      <c r="L58" s="56" t="n"/>
      <c r="M58" s="53">
        <f>M35-M12</f>
        <v/>
      </c>
      <c r="N58" s="54">
        <f>RANK(M58,M$51:M$68)</f>
        <v/>
      </c>
      <c r="O58" s="53">
        <f>O35-O12</f>
        <v/>
      </c>
      <c r="P58" s="54">
        <f>RANK(O58,O$51:O$68)</f>
        <v/>
      </c>
      <c r="Q58" s="53">
        <f>Q35-Q12</f>
        <v/>
      </c>
      <c r="R58" s="54">
        <f>RANK(Q58,Q$51:Q$68)</f>
        <v/>
      </c>
      <c r="S58" s="55">
        <f>S35-S12</f>
        <v/>
      </c>
      <c r="T58" s="54">
        <f>RANK(S58,S$51:S$68)</f>
        <v/>
      </c>
      <c r="U58" s="49">
        <f>U35-U12</f>
        <v/>
      </c>
      <c r="V58" s="47">
        <f>RANK(U58,U$51:U$68)</f>
        <v/>
      </c>
      <c r="W58" s="56" t="n"/>
      <c r="X58" s="53">
        <f>X35-X12</f>
        <v/>
      </c>
      <c r="Y58" s="54">
        <f>RANK(X58,X$51:X$68)</f>
        <v/>
      </c>
      <c r="Z58" s="53">
        <f>Z35-Z12</f>
        <v/>
      </c>
      <c r="AA58" s="54">
        <f>RANK(Z58,Z$51:Z$68)</f>
        <v/>
      </c>
      <c r="AB58" s="53">
        <f>AB35-AB12</f>
        <v/>
      </c>
      <c r="AC58" s="54">
        <f>RANK(AB58,AB$51:AB$68)</f>
        <v/>
      </c>
      <c r="AD58" s="53">
        <f>AD35-AD12</f>
        <v/>
      </c>
      <c r="AE58" s="54">
        <f>RANK(AD58,AD$51:AD$68)</f>
        <v/>
      </c>
      <c r="AF58" s="65">
        <f>AF35-AF12</f>
        <v/>
      </c>
      <c r="AG58" s="47">
        <f>RANK(AF58,AF$51:AF$68)</f>
        <v/>
      </c>
      <c r="AH58" s="56" t="n"/>
      <c r="AI58" s="53">
        <f>AI35-AI12</f>
        <v/>
      </c>
      <c r="AJ58" s="54">
        <f>RANK(AI58,AI$51:AI$68,1)</f>
        <v/>
      </c>
      <c r="AK58" s="53">
        <f>AK35-AK12</f>
        <v/>
      </c>
      <c r="AL58" s="54">
        <f>RANK(AK58,AK$51:AK$68,1)</f>
        <v/>
      </c>
      <c r="AM58" s="53">
        <f>AM35-AM12</f>
        <v/>
      </c>
      <c r="AN58" s="54">
        <f>RANK(AM58,AM$51:AM$68,1)</f>
        <v/>
      </c>
      <c r="AO58" s="55">
        <f>AO35-AO12</f>
        <v/>
      </c>
      <c r="AP58" s="54">
        <f>RANK(AO58,AO$51:AO$68,1)</f>
        <v/>
      </c>
      <c r="AQ58" s="65">
        <f>AQ35-AQ12</f>
        <v/>
      </c>
      <c r="AR58" s="47">
        <f>RANK(AQ58,AQ$51:AQ$68)</f>
        <v/>
      </c>
      <c r="AS58" s="56" t="n"/>
      <c r="AT58" s="46">
        <f>AT35-AT12</f>
        <v/>
      </c>
      <c r="AU58" s="47">
        <f>RANK(AT58,AT$51:AT$68,1)</f>
        <v/>
      </c>
      <c r="AV58" s="46">
        <f>AV35-AV12</f>
        <v/>
      </c>
      <c r="AW58" s="47">
        <f>RANK(AV58,AV$51:AV$68,1)</f>
        <v/>
      </c>
      <c r="AX58" s="46">
        <f>AX35-AX12</f>
        <v/>
      </c>
      <c r="AY58" s="47">
        <f>RANK(AX58,AX$51:AX$68,1)</f>
        <v/>
      </c>
      <c r="AZ58" s="46">
        <f>AZ35-AZ12</f>
        <v/>
      </c>
      <c r="BA58" s="47">
        <f>RANK(AZ58,AZ$51:AZ$68,1)</f>
        <v/>
      </c>
      <c r="BB58" s="46">
        <f>BB35-BB12</f>
        <v/>
      </c>
      <c r="BC58" s="47">
        <f>RANK(BB58,BB$51:BB$68)</f>
        <v/>
      </c>
      <c r="BD58" s="56" t="n"/>
      <c r="BE58" s="53">
        <f>BE35-BE12</f>
        <v/>
      </c>
      <c r="BF58" s="54">
        <f>RANK(BE58,BE$51:BE$68)</f>
        <v/>
      </c>
      <c r="BG58" s="53">
        <f>BG35-BG12</f>
        <v/>
      </c>
      <c r="BH58" s="54">
        <f>RANK(BG58,BG$51:BG$68,1)</f>
        <v/>
      </c>
      <c r="BI58" s="53">
        <f>BI35-BI12</f>
        <v/>
      </c>
      <c r="BJ58" s="54">
        <f>RANK(BI58,BI$51:BI$68)</f>
        <v/>
      </c>
      <c r="BK58" s="53">
        <f>BK35-BK12</f>
        <v/>
      </c>
      <c r="BL58" s="54">
        <f>RANK(BK58,BK$51:BK$68,1)</f>
        <v/>
      </c>
      <c r="BM58" s="53">
        <f>BM35-BM12</f>
        <v/>
      </c>
      <c r="BN58" s="54">
        <f>RANK(BM58,BM$51:BM$68)</f>
        <v/>
      </c>
      <c r="BO58" s="53">
        <f>BO35-BO12</f>
        <v/>
      </c>
      <c r="BP58" s="54">
        <f>RANK(BO58,BO$51:BO$68)</f>
        <v/>
      </c>
      <c r="BQ58" s="65">
        <f>BQ35-BQ12</f>
        <v/>
      </c>
      <c r="BR58" s="47">
        <f>RANK(BQ58,BQ$51:BQ$68)</f>
        <v/>
      </c>
      <c r="BS58" s="56" t="n"/>
      <c r="BT58" s="57">
        <f>BT35-BT12</f>
        <v/>
      </c>
      <c r="BU58" s="54">
        <f>RANK(BT58,BT$51:BT$68)</f>
        <v/>
      </c>
      <c r="BV58" s="57">
        <f>BV35-BV12</f>
        <v/>
      </c>
      <c r="BW58" s="54">
        <f>RANK(BV58,BV$51:BV$68)</f>
        <v/>
      </c>
      <c r="BX58" s="57">
        <f>BX35-BX12</f>
        <v/>
      </c>
      <c r="BY58" s="58">
        <f>RANK(BX58,BX$51:BX$68)</f>
        <v/>
      </c>
      <c r="BZ58" s="69" t="n"/>
    </row>
    <row r="59" ht="25" customHeight="1">
      <c r="A59" s="83" t="inlineStr">
        <is>
          <t>Greater Western Sydney</t>
        </is>
      </c>
      <c r="B59" s="53">
        <f>B36-B13</f>
        <v/>
      </c>
      <c r="C59" s="54">
        <f>RANK(B59,B$51:B$68)</f>
        <v/>
      </c>
      <c r="D59" s="55">
        <f>D36-D13</f>
        <v/>
      </c>
      <c r="E59" s="54">
        <f>RANK(D59,D$51:D$68)</f>
        <v/>
      </c>
      <c r="F59" s="55">
        <f>F36-F13</f>
        <v/>
      </c>
      <c r="G59" s="54">
        <f>RANK(F59,F$51:F$68)</f>
        <v/>
      </c>
      <c r="H59" s="55">
        <f>H36-H13</f>
        <v/>
      </c>
      <c r="I59" s="54">
        <f>RANK(H59,H$51:H$68)</f>
        <v/>
      </c>
      <c r="J59" s="49">
        <f>J36-J13</f>
        <v/>
      </c>
      <c r="K59" s="47">
        <f>RANK(J59,J$51:J$68)</f>
        <v/>
      </c>
      <c r="L59" s="56" t="n"/>
      <c r="M59" s="53">
        <f>M36-M13</f>
        <v/>
      </c>
      <c r="N59" s="54">
        <f>RANK(M59,M$51:M$68)</f>
        <v/>
      </c>
      <c r="O59" s="53">
        <f>O36-O13</f>
        <v/>
      </c>
      <c r="P59" s="54">
        <f>RANK(O59,O$51:O$68)</f>
        <v/>
      </c>
      <c r="Q59" s="53">
        <f>Q36-Q13</f>
        <v/>
      </c>
      <c r="R59" s="54">
        <f>RANK(Q59,Q$51:Q$68)</f>
        <v/>
      </c>
      <c r="S59" s="55">
        <f>S36-S13</f>
        <v/>
      </c>
      <c r="T59" s="54">
        <f>RANK(S59,S$51:S$68)</f>
        <v/>
      </c>
      <c r="U59" s="49">
        <f>U36-U13</f>
        <v/>
      </c>
      <c r="V59" s="47">
        <f>RANK(U59,U$51:U$68)</f>
        <v/>
      </c>
      <c r="W59" s="56" t="n"/>
      <c r="X59" s="53">
        <f>X36-X13</f>
        <v/>
      </c>
      <c r="Y59" s="54">
        <f>RANK(X59,X$51:X$68)</f>
        <v/>
      </c>
      <c r="Z59" s="53">
        <f>Z36-Z13</f>
        <v/>
      </c>
      <c r="AA59" s="54">
        <f>RANK(Z59,Z$51:Z$68)</f>
        <v/>
      </c>
      <c r="AB59" s="53">
        <f>AB36-AB13</f>
        <v/>
      </c>
      <c r="AC59" s="54">
        <f>RANK(AB59,AB$51:AB$68)</f>
        <v/>
      </c>
      <c r="AD59" s="53">
        <f>AD36-AD13</f>
        <v/>
      </c>
      <c r="AE59" s="54">
        <f>RANK(AD59,AD$51:AD$68)</f>
        <v/>
      </c>
      <c r="AF59" s="65">
        <f>AF36-AF13</f>
        <v/>
      </c>
      <c r="AG59" s="47">
        <f>RANK(AF59,AF$51:AF$68)</f>
        <v/>
      </c>
      <c r="AH59" s="56" t="n"/>
      <c r="AI59" s="53">
        <f>AI36-AI13</f>
        <v/>
      </c>
      <c r="AJ59" s="54">
        <f>RANK(AI59,AI$51:AI$68,1)</f>
        <v/>
      </c>
      <c r="AK59" s="53">
        <f>AK36-AK13</f>
        <v/>
      </c>
      <c r="AL59" s="54">
        <f>RANK(AK59,AK$51:AK$68,1)</f>
        <v/>
      </c>
      <c r="AM59" s="53">
        <f>AM36-AM13</f>
        <v/>
      </c>
      <c r="AN59" s="54">
        <f>RANK(AM59,AM$51:AM$68,1)</f>
        <v/>
      </c>
      <c r="AO59" s="55">
        <f>AO36-AO13</f>
        <v/>
      </c>
      <c r="AP59" s="54">
        <f>RANK(AO59,AO$51:AO$68,1)</f>
        <v/>
      </c>
      <c r="AQ59" s="65">
        <f>AQ36-AQ13</f>
        <v/>
      </c>
      <c r="AR59" s="47">
        <f>RANK(AQ59,AQ$51:AQ$68)</f>
        <v/>
      </c>
      <c r="AS59" s="56" t="n"/>
      <c r="AT59" s="46">
        <f>AT36-AT13</f>
        <v/>
      </c>
      <c r="AU59" s="47">
        <f>RANK(AT59,AT$51:AT$68,1)</f>
        <v/>
      </c>
      <c r="AV59" s="46">
        <f>AV36-AV13</f>
        <v/>
      </c>
      <c r="AW59" s="47">
        <f>RANK(AV59,AV$51:AV$68,1)</f>
        <v/>
      </c>
      <c r="AX59" s="46">
        <f>AX36-AX13</f>
        <v/>
      </c>
      <c r="AY59" s="47">
        <f>RANK(AX59,AX$51:AX$68,1)</f>
        <v/>
      </c>
      <c r="AZ59" s="46">
        <f>AZ36-AZ13</f>
        <v/>
      </c>
      <c r="BA59" s="47">
        <f>RANK(AZ59,AZ$51:AZ$68,1)</f>
        <v/>
      </c>
      <c r="BB59" s="46">
        <f>BB36-BB13</f>
        <v/>
      </c>
      <c r="BC59" s="47">
        <f>RANK(BB59,BB$51:BB$68)</f>
        <v/>
      </c>
      <c r="BD59" s="56" t="n"/>
      <c r="BE59" s="53">
        <f>BE36-BE13</f>
        <v/>
      </c>
      <c r="BF59" s="54">
        <f>RANK(BE59,BE$51:BE$68)</f>
        <v/>
      </c>
      <c r="BG59" s="53">
        <f>BG36-BG13</f>
        <v/>
      </c>
      <c r="BH59" s="54">
        <f>RANK(BG59,BG$51:BG$68,1)</f>
        <v/>
      </c>
      <c r="BI59" s="53">
        <f>BI36-BI13</f>
        <v/>
      </c>
      <c r="BJ59" s="54">
        <f>RANK(BI59,BI$51:BI$68)</f>
        <v/>
      </c>
      <c r="BK59" s="53">
        <f>BK36-BK13</f>
        <v/>
      </c>
      <c r="BL59" s="54">
        <f>RANK(BK59,BK$51:BK$68,1)</f>
        <v/>
      </c>
      <c r="BM59" s="53">
        <f>BM36-BM13</f>
        <v/>
      </c>
      <c r="BN59" s="54">
        <f>RANK(BM59,BM$51:BM$68)</f>
        <v/>
      </c>
      <c r="BO59" s="53">
        <f>BO36-BO13</f>
        <v/>
      </c>
      <c r="BP59" s="54">
        <f>RANK(BO59,BO$51:BO$68)</f>
        <v/>
      </c>
      <c r="BQ59" s="65">
        <f>BQ36-BQ13</f>
        <v/>
      </c>
      <c r="BR59" s="47">
        <f>RANK(BQ59,BQ$51:BQ$68)</f>
        <v/>
      </c>
      <c r="BS59" s="56" t="n"/>
      <c r="BT59" s="57">
        <f>BT36-BT13</f>
        <v/>
      </c>
      <c r="BU59" s="54">
        <f>RANK(BT59,BT$51:BT$68)</f>
        <v/>
      </c>
      <c r="BV59" s="57">
        <f>BV36-BV13</f>
        <v/>
      </c>
      <c r="BW59" s="54">
        <f>RANK(BV59,BV$51:BV$68)</f>
        <v/>
      </c>
      <c r="BX59" s="57">
        <f>BX36-BX13</f>
        <v/>
      </c>
      <c r="BY59" s="58">
        <f>RANK(BX59,BX$51:BX$68)</f>
        <v/>
      </c>
      <c r="BZ59" s="69" t="n"/>
    </row>
    <row r="60" ht="25" customHeight="1">
      <c r="A60" s="84" t="inlineStr">
        <is>
          <t>Hawthorn</t>
        </is>
      </c>
      <c r="B60" s="53">
        <f>B37-B14</f>
        <v/>
      </c>
      <c r="C60" s="54">
        <f>RANK(B60,B$51:B$68)</f>
        <v/>
      </c>
      <c r="D60" s="55">
        <f>D37-D14</f>
        <v/>
      </c>
      <c r="E60" s="54">
        <f>RANK(D60,D$51:D$68)</f>
        <v/>
      </c>
      <c r="F60" s="55">
        <f>F37-F14</f>
        <v/>
      </c>
      <c r="G60" s="54">
        <f>RANK(F60,F$51:F$68)</f>
        <v/>
      </c>
      <c r="H60" s="55">
        <f>H37-H14</f>
        <v/>
      </c>
      <c r="I60" s="54">
        <f>RANK(H60,H$51:H$68)</f>
        <v/>
      </c>
      <c r="J60" s="49">
        <f>J37-J14</f>
        <v/>
      </c>
      <c r="K60" s="47">
        <f>RANK(J60,J$51:J$68)</f>
        <v/>
      </c>
      <c r="L60" s="56" t="n"/>
      <c r="M60" s="53">
        <f>M37-M14</f>
        <v/>
      </c>
      <c r="N60" s="54">
        <f>RANK(M60,M$51:M$68)</f>
        <v/>
      </c>
      <c r="O60" s="53">
        <f>O37-O14</f>
        <v/>
      </c>
      <c r="P60" s="54">
        <f>RANK(O60,O$51:O$68)</f>
        <v/>
      </c>
      <c r="Q60" s="53">
        <f>Q37-Q14</f>
        <v/>
      </c>
      <c r="R60" s="54">
        <f>RANK(Q60,Q$51:Q$68)</f>
        <v/>
      </c>
      <c r="S60" s="55">
        <f>S37-S14</f>
        <v/>
      </c>
      <c r="T60" s="54">
        <f>RANK(S60,S$51:S$68)</f>
        <v/>
      </c>
      <c r="U60" s="49">
        <f>U37-U14</f>
        <v/>
      </c>
      <c r="V60" s="47">
        <f>RANK(U60,U$51:U$68)</f>
        <v/>
      </c>
      <c r="W60" s="56" t="n"/>
      <c r="X60" s="53">
        <f>X37-X14</f>
        <v/>
      </c>
      <c r="Y60" s="54">
        <f>RANK(X60,X$51:X$68)</f>
        <v/>
      </c>
      <c r="Z60" s="53">
        <f>Z37-Z14</f>
        <v/>
      </c>
      <c r="AA60" s="54">
        <f>RANK(Z60,Z$51:Z$68)</f>
        <v/>
      </c>
      <c r="AB60" s="53">
        <f>AB37-AB14</f>
        <v/>
      </c>
      <c r="AC60" s="54">
        <f>RANK(AB60,AB$51:AB$68)</f>
        <v/>
      </c>
      <c r="AD60" s="53">
        <f>AD37-AD14</f>
        <v/>
      </c>
      <c r="AE60" s="54">
        <f>RANK(AD60,AD$51:AD$68)</f>
        <v/>
      </c>
      <c r="AF60" s="65">
        <f>AF37-AF14</f>
        <v/>
      </c>
      <c r="AG60" s="47">
        <f>RANK(AF60,AF$51:AF$68)</f>
        <v/>
      </c>
      <c r="AH60" s="56" t="n"/>
      <c r="AI60" s="53">
        <f>AI37-AI14</f>
        <v/>
      </c>
      <c r="AJ60" s="54">
        <f>RANK(AI60,AI$51:AI$68,1)</f>
        <v/>
      </c>
      <c r="AK60" s="53">
        <f>AK37-AK14</f>
        <v/>
      </c>
      <c r="AL60" s="54">
        <f>RANK(AK60,AK$51:AK$68,1)</f>
        <v/>
      </c>
      <c r="AM60" s="53">
        <f>AM37-AM14</f>
        <v/>
      </c>
      <c r="AN60" s="54">
        <f>RANK(AM60,AM$51:AM$68,1)</f>
        <v/>
      </c>
      <c r="AO60" s="55">
        <f>AO37-AO14</f>
        <v/>
      </c>
      <c r="AP60" s="54">
        <f>RANK(AO60,AO$51:AO$68,1)</f>
        <v/>
      </c>
      <c r="AQ60" s="65">
        <f>AQ37-AQ14</f>
        <v/>
      </c>
      <c r="AR60" s="47">
        <f>RANK(AQ60,AQ$51:AQ$68)</f>
        <v/>
      </c>
      <c r="AS60" s="56" t="n"/>
      <c r="AT60" s="46">
        <f>AT37-AT14</f>
        <v/>
      </c>
      <c r="AU60" s="47">
        <f>RANK(AT60,AT$51:AT$68,1)</f>
        <v/>
      </c>
      <c r="AV60" s="46">
        <f>AV37-AV14</f>
        <v/>
      </c>
      <c r="AW60" s="47">
        <f>RANK(AV60,AV$51:AV$68,1)</f>
        <v/>
      </c>
      <c r="AX60" s="46">
        <f>AX37-AX14</f>
        <v/>
      </c>
      <c r="AY60" s="47">
        <f>RANK(AX60,AX$51:AX$68,1)</f>
        <v/>
      </c>
      <c r="AZ60" s="46">
        <f>AZ37-AZ14</f>
        <v/>
      </c>
      <c r="BA60" s="47">
        <f>RANK(AZ60,AZ$51:AZ$68,1)</f>
        <v/>
      </c>
      <c r="BB60" s="46">
        <f>BB37-BB14</f>
        <v/>
      </c>
      <c r="BC60" s="47">
        <f>RANK(BB60,BB$51:BB$68)</f>
        <v/>
      </c>
      <c r="BD60" s="56" t="n"/>
      <c r="BE60" s="53">
        <f>BE37-BE14</f>
        <v/>
      </c>
      <c r="BF60" s="54">
        <f>RANK(BE60,BE$51:BE$68)</f>
        <v/>
      </c>
      <c r="BG60" s="53">
        <f>BG37-BG14</f>
        <v/>
      </c>
      <c r="BH60" s="54">
        <f>RANK(BG60,BG$51:BG$68,1)</f>
        <v/>
      </c>
      <c r="BI60" s="53">
        <f>BI37-BI14</f>
        <v/>
      </c>
      <c r="BJ60" s="54">
        <f>RANK(BI60,BI$51:BI$68)</f>
        <v/>
      </c>
      <c r="BK60" s="53">
        <f>BK37-BK14</f>
        <v/>
      </c>
      <c r="BL60" s="54">
        <f>RANK(BK60,BK$51:BK$68,1)</f>
        <v/>
      </c>
      <c r="BM60" s="53">
        <f>BM37-BM14</f>
        <v/>
      </c>
      <c r="BN60" s="54">
        <f>RANK(BM60,BM$51:BM$68)</f>
        <v/>
      </c>
      <c r="BO60" s="53">
        <f>BO37-BO14</f>
        <v/>
      </c>
      <c r="BP60" s="54">
        <f>RANK(BO60,BO$51:BO$68)</f>
        <v/>
      </c>
      <c r="BQ60" s="65">
        <f>BQ37-BQ14</f>
        <v/>
      </c>
      <c r="BR60" s="47">
        <f>RANK(BQ60,BQ$51:BQ$68)</f>
        <v/>
      </c>
      <c r="BS60" s="56" t="n"/>
      <c r="BT60" s="57">
        <f>BT37-BT14</f>
        <v/>
      </c>
      <c r="BU60" s="54">
        <f>RANK(BT60,BT$51:BT$68)</f>
        <v/>
      </c>
      <c r="BV60" s="57">
        <f>BV37-BV14</f>
        <v/>
      </c>
      <c r="BW60" s="54">
        <f>RANK(BV60,BV$51:BV$68)</f>
        <v/>
      </c>
      <c r="BX60" s="57">
        <f>BX37-BX14</f>
        <v/>
      </c>
      <c r="BY60" s="58">
        <f>RANK(BX60,BX$51:BX$68)</f>
        <v/>
      </c>
      <c r="BZ60" s="69" t="n"/>
    </row>
    <row r="61" ht="25" customHeight="1">
      <c r="A61" s="85" t="inlineStr">
        <is>
          <t>Melbourne</t>
        </is>
      </c>
      <c r="B61" s="53">
        <f>B38-B15</f>
        <v/>
      </c>
      <c r="C61" s="54">
        <f>RANK(B61,B$51:B$68)</f>
        <v/>
      </c>
      <c r="D61" s="55">
        <f>D38-D15</f>
        <v/>
      </c>
      <c r="E61" s="54">
        <f>RANK(D61,D$51:D$68)</f>
        <v/>
      </c>
      <c r="F61" s="55">
        <f>F38-F15</f>
        <v/>
      </c>
      <c r="G61" s="54">
        <f>RANK(F61,F$51:F$68)</f>
        <v/>
      </c>
      <c r="H61" s="55">
        <f>H38-H15</f>
        <v/>
      </c>
      <c r="I61" s="54">
        <f>RANK(H61,H$51:H$68)</f>
        <v/>
      </c>
      <c r="J61" s="49">
        <f>J38-J15</f>
        <v/>
      </c>
      <c r="K61" s="47">
        <f>RANK(J61,J$51:J$68)</f>
        <v/>
      </c>
      <c r="L61" s="56" t="n"/>
      <c r="M61" s="53">
        <f>M38-M15</f>
        <v/>
      </c>
      <c r="N61" s="54">
        <f>RANK(M61,M$51:M$68)</f>
        <v/>
      </c>
      <c r="O61" s="53">
        <f>O38-O15</f>
        <v/>
      </c>
      <c r="P61" s="54">
        <f>RANK(O61,O$51:O$68)</f>
        <v/>
      </c>
      <c r="Q61" s="53">
        <f>Q38-Q15</f>
        <v/>
      </c>
      <c r="R61" s="54">
        <f>RANK(Q61,Q$51:Q$68)</f>
        <v/>
      </c>
      <c r="S61" s="55">
        <f>S38-S15</f>
        <v/>
      </c>
      <c r="T61" s="54">
        <f>RANK(S61,S$51:S$68)</f>
        <v/>
      </c>
      <c r="U61" s="49">
        <f>U38-U15</f>
        <v/>
      </c>
      <c r="V61" s="47">
        <f>RANK(U61,U$51:U$68)</f>
        <v/>
      </c>
      <c r="W61" s="56" t="n"/>
      <c r="X61" s="53">
        <f>X38-X15</f>
        <v/>
      </c>
      <c r="Y61" s="54">
        <f>RANK(X61,X$51:X$68)</f>
        <v/>
      </c>
      <c r="Z61" s="53">
        <f>Z38-Z15</f>
        <v/>
      </c>
      <c r="AA61" s="54">
        <f>RANK(Z61,Z$51:Z$68)</f>
        <v/>
      </c>
      <c r="AB61" s="53">
        <f>AB38-AB15</f>
        <v/>
      </c>
      <c r="AC61" s="54">
        <f>RANK(AB61,AB$51:AB$68)</f>
        <v/>
      </c>
      <c r="AD61" s="53">
        <f>AD38-AD15</f>
        <v/>
      </c>
      <c r="AE61" s="54">
        <f>RANK(AD61,AD$51:AD$68)</f>
        <v/>
      </c>
      <c r="AF61" s="65">
        <f>AF38-AF15</f>
        <v/>
      </c>
      <c r="AG61" s="47">
        <f>RANK(AF61,AF$51:AF$68)</f>
        <v/>
      </c>
      <c r="AH61" s="56" t="n"/>
      <c r="AI61" s="53">
        <f>AI38-AI15</f>
        <v/>
      </c>
      <c r="AJ61" s="54">
        <f>RANK(AI61,AI$51:AI$68,1)</f>
        <v/>
      </c>
      <c r="AK61" s="53">
        <f>AK38-AK15</f>
        <v/>
      </c>
      <c r="AL61" s="54">
        <f>RANK(AK61,AK$51:AK$68,1)</f>
        <v/>
      </c>
      <c r="AM61" s="53">
        <f>AM38-AM15</f>
        <v/>
      </c>
      <c r="AN61" s="54">
        <f>RANK(AM61,AM$51:AM$68,1)</f>
        <v/>
      </c>
      <c r="AO61" s="55">
        <f>AO38-AO15</f>
        <v/>
      </c>
      <c r="AP61" s="54">
        <f>RANK(AO61,AO$51:AO$68,1)</f>
        <v/>
      </c>
      <c r="AQ61" s="65">
        <f>AQ38-AQ15</f>
        <v/>
      </c>
      <c r="AR61" s="47">
        <f>RANK(AQ61,AQ$51:AQ$68)</f>
        <v/>
      </c>
      <c r="AS61" s="56" t="n"/>
      <c r="AT61" s="46">
        <f>AT38-AT15</f>
        <v/>
      </c>
      <c r="AU61" s="47">
        <f>RANK(AT61,AT$51:AT$68,1)</f>
        <v/>
      </c>
      <c r="AV61" s="46">
        <f>AV38-AV15</f>
        <v/>
      </c>
      <c r="AW61" s="47">
        <f>RANK(AV61,AV$51:AV$68,1)</f>
        <v/>
      </c>
      <c r="AX61" s="46">
        <f>AX38-AX15</f>
        <v/>
      </c>
      <c r="AY61" s="47">
        <f>RANK(AX61,AX$51:AX$68,1)</f>
        <v/>
      </c>
      <c r="AZ61" s="46">
        <f>AZ38-AZ15</f>
        <v/>
      </c>
      <c r="BA61" s="47">
        <f>RANK(AZ61,AZ$51:AZ$68,1)</f>
        <v/>
      </c>
      <c r="BB61" s="46">
        <f>BB38-BB15</f>
        <v/>
      </c>
      <c r="BC61" s="47">
        <f>RANK(BB61,BB$51:BB$68)</f>
        <v/>
      </c>
      <c r="BD61" s="56" t="n"/>
      <c r="BE61" s="53">
        <f>BE38-BE15</f>
        <v/>
      </c>
      <c r="BF61" s="54">
        <f>RANK(BE61,BE$51:BE$68)</f>
        <v/>
      </c>
      <c r="BG61" s="53">
        <f>BG38-BG15</f>
        <v/>
      </c>
      <c r="BH61" s="54">
        <f>RANK(BG61,BG$51:BG$68,1)</f>
        <v/>
      </c>
      <c r="BI61" s="53">
        <f>BI38-BI15</f>
        <v/>
      </c>
      <c r="BJ61" s="54">
        <f>RANK(BI61,BI$51:BI$68)</f>
        <v/>
      </c>
      <c r="BK61" s="53">
        <f>BK38-BK15</f>
        <v/>
      </c>
      <c r="BL61" s="54">
        <f>RANK(BK61,BK$51:BK$68,1)</f>
        <v/>
      </c>
      <c r="BM61" s="53">
        <f>BM38-BM15</f>
        <v/>
      </c>
      <c r="BN61" s="54">
        <f>RANK(BM61,BM$51:BM$68)</f>
        <v/>
      </c>
      <c r="BO61" s="53">
        <f>BO38-BO15</f>
        <v/>
      </c>
      <c r="BP61" s="54">
        <f>RANK(BO61,BO$51:BO$68)</f>
        <v/>
      </c>
      <c r="BQ61" s="65">
        <f>BQ38-BQ15</f>
        <v/>
      </c>
      <c r="BR61" s="47">
        <f>RANK(BQ61,BQ$51:BQ$68)</f>
        <v/>
      </c>
      <c r="BS61" s="56" t="n"/>
      <c r="BT61" s="57">
        <f>BT38-BT15</f>
        <v/>
      </c>
      <c r="BU61" s="54">
        <f>RANK(BT61,BT$51:BT$68)</f>
        <v/>
      </c>
      <c r="BV61" s="57">
        <f>BV38-BV15</f>
        <v/>
      </c>
      <c r="BW61" s="54">
        <f>RANK(BV61,BV$51:BV$68)</f>
        <v/>
      </c>
      <c r="BX61" s="57">
        <f>BX38-BX15</f>
        <v/>
      </c>
      <c r="BY61" s="58">
        <f>RANK(BX61,BX$51:BX$68)</f>
        <v/>
      </c>
      <c r="BZ61" s="69" t="n"/>
    </row>
    <row r="62" ht="25" customHeight="1">
      <c r="A62" s="86" t="inlineStr">
        <is>
          <t>North Melbourne</t>
        </is>
      </c>
      <c r="B62" s="53">
        <f>B39-B16</f>
        <v/>
      </c>
      <c r="C62" s="54">
        <f>RANK(B62,B$51:B$68)</f>
        <v/>
      </c>
      <c r="D62" s="55">
        <f>D39-D16</f>
        <v/>
      </c>
      <c r="E62" s="54">
        <f>RANK(D62,D$51:D$68)</f>
        <v/>
      </c>
      <c r="F62" s="55">
        <f>F39-F16</f>
        <v/>
      </c>
      <c r="G62" s="54">
        <f>RANK(F62,F$51:F$68)</f>
        <v/>
      </c>
      <c r="H62" s="55">
        <f>H39-H16</f>
        <v/>
      </c>
      <c r="I62" s="54">
        <f>RANK(H62,H$51:H$68)</f>
        <v/>
      </c>
      <c r="J62" s="49">
        <f>J39-J16</f>
        <v/>
      </c>
      <c r="K62" s="47">
        <f>RANK(J62,J$51:J$68)</f>
        <v/>
      </c>
      <c r="L62" s="56" t="n"/>
      <c r="M62" s="53">
        <f>M39-M16</f>
        <v/>
      </c>
      <c r="N62" s="54">
        <f>RANK(M62,M$51:M$68)</f>
        <v/>
      </c>
      <c r="O62" s="53">
        <f>O39-O16</f>
        <v/>
      </c>
      <c r="P62" s="54">
        <f>RANK(O62,O$51:O$68)</f>
        <v/>
      </c>
      <c r="Q62" s="53">
        <f>Q39-Q16</f>
        <v/>
      </c>
      <c r="R62" s="54">
        <f>RANK(Q62,Q$51:Q$68)</f>
        <v/>
      </c>
      <c r="S62" s="55">
        <f>S39-S16</f>
        <v/>
      </c>
      <c r="T62" s="54">
        <f>RANK(S62,S$51:S$68)</f>
        <v/>
      </c>
      <c r="U62" s="49">
        <f>U39-U16</f>
        <v/>
      </c>
      <c r="V62" s="47">
        <f>RANK(U62,U$51:U$68)</f>
        <v/>
      </c>
      <c r="W62" s="56" t="n"/>
      <c r="X62" s="53">
        <f>X39-X16</f>
        <v/>
      </c>
      <c r="Y62" s="54">
        <f>RANK(X62,X$51:X$68)</f>
        <v/>
      </c>
      <c r="Z62" s="53">
        <f>Z39-Z16</f>
        <v/>
      </c>
      <c r="AA62" s="54">
        <f>RANK(Z62,Z$51:Z$68)</f>
        <v/>
      </c>
      <c r="AB62" s="53">
        <f>AB39-AB16</f>
        <v/>
      </c>
      <c r="AC62" s="54">
        <f>RANK(AB62,AB$51:AB$68)</f>
        <v/>
      </c>
      <c r="AD62" s="53">
        <f>AD39-AD16</f>
        <v/>
      </c>
      <c r="AE62" s="54">
        <f>RANK(AD62,AD$51:AD$68)</f>
        <v/>
      </c>
      <c r="AF62" s="65">
        <f>AF39-AF16</f>
        <v/>
      </c>
      <c r="AG62" s="47">
        <f>RANK(AF62,AF$51:AF$68)</f>
        <v/>
      </c>
      <c r="AH62" s="56" t="n"/>
      <c r="AI62" s="53">
        <f>AI39-AI16</f>
        <v/>
      </c>
      <c r="AJ62" s="54">
        <f>RANK(AI62,AI$51:AI$68,1)</f>
        <v/>
      </c>
      <c r="AK62" s="53">
        <f>AK39-AK16</f>
        <v/>
      </c>
      <c r="AL62" s="54">
        <f>RANK(AK62,AK$51:AK$68,1)</f>
        <v/>
      </c>
      <c r="AM62" s="53">
        <f>AM39-AM16</f>
        <v/>
      </c>
      <c r="AN62" s="54">
        <f>RANK(AM62,AM$51:AM$68,1)</f>
        <v/>
      </c>
      <c r="AO62" s="55">
        <f>AO39-AO16</f>
        <v/>
      </c>
      <c r="AP62" s="54">
        <f>RANK(AO62,AO$51:AO$68,1)</f>
        <v/>
      </c>
      <c r="AQ62" s="65">
        <f>AQ39-AQ16</f>
        <v/>
      </c>
      <c r="AR62" s="47">
        <f>RANK(AQ62,AQ$51:AQ$68)</f>
        <v/>
      </c>
      <c r="AS62" s="56" t="n"/>
      <c r="AT62" s="46">
        <f>AT39-AT16</f>
        <v/>
      </c>
      <c r="AU62" s="47">
        <f>RANK(AT62,AT$51:AT$68,1)</f>
        <v/>
      </c>
      <c r="AV62" s="46">
        <f>AV39-AV16</f>
        <v/>
      </c>
      <c r="AW62" s="47">
        <f>RANK(AV62,AV$51:AV$68,1)</f>
        <v/>
      </c>
      <c r="AX62" s="46">
        <f>AX39-AX16</f>
        <v/>
      </c>
      <c r="AY62" s="47">
        <f>RANK(AX62,AX$51:AX$68,1)</f>
        <v/>
      </c>
      <c r="AZ62" s="46">
        <f>AZ39-AZ16</f>
        <v/>
      </c>
      <c r="BA62" s="47">
        <f>RANK(AZ62,AZ$51:AZ$68,1)</f>
        <v/>
      </c>
      <c r="BB62" s="46">
        <f>BB39-BB16</f>
        <v/>
      </c>
      <c r="BC62" s="47">
        <f>RANK(BB62,BB$51:BB$68)</f>
        <v/>
      </c>
      <c r="BD62" s="56" t="n"/>
      <c r="BE62" s="53">
        <f>BE39-BE16</f>
        <v/>
      </c>
      <c r="BF62" s="54">
        <f>RANK(BE62,BE$51:BE$68)</f>
        <v/>
      </c>
      <c r="BG62" s="53">
        <f>BG39-BG16</f>
        <v/>
      </c>
      <c r="BH62" s="54">
        <f>RANK(BG62,BG$51:BG$68,1)</f>
        <v/>
      </c>
      <c r="BI62" s="53">
        <f>BI39-BI16</f>
        <v/>
      </c>
      <c r="BJ62" s="54">
        <f>RANK(BI62,BI$51:BI$68)</f>
        <v/>
      </c>
      <c r="BK62" s="53">
        <f>BK39-BK16</f>
        <v/>
      </c>
      <c r="BL62" s="54">
        <f>RANK(BK62,BK$51:BK$68,1)</f>
        <v/>
      </c>
      <c r="BM62" s="53">
        <f>BM39-BM16</f>
        <v/>
      </c>
      <c r="BN62" s="54">
        <f>RANK(BM62,BM$51:BM$68)</f>
        <v/>
      </c>
      <c r="BO62" s="53">
        <f>BO39-BO16</f>
        <v/>
      </c>
      <c r="BP62" s="54">
        <f>RANK(BO62,BO$51:BO$68)</f>
        <v/>
      </c>
      <c r="BQ62" s="65">
        <f>BQ39-BQ16</f>
        <v/>
      </c>
      <c r="BR62" s="47">
        <f>RANK(BQ62,BQ$51:BQ$68)</f>
        <v/>
      </c>
      <c r="BS62" s="56" t="n"/>
      <c r="BT62" s="57">
        <f>BT39-BT16</f>
        <v/>
      </c>
      <c r="BU62" s="54">
        <f>RANK(BT62,BT$51:BT$68)</f>
        <v/>
      </c>
      <c r="BV62" s="57">
        <f>BV39-BV16</f>
        <v/>
      </c>
      <c r="BW62" s="54">
        <f>RANK(BV62,BV$51:BV$68)</f>
        <v/>
      </c>
      <c r="BX62" s="57">
        <f>BX39-BX16</f>
        <v/>
      </c>
      <c r="BY62" s="58">
        <f>RANK(BX62,BX$51:BX$68)</f>
        <v/>
      </c>
      <c r="BZ62" s="69" t="n"/>
    </row>
    <row r="63" ht="25" customHeight="1">
      <c r="A63" s="87" t="inlineStr">
        <is>
          <t>Port Adelaide</t>
        </is>
      </c>
      <c r="B63" s="53">
        <f>B40-B17</f>
        <v/>
      </c>
      <c r="C63" s="54">
        <f>RANK(B63,B$51:B$68)</f>
        <v/>
      </c>
      <c r="D63" s="55">
        <f>D40-D17</f>
        <v/>
      </c>
      <c r="E63" s="54">
        <f>RANK(D63,D$51:D$68)</f>
        <v/>
      </c>
      <c r="F63" s="55">
        <f>F40-F17</f>
        <v/>
      </c>
      <c r="G63" s="54">
        <f>RANK(F63,F$51:F$68)</f>
        <v/>
      </c>
      <c r="H63" s="55">
        <f>H40-H17</f>
        <v/>
      </c>
      <c r="I63" s="54">
        <f>RANK(H63,H$51:H$68)</f>
        <v/>
      </c>
      <c r="J63" s="49">
        <f>J40-J17</f>
        <v/>
      </c>
      <c r="K63" s="47">
        <f>RANK(J63,J$51:J$68)</f>
        <v/>
      </c>
      <c r="L63" s="56" t="n"/>
      <c r="M63" s="53">
        <f>M40-M17</f>
        <v/>
      </c>
      <c r="N63" s="54">
        <f>RANK(M63,M$51:M$68)</f>
        <v/>
      </c>
      <c r="O63" s="53">
        <f>O40-O17</f>
        <v/>
      </c>
      <c r="P63" s="54">
        <f>RANK(O63,O$51:O$68)</f>
        <v/>
      </c>
      <c r="Q63" s="53">
        <f>Q40-Q17</f>
        <v/>
      </c>
      <c r="R63" s="54">
        <f>RANK(Q63,Q$51:Q$68)</f>
        <v/>
      </c>
      <c r="S63" s="55">
        <f>S40-S17</f>
        <v/>
      </c>
      <c r="T63" s="54">
        <f>RANK(S63,S$51:S$68)</f>
        <v/>
      </c>
      <c r="U63" s="49">
        <f>U40-U17</f>
        <v/>
      </c>
      <c r="V63" s="47">
        <f>RANK(U63,U$51:U$68)</f>
        <v/>
      </c>
      <c r="W63" s="56" t="n"/>
      <c r="X63" s="53">
        <f>X40-X17</f>
        <v/>
      </c>
      <c r="Y63" s="54">
        <f>RANK(X63,X$51:X$68)</f>
        <v/>
      </c>
      <c r="Z63" s="53">
        <f>Z40-Z17</f>
        <v/>
      </c>
      <c r="AA63" s="54">
        <f>RANK(Z63,Z$51:Z$68)</f>
        <v/>
      </c>
      <c r="AB63" s="53">
        <f>AB40-AB17</f>
        <v/>
      </c>
      <c r="AC63" s="54">
        <f>RANK(AB63,AB$51:AB$68)</f>
        <v/>
      </c>
      <c r="AD63" s="53">
        <f>AD40-AD17</f>
        <v/>
      </c>
      <c r="AE63" s="54">
        <f>RANK(AD63,AD$51:AD$68)</f>
        <v/>
      </c>
      <c r="AF63" s="65">
        <f>AF40-AF17</f>
        <v/>
      </c>
      <c r="AG63" s="47">
        <f>RANK(AF63,AF$51:AF$68)</f>
        <v/>
      </c>
      <c r="AH63" s="56" t="n"/>
      <c r="AI63" s="53">
        <f>AI40-AI17</f>
        <v/>
      </c>
      <c r="AJ63" s="54">
        <f>RANK(AI63,AI$51:AI$68,1)</f>
        <v/>
      </c>
      <c r="AK63" s="53">
        <f>AK40-AK17</f>
        <v/>
      </c>
      <c r="AL63" s="54">
        <f>RANK(AK63,AK$51:AK$68,1)</f>
        <v/>
      </c>
      <c r="AM63" s="53">
        <f>AM40-AM17</f>
        <v/>
      </c>
      <c r="AN63" s="54">
        <f>RANK(AM63,AM$51:AM$68,1)</f>
        <v/>
      </c>
      <c r="AO63" s="55">
        <f>AO40-AO17</f>
        <v/>
      </c>
      <c r="AP63" s="54">
        <f>RANK(AO63,AO$51:AO$68,1)</f>
        <v/>
      </c>
      <c r="AQ63" s="65">
        <f>AQ40-AQ17</f>
        <v/>
      </c>
      <c r="AR63" s="47">
        <f>RANK(AQ63,AQ$51:AQ$68)</f>
        <v/>
      </c>
      <c r="AS63" s="56" t="n"/>
      <c r="AT63" s="46">
        <f>AT40-AT17</f>
        <v/>
      </c>
      <c r="AU63" s="47">
        <f>RANK(AT63,AT$51:AT$68,1)</f>
        <v/>
      </c>
      <c r="AV63" s="46">
        <f>AV40-AV17</f>
        <v/>
      </c>
      <c r="AW63" s="47">
        <f>RANK(AV63,AV$51:AV$68,1)</f>
        <v/>
      </c>
      <c r="AX63" s="46">
        <f>AX40-AX17</f>
        <v/>
      </c>
      <c r="AY63" s="47">
        <f>RANK(AX63,AX$51:AX$68,1)</f>
        <v/>
      </c>
      <c r="AZ63" s="46">
        <f>AZ40-AZ17</f>
        <v/>
      </c>
      <c r="BA63" s="47">
        <f>RANK(AZ63,AZ$51:AZ$68,1)</f>
        <v/>
      </c>
      <c r="BB63" s="46">
        <f>BB40-BB17</f>
        <v/>
      </c>
      <c r="BC63" s="47">
        <f>RANK(BB63,BB$51:BB$68)</f>
        <v/>
      </c>
      <c r="BD63" s="56" t="n"/>
      <c r="BE63" s="53">
        <f>BE40-BE17</f>
        <v/>
      </c>
      <c r="BF63" s="54">
        <f>RANK(BE63,BE$51:BE$68)</f>
        <v/>
      </c>
      <c r="BG63" s="53">
        <f>BG40-BG17</f>
        <v/>
      </c>
      <c r="BH63" s="54">
        <f>RANK(BG63,BG$51:BG$68,1)</f>
        <v/>
      </c>
      <c r="BI63" s="53">
        <f>BI40-BI17</f>
        <v/>
      </c>
      <c r="BJ63" s="54">
        <f>RANK(BI63,BI$51:BI$68)</f>
        <v/>
      </c>
      <c r="BK63" s="53">
        <f>BK40-BK17</f>
        <v/>
      </c>
      <c r="BL63" s="54">
        <f>RANK(BK63,BK$51:BK$68,1)</f>
        <v/>
      </c>
      <c r="BM63" s="53">
        <f>BM40-BM17</f>
        <v/>
      </c>
      <c r="BN63" s="54">
        <f>RANK(BM63,BM$51:BM$68)</f>
        <v/>
      </c>
      <c r="BO63" s="53">
        <f>BO40-BO17</f>
        <v/>
      </c>
      <c r="BP63" s="54">
        <f>RANK(BO63,BO$51:BO$68)</f>
        <v/>
      </c>
      <c r="BQ63" s="65">
        <f>BQ40-BQ17</f>
        <v/>
      </c>
      <c r="BR63" s="47">
        <f>RANK(BQ63,BQ$51:BQ$68)</f>
        <v/>
      </c>
      <c r="BS63" s="56" t="n"/>
      <c r="BT63" s="57">
        <f>BT40-BT17</f>
        <v/>
      </c>
      <c r="BU63" s="54">
        <f>RANK(BT63,BT$51:BT$68)</f>
        <v/>
      </c>
      <c r="BV63" s="57">
        <f>BV40-BV17</f>
        <v/>
      </c>
      <c r="BW63" s="54">
        <f>RANK(BV63,BV$51:BV$68)</f>
        <v/>
      </c>
      <c r="BX63" s="57">
        <f>BX40-BX17</f>
        <v/>
      </c>
      <c r="BY63" s="58">
        <f>RANK(BX63,BX$51:BX$68)</f>
        <v/>
      </c>
      <c r="BZ63" s="69" t="n"/>
    </row>
    <row r="64" ht="25" customHeight="1">
      <c r="A64" s="88" t="inlineStr">
        <is>
          <t>Richmond</t>
        </is>
      </c>
      <c r="B64" s="53">
        <f>B41-B18</f>
        <v/>
      </c>
      <c r="C64" s="54">
        <f>RANK(B64,B$51:B$68)</f>
        <v/>
      </c>
      <c r="D64" s="55">
        <f>D41-D18</f>
        <v/>
      </c>
      <c r="E64" s="54">
        <f>RANK(D64,D$51:D$68)</f>
        <v/>
      </c>
      <c r="F64" s="55">
        <f>F41-F18</f>
        <v/>
      </c>
      <c r="G64" s="54">
        <f>RANK(F64,F$51:F$68)</f>
        <v/>
      </c>
      <c r="H64" s="55">
        <f>H41-H18</f>
        <v/>
      </c>
      <c r="I64" s="54">
        <f>RANK(H64,H$51:H$68)</f>
        <v/>
      </c>
      <c r="J64" s="49">
        <f>J41-J18</f>
        <v/>
      </c>
      <c r="K64" s="47">
        <f>RANK(J64,J$51:J$68)</f>
        <v/>
      </c>
      <c r="L64" s="56" t="n"/>
      <c r="M64" s="53">
        <f>M41-M18</f>
        <v/>
      </c>
      <c r="N64" s="54">
        <f>RANK(M64,M$51:M$68)</f>
        <v/>
      </c>
      <c r="O64" s="53">
        <f>O41-O18</f>
        <v/>
      </c>
      <c r="P64" s="54">
        <f>RANK(O64,O$51:O$68)</f>
        <v/>
      </c>
      <c r="Q64" s="53">
        <f>Q41-Q18</f>
        <v/>
      </c>
      <c r="R64" s="54">
        <f>RANK(Q64,Q$51:Q$68)</f>
        <v/>
      </c>
      <c r="S64" s="55">
        <f>S41-S18</f>
        <v/>
      </c>
      <c r="T64" s="54">
        <f>RANK(S64,S$51:S$68)</f>
        <v/>
      </c>
      <c r="U64" s="49">
        <f>U41-U18</f>
        <v/>
      </c>
      <c r="V64" s="47">
        <f>RANK(U64,U$51:U$68)</f>
        <v/>
      </c>
      <c r="W64" s="56" t="n"/>
      <c r="X64" s="53">
        <f>X41-X18</f>
        <v/>
      </c>
      <c r="Y64" s="54">
        <f>RANK(X64,X$51:X$68)</f>
        <v/>
      </c>
      <c r="Z64" s="53">
        <f>Z41-Z18</f>
        <v/>
      </c>
      <c r="AA64" s="54">
        <f>RANK(Z64,Z$51:Z$68)</f>
        <v/>
      </c>
      <c r="AB64" s="53">
        <f>AB41-AB18</f>
        <v/>
      </c>
      <c r="AC64" s="54">
        <f>RANK(AB64,AB$51:AB$68)</f>
        <v/>
      </c>
      <c r="AD64" s="53">
        <f>AD41-AD18</f>
        <v/>
      </c>
      <c r="AE64" s="54">
        <f>RANK(AD64,AD$51:AD$68)</f>
        <v/>
      </c>
      <c r="AF64" s="65">
        <f>AF41-AF18</f>
        <v/>
      </c>
      <c r="AG64" s="47">
        <f>RANK(AF64,AF$51:AF$68)</f>
        <v/>
      </c>
      <c r="AH64" s="56" t="n"/>
      <c r="AI64" s="53">
        <f>AI41-AI18</f>
        <v/>
      </c>
      <c r="AJ64" s="54">
        <f>RANK(AI64,AI$51:AI$68,1)</f>
        <v/>
      </c>
      <c r="AK64" s="53">
        <f>AK41-AK18</f>
        <v/>
      </c>
      <c r="AL64" s="54">
        <f>RANK(AK64,AK$51:AK$68,1)</f>
        <v/>
      </c>
      <c r="AM64" s="53">
        <f>AM41-AM18</f>
        <v/>
      </c>
      <c r="AN64" s="54">
        <f>RANK(AM64,AM$51:AM$68,1)</f>
        <v/>
      </c>
      <c r="AO64" s="55">
        <f>AO41-AO18</f>
        <v/>
      </c>
      <c r="AP64" s="54">
        <f>RANK(AO64,AO$51:AO$68,1)</f>
        <v/>
      </c>
      <c r="AQ64" s="65">
        <f>AQ41-AQ18</f>
        <v/>
      </c>
      <c r="AR64" s="47">
        <f>RANK(AQ64,AQ$51:AQ$68)</f>
        <v/>
      </c>
      <c r="AS64" s="56" t="n"/>
      <c r="AT64" s="46">
        <f>AT41-AT18</f>
        <v/>
      </c>
      <c r="AU64" s="47">
        <f>RANK(AT64,AT$51:AT$68,1)</f>
        <v/>
      </c>
      <c r="AV64" s="46">
        <f>AV41-AV18</f>
        <v/>
      </c>
      <c r="AW64" s="47">
        <f>RANK(AV64,AV$51:AV$68,1)</f>
        <v/>
      </c>
      <c r="AX64" s="46">
        <f>AX41-AX18</f>
        <v/>
      </c>
      <c r="AY64" s="47">
        <f>RANK(AX64,AX$51:AX$68,1)</f>
        <v/>
      </c>
      <c r="AZ64" s="46">
        <f>AZ41-AZ18</f>
        <v/>
      </c>
      <c r="BA64" s="47">
        <f>RANK(AZ64,AZ$51:AZ$68,1)</f>
        <v/>
      </c>
      <c r="BB64" s="46">
        <f>BB41-BB18</f>
        <v/>
      </c>
      <c r="BC64" s="47">
        <f>RANK(BB64,BB$51:BB$68)</f>
        <v/>
      </c>
      <c r="BD64" s="56" t="n"/>
      <c r="BE64" s="53">
        <f>BE41-BE18</f>
        <v/>
      </c>
      <c r="BF64" s="54">
        <f>RANK(BE64,BE$51:BE$68)</f>
        <v/>
      </c>
      <c r="BG64" s="53">
        <f>BG41-BG18</f>
        <v/>
      </c>
      <c r="BH64" s="54">
        <f>RANK(BG64,BG$51:BG$68,1)</f>
        <v/>
      </c>
      <c r="BI64" s="53">
        <f>BI41-BI18</f>
        <v/>
      </c>
      <c r="BJ64" s="54">
        <f>RANK(BI64,BI$51:BI$68)</f>
        <v/>
      </c>
      <c r="BK64" s="53">
        <f>BK41-BK18</f>
        <v/>
      </c>
      <c r="BL64" s="54">
        <f>RANK(BK64,BK$51:BK$68,1)</f>
        <v/>
      </c>
      <c r="BM64" s="53">
        <f>BM41-BM18</f>
        <v/>
      </c>
      <c r="BN64" s="54">
        <f>RANK(BM64,BM$51:BM$68)</f>
        <v/>
      </c>
      <c r="BO64" s="53">
        <f>BO41-BO18</f>
        <v/>
      </c>
      <c r="BP64" s="54">
        <f>RANK(BO64,BO$51:BO$68)</f>
        <v/>
      </c>
      <c r="BQ64" s="65">
        <f>BQ41-BQ18</f>
        <v/>
      </c>
      <c r="BR64" s="47">
        <f>RANK(BQ64,BQ$51:BQ$68)</f>
        <v/>
      </c>
      <c r="BS64" s="56" t="n"/>
      <c r="BT64" s="57">
        <f>BT41-BT18</f>
        <v/>
      </c>
      <c r="BU64" s="54">
        <f>RANK(BT64,BT$51:BT$68)</f>
        <v/>
      </c>
      <c r="BV64" s="57">
        <f>BV41-BV18</f>
        <v/>
      </c>
      <c r="BW64" s="54">
        <f>RANK(BV64,BV$51:BV$68)</f>
        <v/>
      </c>
      <c r="BX64" s="57">
        <f>BX41-BX18</f>
        <v/>
      </c>
      <c r="BY64" s="58">
        <f>RANK(BX64,BX$51:BX$68)</f>
        <v/>
      </c>
      <c r="BZ64" s="69" t="n"/>
    </row>
    <row r="65" ht="25" customHeight="1">
      <c r="A65" s="89" t="inlineStr">
        <is>
          <t>St Kilda</t>
        </is>
      </c>
      <c r="B65" s="53">
        <f>B42-B19</f>
        <v/>
      </c>
      <c r="C65" s="54">
        <f>RANK(B65,B$51:B$68)</f>
        <v/>
      </c>
      <c r="D65" s="55">
        <f>D42-D19</f>
        <v/>
      </c>
      <c r="E65" s="54">
        <f>RANK(D65,D$51:D$68)</f>
        <v/>
      </c>
      <c r="F65" s="55">
        <f>F42-F19</f>
        <v/>
      </c>
      <c r="G65" s="54">
        <f>RANK(F65,F$51:F$68)</f>
        <v/>
      </c>
      <c r="H65" s="55">
        <f>H42-H19</f>
        <v/>
      </c>
      <c r="I65" s="54">
        <f>RANK(H65,H$51:H$68)</f>
        <v/>
      </c>
      <c r="J65" s="49">
        <f>J42-J19</f>
        <v/>
      </c>
      <c r="K65" s="47">
        <f>RANK(J65,J$51:J$68)</f>
        <v/>
      </c>
      <c r="L65" s="56" t="n"/>
      <c r="M65" s="53">
        <f>M42-M19</f>
        <v/>
      </c>
      <c r="N65" s="54">
        <f>RANK(M65,M$51:M$68)</f>
        <v/>
      </c>
      <c r="O65" s="53">
        <f>O42-O19</f>
        <v/>
      </c>
      <c r="P65" s="54">
        <f>RANK(O65,O$51:O$68)</f>
        <v/>
      </c>
      <c r="Q65" s="53">
        <f>Q42-Q19</f>
        <v/>
      </c>
      <c r="R65" s="54">
        <f>RANK(Q65,Q$51:Q$68)</f>
        <v/>
      </c>
      <c r="S65" s="55">
        <f>S42-S19</f>
        <v/>
      </c>
      <c r="T65" s="54">
        <f>RANK(S65,S$51:S$68)</f>
        <v/>
      </c>
      <c r="U65" s="49">
        <f>U42-U19</f>
        <v/>
      </c>
      <c r="V65" s="47">
        <f>RANK(U65,U$51:U$68)</f>
        <v/>
      </c>
      <c r="W65" s="56" t="n"/>
      <c r="X65" s="53">
        <f>X42-X19</f>
        <v/>
      </c>
      <c r="Y65" s="54">
        <f>RANK(X65,X$51:X$68)</f>
        <v/>
      </c>
      <c r="Z65" s="53">
        <f>Z42-Z19</f>
        <v/>
      </c>
      <c r="AA65" s="54">
        <f>RANK(Z65,Z$51:Z$68)</f>
        <v/>
      </c>
      <c r="AB65" s="53">
        <f>AB42-AB19</f>
        <v/>
      </c>
      <c r="AC65" s="54">
        <f>RANK(AB65,AB$51:AB$68)</f>
        <v/>
      </c>
      <c r="AD65" s="53">
        <f>AD42-AD19</f>
        <v/>
      </c>
      <c r="AE65" s="54">
        <f>RANK(AD65,AD$51:AD$68)</f>
        <v/>
      </c>
      <c r="AF65" s="65">
        <f>AF42-AF19</f>
        <v/>
      </c>
      <c r="AG65" s="47">
        <f>RANK(AF65,AF$51:AF$68)</f>
        <v/>
      </c>
      <c r="AH65" s="56" t="n"/>
      <c r="AI65" s="53">
        <f>AI42-AI19</f>
        <v/>
      </c>
      <c r="AJ65" s="54">
        <f>RANK(AI65,AI$51:AI$68,1)</f>
        <v/>
      </c>
      <c r="AK65" s="53">
        <f>AK42-AK19</f>
        <v/>
      </c>
      <c r="AL65" s="54">
        <f>RANK(AK65,AK$51:AK$68,1)</f>
        <v/>
      </c>
      <c r="AM65" s="53">
        <f>AM42-AM19</f>
        <v/>
      </c>
      <c r="AN65" s="54">
        <f>RANK(AM65,AM$51:AM$68,1)</f>
        <v/>
      </c>
      <c r="AO65" s="55">
        <f>AO42-AO19</f>
        <v/>
      </c>
      <c r="AP65" s="54">
        <f>RANK(AO65,AO$51:AO$68,1)</f>
        <v/>
      </c>
      <c r="AQ65" s="65">
        <f>AQ42-AQ19</f>
        <v/>
      </c>
      <c r="AR65" s="47">
        <f>RANK(AQ65,AQ$51:AQ$68)</f>
        <v/>
      </c>
      <c r="AS65" s="56" t="n"/>
      <c r="AT65" s="46">
        <f>AT42-AT19</f>
        <v/>
      </c>
      <c r="AU65" s="47">
        <f>RANK(AT65,AT$51:AT$68,1)</f>
        <v/>
      </c>
      <c r="AV65" s="46">
        <f>AV42-AV19</f>
        <v/>
      </c>
      <c r="AW65" s="47">
        <f>RANK(AV65,AV$51:AV$68,1)</f>
        <v/>
      </c>
      <c r="AX65" s="46">
        <f>AX42-AX19</f>
        <v/>
      </c>
      <c r="AY65" s="47">
        <f>RANK(AX65,AX$51:AX$68,1)</f>
        <v/>
      </c>
      <c r="AZ65" s="46">
        <f>AZ42-AZ19</f>
        <v/>
      </c>
      <c r="BA65" s="47">
        <f>RANK(AZ65,AZ$51:AZ$68,1)</f>
        <v/>
      </c>
      <c r="BB65" s="46">
        <f>BB42-BB19</f>
        <v/>
      </c>
      <c r="BC65" s="47">
        <f>RANK(BB65,BB$51:BB$68)</f>
        <v/>
      </c>
      <c r="BD65" s="56" t="n"/>
      <c r="BE65" s="53">
        <f>BE42-BE19</f>
        <v/>
      </c>
      <c r="BF65" s="54">
        <f>RANK(BE65,BE$51:BE$68)</f>
        <v/>
      </c>
      <c r="BG65" s="53">
        <f>BG42-BG19</f>
        <v/>
      </c>
      <c r="BH65" s="54">
        <f>RANK(BG65,BG$51:BG$68,1)</f>
        <v/>
      </c>
      <c r="BI65" s="53">
        <f>BI42-BI19</f>
        <v/>
      </c>
      <c r="BJ65" s="54">
        <f>RANK(BI65,BI$51:BI$68)</f>
        <v/>
      </c>
      <c r="BK65" s="53">
        <f>BK42-BK19</f>
        <v/>
      </c>
      <c r="BL65" s="54">
        <f>RANK(BK65,BK$51:BK$68,1)</f>
        <v/>
      </c>
      <c r="BM65" s="53">
        <f>BM42-BM19</f>
        <v/>
      </c>
      <c r="BN65" s="54">
        <f>RANK(BM65,BM$51:BM$68)</f>
        <v/>
      </c>
      <c r="BO65" s="53">
        <f>BO42-BO19</f>
        <v/>
      </c>
      <c r="BP65" s="54">
        <f>RANK(BO65,BO$51:BO$68)</f>
        <v/>
      </c>
      <c r="BQ65" s="65">
        <f>BQ42-BQ19</f>
        <v/>
      </c>
      <c r="BR65" s="47">
        <f>RANK(BQ65,BQ$51:BQ$68)</f>
        <v/>
      </c>
      <c r="BS65" s="56" t="n"/>
      <c r="BT65" s="57">
        <f>BT42-BT19</f>
        <v/>
      </c>
      <c r="BU65" s="54">
        <f>RANK(BT65,BT$51:BT$68)</f>
        <v/>
      </c>
      <c r="BV65" s="57">
        <f>BV42-BV19</f>
        <v/>
      </c>
      <c r="BW65" s="54">
        <f>RANK(BV65,BV$51:BV$68)</f>
        <v/>
      </c>
      <c r="BX65" s="57">
        <f>BX42-BX19</f>
        <v/>
      </c>
      <c r="BY65" s="58">
        <f>RANK(BX65,BX$51:BX$68)</f>
        <v/>
      </c>
      <c r="BZ65" s="69" t="n"/>
    </row>
    <row r="66" ht="25" customHeight="1">
      <c r="A66" s="90" t="inlineStr">
        <is>
          <t>Sydney</t>
        </is>
      </c>
      <c r="B66" s="53">
        <f>B43-B20</f>
        <v/>
      </c>
      <c r="C66" s="54">
        <f>RANK(B66,B$51:B$68)</f>
        <v/>
      </c>
      <c r="D66" s="55">
        <f>D43-D20</f>
        <v/>
      </c>
      <c r="E66" s="54">
        <f>RANK(D66,D$51:D$68)</f>
        <v/>
      </c>
      <c r="F66" s="55">
        <f>F43-F20</f>
        <v/>
      </c>
      <c r="G66" s="54">
        <f>RANK(F66,F$51:F$68)</f>
        <v/>
      </c>
      <c r="H66" s="55">
        <f>H43-H20</f>
        <v/>
      </c>
      <c r="I66" s="54">
        <f>RANK(H66,H$51:H$68)</f>
        <v/>
      </c>
      <c r="J66" s="49">
        <f>J43-J20</f>
        <v/>
      </c>
      <c r="K66" s="47">
        <f>RANK(J66,J$51:J$68)</f>
        <v/>
      </c>
      <c r="L66" s="56" t="n"/>
      <c r="M66" s="53">
        <f>M43-M20</f>
        <v/>
      </c>
      <c r="N66" s="54">
        <f>RANK(M66,M$51:M$68)</f>
        <v/>
      </c>
      <c r="O66" s="53">
        <f>O43-O20</f>
        <v/>
      </c>
      <c r="P66" s="54">
        <f>RANK(O66,O$51:O$68)</f>
        <v/>
      </c>
      <c r="Q66" s="53">
        <f>Q43-Q20</f>
        <v/>
      </c>
      <c r="R66" s="54">
        <f>RANK(Q66,Q$51:Q$68)</f>
        <v/>
      </c>
      <c r="S66" s="55">
        <f>S43-S20</f>
        <v/>
      </c>
      <c r="T66" s="54">
        <f>RANK(S66,S$51:S$68)</f>
        <v/>
      </c>
      <c r="U66" s="49">
        <f>U43-U20</f>
        <v/>
      </c>
      <c r="V66" s="47">
        <f>RANK(U66,U$51:U$68)</f>
        <v/>
      </c>
      <c r="W66" s="56" t="n"/>
      <c r="X66" s="53">
        <f>X43-X20</f>
        <v/>
      </c>
      <c r="Y66" s="54">
        <f>RANK(X66,X$51:X$68)</f>
        <v/>
      </c>
      <c r="Z66" s="53">
        <f>Z43-Z20</f>
        <v/>
      </c>
      <c r="AA66" s="54">
        <f>RANK(Z66,Z$51:Z$68)</f>
        <v/>
      </c>
      <c r="AB66" s="53">
        <f>AB43-AB20</f>
        <v/>
      </c>
      <c r="AC66" s="54">
        <f>RANK(AB66,AB$51:AB$68)</f>
        <v/>
      </c>
      <c r="AD66" s="53">
        <f>AD43-AD20</f>
        <v/>
      </c>
      <c r="AE66" s="54">
        <f>RANK(AD66,AD$51:AD$68)</f>
        <v/>
      </c>
      <c r="AF66" s="65">
        <f>AF43-AF20</f>
        <v/>
      </c>
      <c r="AG66" s="47">
        <f>RANK(AF66,AF$51:AF$68)</f>
        <v/>
      </c>
      <c r="AH66" s="56" t="n"/>
      <c r="AI66" s="53">
        <f>AI43-AI20</f>
        <v/>
      </c>
      <c r="AJ66" s="54">
        <f>RANK(AI66,AI$51:AI$68,1)</f>
        <v/>
      </c>
      <c r="AK66" s="53">
        <f>AK43-AK20</f>
        <v/>
      </c>
      <c r="AL66" s="54">
        <f>RANK(AK66,AK$51:AK$68,1)</f>
        <v/>
      </c>
      <c r="AM66" s="53">
        <f>AM43-AM20</f>
        <v/>
      </c>
      <c r="AN66" s="54">
        <f>RANK(AM66,AM$51:AM$68,1)</f>
        <v/>
      </c>
      <c r="AO66" s="55">
        <f>AO43-AO20</f>
        <v/>
      </c>
      <c r="AP66" s="54">
        <f>RANK(AO66,AO$51:AO$68,1)</f>
        <v/>
      </c>
      <c r="AQ66" s="65">
        <f>AQ43-AQ20</f>
        <v/>
      </c>
      <c r="AR66" s="47">
        <f>RANK(AQ66,AQ$51:AQ$68)</f>
        <v/>
      </c>
      <c r="AS66" s="56" t="n"/>
      <c r="AT66" s="46">
        <f>AT43-AT20</f>
        <v/>
      </c>
      <c r="AU66" s="47">
        <f>RANK(AT66,AT$51:AT$68,1)</f>
        <v/>
      </c>
      <c r="AV66" s="46">
        <f>AV43-AV20</f>
        <v/>
      </c>
      <c r="AW66" s="47">
        <f>RANK(AV66,AV$51:AV$68,1)</f>
        <v/>
      </c>
      <c r="AX66" s="46">
        <f>AX43-AX20</f>
        <v/>
      </c>
      <c r="AY66" s="47">
        <f>RANK(AX66,AX$51:AX$68,1)</f>
        <v/>
      </c>
      <c r="AZ66" s="46">
        <f>AZ43-AZ20</f>
        <v/>
      </c>
      <c r="BA66" s="47">
        <f>RANK(AZ66,AZ$51:AZ$68,1)</f>
        <v/>
      </c>
      <c r="BB66" s="46">
        <f>BB43-BB20</f>
        <v/>
      </c>
      <c r="BC66" s="47">
        <f>RANK(BB66,BB$51:BB$68)</f>
        <v/>
      </c>
      <c r="BD66" s="56" t="n"/>
      <c r="BE66" s="53">
        <f>BE43-BE20</f>
        <v/>
      </c>
      <c r="BF66" s="54">
        <f>RANK(BE66,BE$51:BE$68)</f>
        <v/>
      </c>
      <c r="BG66" s="53">
        <f>BG43-BG20</f>
        <v/>
      </c>
      <c r="BH66" s="54">
        <f>RANK(BG66,BG$51:BG$68,1)</f>
        <v/>
      </c>
      <c r="BI66" s="53">
        <f>BI43-BI20</f>
        <v/>
      </c>
      <c r="BJ66" s="54">
        <f>RANK(BI66,BI$51:BI$68)</f>
        <v/>
      </c>
      <c r="BK66" s="53">
        <f>BK43-BK20</f>
        <v/>
      </c>
      <c r="BL66" s="54">
        <f>RANK(BK66,BK$51:BK$68,1)</f>
        <v/>
      </c>
      <c r="BM66" s="53">
        <f>BM43-BM20</f>
        <v/>
      </c>
      <c r="BN66" s="54">
        <f>RANK(BM66,BM$51:BM$68)</f>
        <v/>
      </c>
      <c r="BO66" s="53">
        <f>BO43-BO20</f>
        <v/>
      </c>
      <c r="BP66" s="54">
        <f>RANK(BO66,BO$51:BO$68)</f>
        <v/>
      </c>
      <c r="BQ66" s="65">
        <f>BQ43-BQ20</f>
        <v/>
      </c>
      <c r="BR66" s="47">
        <f>RANK(BQ66,BQ$51:BQ$68)</f>
        <v/>
      </c>
      <c r="BS66" s="56" t="n"/>
      <c r="BT66" s="57">
        <f>BT43-BT20</f>
        <v/>
      </c>
      <c r="BU66" s="54">
        <f>RANK(BT66,BT$51:BT$68)</f>
        <v/>
      </c>
      <c r="BV66" s="57">
        <f>BV43-BV20</f>
        <v/>
      </c>
      <c r="BW66" s="54">
        <f>RANK(BV66,BV$51:BV$68)</f>
        <v/>
      </c>
      <c r="BX66" s="57">
        <f>BX43-BX20</f>
        <v/>
      </c>
      <c r="BY66" s="58">
        <f>RANK(BX66,BX$51:BX$68)</f>
        <v/>
      </c>
      <c r="BZ66" s="69" t="n"/>
    </row>
    <row r="67" ht="25" customHeight="1">
      <c r="A67" s="91" t="inlineStr">
        <is>
          <t>West Coast</t>
        </is>
      </c>
      <c r="B67" s="53">
        <f>B44-B21</f>
        <v/>
      </c>
      <c r="C67" s="54">
        <f>RANK(B67,B$51:B$68)</f>
        <v/>
      </c>
      <c r="D67" s="55">
        <f>D44-D21</f>
        <v/>
      </c>
      <c r="E67" s="54">
        <f>RANK(D67,D$51:D$68)</f>
        <v/>
      </c>
      <c r="F67" s="55">
        <f>F44-F21</f>
        <v/>
      </c>
      <c r="G67" s="54">
        <f>RANK(F67,F$51:F$68)</f>
        <v/>
      </c>
      <c r="H67" s="55">
        <f>H44-H21</f>
        <v/>
      </c>
      <c r="I67" s="54">
        <f>RANK(H67,H$51:H$68)</f>
        <v/>
      </c>
      <c r="J67" s="49">
        <f>J44-J21</f>
        <v/>
      </c>
      <c r="K67" s="47">
        <f>RANK(J67,J$51:J$68)</f>
        <v/>
      </c>
      <c r="L67" s="56" t="n"/>
      <c r="M67" s="53">
        <f>M44-M21</f>
        <v/>
      </c>
      <c r="N67" s="54">
        <f>RANK(M67,M$51:M$68)</f>
        <v/>
      </c>
      <c r="O67" s="53">
        <f>O44-O21</f>
        <v/>
      </c>
      <c r="P67" s="54">
        <f>RANK(O67,O$51:O$68)</f>
        <v/>
      </c>
      <c r="Q67" s="53">
        <f>Q44-Q21</f>
        <v/>
      </c>
      <c r="R67" s="54">
        <f>RANK(Q67,Q$51:Q$68)</f>
        <v/>
      </c>
      <c r="S67" s="55">
        <f>S44-S21</f>
        <v/>
      </c>
      <c r="T67" s="54">
        <f>RANK(S67,S$51:S$68)</f>
        <v/>
      </c>
      <c r="U67" s="49">
        <f>U44-U21</f>
        <v/>
      </c>
      <c r="V67" s="47">
        <f>RANK(U67,U$51:U$68)</f>
        <v/>
      </c>
      <c r="W67" s="56" t="n"/>
      <c r="X67" s="53">
        <f>X44-X21</f>
        <v/>
      </c>
      <c r="Y67" s="54">
        <f>RANK(X67,X$51:X$68)</f>
        <v/>
      </c>
      <c r="Z67" s="53">
        <f>Z44-Z21</f>
        <v/>
      </c>
      <c r="AA67" s="54">
        <f>RANK(Z67,Z$51:Z$68)</f>
        <v/>
      </c>
      <c r="AB67" s="53">
        <f>AB44-AB21</f>
        <v/>
      </c>
      <c r="AC67" s="54">
        <f>RANK(AB67,AB$51:AB$68)</f>
        <v/>
      </c>
      <c r="AD67" s="53">
        <f>AD44-AD21</f>
        <v/>
      </c>
      <c r="AE67" s="54">
        <f>RANK(AD67,AD$51:AD$68)</f>
        <v/>
      </c>
      <c r="AF67" s="65">
        <f>AF44-AF21</f>
        <v/>
      </c>
      <c r="AG67" s="47">
        <f>RANK(AF67,AF$51:AF$68)</f>
        <v/>
      </c>
      <c r="AH67" s="56" t="n"/>
      <c r="AI67" s="53">
        <f>AI44-AI21</f>
        <v/>
      </c>
      <c r="AJ67" s="54">
        <f>RANK(AI67,AI$51:AI$68,1)</f>
        <v/>
      </c>
      <c r="AK67" s="53">
        <f>AK44-AK21</f>
        <v/>
      </c>
      <c r="AL67" s="54">
        <f>RANK(AK67,AK$51:AK$68,1)</f>
        <v/>
      </c>
      <c r="AM67" s="53">
        <f>AM44-AM21</f>
        <v/>
      </c>
      <c r="AN67" s="54">
        <f>RANK(AM67,AM$51:AM$68,1)</f>
        <v/>
      </c>
      <c r="AO67" s="55">
        <f>AO44-AO21</f>
        <v/>
      </c>
      <c r="AP67" s="54">
        <f>RANK(AO67,AO$51:AO$68,1)</f>
        <v/>
      </c>
      <c r="AQ67" s="65">
        <f>AQ44-AQ21</f>
        <v/>
      </c>
      <c r="AR67" s="47">
        <f>RANK(AQ67,AQ$51:AQ$68)</f>
        <v/>
      </c>
      <c r="AS67" s="56" t="n"/>
      <c r="AT67" s="46">
        <f>AT44-AT21</f>
        <v/>
      </c>
      <c r="AU67" s="47">
        <f>RANK(AT67,AT$51:AT$68,1)</f>
        <v/>
      </c>
      <c r="AV67" s="46">
        <f>AV44-AV21</f>
        <v/>
      </c>
      <c r="AW67" s="47">
        <f>RANK(AV67,AV$51:AV$68,1)</f>
        <v/>
      </c>
      <c r="AX67" s="46">
        <f>AX44-AX21</f>
        <v/>
      </c>
      <c r="AY67" s="47">
        <f>RANK(AX67,AX$51:AX$68,1)</f>
        <v/>
      </c>
      <c r="AZ67" s="46">
        <f>AZ44-AZ21</f>
        <v/>
      </c>
      <c r="BA67" s="47">
        <f>RANK(AZ67,AZ$51:AZ$68,1)</f>
        <v/>
      </c>
      <c r="BB67" s="46">
        <f>BB44-BB21</f>
        <v/>
      </c>
      <c r="BC67" s="47">
        <f>RANK(BB67,BB$51:BB$68)</f>
        <v/>
      </c>
      <c r="BD67" s="56" t="n"/>
      <c r="BE67" s="53">
        <f>BE44-BE21</f>
        <v/>
      </c>
      <c r="BF67" s="54">
        <f>RANK(BE67,BE$51:BE$68)</f>
        <v/>
      </c>
      <c r="BG67" s="53">
        <f>BG44-BG21</f>
        <v/>
      </c>
      <c r="BH67" s="54">
        <f>RANK(BG67,BG$51:BG$68,1)</f>
        <v/>
      </c>
      <c r="BI67" s="53">
        <f>BI44-BI21</f>
        <v/>
      </c>
      <c r="BJ67" s="54">
        <f>RANK(BI67,BI$51:BI$68)</f>
        <v/>
      </c>
      <c r="BK67" s="53">
        <f>BK44-BK21</f>
        <v/>
      </c>
      <c r="BL67" s="54">
        <f>RANK(BK67,BK$51:BK$68,1)</f>
        <v/>
      </c>
      <c r="BM67" s="53">
        <f>BM44-BM21</f>
        <v/>
      </c>
      <c r="BN67" s="54">
        <f>RANK(BM67,BM$51:BM$68)</f>
        <v/>
      </c>
      <c r="BO67" s="53">
        <f>BO44-BO21</f>
        <v/>
      </c>
      <c r="BP67" s="54">
        <f>RANK(BO67,BO$51:BO$68)</f>
        <v/>
      </c>
      <c r="BQ67" s="65">
        <f>BQ44-BQ21</f>
        <v/>
      </c>
      <c r="BR67" s="47">
        <f>RANK(BQ67,BQ$51:BQ$68)</f>
        <v/>
      </c>
      <c r="BS67" s="56" t="n"/>
      <c r="BT67" s="57">
        <f>BT44-BT21</f>
        <v/>
      </c>
      <c r="BU67" s="54">
        <f>RANK(BT67,BT$51:BT$68)</f>
        <v/>
      </c>
      <c r="BV67" s="57">
        <f>BV44-BV21</f>
        <v/>
      </c>
      <c r="BW67" s="54">
        <f>RANK(BV67,BV$51:BV$68)</f>
        <v/>
      </c>
      <c r="BX67" s="57">
        <f>BX44-BX21</f>
        <v/>
      </c>
      <c r="BY67" s="58">
        <f>RANK(BX67,BX$51:BX$68)</f>
        <v/>
      </c>
      <c r="BZ67" s="69" t="n"/>
    </row>
    <row r="68" ht="25" customHeight="1" thickBot="1">
      <c r="A68" s="92" t="inlineStr">
        <is>
          <t>Western Bulldogs</t>
        </is>
      </c>
      <c r="B68" s="59">
        <f>B45-B22</f>
        <v/>
      </c>
      <c r="C68" s="60">
        <f>RANK(B68,B$51:B$68)</f>
        <v/>
      </c>
      <c r="D68" s="61">
        <f>D45-D22</f>
        <v/>
      </c>
      <c r="E68" s="60">
        <f>RANK(D68,D$51:D$68)</f>
        <v/>
      </c>
      <c r="F68" s="61">
        <f>F45-F22</f>
        <v/>
      </c>
      <c r="G68" s="60">
        <f>RANK(F68,F$51:F$68)</f>
        <v/>
      </c>
      <c r="H68" s="61">
        <f>H45-H22</f>
        <v/>
      </c>
      <c r="I68" s="60">
        <f>RANK(H68,H$51:H$68)</f>
        <v/>
      </c>
      <c r="J68" s="49">
        <f>J45-J22</f>
        <v/>
      </c>
      <c r="K68" s="47">
        <f>RANK(J68,J$51:J$68)</f>
        <v/>
      </c>
      <c r="L68" s="62" t="n"/>
      <c r="M68" s="59">
        <f>M45-M22</f>
        <v/>
      </c>
      <c r="N68" s="60">
        <f>RANK(M68,M$51:M$68)</f>
        <v/>
      </c>
      <c r="O68" s="59">
        <f>O45-O22</f>
        <v/>
      </c>
      <c r="P68" s="60">
        <f>RANK(O68,O$51:O$68)</f>
        <v/>
      </c>
      <c r="Q68" s="59">
        <f>Q45-Q22</f>
        <v/>
      </c>
      <c r="R68" s="60">
        <f>RANK(Q68,Q$51:Q$68)</f>
        <v/>
      </c>
      <c r="S68" s="61">
        <f>S45-S22</f>
        <v/>
      </c>
      <c r="T68" s="60">
        <f>RANK(S68,S$51:S$68)</f>
        <v/>
      </c>
      <c r="U68" s="49">
        <f>U45-U22</f>
        <v/>
      </c>
      <c r="V68" s="47">
        <f>RANK(U68,U$51:U$68)</f>
        <v/>
      </c>
      <c r="W68" s="62" t="n"/>
      <c r="X68" s="59">
        <f>X45-X22</f>
        <v/>
      </c>
      <c r="Y68" s="60">
        <f>RANK(X68,X$51:X$68)</f>
        <v/>
      </c>
      <c r="Z68" s="59">
        <f>Z45-Z22</f>
        <v/>
      </c>
      <c r="AA68" s="60">
        <f>RANK(Z68,Z$51:Z$68)</f>
        <v/>
      </c>
      <c r="AB68" s="59">
        <f>AB45-AB22</f>
        <v/>
      </c>
      <c r="AC68" s="60">
        <f>RANK(AB68,AB$51:AB$68)</f>
        <v/>
      </c>
      <c r="AD68" s="59">
        <f>AD45-AD22</f>
        <v/>
      </c>
      <c r="AE68" s="60">
        <f>RANK(AD68,AD$51:AD$68)</f>
        <v/>
      </c>
      <c r="AF68" s="66">
        <f>AF45-AF22</f>
        <v/>
      </c>
      <c r="AG68" s="47">
        <f>RANK(AF68,AF$51:AF$68)</f>
        <v/>
      </c>
      <c r="AH68" s="62" t="n"/>
      <c r="AI68" s="59">
        <f>AI45-AI22</f>
        <v/>
      </c>
      <c r="AJ68" s="60">
        <f>RANK(AI68,AI$51:AI$68,1)</f>
        <v/>
      </c>
      <c r="AK68" s="59">
        <f>AK45-AK22</f>
        <v/>
      </c>
      <c r="AL68" s="60">
        <f>RANK(AK68,AK$51:AK$68,1)</f>
        <v/>
      </c>
      <c r="AM68" s="59">
        <f>AM45-AM22</f>
        <v/>
      </c>
      <c r="AN68" s="60">
        <f>RANK(AM68,AM$51:AM$68,1)</f>
        <v/>
      </c>
      <c r="AO68" s="61">
        <f>AO45-AO22</f>
        <v/>
      </c>
      <c r="AP68" s="60">
        <f>RANK(AO68,AO$51:AO$68,1)</f>
        <v/>
      </c>
      <c r="AQ68" s="66">
        <f>AQ45-AQ22</f>
        <v/>
      </c>
      <c r="AR68" s="47">
        <f>RANK(AQ68,AQ$51:AQ$68)</f>
        <v/>
      </c>
      <c r="AS68" s="62" t="n"/>
      <c r="AT68" s="46">
        <f>AT45-AT22</f>
        <v/>
      </c>
      <c r="AU68" s="47">
        <f>RANK(AT68,AT$51:AT$68,1)</f>
        <v/>
      </c>
      <c r="AV68" s="46">
        <f>AV45-AV22</f>
        <v/>
      </c>
      <c r="AW68" s="47">
        <f>RANK(AV68,AV$51:AV$68,1)</f>
        <v/>
      </c>
      <c r="AX68" s="46">
        <f>AX45-AX22</f>
        <v/>
      </c>
      <c r="AY68" s="47">
        <f>RANK(AX68,AX$51:AX$68,1)</f>
        <v/>
      </c>
      <c r="AZ68" s="46">
        <f>AZ45-AZ22</f>
        <v/>
      </c>
      <c r="BA68" s="47">
        <f>RANK(AZ68,AZ$51:AZ$68,1)</f>
        <v/>
      </c>
      <c r="BB68" s="46">
        <f>BB45-BB22</f>
        <v/>
      </c>
      <c r="BC68" s="47">
        <f>RANK(BB68,BB$51:BB$68)</f>
        <v/>
      </c>
      <c r="BD68" s="62" t="n"/>
      <c r="BE68" s="59">
        <f>BE45-BE22</f>
        <v/>
      </c>
      <c r="BF68" s="60">
        <f>RANK(BE68,BE$51:BE$68)</f>
        <v/>
      </c>
      <c r="BG68" s="59">
        <f>BG45-BG22</f>
        <v/>
      </c>
      <c r="BH68" s="60">
        <f>RANK(BG68,BG$51:BG$68,1)</f>
        <v/>
      </c>
      <c r="BI68" s="59">
        <f>BI45-BI22</f>
        <v/>
      </c>
      <c r="BJ68" s="60">
        <f>RANK(BI68,BI$51:BI$68)</f>
        <v/>
      </c>
      <c r="BK68" s="59">
        <f>BK45-BK22</f>
        <v/>
      </c>
      <c r="BL68" s="60">
        <f>RANK(BK68,BK$51:BK$68,1)</f>
        <v/>
      </c>
      <c r="BM68" s="59">
        <f>BM45-BM22</f>
        <v/>
      </c>
      <c r="BN68" s="60">
        <f>RANK(BM68,BM$51:BM$68)</f>
        <v/>
      </c>
      <c r="BO68" s="59">
        <f>BO45-BO22</f>
        <v/>
      </c>
      <c r="BP68" s="60">
        <f>RANK(BO68,BO$51:BO$68)</f>
        <v/>
      </c>
      <c r="BQ68" s="66">
        <f>BQ45-BQ22</f>
        <v/>
      </c>
      <c r="BR68" s="47">
        <f>RANK(BQ68,BQ$51:BQ$68)</f>
        <v/>
      </c>
      <c r="BS68" s="62" t="n"/>
      <c r="BT68" s="63">
        <f>BT45-BT22</f>
        <v/>
      </c>
      <c r="BU68" s="60">
        <f>RANK(BT68,BT$51:BT$68)</f>
        <v/>
      </c>
      <c r="BV68" s="63">
        <f>BV45-BV22</f>
        <v/>
      </c>
      <c r="BW68" s="60">
        <f>RANK(BV68,BV$51:BV$68)</f>
        <v/>
      </c>
      <c r="BX68" s="63">
        <f>BX45-BX22</f>
        <v/>
      </c>
      <c r="BY68" s="64">
        <f>RANK(BX68,BX$51:BX$68)</f>
        <v/>
      </c>
      <c r="BZ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  <c r="Z69" s="69" t="n"/>
      <c r="AA69" s="69" t="n"/>
      <c r="AB69" s="69" t="n"/>
      <c r="AC69" s="69" t="n"/>
      <c r="AD69" s="69" t="n"/>
      <c r="AE69" s="69" t="n"/>
      <c r="AF69" s="69" t="n"/>
      <c r="AG69" s="69" t="n"/>
      <c r="AH69" s="69" t="n"/>
      <c r="AI69" s="69" t="n"/>
      <c r="AJ69" s="69" t="n"/>
      <c r="AK69" s="69" t="n"/>
      <c r="AL69" s="69" t="n"/>
      <c r="AM69" s="69" t="n"/>
      <c r="AN69" s="69" t="n"/>
      <c r="AO69" s="69" t="n"/>
      <c r="AP69" s="69" t="n"/>
      <c r="AQ69" s="69" t="n"/>
      <c r="AR69" s="69" t="n"/>
      <c r="AS69" s="69" t="n"/>
      <c r="AT69" s="69" t="n"/>
      <c r="AU69" s="69" t="n"/>
      <c r="AV69" s="69" t="n"/>
      <c r="AW69" s="69" t="n"/>
      <c r="AX69" s="69" t="n"/>
      <c r="AY69" s="69" t="n"/>
      <c r="AZ69" s="69" t="n"/>
      <c r="BA69" s="69" t="n"/>
      <c r="BB69" s="69" t="n"/>
      <c r="BC69" s="69" t="n"/>
      <c r="BD69" s="69" t="n"/>
      <c r="BE69" s="69" t="n"/>
      <c r="BF69" s="69" t="n"/>
      <c r="BG69" s="69" t="n"/>
      <c r="BH69" s="69" t="n"/>
      <c r="BI69" s="69" t="n"/>
      <c r="BJ69" s="69" t="n"/>
      <c r="BK69" s="69" t="n"/>
      <c r="BL69" s="69" t="n"/>
      <c r="BM69" s="69" t="n"/>
      <c r="BN69" s="69" t="n"/>
      <c r="BO69" s="69" t="n"/>
      <c r="BP69" s="69" t="n"/>
      <c r="BQ69" s="69" t="n"/>
      <c r="BR69" s="69" t="n"/>
      <c r="BS69" s="69" t="n"/>
      <c r="BT69" s="69" t="n"/>
      <c r="BU69" s="69" t="n"/>
      <c r="BV69" s="69" t="n"/>
      <c r="BW69" s="69" t="n"/>
      <c r="BX69" s="69" t="n"/>
      <c r="BY69" s="69" t="n"/>
      <c r="BZ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  <c r="Z70" s="69" t="n"/>
      <c r="AA70" s="69" t="n"/>
      <c r="AB70" s="69" t="n"/>
      <c r="AC70" s="69" t="n"/>
      <c r="AD70" s="69" t="n"/>
      <c r="AE70" s="69" t="n"/>
      <c r="AF70" s="69" t="n"/>
      <c r="AG70" s="69" t="n"/>
      <c r="AH70" s="69" t="n"/>
      <c r="AI70" s="69" t="n"/>
      <c r="AJ70" s="69" t="n"/>
      <c r="AK70" s="69" t="n"/>
      <c r="AL70" s="69" t="n"/>
      <c r="AM70" s="69" t="n"/>
      <c r="AN70" s="69" t="n"/>
      <c r="AO70" s="69" t="n"/>
      <c r="AP70" s="69" t="n"/>
      <c r="AQ70" s="69" t="n"/>
      <c r="AR70" s="69" t="n"/>
      <c r="AS70" s="69" t="n"/>
      <c r="AT70" s="69" t="n"/>
      <c r="AU70" s="69" t="n"/>
      <c r="AV70" s="69" t="n"/>
      <c r="AW70" s="69" t="n"/>
      <c r="AX70" s="69" t="n"/>
      <c r="AY70" s="69" t="n"/>
      <c r="AZ70" s="69" t="n"/>
      <c r="BA70" s="69" t="n"/>
      <c r="BB70" s="69" t="n"/>
      <c r="BC70" s="69" t="n"/>
      <c r="BD70" s="69" t="n"/>
      <c r="BE70" s="69" t="n"/>
      <c r="BF70" s="69" t="n"/>
      <c r="BG70" s="69" t="n"/>
      <c r="BH70" s="69" t="n"/>
      <c r="BI70" s="69" t="n"/>
      <c r="BJ70" s="69" t="n"/>
      <c r="BK70" s="69" t="n"/>
      <c r="BL70" s="69" t="n"/>
      <c r="BM70" s="69" t="n"/>
      <c r="BN70" s="69" t="n"/>
      <c r="BO70" s="69" t="n"/>
      <c r="BP70" s="69" t="n"/>
      <c r="BQ70" s="69" t="n"/>
      <c r="BR70" s="69" t="n"/>
      <c r="BS70" s="69" t="n"/>
      <c r="BT70" s="69" t="n"/>
      <c r="BU70" s="69" t="n"/>
      <c r="BV70" s="69" t="n"/>
      <c r="BW70" s="69" t="n"/>
      <c r="BX70" s="69" t="n"/>
      <c r="BY70" s="69" t="n"/>
      <c r="BZ70" s="69" t="n"/>
    </row>
    <row r="71">
      <c r="A71" s="69" t="n"/>
      <c r="B71" s="69" t="n"/>
      <c r="C71" s="69" t="n"/>
      <c r="D71" s="69" t="n"/>
      <c r="E71" s="69" t="n"/>
      <c r="F71" s="69" t="n"/>
      <c r="G71" s="69" t="n"/>
      <c r="H71" s="69" t="n"/>
      <c r="I71" s="69" t="n"/>
      <c r="J71" s="69" t="n"/>
      <c r="K71" s="69" t="n"/>
      <c r="L71" s="69" t="n"/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  <c r="Z71" s="69" t="n"/>
      <c r="AA71" s="69" t="n"/>
      <c r="AB71" s="69" t="n"/>
      <c r="AC71" s="69" t="n"/>
      <c r="AD71" s="69" t="n"/>
      <c r="AE71" s="69" t="n"/>
      <c r="AF71" s="69" t="n"/>
      <c r="AG71" s="69" t="n"/>
      <c r="AH71" s="69" t="n"/>
      <c r="AI71" s="69" t="n"/>
      <c r="AJ71" s="69" t="n"/>
      <c r="AK71" s="69" t="n"/>
      <c r="AL71" s="69" t="n"/>
      <c r="AM71" s="69" t="n"/>
      <c r="AN71" s="69" t="n"/>
      <c r="AO71" s="69" t="n"/>
      <c r="AP71" s="69" t="n"/>
      <c r="AQ71" s="69" t="n"/>
      <c r="AR71" s="69" t="n"/>
      <c r="AS71" s="69" t="n"/>
      <c r="AT71" s="69" t="n"/>
      <c r="AU71" s="69" t="n"/>
      <c r="AV71" s="69" t="n"/>
      <c r="AW71" s="69" t="n"/>
      <c r="AX71" s="69" t="n"/>
      <c r="AY71" s="69" t="n"/>
      <c r="AZ71" s="69" t="n"/>
      <c r="BA71" s="69" t="n"/>
      <c r="BB71" s="69" t="n"/>
      <c r="BC71" s="69" t="n"/>
      <c r="BD71" s="69" t="n"/>
      <c r="BE71" s="69" t="n"/>
      <c r="BF71" s="69" t="n"/>
      <c r="BG71" s="69" t="n"/>
      <c r="BH71" s="69" t="n"/>
      <c r="BI71" s="69" t="n"/>
      <c r="BJ71" s="69" t="n"/>
      <c r="BK71" s="69" t="n"/>
      <c r="BL71" s="69" t="n"/>
      <c r="BM71" s="69" t="n"/>
      <c r="BN71" s="69" t="n"/>
      <c r="BO71" s="69" t="n"/>
      <c r="BP71" s="69" t="n"/>
      <c r="BQ71" s="69" t="n"/>
      <c r="BR71" s="69" t="n"/>
      <c r="BS71" s="69" t="n"/>
      <c r="BT71" s="69" t="n"/>
      <c r="BU71" s="69" t="n"/>
      <c r="BV71" s="69" t="n"/>
      <c r="BW71" s="69" t="n"/>
      <c r="BX71" s="69" t="n"/>
      <c r="BY71" s="69" t="n"/>
      <c r="BZ71" s="69" t="n"/>
    </row>
    <row r="72">
      <c r="A72" s="69" t="n"/>
      <c r="B72" s="69" t="n"/>
      <c r="C72" s="69" t="n"/>
      <c r="D72" s="69" t="n"/>
      <c r="E72" s="69" t="n"/>
      <c r="F72" s="69" t="n"/>
      <c r="G72" s="69" t="n"/>
      <c r="H72" s="69" t="n"/>
      <c r="I72" s="69" t="n"/>
      <c r="J72" s="69" t="n"/>
      <c r="K72" s="69" t="n"/>
      <c r="L72" s="69" t="n"/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  <c r="Z72" s="69" t="n"/>
      <c r="AA72" s="69" t="n"/>
      <c r="AB72" s="69" t="n"/>
      <c r="AC72" s="69" t="n"/>
      <c r="AD72" s="69" t="n"/>
      <c r="AE72" s="69" t="n"/>
      <c r="AF72" s="69" t="n"/>
      <c r="AG72" s="69" t="n"/>
      <c r="AH72" s="69" t="n"/>
      <c r="AI72" s="69" t="n"/>
      <c r="AJ72" s="69" t="n"/>
      <c r="AK72" s="69" t="n"/>
      <c r="AL72" s="69" t="n"/>
      <c r="AM72" s="69" t="n"/>
      <c r="AN72" s="69" t="n"/>
      <c r="AO72" s="69" t="n"/>
      <c r="AP72" s="69" t="n"/>
      <c r="AQ72" s="69" t="n"/>
      <c r="AR72" s="69" t="n"/>
      <c r="AS72" s="69" t="n"/>
      <c r="AT72" s="69" t="n"/>
      <c r="AU72" s="69" t="n"/>
      <c r="AV72" s="69" t="n"/>
      <c r="AW72" s="69" t="n"/>
      <c r="AX72" s="69" t="n"/>
      <c r="AY72" s="69" t="n"/>
      <c r="AZ72" s="69" t="n"/>
      <c r="BA72" s="69" t="n"/>
      <c r="BB72" s="69" t="n"/>
      <c r="BC72" s="69" t="n"/>
      <c r="BD72" s="69" t="n"/>
      <c r="BE72" s="69" t="n"/>
      <c r="BF72" s="69" t="n"/>
      <c r="BG72" s="69" t="n"/>
      <c r="BH72" s="69" t="n"/>
      <c r="BI72" s="69" t="n"/>
      <c r="BJ72" s="69" t="n"/>
      <c r="BK72" s="69" t="n"/>
      <c r="BL72" s="69" t="n"/>
      <c r="BM72" s="69" t="n"/>
      <c r="BN72" s="69" t="n"/>
      <c r="BO72" s="69" t="n"/>
      <c r="BP72" s="69" t="n"/>
      <c r="BQ72" s="69" t="n"/>
      <c r="BR72" s="69" t="n"/>
      <c r="BS72" s="69" t="n"/>
      <c r="BT72" s="69" t="n"/>
      <c r="BU72" s="69" t="n"/>
      <c r="BV72" s="69" t="n"/>
      <c r="BW72" s="69" t="n"/>
      <c r="BX72" s="69" t="n"/>
      <c r="BY72" s="69" t="n"/>
    </row>
  </sheetData>
  <mergeCells count="24">
    <mergeCell ref="B49:K49"/>
    <mergeCell ref="BE3:BR3"/>
    <mergeCell ref="M3:V3"/>
    <mergeCell ref="BT26:BY26"/>
    <mergeCell ref="AT49:BC49"/>
    <mergeCell ref="X26:AG26"/>
    <mergeCell ref="M26:V26"/>
    <mergeCell ref="AI3:AR3"/>
    <mergeCell ref="AT26:BC26"/>
    <mergeCell ref="BE49:BR49"/>
    <mergeCell ref="BT3:BY3"/>
    <mergeCell ref="BE26:BR26"/>
    <mergeCell ref="B26:K26"/>
    <mergeCell ref="A26:A27"/>
    <mergeCell ref="A3:A4"/>
    <mergeCell ref="B3:K3"/>
    <mergeCell ref="M49:V49"/>
    <mergeCell ref="AT3:BC3"/>
    <mergeCell ref="BT49:BY49"/>
    <mergeCell ref="AI49:AR49"/>
    <mergeCell ref="X49:AG49"/>
    <mergeCell ref="AI26:AR26"/>
    <mergeCell ref="X3:AG3"/>
    <mergeCell ref="A49:A50"/>
  </mergeCells>
  <conditionalFormatting sqref="B5:B22">
    <cfRule type="dataBar" priority="182">
      <dataBar>
        <cfvo type="min"/>
        <cfvo type="max"/>
        <color rgb="FF638EC6"/>
      </dataBar>
    </cfRule>
  </conditionalFormatting>
  <conditionalFormatting sqref="B28:B45">
    <cfRule type="dataBar" priority="133">
      <dataBar>
        <cfvo type="min"/>
        <cfvo type="max"/>
        <color rgb="FF638EC6"/>
      </dataBar>
    </cfRule>
  </conditionalFormatting>
  <conditionalFormatting sqref="B51:B68">
    <cfRule type="dataBar" priority="84">
      <dataBar>
        <cfvo type="min"/>
        <cfvo type="max"/>
        <color rgb="FF638EC6"/>
      </dataBar>
    </cfRule>
  </conditionalFormatting>
  <conditionalFormatting sqref="D5:D22">
    <cfRule type="dataBar" priority="181">
      <dataBar>
        <cfvo type="min"/>
        <cfvo type="max"/>
        <color rgb="FF638EC6"/>
      </dataBar>
    </cfRule>
  </conditionalFormatting>
  <conditionalFormatting sqref="D28:D45">
    <cfRule type="dataBar" priority="132">
      <dataBar>
        <cfvo type="min"/>
        <cfvo type="max"/>
        <color rgb="FF638EC6"/>
      </dataBar>
    </cfRule>
  </conditionalFormatting>
  <conditionalFormatting sqref="D51:D68">
    <cfRule type="dataBar" priority="83">
      <dataBar>
        <cfvo type="min"/>
        <cfvo type="max"/>
        <color rgb="FF638EC6"/>
      </dataBar>
    </cfRule>
  </conditionalFormatting>
  <conditionalFormatting sqref="F5:F22">
    <cfRule type="dataBar" priority="179">
      <dataBar>
        <cfvo type="min"/>
        <cfvo type="max"/>
        <color rgb="FF638EC6"/>
      </dataBar>
    </cfRule>
    <cfRule type="dataBar" priority="180">
      <dataBar>
        <cfvo type="min"/>
        <cfvo type="max"/>
        <color rgb="FF638EC6"/>
      </dataBar>
    </cfRule>
  </conditionalFormatting>
  <conditionalFormatting sqref="F28:F45">
    <cfRule type="dataBar" priority="130">
      <dataBar>
        <cfvo type="min"/>
        <cfvo type="max"/>
        <color rgb="FF638EC6"/>
      </dataBar>
    </cfRule>
    <cfRule type="dataBar" priority="131">
      <dataBar>
        <cfvo type="min"/>
        <cfvo type="max"/>
        <color rgb="FF638EC6"/>
      </dataBar>
    </cfRule>
  </conditionalFormatting>
  <conditionalFormatting sqref="F51:F68">
    <cfRule type="dataBar" priority="81">
      <dataBar>
        <cfvo type="min"/>
        <cfvo type="max"/>
        <color rgb="FF638EC6"/>
      </dataBar>
    </cfRule>
    <cfRule type="dataBar" priority="82">
      <dataBar>
        <cfvo type="min"/>
        <cfvo type="max"/>
        <color rgb="FF638EC6"/>
      </dataBar>
    </cfRule>
  </conditionalFormatting>
  <conditionalFormatting sqref="H5:H22">
    <cfRule type="dataBar" priority="178">
      <dataBar>
        <cfvo type="min"/>
        <cfvo type="max"/>
        <color rgb="FF638EC6"/>
      </dataBar>
    </cfRule>
  </conditionalFormatting>
  <conditionalFormatting sqref="H28:H45">
    <cfRule type="dataBar" priority="129">
      <dataBar>
        <cfvo type="min"/>
        <cfvo type="max"/>
        <color rgb="FF638EC6"/>
      </dataBar>
    </cfRule>
  </conditionalFormatting>
  <conditionalFormatting sqref="H51:H68">
    <cfRule type="dataBar" priority="80">
      <dataBar>
        <cfvo type="min"/>
        <cfvo type="max"/>
        <color rgb="FF638EC6"/>
      </dataBar>
    </cfRule>
  </conditionalFormatting>
  <conditionalFormatting sqref="J5:J22">
    <cfRule type="dataBar" priority="147">
      <dataBar>
        <cfvo type="min"/>
        <cfvo type="max"/>
        <color rgb="FF638EC6"/>
      </dataBar>
    </cfRule>
  </conditionalFormatting>
  <conditionalFormatting sqref="J28:J45">
    <cfRule type="dataBar" priority="98">
      <dataBar>
        <cfvo type="min"/>
        <cfvo type="max"/>
        <color rgb="FF638EC6"/>
      </dataBar>
    </cfRule>
  </conditionalFormatting>
  <conditionalFormatting sqref="J51:J68">
    <cfRule type="dataBar" priority="48">
      <dataBar>
        <cfvo type="min"/>
        <cfvo type="max"/>
        <color rgb="FF638EC6"/>
      </dataBar>
    </cfRule>
  </conditionalFormatting>
  <conditionalFormatting sqref="M5:M22">
    <cfRule type="dataBar" priority="176">
      <dataBar>
        <cfvo type="min"/>
        <cfvo type="max"/>
        <color rgb="FF63C384"/>
      </dataBar>
    </cfRule>
    <cfRule type="dataBar" priority="177">
      <dataBar>
        <cfvo type="min"/>
        <cfvo type="max"/>
        <color rgb="FF63C384"/>
      </dataBar>
    </cfRule>
  </conditionalFormatting>
  <conditionalFormatting sqref="M28:M45">
    <cfRule type="dataBar" priority="128">
      <dataBar>
        <cfvo type="min"/>
        <cfvo type="max"/>
        <color rgb="FF63C384"/>
      </dataBar>
    </cfRule>
    <cfRule type="dataBar" priority="127">
      <dataBar>
        <cfvo type="min"/>
        <cfvo type="max"/>
        <color rgb="FF63C384"/>
      </dataBar>
    </cfRule>
  </conditionalFormatting>
  <conditionalFormatting sqref="M51:M68">
    <cfRule type="dataBar" priority="79">
      <dataBar>
        <cfvo type="min"/>
        <cfvo type="max"/>
        <color rgb="FF63C384"/>
      </dataBar>
    </cfRule>
    <cfRule type="dataBar" priority="78">
      <dataBar>
        <cfvo type="min"/>
        <cfvo type="max"/>
        <color rgb="FF63C384"/>
      </dataBar>
    </cfRule>
  </conditionalFormatting>
  <conditionalFormatting sqref="O5:O22">
    <cfRule type="dataBar" priority="174">
      <dataBar>
        <cfvo type="min"/>
        <cfvo type="max"/>
        <color rgb="FF63C384"/>
      </dataBar>
    </cfRule>
    <cfRule type="dataBar" priority="175">
      <dataBar>
        <cfvo type="min"/>
        <cfvo type="max"/>
        <color rgb="FF63C384"/>
      </dataBar>
    </cfRule>
  </conditionalFormatting>
  <conditionalFormatting sqref="O28:O45">
    <cfRule type="dataBar" priority="125">
      <dataBar>
        <cfvo type="min"/>
        <cfvo type="max"/>
        <color rgb="FF63C384"/>
      </dataBar>
    </cfRule>
    <cfRule type="dataBar" priority="126">
      <dataBar>
        <cfvo type="min"/>
        <cfvo type="max"/>
        <color rgb="FF63C384"/>
      </dataBar>
    </cfRule>
  </conditionalFormatting>
  <conditionalFormatting sqref="O51:O68">
    <cfRule type="dataBar" priority="77">
      <dataBar>
        <cfvo type="min"/>
        <cfvo type="max"/>
        <color rgb="FF63C384"/>
      </dataBar>
    </cfRule>
    <cfRule type="dataBar" priority="76">
      <dataBar>
        <cfvo type="min"/>
        <cfvo type="max"/>
        <color rgb="FF63C384"/>
      </dataBar>
    </cfRule>
  </conditionalFormatting>
  <conditionalFormatting sqref="Q5:Q22">
    <cfRule type="dataBar" priority="172">
      <dataBar>
        <cfvo type="min"/>
        <cfvo type="max"/>
        <color rgb="FF63C384"/>
      </dataBar>
    </cfRule>
    <cfRule type="dataBar" priority="173">
      <dataBar>
        <cfvo type="min"/>
        <cfvo type="max"/>
        <color rgb="FF63C384"/>
      </dataBar>
    </cfRule>
  </conditionalFormatting>
  <conditionalFormatting sqref="Q28:Q45">
    <cfRule type="dataBar" priority="124">
      <dataBar>
        <cfvo type="min"/>
        <cfvo type="max"/>
        <color rgb="FF63C384"/>
      </dataBar>
    </cfRule>
    <cfRule type="dataBar" priority="123">
      <dataBar>
        <cfvo type="min"/>
        <cfvo type="max"/>
        <color rgb="FF63C384"/>
      </dataBar>
    </cfRule>
  </conditionalFormatting>
  <conditionalFormatting sqref="Q51:Q68">
    <cfRule type="dataBar" priority="75">
      <dataBar>
        <cfvo type="min"/>
        <cfvo type="max"/>
        <color rgb="FF63C384"/>
      </dataBar>
    </cfRule>
    <cfRule type="dataBar" priority="74">
      <dataBar>
        <cfvo type="min"/>
        <cfvo type="max"/>
        <color rgb="FF63C384"/>
      </dataBar>
    </cfRule>
  </conditionalFormatting>
  <conditionalFormatting sqref="S5:S22">
    <cfRule type="dataBar" priority="171">
      <dataBar>
        <cfvo type="min"/>
        <cfvo type="max"/>
        <color rgb="FF63C384"/>
      </dataBar>
    </cfRule>
  </conditionalFormatting>
  <conditionalFormatting sqref="S28:S45">
    <cfRule type="dataBar" priority="122">
      <dataBar>
        <cfvo type="min"/>
        <cfvo type="max"/>
        <color rgb="FF63C384"/>
      </dataBar>
    </cfRule>
  </conditionalFormatting>
  <conditionalFormatting sqref="S51:S68">
    <cfRule type="dataBar" priority="73">
      <dataBar>
        <cfvo type="min"/>
        <cfvo type="max"/>
        <color rgb="FF63C384"/>
      </dataBar>
    </cfRule>
  </conditionalFormatting>
  <conditionalFormatting sqref="U5:U22">
    <cfRule type="dataBar" priority="146">
      <dataBar>
        <cfvo type="min"/>
        <cfvo type="max"/>
        <color rgb="FF63C384"/>
      </dataBar>
    </cfRule>
  </conditionalFormatting>
  <conditionalFormatting sqref="U28:U45">
    <cfRule type="dataBar" priority="97">
      <dataBar>
        <cfvo type="min"/>
        <cfvo type="max"/>
        <color rgb="FF63C384"/>
      </dataBar>
    </cfRule>
  </conditionalFormatting>
  <conditionalFormatting sqref="U51:U68">
    <cfRule type="dataBar" priority="47">
      <dataBar>
        <cfvo type="min"/>
        <cfvo type="max"/>
        <color rgb="FF63C384"/>
      </dataBar>
    </cfRule>
  </conditionalFormatting>
  <conditionalFormatting sqref="X5:X22">
    <cfRule type="dataBar" priority="170">
      <dataBar>
        <cfvo type="min"/>
        <cfvo type="max"/>
        <color rgb="FF63C384"/>
      </dataBar>
    </cfRule>
    <cfRule type="dataBar" priority="169">
      <dataBar>
        <cfvo type="min"/>
        <cfvo type="max"/>
        <color rgb="FFFFFF00"/>
      </dataBar>
    </cfRule>
  </conditionalFormatting>
  <conditionalFormatting sqref="X28:X45">
    <cfRule type="dataBar" priority="120">
      <dataBar>
        <cfvo type="min"/>
        <cfvo type="max"/>
        <color rgb="FFFFFF00"/>
      </dataBar>
    </cfRule>
    <cfRule type="dataBar" priority="121">
      <dataBar>
        <cfvo type="min"/>
        <cfvo type="max"/>
        <color rgb="FF63C384"/>
      </dataBar>
    </cfRule>
  </conditionalFormatting>
  <conditionalFormatting sqref="X51:X68">
    <cfRule type="dataBar" priority="72">
      <dataBar>
        <cfvo type="min"/>
        <cfvo type="max"/>
        <color rgb="FF63C384"/>
      </dataBar>
    </cfRule>
    <cfRule type="dataBar" priority="71">
      <dataBar>
        <cfvo type="min"/>
        <cfvo type="max"/>
        <color rgb="FFFFFF00"/>
      </dataBar>
    </cfRule>
  </conditionalFormatting>
  <conditionalFormatting sqref="Z5:Z22">
    <cfRule type="dataBar" priority="140">
      <dataBar>
        <cfvo type="min"/>
        <cfvo type="max"/>
        <color rgb="FFFFFF00"/>
      </dataBar>
    </cfRule>
    <cfRule type="dataBar" priority="141">
      <dataBar>
        <cfvo type="min"/>
        <cfvo type="max"/>
        <color rgb="FF63C384"/>
      </dataBar>
    </cfRule>
  </conditionalFormatting>
  <conditionalFormatting sqref="Z28:Z45">
    <cfRule type="dataBar" priority="92">
      <dataBar>
        <cfvo type="min"/>
        <cfvo type="max"/>
        <color rgb="FF63C384"/>
      </dataBar>
    </cfRule>
    <cfRule type="dataBar" priority="91">
      <dataBar>
        <cfvo type="min"/>
        <cfvo type="max"/>
        <color rgb="FFFFFF00"/>
      </dataBar>
    </cfRule>
  </conditionalFormatting>
  <conditionalFormatting sqref="Z51:Z68">
    <cfRule type="dataBar" priority="41">
      <dataBar>
        <cfvo type="min"/>
        <cfvo type="max"/>
        <color rgb="FFFFFF00"/>
      </dataBar>
    </cfRule>
    <cfRule type="dataBar" priority="42">
      <dataBar>
        <cfvo type="min"/>
        <cfvo type="max"/>
        <color rgb="FF63C384"/>
      </dataBar>
    </cfRule>
  </conditionalFormatting>
  <conditionalFormatting sqref="AB5:AB22">
    <cfRule type="dataBar" priority="138">
      <dataBar>
        <cfvo type="min"/>
        <cfvo type="max"/>
        <color rgb="FFFFFF00"/>
      </dataBar>
    </cfRule>
    <cfRule type="dataBar" priority="139">
      <dataBar>
        <cfvo type="min"/>
        <cfvo type="max"/>
        <color rgb="FF63C384"/>
      </dataBar>
    </cfRule>
  </conditionalFormatting>
  <conditionalFormatting sqref="AB28:AB45">
    <cfRule type="dataBar" priority="90">
      <dataBar>
        <cfvo type="min"/>
        <cfvo type="max"/>
        <color rgb="FF63C384"/>
      </dataBar>
    </cfRule>
    <cfRule type="dataBar" priority="89">
      <dataBar>
        <cfvo type="min"/>
        <cfvo type="max"/>
        <color rgb="FFFFFF00"/>
      </dataBar>
    </cfRule>
  </conditionalFormatting>
  <conditionalFormatting sqref="AB51:AB68">
    <cfRule type="dataBar" priority="39">
      <dataBar>
        <cfvo type="min"/>
        <cfvo type="max"/>
        <color rgb="FFFFFF00"/>
      </dataBar>
    </cfRule>
    <cfRule type="dataBar" priority="40">
      <dataBar>
        <cfvo type="min"/>
        <cfvo type="max"/>
        <color rgb="FF63C384"/>
      </dataBar>
    </cfRule>
  </conditionalFormatting>
  <conditionalFormatting sqref="AD5:AD22">
    <cfRule type="dataBar" priority="136">
      <dataBar>
        <cfvo type="min"/>
        <cfvo type="max"/>
        <color rgb="FFFFFF00"/>
      </dataBar>
    </cfRule>
    <cfRule type="dataBar" priority="137">
      <dataBar>
        <cfvo type="min"/>
        <cfvo type="max"/>
        <color rgb="FF63C384"/>
      </dataBar>
    </cfRule>
  </conditionalFormatting>
  <conditionalFormatting sqref="AD28:AD45">
    <cfRule type="dataBar" priority="88">
      <dataBar>
        <cfvo type="min"/>
        <cfvo type="max"/>
        <color rgb="FF63C384"/>
      </dataBar>
    </cfRule>
    <cfRule type="dataBar" priority="87">
      <dataBar>
        <cfvo type="min"/>
        <cfvo type="max"/>
        <color rgb="FFFFFF00"/>
      </dataBar>
    </cfRule>
  </conditionalFormatting>
  <conditionalFormatting sqref="AD51:AD68">
    <cfRule type="dataBar" priority="38">
      <dataBar>
        <cfvo type="min"/>
        <cfvo type="max"/>
        <color rgb="FF63C384"/>
      </dataBar>
    </cfRule>
    <cfRule type="dataBar" priority="37">
      <dataBar>
        <cfvo type="min"/>
        <cfvo type="max"/>
        <color rgb="FFFFFF00"/>
      </dataBar>
    </cfRule>
  </conditionalFormatting>
  <conditionalFormatting sqref="AF5:AF22">
    <cfRule type="dataBar" priority="134">
      <dataBar>
        <cfvo type="min"/>
        <cfvo type="max"/>
        <color rgb="FFFFFF00"/>
      </dataBar>
    </cfRule>
    <cfRule type="dataBar" priority="135">
      <dataBar>
        <cfvo type="min"/>
        <cfvo type="max"/>
        <color rgb="FF63C384"/>
      </dataBar>
    </cfRule>
  </conditionalFormatting>
  <conditionalFormatting sqref="AF28:AF45">
    <cfRule type="dataBar" priority="86">
      <dataBar>
        <cfvo type="min"/>
        <cfvo type="max"/>
        <color rgb="FF63C384"/>
      </dataBar>
    </cfRule>
    <cfRule type="dataBar" priority="85">
      <dataBar>
        <cfvo type="min"/>
        <cfvo type="max"/>
        <color rgb="FFFFFF00"/>
      </dataBar>
    </cfRule>
  </conditionalFormatting>
  <conditionalFormatting sqref="AF51:AF68">
    <cfRule type="dataBar" priority="35">
      <dataBar>
        <cfvo type="min"/>
        <cfvo type="max"/>
        <color rgb="FFFFFF00"/>
      </dataBar>
    </cfRule>
    <cfRule type="dataBar" priority="36">
      <dataBar>
        <cfvo type="min"/>
        <cfvo type="max"/>
        <color rgb="FF63C384"/>
      </dataBar>
    </cfRule>
  </conditionalFormatting>
  <conditionalFormatting sqref="AI5:AI22">
    <cfRule type="dataBar" priority="167">
      <dataBar>
        <cfvo type="min"/>
        <cfvo type="max"/>
        <color rgb="FFFF555A"/>
      </dataBar>
    </cfRule>
    <cfRule type="dataBar" priority="168">
      <dataBar>
        <cfvo type="min"/>
        <cfvo type="max"/>
        <color rgb="FF63C384"/>
      </dataBar>
    </cfRule>
  </conditionalFormatting>
  <conditionalFormatting sqref="AI28:AI45">
    <cfRule type="dataBar" priority="119">
      <dataBar>
        <cfvo type="min"/>
        <cfvo type="max"/>
        <color rgb="FF63C384"/>
      </dataBar>
    </cfRule>
    <cfRule type="dataBar" priority="118">
      <dataBar>
        <cfvo type="min"/>
        <cfvo type="max"/>
        <color rgb="FFFF555A"/>
      </dataBar>
    </cfRule>
  </conditionalFormatting>
  <conditionalFormatting sqref="AI51:AI68">
    <cfRule type="dataBar" priority="69">
      <dataBar>
        <cfvo type="min"/>
        <cfvo type="max"/>
        <color rgb="FFFF555A"/>
      </dataBar>
    </cfRule>
    <cfRule type="dataBar" priority="70">
      <dataBar>
        <cfvo type="min"/>
        <cfvo type="max"/>
        <color rgb="FF63C384"/>
      </dataBar>
    </cfRule>
  </conditionalFormatting>
  <conditionalFormatting sqref="AK5:AK22">
    <cfRule type="dataBar" priority="166">
      <dataBar>
        <cfvo type="min"/>
        <cfvo type="max"/>
        <color rgb="FF63C384"/>
      </dataBar>
    </cfRule>
    <cfRule type="dataBar" priority="165">
      <dataBar>
        <cfvo type="min"/>
        <cfvo type="max"/>
        <color rgb="FFFF555A"/>
      </dataBar>
    </cfRule>
  </conditionalFormatting>
  <conditionalFormatting sqref="AK28:AK45">
    <cfRule type="dataBar" priority="117">
      <dataBar>
        <cfvo type="min"/>
        <cfvo type="max"/>
        <color rgb="FF63C384"/>
      </dataBar>
    </cfRule>
    <cfRule type="dataBar" priority="116">
      <dataBar>
        <cfvo type="min"/>
        <cfvo type="max"/>
        <color rgb="FFFF555A"/>
      </dataBar>
    </cfRule>
  </conditionalFormatting>
  <conditionalFormatting sqref="AK51:AK68">
    <cfRule type="dataBar" priority="67">
      <dataBar>
        <cfvo type="min"/>
        <cfvo type="max"/>
        <color rgb="FFFF555A"/>
      </dataBar>
    </cfRule>
    <cfRule type="dataBar" priority="68">
      <dataBar>
        <cfvo type="min"/>
        <cfvo type="max"/>
        <color rgb="FF63C384"/>
      </dataBar>
    </cfRule>
  </conditionalFormatting>
  <conditionalFormatting sqref="AM5:AM22">
    <cfRule type="dataBar" priority="163">
      <dataBar>
        <cfvo type="min"/>
        <cfvo type="max"/>
        <color rgb="FFFF555A"/>
      </dataBar>
    </cfRule>
    <cfRule type="dataBar" priority="164">
      <dataBar>
        <cfvo type="min"/>
        <cfvo type="max"/>
        <color rgb="FF63C384"/>
      </dataBar>
    </cfRule>
  </conditionalFormatting>
  <conditionalFormatting sqref="AM28:AM45">
    <cfRule type="dataBar" priority="115">
      <dataBar>
        <cfvo type="min"/>
        <cfvo type="max"/>
        <color rgb="FF63C384"/>
      </dataBar>
    </cfRule>
    <cfRule type="dataBar" priority="114">
      <dataBar>
        <cfvo type="min"/>
        <cfvo type="max"/>
        <color rgb="FFFF555A"/>
      </dataBar>
    </cfRule>
  </conditionalFormatting>
  <conditionalFormatting sqref="AM51:AM68">
    <cfRule type="dataBar" priority="66">
      <dataBar>
        <cfvo type="min"/>
        <cfvo type="max"/>
        <color rgb="FF63C384"/>
      </dataBar>
    </cfRule>
    <cfRule type="dataBar" priority="65">
      <dataBar>
        <cfvo type="min"/>
        <cfvo type="max"/>
        <color rgb="FFFF555A"/>
      </dataBar>
    </cfRule>
  </conditionalFormatting>
  <conditionalFormatting sqref="AO5:AO22">
    <cfRule type="dataBar" priority="33">
      <dataBar>
        <cfvo type="min"/>
        <cfvo type="max"/>
        <color rgb="FFFF555A"/>
      </dataBar>
    </cfRule>
    <cfRule type="dataBar" priority="34">
      <dataBar>
        <cfvo type="min"/>
        <cfvo type="max"/>
        <color rgb="FF63C384"/>
      </dataBar>
    </cfRule>
  </conditionalFormatting>
  <conditionalFormatting sqref="AO28:AO45">
    <cfRule type="dataBar" priority="31">
      <dataBar>
        <cfvo type="min"/>
        <cfvo type="max"/>
        <color rgb="FFFF555A"/>
      </dataBar>
    </cfRule>
    <cfRule type="dataBar" priority="32">
      <dataBar>
        <cfvo type="min"/>
        <cfvo type="max"/>
        <color rgb="FF63C384"/>
      </dataBar>
    </cfRule>
  </conditionalFormatting>
  <conditionalFormatting sqref="AO51:AO68">
    <cfRule type="dataBar" priority="64">
      <dataBar>
        <cfvo type="min"/>
        <cfvo type="max"/>
        <color rgb="FFFF555A"/>
      </dataBar>
    </cfRule>
  </conditionalFormatting>
  <conditionalFormatting sqref="AQ5:AQ22">
    <cfRule type="dataBar" priority="145">
      <dataBar>
        <cfvo type="min"/>
        <cfvo type="max"/>
        <color rgb="FF63C384"/>
      </dataBar>
    </cfRule>
    <cfRule type="dataBar" priority="144">
      <dataBar>
        <cfvo type="min"/>
        <cfvo type="max"/>
        <color rgb="FFFF555A"/>
      </dataBar>
    </cfRule>
  </conditionalFormatting>
  <conditionalFormatting sqref="AQ28:AQ45">
    <cfRule type="dataBar" priority="96">
      <dataBar>
        <cfvo type="min"/>
        <cfvo type="max"/>
        <color rgb="FF63C384"/>
      </dataBar>
    </cfRule>
    <cfRule type="dataBar" priority="95">
      <dataBar>
        <cfvo type="min"/>
        <cfvo type="max"/>
        <color rgb="FFFF555A"/>
      </dataBar>
    </cfRule>
  </conditionalFormatting>
  <conditionalFormatting sqref="AQ51:AQ68">
    <cfRule type="dataBar" priority="46">
      <dataBar>
        <cfvo type="min"/>
        <cfvo type="max"/>
        <color rgb="FF63C384"/>
      </dataBar>
    </cfRule>
    <cfRule type="dataBar" priority="45">
      <dataBar>
        <cfvo type="min"/>
        <cfvo type="max"/>
        <color rgb="FFFF555A"/>
      </dataBar>
    </cfRule>
  </conditionalFormatting>
  <conditionalFormatting sqref="AT5:AT22">
    <cfRule type="dataBar" priority="30">
      <dataBar>
        <cfvo type="min"/>
        <cfvo type="max"/>
        <color rgb="FF63C384"/>
      </dataBar>
    </cfRule>
    <cfRule type="dataBar" priority="29">
      <dataBar>
        <cfvo type="min"/>
        <cfvo type="max"/>
        <color rgb="FFD883FF"/>
      </dataBar>
    </cfRule>
  </conditionalFormatting>
  <conditionalFormatting sqref="AT28:AT45">
    <cfRule type="dataBar" priority="20">
      <dataBar>
        <cfvo type="min"/>
        <cfvo type="max"/>
        <color rgb="FF63C384"/>
      </dataBar>
    </cfRule>
    <cfRule type="dataBar" priority="19">
      <dataBar>
        <cfvo type="min"/>
        <cfvo type="max"/>
        <color rgb="FFD883FF"/>
      </dataBar>
    </cfRule>
  </conditionalFormatting>
  <conditionalFormatting sqref="AT51:AT68">
    <cfRule type="dataBar" priority="9">
      <dataBar>
        <cfvo type="min"/>
        <cfvo type="max"/>
        <color rgb="FFD883FF"/>
      </dataBar>
    </cfRule>
    <cfRule type="dataBar" priority="10">
      <dataBar>
        <cfvo type="min"/>
        <cfvo type="max"/>
        <color rgb="FF63C384"/>
      </dataBar>
    </cfRule>
  </conditionalFormatting>
  <conditionalFormatting sqref="AV5:AV22">
    <cfRule type="dataBar" priority="28">
      <dataBar>
        <cfvo type="min"/>
        <cfvo type="max"/>
        <color rgb="FF63C384"/>
      </dataBar>
    </cfRule>
    <cfRule type="dataBar" priority="27">
      <dataBar>
        <cfvo type="min"/>
        <cfvo type="max"/>
        <color rgb="FFD883FF"/>
      </dataBar>
    </cfRule>
  </conditionalFormatting>
  <conditionalFormatting sqref="AV28:AV45">
    <cfRule type="dataBar" priority="17">
      <dataBar>
        <cfvo type="min"/>
        <cfvo type="max"/>
        <color rgb="FFD883FF"/>
      </dataBar>
    </cfRule>
    <cfRule type="dataBar" priority="18">
      <dataBar>
        <cfvo type="min"/>
        <cfvo type="max"/>
        <color rgb="FF63C384"/>
      </dataBar>
    </cfRule>
  </conditionalFormatting>
  <conditionalFormatting sqref="AV51:AV68">
    <cfRule type="dataBar" priority="8">
      <dataBar>
        <cfvo type="min"/>
        <cfvo type="max"/>
        <color rgb="FF63C384"/>
      </dataBar>
    </cfRule>
    <cfRule type="dataBar" priority="7">
      <dataBar>
        <cfvo type="min"/>
        <cfvo type="max"/>
        <color rgb="FFD883FF"/>
      </dataBar>
    </cfRule>
  </conditionalFormatting>
  <conditionalFormatting sqref="AX5:AX22">
    <cfRule type="dataBar" priority="25">
      <dataBar>
        <cfvo type="min"/>
        <cfvo type="max"/>
        <color rgb="FFD883FF"/>
      </dataBar>
    </cfRule>
    <cfRule type="dataBar" priority="26">
      <dataBar>
        <cfvo type="min"/>
        <cfvo type="max"/>
        <color rgb="FF63C384"/>
      </dataBar>
    </cfRule>
  </conditionalFormatting>
  <conditionalFormatting sqref="AX28:AX45">
    <cfRule type="dataBar" priority="15">
      <dataBar>
        <cfvo type="min"/>
        <cfvo type="max"/>
        <color rgb="FFD883FF"/>
      </dataBar>
    </cfRule>
    <cfRule type="dataBar" priority="16">
      <dataBar>
        <cfvo type="min"/>
        <cfvo type="max"/>
        <color rgb="FF63C384"/>
      </dataBar>
    </cfRule>
  </conditionalFormatting>
  <conditionalFormatting sqref="AX51:AX68">
    <cfRule type="dataBar" priority="6">
      <dataBar>
        <cfvo type="min"/>
        <cfvo type="max"/>
        <color rgb="FF63C384"/>
      </dataBar>
    </cfRule>
    <cfRule type="dataBar" priority="5">
      <dataBar>
        <cfvo type="min"/>
        <cfvo type="max"/>
        <color rgb="FFD883FF"/>
      </dataBar>
    </cfRule>
  </conditionalFormatting>
  <conditionalFormatting sqref="AZ5:AZ22">
    <cfRule type="dataBar" priority="23">
      <dataBar>
        <cfvo type="min"/>
        <cfvo type="max"/>
        <color rgb="FFD883FF"/>
      </dataBar>
    </cfRule>
    <cfRule type="dataBar" priority="24">
      <dataBar>
        <cfvo type="min"/>
        <cfvo type="max"/>
        <color rgb="FF63C384"/>
      </dataBar>
    </cfRule>
  </conditionalFormatting>
  <conditionalFormatting sqref="AZ28:AZ45">
    <cfRule type="dataBar" priority="13">
      <dataBar>
        <cfvo type="min"/>
        <cfvo type="max"/>
        <color rgb="FFD883FF"/>
      </dataBar>
    </cfRule>
    <cfRule type="dataBar" priority="14">
      <dataBar>
        <cfvo type="min"/>
        <cfvo type="max"/>
        <color rgb="FF63C384"/>
      </dataBar>
    </cfRule>
  </conditionalFormatting>
  <conditionalFormatting sqref="AZ51:AZ68">
    <cfRule type="dataBar" priority="3">
      <dataBar>
        <cfvo type="min"/>
        <cfvo type="max"/>
        <color rgb="FFD883FF"/>
      </dataBar>
    </cfRule>
    <cfRule type="dataBar" priority="4">
      <dataBar>
        <cfvo type="min"/>
        <cfvo type="max"/>
        <color rgb="FF63C384"/>
      </dataBar>
    </cfRule>
  </conditionalFormatting>
  <conditionalFormatting sqref="BB5:BB22">
    <cfRule type="dataBar" priority="22">
      <dataBar>
        <cfvo type="min"/>
        <cfvo type="max"/>
        <color rgb="FF63C384"/>
      </dataBar>
    </cfRule>
    <cfRule type="dataBar" priority="21">
      <dataBar>
        <cfvo type="min"/>
        <cfvo type="max"/>
        <color rgb="FFD883FF"/>
      </dataBar>
    </cfRule>
  </conditionalFormatting>
  <conditionalFormatting sqref="BB28:BB45">
    <cfRule type="dataBar" priority="12">
      <dataBar>
        <cfvo type="min"/>
        <cfvo type="max"/>
        <color rgb="FF63C384"/>
      </dataBar>
    </cfRule>
    <cfRule type="dataBar" priority="11">
      <dataBar>
        <cfvo type="min"/>
        <cfvo type="max"/>
        <color rgb="FFD883FF"/>
      </dataBar>
    </cfRule>
  </conditionalFormatting>
  <conditionalFormatting sqref="BB51:BB68">
    <cfRule type="dataBar" priority="1">
      <dataBar>
        <cfvo type="min"/>
        <cfvo type="max"/>
        <color rgb="FFD883FF"/>
      </dataBar>
    </cfRule>
    <cfRule type="dataBar" priority="2">
      <dataBar>
        <cfvo type="min"/>
        <cfvo type="max"/>
        <color rgb="FF63C384"/>
      </dataBar>
    </cfRule>
  </conditionalFormatting>
  <conditionalFormatting sqref="BE5:BE22">
    <cfRule type="dataBar" priority="162">
      <dataBar>
        <cfvo type="min"/>
        <cfvo type="max"/>
        <color rgb="FF63C384"/>
      </dataBar>
    </cfRule>
    <cfRule type="dataBar" priority="161">
      <dataBar>
        <cfvo type="min"/>
        <cfvo type="max"/>
        <color theme="1" tint="0.499984740745262"/>
      </dataBar>
    </cfRule>
  </conditionalFormatting>
  <conditionalFormatting sqref="BE28:BE45">
    <cfRule type="dataBar" priority="113">
      <dataBar>
        <cfvo type="min"/>
        <cfvo type="max"/>
        <color rgb="FF63C384"/>
      </dataBar>
    </cfRule>
    <cfRule type="dataBar" priority="112">
      <dataBar>
        <cfvo type="min"/>
        <cfvo type="max"/>
        <color theme="1" tint="0.499984740745262"/>
      </dataBar>
    </cfRule>
  </conditionalFormatting>
  <conditionalFormatting sqref="BE51:BE68">
    <cfRule type="dataBar" priority="63">
      <dataBar>
        <cfvo type="min"/>
        <cfvo type="max"/>
        <color rgb="FF63C384"/>
      </dataBar>
    </cfRule>
    <cfRule type="dataBar" priority="62">
      <dataBar>
        <cfvo type="min"/>
        <cfvo type="max"/>
        <color theme="1" tint="0.499984740745262"/>
      </dataBar>
    </cfRule>
  </conditionalFormatting>
  <conditionalFormatting sqref="BG5:BG22">
    <cfRule type="dataBar" priority="159">
      <dataBar>
        <cfvo type="min"/>
        <cfvo type="max"/>
        <color theme="1" tint="0.499984740745262"/>
      </dataBar>
    </cfRule>
    <cfRule type="dataBar" priority="160">
      <dataBar>
        <cfvo type="min"/>
        <cfvo type="max"/>
        <color rgb="FF63C384"/>
      </dataBar>
    </cfRule>
  </conditionalFormatting>
  <conditionalFormatting sqref="BG28:BG45">
    <cfRule type="dataBar" priority="110">
      <dataBar>
        <cfvo type="min"/>
        <cfvo type="max"/>
        <color theme="1" tint="0.499984740745262"/>
      </dataBar>
    </cfRule>
    <cfRule type="dataBar" priority="111">
      <dataBar>
        <cfvo type="min"/>
        <cfvo type="max"/>
        <color rgb="FF63C384"/>
      </dataBar>
    </cfRule>
  </conditionalFormatting>
  <conditionalFormatting sqref="BG51:BG68">
    <cfRule type="dataBar" priority="60">
      <dataBar>
        <cfvo type="min"/>
        <cfvo type="max"/>
        <color theme="1" tint="0.499984740745262"/>
      </dataBar>
    </cfRule>
    <cfRule type="dataBar" priority="61">
      <dataBar>
        <cfvo type="min"/>
        <cfvo type="max"/>
        <color rgb="FF63C384"/>
      </dataBar>
    </cfRule>
  </conditionalFormatting>
  <conditionalFormatting sqref="BI5:BI22">
    <cfRule type="dataBar" priority="157">
      <dataBar>
        <cfvo type="min"/>
        <cfvo type="max"/>
        <color theme="1" tint="0.499984740745262"/>
      </dataBar>
    </cfRule>
    <cfRule type="dataBar" priority="158">
      <dataBar>
        <cfvo type="min"/>
        <cfvo type="max"/>
        <color rgb="FF63C384"/>
      </dataBar>
    </cfRule>
  </conditionalFormatting>
  <conditionalFormatting sqref="BI28:BI45">
    <cfRule type="dataBar" priority="109">
      <dataBar>
        <cfvo type="min"/>
        <cfvo type="max"/>
        <color rgb="FF63C384"/>
      </dataBar>
    </cfRule>
    <cfRule type="dataBar" priority="108">
      <dataBar>
        <cfvo type="min"/>
        <cfvo type="max"/>
        <color theme="1" tint="0.499984740745262"/>
      </dataBar>
    </cfRule>
  </conditionalFormatting>
  <conditionalFormatting sqref="BI51:BI68">
    <cfRule type="dataBar" priority="59">
      <dataBar>
        <cfvo type="min"/>
        <cfvo type="max"/>
        <color rgb="FF63C384"/>
      </dataBar>
    </cfRule>
    <cfRule type="dataBar" priority="58">
      <dataBar>
        <cfvo type="min"/>
        <cfvo type="max"/>
        <color theme="1" tint="0.499984740745262"/>
      </dataBar>
    </cfRule>
  </conditionalFormatting>
  <conditionalFormatting sqref="BK5:BK22">
    <cfRule type="dataBar" priority="156">
      <dataBar>
        <cfvo type="min"/>
        <cfvo type="max"/>
        <color rgb="FF63C384"/>
      </dataBar>
    </cfRule>
    <cfRule type="dataBar" priority="155">
      <dataBar>
        <cfvo type="min"/>
        <cfvo type="max"/>
        <color theme="1" tint="0.499984740745262"/>
      </dataBar>
    </cfRule>
  </conditionalFormatting>
  <conditionalFormatting sqref="BK28:BK45">
    <cfRule type="dataBar" priority="106">
      <dataBar>
        <cfvo type="min"/>
        <cfvo type="max"/>
        <color theme="1" tint="0.499984740745262"/>
      </dataBar>
    </cfRule>
    <cfRule type="dataBar" priority="107">
      <dataBar>
        <cfvo type="min"/>
        <cfvo type="max"/>
        <color rgb="FF63C384"/>
      </dataBar>
    </cfRule>
  </conditionalFormatting>
  <conditionalFormatting sqref="BK51:BK68">
    <cfRule type="dataBar" priority="57">
      <dataBar>
        <cfvo type="min"/>
        <cfvo type="max"/>
        <color rgb="FF63C384"/>
      </dataBar>
    </cfRule>
    <cfRule type="dataBar" priority="56">
      <dataBar>
        <cfvo type="min"/>
        <cfvo type="max"/>
        <color theme="1" tint="0.499984740745262"/>
      </dataBar>
    </cfRule>
  </conditionalFormatting>
  <conditionalFormatting sqref="BM5:BM22">
    <cfRule type="dataBar" priority="154">
      <dataBar>
        <cfvo type="min"/>
        <cfvo type="max"/>
        <color rgb="FF63C384"/>
      </dataBar>
    </cfRule>
    <cfRule type="dataBar" priority="153">
      <dataBar>
        <cfvo type="min"/>
        <cfvo type="max"/>
        <color theme="1" tint="0.499984740745262"/>
      </dataBar>
    </cfRule>
  </conditionalFormatting>
  <conditionalFormatting sqref="BM28:BM45">
    <cfRule type="dataBar" priority="105">
      <dataBar>
        <cfvo type="min"/>
        <cfvo type="max"/>
        <color rgb="FF63C384"/>
      </dataBar>
    </cfRule>
    <cfRule type="dataBar" priority="104">
      <dataBar>
        <cfvo type="min"/>
        <cfvo type="max"/>
        <color theme="1" tint="0.499984740745262"/>
      </dataBar>
    </cfRule>
  </conditionalFormatting>
  <conditionalFormatting sqref="BM51:BM68">
    <cfRule type="dataBar" priority="54">
      <dataBar>
        <cfvo type="min"/>
        <cfvo type="max"/>
        <color theme="1" tint="0.499984740745262"/>
      </dataBar>
    </cfRule>
    <cfRule type="dataBar" priority="55">
      <dataBar>
        <cfvo type="min"/>
        <cfvo type="max"/>
        <color rgb="FF63C384"/>
      </dataBar>
    </cfRule>
  </conditionalFormatting>
  <conditionalFormatting sqref="BO5:BO22">
    <cfRule type="dataBar" priority="151">
      <dataBar>
        <cfvo type="min"/>
        <cfvo type="max"/>
        <color theme="1" tint="0.499984740745262"/>
      </dataBar>
    </cfRule>
    <cfRule type="dataBar" priority="152">
      <dataBar>
        <cfvo type="min"/>
        <cfvo type="max"/>
        <color rgb="FF63C384"/>
      </dataBar>
    </cfRule>
  </conditionalFormatting>
  <conditionalFormatting sqref="BO28:BO45">
    <cfRule type="dataBar" priority="103">
      <dataBar>
        <cfvo type="min"/>
        <cfvo type="max"/>
        <color rgb="FF63C384"/>
      </dataBar>
    </cfRule>
    <cfRule type="dataBar" priority="102">
      <dataBar>
        <cfvo type="min"/>
        <cfvo type="max"/>
        <color theme="1" tint="0.499984740745262"/>
      </dataBar>
    </cfRule>
  </conditionalFormatting>
  <conditionalFormatting sqref="BO51:BO68">
    <cfRule type="dataBar" priority="53">
      <dataBar>
        <cfvo type="min"/>
        <cfvo type="max"/>
        <color rgb="FF63C384"/>
      </dataBar>
    </cfRule>
    <cfRule type="dataBar" priority="52">
      <dataBar>
        <cfvo type="min"/>
        <cfvo type="max"/>
        <color theme="1" tint="0.499984740745262"/>
      </dataBar>
    </cfRule>
  </conditionalFormatting>
  <conditionalFormatting sqref="BQ5:BQ22">
    <cfRule type="dataBar" priority="142">
      <dataBar>
        <cfvo type="min"/>
        <cfvo type="max"/>
        <color theme="1" tint="0.499984740745262"/>
      </dataBar>
    </cfRule>
    <cfRule type="dataBar" priority="143">
      <dataBar>
        <cfvo type="min"/>
        <cfvo type="max"/>
        <color rgb="FF63C384"/>
      </dataBar>
    </cfRule>
  </conditionalFormatting>
  <conditionalFormatting sqref="BQ28:BQ45">
    <cfRule type="dataBar" priority="93">
      <dataBar>
        <cfvo type="min"/>
        <cfvo type="max"/>
        <color theme="1" tint="0.499984740745262"/>
      </dataBar>
    </cfRule>
    <cfRule type="dataBar" priority="94">
      <dataBar>
        <cfvo type="min"/>
        <cfvo type="max"/>
        <color rgb="FF63C384"/>
      </dataBar>
    </cfRule>
  </conditionalFormatting>
  <conditionalFormatting sqref="BQ51:BQ68">
    <cfRule type="dataBar" priority="44">
      <dataBar>
        <cfvo type="min"/>
        <cfvo type="max"/>
        <color rgb="FF63C384"/>
      </dataBar>
    </cfRule>
    <cfRule type="dataBar" priority="43">
      <dataBar>
        <cfvo type="min"/>
        <cfvo type="max"/>
        <color theme="1" tint="0.499984740745262"/>
      </dataBar>
    </cfRule>
  </conditionalFormatting>
  <conditionalFormatting sqref="BT5:BT22">
    <cfRule type="dataBar" priority="150">
      <dataBar>
        <cfvo type="min"/>
        <cfvo type="max"/>
        <color theme="5"/>
      </dataBar>
    </cfRule>
  </conditionalFormatting>
  <conditionalFormatting sqref="BT28:BT45">
    <cfRule type="dataBar" priority="101">
      <dataBar>
        <cfvo type="min"/>
        <cfvo type="max"/>
        <color theme="5"/>
      </dataBar>
    </cfRule>
  </conditionalFormatting>
  <conditionalFormatting sqref="BT51:BT68">
    <cfRule type="dataBar" priority="51">
      <dataBar>
        <cfvo type="min"/>
        <cfvo type="max"/>
        <color theme="5"/>
      </dataBar>
    </cfRule>
  </conditionalFormatting>
  <conditionalFormatting sqref="BV5:BV22">
    <cfRule type="dataBar" priority="149">
      <dataBar>
        <cfvo type="min"/>
        <cfvo type="max"/>
        <color theme="5"/>
      </dataBar>
    </cfRule>
  </conditionalFormatting>
  <conditionalFormatting sqref="BV28:BV45">
    <cfRule type="dataBar" priority="100">
      <dataBar>
        <cfvo type="min"/>
        <cfvo type="max"/>
        <color theme="5"/>
      </dataBar>
    </cfRule>
  </conditionalFormatting>
  <conditionalFormatting sqref="BV51:BV68">
    <cfRule type="dataBar" priority="50">
      <dataBar>
        <cfvo type="min"/>
        <cfvo type="max"/>
        <color theme="5"/>
      </dataBar>
    </cfRule>
  </conditionalFormatting>
  <conditionalFormatting sqref="BX5:BX22">
    <cfRule type="dataBar" priority="148">
      <dataBar>
        <cfvo type="min"/>
        <cfvo type="max"/>
        <color theme="5"/>
      </dataBar>
    </cfRule>
  </conditionalFormatting>
  <conditionalFormatting sqref="BX28:BX45">
    <cfRule type="dataBar" priority="99">
      <dataBar>
        <cfvo type="min"/>
        <cfvo type="max"/>
        <color theme="5"/>
      </dataBar>
    </cfRule>
  </conditionalFormatting>
  <conditionalFormatting sqref="BX51:BX68">
    <cfRule type="dataBar" priority="49">
      <dataBar>
        <cfvo type="min"/>
        <cfvo type="max"/>
        <color theme="5"/>
      </dataBar>
    </cfRule>
  </conditionalFormatting>
  <dataValidations count="1">
    <dataValidation sqref="AD1" showDropDown="0" showInputMessage="0" showErrorMessage="1" allowBlank="1" type="list">
      <formula1>"2025, 2024, 2023, 2022, 2021, 2020, 2019, 2018"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/>
  </sheetPr>
  <dimension ref="A1:BZ23"/>
  <sheetViews>
    <sheetView tabSelected="1" zoomScale="86" workbookViewId="0">
      <pane xSplit="1" topLeftCell="Y1" activePane="topRight" state="frozen"/>
      <selection activeCell="A4" sqref="A4"/>
      <selection pane="topRight" activeCell="A5" sqref="A5:A22"/>
    </sheetView>
  </sheetViews>
  <sheetFormatPr baseColWidth="10" defaultRowHeight="16"/>
  <cols>
    <col width="30.33203125" bestFit="1" customWidth="1" min="1" max="1"/>
    <col width="3.6640625" customWidth="1" min="3" max="3"/>
    <col width="3.6640625" customWidth="1" min="5" max="5"/>
    <col width="3.6640625" customWidth="1" min="7" max="7"/>
    <col width="3.6640625" customWidth="1" min="9" max="9"/>
    <col width="11" customWidth="1" min="10" max="10"/>
    <col width="3.6640625" customWidth="1" min="11" max="12"/>
    <col width="3.6640625" customWidth="1" min="14" max="14"/>
    <col width="3.6640625" customWidth="1" min="16" max="16"/>
    <col width="3.6640625" customWidth="1" min="18" max="18"/>
    <col width="3.6640625" customWidth="1" min="20" max="20"/>
    <col width="11" customWidth="1" min="21" max="21"/>
    <col width="3.6640625" customWidth="1" min="22" max="23"/>
    <col width="3.6640625" customWidth="1" min="25" max="25"/>
    <col width="3.6640625" customWidth="1" min="27" max="27"/>
    <col width="3.6640625" customWidth="1" min="29" max="29"/>
    <col width="3.6640625" customWidth="1" min="31" max="31"/>
    <col width="11" customWidth="1" min="32" max="32"/>
    <col width="3.6640625" customWidth="1" min="33" max="34"/>
    <col width="3.6640625" customWidth="1" min="36" max="36"/>
    <col width="3.6640625" customWidth="1" min="38" max="38"/>
    <col width="3.6640625" customWidth="1" min="40" max="40"/>
    <col width="3.6640625" customWidth="1" min="42" max="42"/>
    <col width="11" customWidth="1" min="43" max="43"/>
    <col width="3.6640625" customWidth="1" min="44" max="45"/>
    <col width="3.6640625" customWidth="1" min="47" max="47"/>
    <col width="3.6640625" customWidth="1" min="49" max="49"/>
    <col width="3.6640625" customWidth="1" min="51" max="51"/>
    <col width="3.6640625" customWidth="1" min="53" max="53"/>
    <col width="11" customWidth="1" min="54" max="54"/>
    <col width="3.6640625" customWidth="1" min="55" max="56"/>
    <col width="3.6640625" customWidth="1" min="58" max="58"/>
    <col width="3.6640625" customWidth="1" min="60" max="60"/>
    <col width="3.6640625" customWidth="1" min="62" max="62"/>
    <col width="3.6640625" customWidth="1" min="64" max="64"/>
    <col width="3.6640625" customWidth="1" min="66" max="66"/>
    <col width="3.6640625" customWidth="1" min="68" max="68"/>
    <col width="11" customWidth="1" min="69" max="69"/>
    <col width="3.6640625" customWidth="1" min="70" max="71"/>
    <col width="3.6640625" customWidth="1" min="73" max="73"/>
    <col width="3.6640625" customWidth="1" min="75" max="75"/>
    <col width="3.6640625" customWidth="1" min="77" max="77"/>
  </cols>
  <sheetData>
    <row r="1" ht="35" customHeight="1">
      <c r="A1" s="67" t="inlineStr">
        <is>
          <t>LAST 10 GAMES</t>
        </is>
      </c>
      <c r="BZ1" s="69" t="n"/>
    </row>
    <row r="2" ht="17" customHeight="1" thickBot="1">
      <c r="BZ2" s="69" t="n"/>
    </row>
    <row r="3" ht="25" customFormat="1" customHeight="1" s="25" thickBot="1">
      <c r="A3" s="240" t="inlineStr">
        <is>
          <t>Team</t>
        </is>
      </c>
      <c r="B3" s="242" t="inlineStr">
        <is>
          <t>Ball Winning</t>
        </is>
      </c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9" t="n"/>
      <c r="M3" s="245" t="inlineStr">
        <is>
          <t>Ball Movement</t>
        </is>
      </c>
      <c r="N3" s="321" t="n"/>
      <c r="O3" s="321" t="n"/>
      <c r="P3" s="321" t="n"/>
      <c r="Q3" s="321" t="n"/>
      <c r="R3" s="321" t="n"/>
      <c r="S3" s="321" t="n"/>
      <c r="T3" s="321" t="n"/>
      <c r="U3" s="321" t="n"/>
      <c r="V3" s="321" t="n"/>
      <c r="W3" s="39" t="n"/>
      <c r="X3" s="248" t="inlineStr">
        <is>
          <t>Scoring</t>
        </is>
      </c>
      <c r="Y3" s="321" t="n"/>
      <c r="Z3" s="321" t="n"/>
      <c r="AA3" s="321" t="n"/>
      <c r="AB3" s="321" t="n"/>
      <c r="AC3" s="321" t="n"/>
      <c r="AD3" s="321" t="n"/>
      <c r="AE3" s="321" t="n"/>
      <c r="AF3" s="321" t="n"/>
      <c r="AG3" s="321" t="n"/>
      <c r="AH3" s="39" t="n"/>
      <c r="AI3" s="251" t="inlineStr">
        <is>
          <t>Defence</t>
        </is>
      </c>
      <c r="AJ3" s="321" t="n"/>
      <c r="AK3" s="321" t="n"/>
      <c r="AL3" s="321" t="n"/>
      <c r="AM3" s="321" t="n"/>
      <c r="AN3" s="321" t="n"/>
      <c r="AO3" s="321" t="n"/>
      <c r="AP3" s="321" t="n"/>
      <c r="AQ3" s="321" t="n"/>
      <c r="AR3" s="321" t="n"/>
      <c r="AS3" s="39" t="n"/>
      <c r="AT3" s="254" t="inlineStr">
        <is>
          <t>Pressure</t>
        </is>
      </c>
      <c r="AU3" s="321" t="n"/>
      <c r="AV3" s="321" t="n"/>
      <c r="AW3" s="321" t="n"/>
      <c r="AX3" s="321" t="n"/>
      <c r="AY3" s="321" t="n"/>
      <c r="AZ3" s="321" t="n"/>
      <c r="BA3" s="321" t="n"/>
      <c r="BB3" s="321" t="n"/>
      <c r="BC3" s="321" t="n"/>
      <c r="BD3" s="39" t="n"/>
      <c r="BE3" s="322" t="inlineStr">
        <is>
          <t>Health Check</t>
        </is>
      </c>
      <c r="BF3" s="321" t="n"/>
      <c r="BG3" s="321" t="n"/>
      <c r="BH3" s="321" t="n"/>
      <c r="BI3" s="321" t="n"/>
      <c r="BJ3" s="321" t="n"/>
      <c r="BK3" s="321" t="n"/>
      <c r="BL3" s="321" t="n"/>
      <c r="BM3" s="321" t="n"/>
      <c r="BN3" s="321" t="n"/>
      <c r="BO3" s="321" t="n"/>
      <c r="BP3" s="321" t="n"/>
      <c r="BQ3" s="321" t="n"/>
      <c r="BR3" s="323" t="n"/>
      <c r="BS3" s="39" t="n"/>
      <c r="BT3" s="237" t="inlineStr">
        <is>
          <t>Wheelo Ratings</t>
        </is>
      </c>
      <c r="BU3" s="321" t="n"/>
      <c r="BV3" s="321" t="n"/>
      <c r="BW3" s="321" t="n"/>
      <c r="BX3" s="321" t="n"/>
      <c r="BY3" s="324" t="n"/>
      <c r="BZ3" s="70" t="n"/>
    </row>
    <row r="4" ht="69" customHeight="1" thickBot="1">
      <c r="A4" s="325" t="n"/>
      <c r="B4" s="21" t="inlineStr">
        <is>
          <t>Post Clear CP Diff</t>
        </is>
      </c>
      <c r="C4" s="20" t="inlineStr">
        <is>
          <t>Rank</t>
        </is>
      </c>
      <c r="D4" s="20" t="inlineStr">
        <is>
          <t>Ground Ball Diff</t>
        </is>
      </c>
      <c r="E4" s="20" t="inlineStr">
        <is>
          <t>Rank</t>
        </is>
      </c>
      <c r="F4" s="20" t="inlineStr">
        <is>
          <t>1st Poss to Clear %</t>
        </is>
      </c>
      <c r="G4" s="20" t="inlineStr">
        <is>
          <t>Rank</t>
        </is>
      </c>
      <c r="H4" s="20" t="inlineStr">
        <is>
          <t>Clearance Diff</t>
        </is>
      </c>
      <c r="I4" s="29" t="inlineStr">
        <is>
          <t>Rank</t>
        </is>
      </c>
      <c r="J4" s="27" t="inlineStr">
        <is>
          <t>Ball Winning Ranking</t>
        </is>
      </c>
      <c r="K4" s="28" t="inlineStr">
        <is>
          <t>Rank</t>
        </is>
      </c>
      <c r="L4" s="40" t="n"/>
      <c r="M4" s="19" t="inlineStr">
        <is>
          <t>Def Half to Score %</t>
        </is>
      </c>
      <c r="N4" s="8" t="inlineStr">
        <is>
          <t>Rank</t>
        </is>
      </c>
      <c r="O4" s="8" t="inlineStr">
        <is>
          <t>Chain to Score %</t>
        </is>
      </c>
      <c r="P4" s="8" t="inlineStr">
        <is>
          <t>Rank</t>
        </is>
      </c>
      <c r="Q4" s="8" t="inlineStr">
        <is>
          <t>D50 to F50 %</t>
        </is>
      </c>
      <c r="R4" s="8" t="inlineStr">
        <is>
          <t>Rank</t>
        </is>
      </c>
      <c r="S4" s="8" t="inlineStr">
        <is>
          <t>Kick Rating</t>
        </is>
      </c>
      <c r="T4" s="9" t="inlineStr">
        <is>
          <t>Rank</t>
        </is>
      </c>
      <c r="U4" s="30" t="inlineStr">
        <is>
          <t>Ball Movement Ranking</t>
        </is>
      </c>
      <c r="V4" s="31" t="inlineStr">
        <is>
          <t>Rank</t>
        </is>
      </c>
      <c r="W4" s="40" t="n"/>
      <c r="X4" s="41" t="inlineStr">
        <is>
          <t>Scores per I50 %</t>
        </is>
      </c>
      <c r="Y4" s="23" t="inlineStr">
        <is>
          <t>Rank</t>
        </is>
      </c>
      <c r="Z4" s="23" t="inlineStr">
        <is>
          <t>Goals Per I 50 %</t>
        </is>
      </c>
      <c r="AA4" s="23" t="inlineStr">
        <is>
          <t>Rank</t>
        </is>
      </c>
      <c r="AB4" s="23" t="inlineStr">
        <is>
          <t>Accuracy %</t>
        </is>
      </c>
      <c r="AC4" s="23" t="inlineStr">
        <is>
          <t>Rank</t>
        </is>
      </c>
      <c r="AD4" s="42" t="inlineStr">
        <is>
          <t>+/- Exp Score</t>
        </is>
      </c>
      <c r="AE4" s="43" t="inlineStr">
        <is>
          <t>Rank</t>
        </is>
      </c>
      <c r="AF4" s="44" t="inlineStr">
        <is>
          <t>Scoring Ranking</t>
        </is>
      </c>
      <c r="AG4" s="45" t="inlineStr">
        <is>
          <t>Rank</t>
        </is>
      </c>
      <c r="AH4" s="40" t="n"/>
      <c r="AI4" s="13" t="inlineStr">
        <is>
          <t>Def Half to Score Ag %</t>
        </is>
      </c>
      <c r="AJ4" s="14" t="inlineStr">
        <is>
          <t>Rank</t>
        </is>
      </c>
      <c r="AK4" s="14" t="inlineStr">
        <is>
          <t>Chain to Score Ag %</t>
        </is>
      </c>
      <c r="AL4" s="14" t="inlineStr">
        <is>
          <t>Rank</t>
        </is>
      </c>
      <c r="AM4" s="14" t="inlineStr">
        <is>
          <t>D50 to F50 Ag %</t>
        </is>
      </c>
      <c r="AN4" s="14" t="inlineStr">
        <is>
          <t>Rank</t>
        </is>
      </c>
      <c r="AO4" s="14" t="inlineStr">
        <is>
          <t>Goals Per I50 Ag %</t>
        </is>
      </c>
      <c r="AP4" s="15" t="inlineStr">
        <is>
          <t>Rank</t>
        </is>
      </c>
      <c r="AQ4" s="33" t="inlineStr">
        <is>
          <t>Defence Ranking</t>
        </is>
      </c>
      <c r="AR4" s="34" t="inlineStr">
        <is>
          <t>Rank</t>
        </is>
      </c>
      <c r="AS4" s="40" t="n"/>
      <c r="AT4" s="183" t="inlineStr">
        <is>
          <t>Tackle Diff</t>
        </is>
      </c>
      <c r="AU4" s="184" t="inlineStr">
        <is>
          <t>Rank</t>
        </is>
      </c>
      <c r="AV4" s="184" t="inlineStr">
        <is>
          <t>F50 Tackles</t>
        </is>
      </c>
      <c r="AW4" s="184" t="inlineStr">
        <is>
          <t>Rank</t>
        </is>
      </c>
      <c r="AX4" s="184" t="inlineStr">
        <is>
          <t>Pressure Acts</t>
        </is>
      </c>
      <c r="AY4" s="184" t="inlineStr">
        <is>
          <t>Rank</t>
        </is>
      </c>
      <c r="AZ4" s="184" t="inlineStr">
        <is>
          <t>1%'ers</t>
        </is>
      </c>
      <c r="BA4" s="185" t="inlineStr">
        <is>
          <t>Rank</t>
        </is>
      </c>
      <c r="BB4" s="186" t="inlineStr">
        <is>
          <t>Pressure Ranking</t>
        </is>
      </c>
      <c r="BC4" s="187" t="inlineStr">
        <is>
          <t>Rank</t>
        </is>
      </c>
      <c r="BD4" s="40" t="n"/>
      <c r="BE4" s="16" t="inlineStr">
        <is>
          <t>Score from Turnover For</t>
        </is>
      </c>
      <c r="BF4" s="17" t="inlineStr">
        <is>
          <t>Rank</t>
        </is>
      </c>
      <c r="BG4" s="17" t="inlineStr">
        <is>
          <t>Scores from Turnover Ag</t>
        </is>
      </c>
      <c r="BH4" s="17" t="inlineStr">
        <is>
          <t>Rank</t>
        </is>
      </c>
      <c r="BI4" s="17" t="inlineStr">
        <is>
          <t>Scores from Stoppages For</t>
        </is>
      </c>
      <c r="BJ4" s="17" t="inlineStr">
        <is>
          <t>Rank</t>
        </is>
      </c>
      <c r="BK4" s="17" t="inlineStr">
        <is>
          <t>Scores from Stoppage Ag</t>
        </is>
      </c>
      <c r="BL4" s="17" t="inlineStr">
        <is>
          <t>Rank</t>
        </is>
      </c>
      <c r="BM4" s="17" t="inlineStr">
        <is>
          <t>Territory %</t>
        </is>
      </c>
      <c r="BN4" s="17" t="inlineStr">
        <is>
          <t>Rank</t>
        </is>
      </c>
      <c r="BO4" s="17" t="inlineStr">
        <is>
          <t>Post-Clearance CP Diff</t>
        </is>
      </c>
      <c r="BP4" s="35" t="inlineStr">
        <is>
          <t>Rank</t>
        </is>
      </c>
      <c r="BQ4" s="36" t="inlineStr">
        <is>
          <t>Health Check Ranking</t>
        </is>
      </c>
      <c r="BR4" s="37" t="inlineStr">
        <is>
          <t>Rank</t>
        </is>
      </c>
      <c r="BS4" s="40" t="n"/>
      <c r="BT4" s="22" t="inlineStr">
        <is>
          <t>Attack Rating</t>
        </is>
      </c>
      <c r="BU4" s="23" t="inlineStr">
        <is>
          <t>Rank</t>
        </is>
      </c>
      <c r="BV4" s="23" t="inlineStr">
        <is>
          <t>Defence Rating</t>
        </is>
      </c>
      <c r="BW4" s="23" t="inlineStr">
        <is>
          <t>Rank</t>
        </is>
      </c>
      <c r="BX4" s="23" t="inlineStr">
        <is>
          <t>Overall Rating</t>
        </is>
      </c>
      <c r="BY4" s="24" t="inlineStr">
        <is>
          <t>Rank</t>
        </is>
      </c>
      <c r="BZ4" s="69" t="n"/>
    </row>
    <row r="5" ht="25" customHeight="1">
      <c r="A5" s="75" t="inlineStr">
        <is>
          <t>Adelaide</t>
        </is>
      </c>
      <c r="B5" s="46">
        <f>VLOOKUP($A5,'L10'!$A:$IZ,222,FALSE)</f>
        <v/>
      </c>
      <c r="C5" s="47">
        <f>RANK(B5,B$5:B$22)</f>
        <v/>
      </c>
      <c r="D5" s="48">
        <f>VLOOKUP($A5,'L10'!$A:$IZ,218,FALSE)</f>
        <v/>
      </c>
      <c r="E5" s="47">
        <f>RANK(D5,D$5:D$22)</f>
        <v/>
      </c>
      <c r="F5" s="48">
        <f>VLOOKUP($A5,'L10'!$A:$IZ,49,FALSE)</f>
        <v/>
      </c>
      <c r="G5" s="47">
        <f>RANK(F5,F$5:F$22)</f>
        <v/>
      </c>
      <c r="H5" s="48">
        <f>VLOOKUP($A5,'L10'!$A:$IZ,229,FALSE)</f>
        <v/>
      </c>
      <c r="I5" s="47">
        <f>RANK(H5,H$5:H$22)</f>
        <v/>
      </c>
      <c r="J5" s="49">
        <f>104-(C5+E5+G5+I5)</f>
        <v/>
      </c>
      <c r="K5" s="47">
        <f>RANK(J5,J$5:J$22)</f>
        <v/>
      </c>
      <c r="L5" s="50" t="n"/>
      <c r="M5" s="46">
        <f>VLOOKUP($A5,'L10'!$A:$IZ,88,FALSE)</f>
        <v/>
      </c>
      <c r="N5" s="47">
        <f>RANK(M5,M$5:M$22)</f>
        <v/>
      </c>
      <c r="O5" s="46">
        <f>VLOOKUP($A5,'L10'!$A:$IZ,84,FALSE)</f>
        <v/>
      </c>
      <c r="P5" s="47">
        <f>RANK(O5,O$5:O$22)</f>
        <v/>
      </c>
      <c r="Q5" s="46">
        <f>VLOOKUP($A5,'L10'!$A:$IZ,85,FALSE)</f>
        <v/>
      </c>
      <c r="R5" s="47">
        <f>RANK(Q5,Q$5:Q$22)</f>
        <v/>
      </c>
      <c r="S5" s="48">
        <f>VLOOKUP($A5,'L10'!$A:$IZ,29,FALSE)</f>
        <v/>
      </c>
      <c r="T5" s="47">
        <f>RANK(S5,S$5:S$22)</f>
        <v/>
      </c>
      <c r="U5" s="49">
        <f>104-(N5+P5+R5+T5)</f>
        <v/>
      </c>
      <c r="V5" s="47">
        <f>RANK(U5,U$5:U$22)</f>
        <v/>
      </c>
      <c r="W5" s="50" t="n"/>
      <c r="X5" s="46">
        <f>VLOOKUP($A5,'L10'!$A:$IZ,65,FALSE)</f>
        <v/>
      </c>
      <c r="Y5" s="47">
        <f>RANK(X5,X$5:X$22)</f>
        <v/>
      </c>
      <c r="Z5" s="46">
        <f>VLOOKUP($A5,'L10'!$A:$IZ,64,FALSE)</f>
        <v/>
      </c>
      <c r="AA5" s="47">
        <f>RANK(Z5,Z$5:Z$22)</f>
        <v/>
      </c>
      <c r="AB5" s="46">
        <f>VLOOKUP($A5,'L10'!$A:$IZ,63,FALSE)</f>
        <v/>
      </c>
      <c r="AC5" s="47">
        <f>RANK(AB5,AB$5:AB$22)</f>
        <v/>
      </c>
      <c r="AD5" s="46">
        <f>VLOOKUP($A5,'L10'!$A:$IZ,71,FALSE)</f>
        <v/>
      </c>
      <c r="AE5" s="47">
        <f>RANK(AD5,AD$5:AD$22)</f>
        <v/>
      </c>
      <c r="AF5" s="49">
        <f>104-(Y5+AA5+AC5+AE5)</f>
        <v/>
      </c>
      <c r="AG5" s="47">
        <f>RANK(AF5,AF$5:AF$22)</f>
        <v/>
      </c>
      <c r="AH5" s="50" t="n"/>
      <c r="AI5" s="46">
        <f>VLOOKUP($A5,'L10'!$A:$IZ,183,FALSE)</f>
        <v/>
      </c>
      <c r="AJ5" s="47">
        <f>RANK(AI5,AI$5:AI$22,1)</f>
        <v/>
      </c>
      <c r="AK5" s="46">
        <f>VLOOKUP($A5,'L10'!$A:$IZ,181,FALSE)</f>
        <v/>
      </c>
      <c r="AL5" s="47">
        <f>RANK(AK5,AK$5:AK$22,1)</f>
        <v/>
      </c>
      <c r="AM5" s="46">
        <f>VLOOKUP($A5,'L10'!$A:$IZ,182,FALSE)</f>
        <v/>
      </c>
      <c r="AN5" s="47">
        <f>RANK(AM5,AM$5:AM$22,1)</f>
        <v/>
      </c>
      <c r="AO5" s="46">
        <f>VLOOKUP($A5,'L10'!$A:$IZ,163,FALSE)</f>
        <v/>
      </c>
      <c r="AP5" s="47">
        <f>RANK(AO5,AO$5:AO$22,1)</f>
        <v/>
      </c>
      <c r="AQ5" s="49">
        <f>104-(AJ5+AL5+AN5+AP5)</f>
        <v/>
      </c>
      <c r="AR5" s="47">
        <f>RANK(AQ5,AQ$5:AQ$22)</f>
        <v/>
      </c>
      <c r="AS5" s="50" t="n"/>
      <c r="AT5" s="46">
        <f>VLOOKUP($A5,'L10'!$A:$IZ,250,FALSE)</f>
        <v/>
      </c>
      <c r="AU5" s="47">
        <f>RANK(AT5,AT$5:AT$22,0)</f>
        <v/>
      </c>
      <c r="AV5" s="46">
        <f>VLOOKUP($A5,'L10'!$A:$IZ,92,FALSE)</f>
        <v/>
      </c>
      <c r="AW5" s="47">
        <f>RANK(AV5,AV$5:AV$22,0)</f>
        <v/>
      </c>
      <c r="AX5" s="46">
        <f>VLOOKUP($A5,'L10'!$A:$IZ,93,FALSE)</f>
        <v/>
      </c>
      <c r="AY5" s="47">
        <f>RANK(AX5,AX$5:AX$22,0)</f>
        <v/>
      </c>
      <c r="AZ5" s="46">
        <f>VLOOKUP($A5,'L10'!$A:$IZ,108,FALSE)</f>
        <v/>
      </c>
      <c r="BA5" s="47">
        <f>RANK(AZ5,AZ$5:AZ$22,0)</f>
        <v/>
      </c>
      <c r="BB5" s="49">
        <f>104-(AU5+AW5+AY5+BA5)</f>
        <v/>
      </c>
      <c r="BC5" s="47">
        <f>RANK(BB5,BB$5:BB$22,0)</f>
        <v/>
      </c>
      <c r="BD5" s="50" t="n"/>
      <c r="BE5" s="46">
        <f>VLOOKUP($A5,'L10'!$A:$IZ,80,FALSE)</f>
        <v/>
      </c>
      <c r="BF5" s="47">
        <f>RANK(BE5,BE$5:BE$22)</f>
        <v/>
      </c>
      <c r="BG5" s="46">
        <f>VLOOKUP($A5,'L10'!$A:$IZ,177,FALSE)</f>
        <v/>
      </c>
      <c r="BH5" s="47">
        <f>RANK(BG5,BG$5:BG$22,1)</f>
        <v/>
      </c>
      <c r="BI5" s="46">
        <f>VLOOKUP($A5,'L10'!$A:$IZ,79,FALSE)</f>
        <v/>
      </c>
      <c r="BJ5" s="47">
        <f>RANK(BI5,BI$5:BI$22)</f>
        <v/>
      </c>
      <c r="BK5" s="46">
        <f>VLOOKUP($A5,'L10'!$A:$IZ,176,FALSE)</f>
        <v/>
      </c>
      <c r="BL5" s="47">
        <f>RANK(BK5,BK$5:BK$22,1)</f>
        <v/>
      </c>
      <c r="BM5" s="46">
        <f>VLOOKUP($A5,'L10'!$A:$IZ,11,FALSE)</f>
        <v/>
      </c>
      <c r="BN5" s="47">
        <f>RANK(BM5,BM$5:BM$22)</f>
        <v/>
      </c>
      <c r="BO5" s="46">
        <f>VLOOKUP($A5,'L10'!$A:$IZ,222,FALSE)</f>
        <v/>
      </c>
      <c r="BP5" s="47">
        <f>RANK(BO5,BO$5:BO$22)</f>
        <v/>
      </c>
      <c r="BQ5" s="49">
        <f>104-(BJ5+BL5+BN5+BP5)</f>
        <v/>
      </c>
      <c r="BR5" s="47">
        <f>RANK(BQ5,BQ$5:BQ$22)</f>
        <v/>
      </c>
      <c r="BS5" s="50" t="n"/>
      <c r="BT5" s="51">
        <f>VLOOKUP($A5,'Ratings Season'!$A:$M,8,FALSE)</f>
        <v/>
      </c>
      <c r="BU5" s="47">
        <f>RANK(BT5,BT$5:BT$22)</f>
        <v/>
      </c>
      <c r="BV5" s="51">
        <f>VLOOKUP($A5,'Ratings Season'!$A:$M,4,FALSE)</f>
        <v/>
      </c>
      <c r="BW5" s="47">
        <f>RANK(BV5,BV$5:BV$22)</f>
        <v/>
      </c>
      <c r="BX5" s="51">
        <f>VLOOKUP($A5,'Ratings Season'!$A:$M,2,FALSE)</f>
        <v/>
      </c>
      <c r="BY5" s="52">
        <f>RANK(BX5,BX$5:BX$22)</f>
        <v/>
      </c>
      <c r="BZ5" s="69" t="n"/>
    </row>
    <row r="6" ht="25" customHeight="1">
      <c r="A6" s="76" t="inlineStr">
        <is>
          <t>Brisbane</t>
        </is>
      </c>
      <c r="B6" s="53">
        <f>VLOOKUP($A6,'L10'!$A:$IZ,222,FALSE)</f>
        <v/>
      </c>
      <c r="C6" s="54">
        <f>RANK(B6,B$5:B$22)</f>
        <v/>
      </c>
      <c r="D6" s="55">
        <f>VLOOKUP($A6,'L10'!$A:$IZ,218,FALSE)</f>
        <v/>
      </c>
      <c r="E6" s="54">
        <f>RANK(D6,D$5:D$22)</f>
        <v/>
      </c>
      <c r="F6" s="55">
        <f>VLOOKUP($A6,'L10'!$A:$IZ,49,FALSE)</f>
        <v/>
      </c>
      <c r="G6" s="54">
        <f>RANK(F6,F$5:F$22)</f>
        <v/>
      </c>
      <c r="H6" s="55">
        <f>VLOOKUP($A6,'L10'!$A:$IZ,229,FALSE)</f>
        <v/>
      </c>
      <c r="I6" s="54">
        <f>RANK(H6,H$5:H$22)</f>
        <v/>
      </c>
      <c r="J6" s="49">
        <f>104-(C6+E6+G6+I6)</f>
        <v/>
      </c>
      <c r="K6" s="47">
        <f>RANK(J6,J$5:J$22)</f>
        <v/>
      </c>
      <c r="L6" s="56" t="n"/>
      <c r="M6" s="53">
        <f>VLOOKUP($A6,'L10'!$A:$IZ,88,FALSE)</f>
        <v/>
      </c>
      <c r="N6" s="54">
        <f>RANK(M6,M$5:M$22)</f>
        <v/>
      </c>
      <c r="O6" s="53">
        <f>VLOOKUP($A6,'L10'!$A:$IZ,84,FALSE)</f>
        <v/>
      </c>
      <c r="P6" s="54">
        <f>RANK(O6,O$5:O$22)</f>
        <v/>
      </c>
      <c r="Q6" s="53">
        <f>VLOOKUP($A6,'L10'!$A:$IZ,85,FALSE)</f>
        <v/>
      </c>
      <c r="R6" s="54">
        <f>RANK(Q6,Q$5:Q$22)</f>
        <v/>
      </c>
      <c r="S6" s="55">
        <f>VLOOKUP($A6,'L10'!$A:$IZ,29,FALSE)</f>
        <v/>
      </c>
      <c r="T6" s="54">
        <f>RANK(S6,S$5:S$22)</f>
        <v/>
      </c>
      <c r="U6" s="49">
        <f>104-(N6+P6+R6+T6)</f>
        <v/>
      </c>
      <c r="V6" s="47">
        <f>RANK(U6,U$5:U$22)</f>
        <v/>
      </c>
      <c r="W6" s="56" t="n"/>
      <c r="X6" s="53">
        <f>VLOOKUP($A6,'L10'!$A:$IZ,65,FALSE)</f>
        <v/>
      </c>
      <c r="Y6" s="54">
        <f>RANK(X6,X$5:X$22)</f>
        <v/>
      </c>
      <c r="Z6" s="53">
        <f>VLOOKUP($A6,'L10'!$A:$IZ,64,FALSE)</f>
        <v/>
      </c>
      <c r="AA6" s="54">
        <f>RANK(Z6,Z$5:Z$22)</f>
        <v/>
      </c>
      <c r="AB6" s="53">
        <f>VLOOKUP($A6,'L10'!$A:$IZ,63,FALSE)</f>
        <v/>
      </c>
      <c r="AC6" s="54">
        <f>RANK(AB6,AB$5:AB$22)</f>
        <v/>
      </c>
      <c r="AD6" s="53">
        <f>VLOOKUP($A6,'L10'!$A:$IZ,71,FALSE)</f>
        <v/>
      </c>
      <c r="AE6" s="54">
        <f>RANK(AD6,AD$5:AD$22)</f>
        <v/>
      </c>
      <c r="AF6" s="65">
        <f>104-(Y6+AA6+AC6+AE6)</f>
        <v/>
      </c>
      <c r="AG6" s="47">
        <f>RANK(AF6,AF$5:AF$22)</f>
        <v/>
      </c>
      <c r="AH6" s="56" t="n"/>
      <c r="AI6" s="53">
        <f>VLOOKUP($A6,'L10'!$A:$IZ,183,FALSE)</f>
        <v/>
      </c>
      <c r="AJ6" s="54">
        <f>RANK(AI6,AI$5:AI$22,1)</f>
        <v/>
      </c>
      <c r="AK6" s="53">
        <f>VLOOKUP($A6,'L10'!$A:$IZ,181,FALSE)</f>
        <v/>
      </c>
      <c r="AL6" s="54">
        <f>RANK(AK6,AK$5:AK$22,1)</f>
        <v/>
      </c>
      <c r="AM6" s="53">
        <f>VLOOKUP($A6,'L10'!$A:$IZ,182,FALSE)</f>
        <v/>
      </c>
      <c r="AN6" s="54">
        <f>RANK(AM6,AM$5:AM$22,1)</f>
        <v/>
      </c>
      <c r="AO6" s="53">
        <f>VLOOKUP($A6,'L10'!$A:$IZ,163,FALSE)</f>
        <v/>
      </c>
      <c r="AP6" s="54">
        <f>RANK(AO6,AO$5:AO$22,1)</f>
        <v/>
      </c>
      <c r="AQ6" s="65">
        <f>104-(AJ6+AL6+AN6+AP6)</f>
        <v/>
      </c>
      <c r="AR6" s="47">
        <f>RANK(AQ6,AQ$5:AQ$22)</f>
        <v/>
      </c>
      <c r="AS6" s="56" t="n"/>
      <c r="AT6" s="46">
        <f>VLOOKUP($A6,'L10'!$A:$IZ,250,FALSE)</f>
        <v/>
      </c>
      <c r="AU6" s="47">
        <f>RANK(AT6,AT$5:AT$22,0)</f>
        <v/>
      </c>
      <c r="AV6" s="46">
        <f>VLOOKUP($A6,'L10'!$A:$IZ,92,FALSE)</f>
        <v/>
      </c>
      <c r="AW6" s="47">
        <f>RANK(AV6,AV$5:AV$22,0)</f>
        <v/>
      </c>
      <c r="AX6" s="46">
        <f>VLOOKUP($A6,'L10'!$A:$IZ,93,FALSE)</f>
        <v/>
      </c>
      <c r="AY6" s="47">
        <f>RANK(AX6,AX$5:AX$22,0)</f>
        <v/>
      </c>
      <c r="AZ6" s="46">
        <f>VLOOKUP($A6,'L10'!$A:$IZ,108,FALSE)</f>
        <v/>
      </c>
      <c r="BA6" s="47">
        <f>RANK(AZ6,AZ$5:AZ$22,0)</f>
        <v/>
      </c>
      <c r="BB6" s="49">
        <f>104-(AU6+AW6+AY6+BA6)</f>
        <v/>
      </c>
      <c r="BC6" s="47">
        <f>RANK(BB6,BB$5:BB$22,0)</f>
        <v/>
      </c>
      <c r="BD6" s="56" t="n"/>
      <c r="BE6" s="53">
        <f>VLOOKUP($A6,'L10'!$A:$IZ,80,FALSE)</f>
        <v/>
      </c>
      <c r="BF6" s="54">
        <f>RANK(BE6,BE$5:BE$22)</f>
        <v/>
      </c>
      <c r="BG6" s="53">
        <f>VLOOKUP($A6,'L10'!$A:$IZ,177,FALSE)</f>
        <v/>
      </c>
      <c r="BH6" s="54">
        <f>RANK(BG6,BG$5:BG$22,1)</f>
        <v/>
      </c>
      <c r="BI6" s="53">
        <f>VLOOKUP($A6,'L10'!$A:$IZ,79,FALSE)</f>
        <v/>
      </c>
      <c r="BJ6" s="54">
        <f>RANK(BI6,BI$5:BI$22)</f>
        <v/>
      </c>
      <c r="BK6" s="53">
        <f>VLOOKUP($A6,'L10'!$A:$IZ,176,FALSE)</f>
        <v/>
      </c>
      <c r="BL6" s="54">
        <f>RANK(BK6,BK$5:BK$22,1)</f>
        <v/>
      </c>
      <c r="BM6" s="53">
        <f>VLOOKUP($A6,'L10'!$A:$IZ,11,FALSE)</f>
        <v/>
      </c>
      <c r="BN6" s="54">
        <f>RANK(BM6,BM$5:BM$22)</f>
        <v/>
      </c>
      <c r="BO6" s="53">
        <f>VLOOKUP($A6,'L10'!$A:$IZ,222,FALSE)</f>
        <v/>
      </c>
      <c r="BP6" s="54">
        <f>RANK(BO6,BO$5:BO$22)</f>
        <v/>
      </c>
      <c r="BQ6" s="65">
        <f>104-(BJ6+BL6+BN6+BP6)</f>
        <v/>
      </c>
      <c r="BR6" s="47">
        <f>RANK(BQ6,BQ$5:BQ$22)</f>
        <v/>
      </c>
      <c r="BS6" s="56" t="n"/>
      <c r="BT6" s="57">
        <f>VLOOKUP($A6,'Ratings Season'!$A:$M,8,FALSE)</f>
        <v/>
      </c>
      <c r="BU6" s="54">
        <f>RANK(BT6,BT$5:BT$22)</f>
        <v/>
      </c>
      <c r="BV6" s="57">
        <f>VLOOKUP($A6,'Ratings Season'!$A:$M,4,FALSE)</f>
        <v/>
      </c>
      <c r="BW6" s="54">
        <f>RANK(BV6,BV$5:BV$22)</f>
        <v/>
      </c>
      <c r="BX6" s="57">
        <f>VLOOKUP($A6,'Ratings Season'!$A:$M,2,FALSE)</f>
        <v/>
      </c>
      <c r="BY6" s="58">
        <f>RANK(BX6,BX$5:BX$22)</f>
        <v/>
      </c>
      <c r="BZ6" s="69" t="n"/>
    </row>
    <row r="7" ht="25" customHeight="1">
      <c r="A7" s="77" t="inlineStr">
        <is>
          <t>Carlton</t>
        </is>
      </c>
      <c r="B7" s="53">
        <f>VLOOKUP($A7,'L10'!$A:$IZ,222,FALSE)</f>
        <v/>
      </c>
      <c r="C7" s="54">
        <f>RANK(B7,B$5:B$22)</f>
        <v/>
      </c>
      <c r="D7" s="55">
        <f>VLOOKUP($A7,'L10'!$A:$IZ,218,FALSE)</f>
        <v/>
      </c>
      <c r="E7" s="54">
        <f>RANK(D7,D$5:D$22)</f>
        <v/>
      </c>
      <c r="F7" s="55">
        <f>VLOOKUP($A7,'L10'!$A:$IZ,49,FALSE)</f>
        <v/>
      </c>
      <c r="G7" s="54">
        <f>RANK(F7,F$5:F$22)</f>
        <v/>
      </c>
      <c r="H7" s="55">
        <f>VLOOKUP($A7,'L10'!$A:$IZ,229,FALSE)</f>
        <v/>
      </c>
      <c r="I7" s="54">
        <f>RANK(H7,H$5:H$22)</f>
        <v/>
      </c>
      <c r="J7" s="49">
        <f>104-(C7+E7+G7+I7)</f>
        <v/>
      </c>
      <c r="K7" s="47">
        <f>RANK(J7,J$5:J$22)</f>
        <v/>
      </c>
      <c r="L7" s="56" t="n"/>
      <c r="M7" s="53">
        <f>VLOOKUP($A7,'L10'!$A:$IZ,88,FALSE)</f>
        <v/>
      </c>
      <c r="N7" s="54">
        <f>RANK(M7,M$5:M$22)</f>
        <v/>
      </c>
      <c r="O7" s="53">
        <f>VLOOKUP($A7,'L10'!$A:$IZ,84,FALSE)</f>
        <v/>
      </c>
      <c r="P7" s="54">
        <f>RANK(O7,O$5:O$22)</f>
        <v/>
      </c>
      <c r="Q7" s="53">
        <f>VLOOKUP($A7,'L10'!$A:$IZ,85,FALSE)</f>
        <v/>
      </c>
      <c r="R7" s="54">
        <f>RANK(Q7,Q$5:Q$22)</f>
        <v/>
      </c>
      <c r="S7" s="55">
        <f>VLOOKUP($A7,'L10'!$A:$IZ,29,FALSE)</f>
        <v/>
      </c>
      <c r="T7" s="54">
        <f>RANK(S7,S$5:S$22)</f>
        <v/>
      </c>
      <c r="U7" s="49">
        <f>104-(N7+P7+R7+T7)</f>
        <v/>
      </c>
      <c r="V7" s="47">
        <f>RANK(U7,U$5:U$22)</f>
        <v/>
      </c>
      <c r="W7" s="56" t="n"/>
      <c r="X7" s="53">
        <f>VLOOKUP($A7,'L10'!$A:$IZ,65,FALSE)</f>
        <v/>
      </c>
      <c r="Y7" s="54">
        <f>RANK(X7,X$5:X$22)</f>
        <v/>
      </c>
      <c r="Z7" s="53">
        <f>VLOOKUP($A7,'L10'!$A:$IZ,64,FALSE)</f>
        <v/>
      </c>
      <c r="AA7" s="54">
        <f>RANK(Z7,Z$5:Z$22)</f>
        <v/>
      </c>
      <c r="AB7" s="53">
        <f>VLOOKUP($A7,'L10'!$A:$IZ,63,FALSE)</f>
        <v/>
      </c>
      <c r="AC7" s="54">
        <f>RANK(AB7,AB$5:AB$22)</f>
        <v/>
      </c>
      <c r="AD7" s="53">
        <f>VLOOKUP($A7,'L10'!$A:$IZ,71,FALSE)</f>
        <v/>
      </c>
      <c r="AE7" s="54">
        <f>RANK(AD7,AD$5:AD$22)</f>
        <v/>
      </c>
      <c r="AF7" s="65">
        <f>104-(Y7+AA7+AC7+AE7)</f>
        <v/>
      </c>
      <c r="AG7" s="47">
        <f>RANK(AF7,AF$5:AF$22)</f>
        <v/>
      </c>
      <c r="AH7" s="56" t="n"/>
      <c r="AI7" s="53">
        <f>VLOOKUP($A7,'L10'!$A:$IZ,183,FALSE)</f>
        <v/>
      </c>
      <c r="AJ7" s="54">
        <f>RANK(AI7,AI$5:AI$22,1)</f>
        <v/>
      </c>
      <c r="AK7" s="53">
        <f>VLOOKUP($A7,'L10'!$A:$IZ,181,FALSE)</f>
        <v/>
      </c>
      <c r="AL7" s="54">
        <f>RANK(AK7,AK$5:AK$22,1)</f>
        <v/>
      </c>
      <c r="AM7" s="53">
        <f>VLOOKUP($A7,'L10'!$A:$IZ,182,FALSE)</f>
        <v/>
      </c>
      <c r="AN7" s="54">
        <f>RANK(AM7,AM$5:AM$22,1)</f>
        <v/>
      </c>
      <c r="AO7" s="53">
        <f>VLOOKUP($A7,'L10'!$A:$IZ,163,FALSE)</f>
        <v/>
      </c>
      <c r="AP7" s="54">
        <f>RANK(AO7,AO$5:AO$22,1)</f>
        <v/>
      </c>
      <c r="AQ7" s="65">
        <f>104-(AJ7+AL7+AN7+AP7)</f>
        <v/>
      </c>
      <c r="AR7" s="47">
        <f>RANK(AQ7,AQ$5:AQ$22)</f>
        <v/>
      </c>
      <c r="AS7" s="56" t="n"/>
      <c r="AT7" s="46">
        <f>VLOOKUP($A7,'L10'!$A:$IZ,250,FALSE)</f>
        <v/>
      </c>
      <c r="AU7" s="47">
        <f>RANK(AT7,AT$5:AT$22,0)</f>
        <v/>
      </c>
      <c r="AV7" s="46">
        <f>VLOOKUP($A7,'L10'!$A:$IZ,92,FALSE)</f>
        <v/>
      </c>
      <c r="AW7" s="47">
        <f>RANK(AV7,AV$5:AV$22,0)</f>
        <v/>
      </c>
      <c r="AX7" s="46">
        <f>VLOOKUP($A7,'L10'!$A:$IZ,93,FALSE)</f>
        <v/>
      </c>
      <c r="AY7" s="47">
        <f>RANK(AX7,AX$5:AX$22,0)</f>
        <v/>
      </c>
      <c r="AZ7" s="46">
        <f>VLOOKUP($A7,'L10'!$A:$IZ,108,FALSE)</f>
        <v/>
      </c>
      <c r="BA7" s="47">
        <f>RANK(AZ7,AZ$5:AZ$22,0)</f>
        <v/>
      </c>
      <c r="BB7" s="49">
        <f>104-(AU7+AW7+AY7+BA7)</f>
        <v/>
      </c>
      <c r="BC7" s="47">
        <f>RANK(BB7,BB$5:BB$22,0)</f>
        <v/>
      </c>
      <c r="BD7" s="56" t="n"/>
      <c r="BE7" s="53">
        <f>VLOOKUP($A7,'L10'!$A:$IZ,80,FALSE)</f>
        <v/>
      </c>
      <c r="BF7" s="54">
        <f>RANK(BE7,BE$5:BE$22)</f>
        <v/>
      </c>
      <c r="BG7" s="53">
        <f>VLOOKUP($A7,'L10'!$A:$IZ,177,FALSE)</f>
        <v/>
      </c>
      <c r="BH7" s="54">
        <f>RANK(BG7,BG$5:BG$22,1)</f>
        <v/>
      </c>
      <c r="BI7" s="53">
        <f>VLOOKUP($A7,'L10'!$A:$IZ,79,FALSE)</f>
        <v/>
      </c>
      <c r="BJ7" s="54">
        <f>RANK(BI7,BI$5:BI$22)</f>
        <v/>
      </c>
      <c r="BK7" s="53">
        <f>VLOOKUP($A7,'L10'!$A:$IZ,176,FALSE)</f>
        <v/>
      </c>
      <c r="BL7" s="54">
        <f>RANK(BK7,BK$5:BK$22,1)</f>
        <v/>
      </c>
      <c r="BM7" s="53">
        <f>VLOOKUP($A7,'L10'!$A:$IZ,11,FALSE)</f>
        <v/>
      </c>
      <c r="BN7" s="54">
        <f>RANK(BM7,BM$5:BM$22)</f>
        <v/>
      </c>
      <c r="BO7" s="53">
        <f>VLOOKUP($A7,'L10'!$A:$IZ,222,FALSE)</f>
        <v/>
      </c>
      <c r="BP7" s="54">
        <f>RANK(BO7,BO$5:BO$22)</f>
        <v/>
      </c>
      <c r="BQ7" s="65">
        <f>104-(BJ7+BL7+BN7+BP7)</f>
        <v/>
      </c>
      <c r="BR7" s="47">
        <f>RANK(BQ7,BQ$5:BQ$22)</f>
        <v/>
      </c>
      <c r="BS7" s="56" t="n"/>
      <c r="BT7" s="57">
        <f>VLOOKUP($A7,'Ratings Season'!$A:$M,8,FALSE)</f>
        <v/>
      </c>
      <c r="BU7" s="54">
        <f>RANK(BT7,BT$5:BT$22)</f>
        <v/>
      </c>
      <c r="BV7" s="57">
        <f>VLOOKUP($A7,'Ratings Season'!$A:$M,4,FALSE)</f>
        <v/>
      </c>
      <c r="BW7" s="54">
        <f>RANK(BV7,BV$5:BV$22)</f>
        <v/>
      </c>
      <c r="BX7" s="57">
        <f>VLOOKUP($A7,'Ratings Season'!$A:$M,2,FALSE)</f>
        <v/>
      </c>
      <c r="BY7" s="58">
        <f>RANK(BX7,BX$5:BX$22)</f>
        <v/>
      </c>
      <c r="BZ7" s="69" t="n"/>
    </row>
    <row r="8" ht="25" customHeight="1">
      <c r="A8" s="78" t="inlineStr">
        <is>
          <t>Collingwood</t>
        </is>
      </c>
      <c r="B8" s="53">
        <f>VLOOKUP($A8,'L10'!$A:$IZ,222,FALSE)</f>
        <v/>
      </c>
      <c r="C8" s="54">
        <f>RANK(B8,B$5:B$22)</f>
        <v/>
      </c>
      <c r="D8" s="55">
        <f>VLOOKUP($A8,'L10'!$A:$IZ,218,FALSE)</f>
        <v/>
      </c>
      <c r="E8" s="54">
        <f>RANK(D8,D$5:D$22)</f>
        <v/>
      </c>
      <c r="F8" s="55">
        <f>VLOOKUP($A8,'L10'!$A:$IZ,49,FALSE)</f>
        <v/>
      </c>
      <c r="G8" s="54">
        <f>RANK(F8,F$5:F$22)</f>
        <v/>
      </c>
      <c r="H8" s="55">
        <f>VLOOKUP($A8,'L10'!$A:$IZ,229,FALSE)</f>
        <v/>
      </c>
      <c r="I8" s="54">
        <f>RANK(H8,H$5:H$22)</f>
        <v/>
      </c>
      <c r="J8" s="49">
        <f>104-(C8+E8+G8+I8)</f>
        <v/>
      </c>
      <c r="K8" s="47">
        <f>RANK(J8,J$5:J$22)</f>
        <v/>
      </c>
      <c r="L8" s="56" t="n"/>
      <c r="M8" s="53">
        <f>VLOOKUP($A8,'L10'!$A:$IZ,88,FALSE)</f>
        <v/>
      </c>
      <c r="N8" s="54">
        <f>RANK(M8,M$5:M$22)</f>
        <v/>
      </c>
      <c r="O8" s="53">
        <f>VLOOKUP($A8,'L10'!$A:$IZ,84,FALSE)</f>
        <v/>
      </c>
      <c r="P8" s="54">
        <f>RANK(O8,O$5:O$22)</f>
        <v/>
      </c>
      <c r="Q8" s="53">
        <f>VLOOKUP($A8,'L10'!$A:$IZ,85,FALSE)</f>
        <v/>
      </c>
      <c r="R8" s="54">
        <f>RANK(Q8,Q$5:Q$22)</f>
        <v/>
      </c>
      <c r="S8" s="55">
        <f>VLOOKUP($A8,'L10'!$A:$IZ,29,FALSE)</f>
        <v/>
      </c>
      <c r="T8" s="54">
        <f>RANK(S8,S$5:S$22)</f>
        <v/>
      </c>
      <c r="U8" s="49">
        <f>104-(N8+P8+R8+T8)</f>
        <v/>
      </c>
      <c r="V8" s="47">
        <f>RANK(U8,U$5:U$22)</f>
        <v/>
      </c>
      <c r="W8" s="56" t="n"/>
      <c r="X8" s="53">
        <f>VLOOKUP($A8,'L10'!$A:$IZ,65,FALSE)</f>
        <v/>
      </c>
      <c r="Y8" s="54">
        <f>RANK(X8,X$5:X$22)</f>
        <v/>
      </c>
      <c r="Z8" s="53">
        <f>VLOOKUP($A8,'L10'!$A:$IZ,64,FALSE)</f>
        <v/>
      </c>
      <c r="AA8" s="54">
        <f>RANK(Z8,Z$5:Z$22)</f>
        <v/>
      </c>
      <c r="AB8" s="53">
        <f>VLOOKUP($A8,'L10'!$A:$IZ,63,FALSE)</f>
        <v/>
      </c>
      <c r="AC8" s="54">
        <f>RANK(AB8,AB$5:AB$22)</f>
        <v/>
      </c>
      <c r="AD8" s="53">
        <f>VLOOKUP($A8,'L10'!$A:$IZ,71,FALSE)</f>
        <v/>
      </c>
      <c r="AE8" s="54">
        <f>RANK(AD8,AD$5:AD$22)</f>
        <v/>
      </c>
      <c r="AF8" s="65">
        <f>104-(Y8+AA8+AC8+AE8)</f>
        <v/>
      </c>
      <c r="AG8" s="47">
        <f>RANK(AF8,AF$5:AF$22)</f>
        <v/>
      </c>
      <c r="AH8" s="56" t="n"/>
      <c r="AI8" s="53">
        <f>VLOOKUP($A8,'L10'!$A:$IZ,183,FALSE)</f>
        <v/>
      </c>
      <c r="AJ8" s="54">
        <f>RANK(AI8,AI$5:AI$22,1)</f>
        <v/>
      </c>
      <c r="AK8" s="53">
        <f>VLOOKUP($A8,'L10'!$A:$IZ,181,FALSE)</f>
        <v/>
      </c>
      <c r="AL8" s="54">
        <f>RANK(AK8,AK$5:AK$22,1)</f>
        <v/>
      </c>
      <c r="AM8" s="53">
        <f>VLOOKUP($A8,'L10'!$A:$IZ,182,FALSE)</f>
        <v/>
      </c>
      <c r="AN8" s="54">
        <f>RANK(AM8,AM$5:AM$22,1)</f>
        <v/>
      </c>
      <c r="AO8" s="53">
        <f>VLOOKUP($A8,'L10'!$A:$IZ,163,FALSE)</f>
        <v/>
      </c>
      <c r="AP8" s="54">
        <f>RANK(AO8,AO$5:AO$22,1)</f>
        <v/>
      </c>
      <c r="AQ8" s="65">
        <f>104-(AJ8+AL8+AN8+AP8)</f>
        <v/>
      </c>
      <c r="AR8" s="47">
        <f>RANK(AQ8,AQ$5:AQ$22)</f>
        <v/>
      </c>
      <c r="AS8" s="56" t="n"/>
      <c r="AT8" s="46">
        <f>VLOOKUP($A8,'L10'!$A:$IZ,250,FALSE)</f>
        <v/>
      </c>
      <c r="AU8" s="47">
        <f>RANK(AT8,AT$5:AT$22,0)</f>
        <v/>
      </c>
      <c r="AV8" s="46">
        <f>VLOOKUP($A8,'L10'!$A:$IZ,92,FALSE)</f>
        <v/>
      </c>
      <c r="AW8" s="47">
        <f>RANK(AV8,AV$5:AV$22,0)</f>
        <v/>
      </c>
      <c r="AX8" s="46">
        <f>VLOOKUP($A8,'L10'!$A:$IZ,93,FALSE)</f>
        <v/>
      </c>
      <c r="AY8" s="47">
        <f>RANK(AX8,AX$5:AX$22,0)</f>
        <v/>
      </c>
      <c r="AZ8" s="46">
        <f>VLOOKUP($A8,'L10'!$A:$IZ,108,FALSE)</f>
        <v/>
      </c>
      <c r="BA8" s="47">
        <f>RANK(AZ8,AZ$5:AZ$22,0)</f>
        <v/>
      </c>
      <c r="BB8" s="49">
        <f>104-(AU8+AW8+AY8+BA8)</f>
        <v/>
      </c>
      <c r="BC8" s="47">
        <f>RANK(BB8,BB$5:BB$22,0)</f>
        <v/>
      </c>
      <c r="BD8" s="56" t="n"/>
      <c r="BE8" s="53">
        <f>VLOOKUP($A8,'L10'!$A:$IZ,80,FALSE)</f>
        <v/>
      </c>
      <c r="BF8" s="54">
        <f>RANK(BE8,BE$5:BE$22)</f>
        <v/>
      </c>
      <c r="BG8" s="53">
        <f>VLOOKUP($A8,'L10'!$A:$IZ,177,FALSE)</f>
        <v/>
      </c>
      <c r="BH8" s="54">
        <f>RANK(BG8,BG$5:BG$22,1)</f>
        <v/>
      </c>
      <c r="BI8" s="53">
        <f>VLOOKUP($A8,'L10'!$A:$IZ,79,FALSE)</f>
        <v/>
      </c>
      <c r="BJ8" s="54">
        <f>RANK(BI8,BI$5:BI$22)</f>
        <v/>
      </c>
      <c r="BK8" s="53">
        <f>VLOOKUP($A8,'L10'!$A:$IZ,176,FALSE)</f>
        <v/>
      </c>
      <c r="BL8" s="54">
        <f>RANK(BK8,BK$5:BK$22,1)</f>
        <v/>
      </c>
      <c r="BM8" s="53">
        <f>VLOOKUP($A8,'L10'!$A:$IZ,11,FALSE)</f>
        <v/>
      </c>
      <c r="BN8" s="54">
        <f>RANK(BM8,BM$5:BM$22)</f>
        <v/>
      </c>
      <c r="BO8" s="53">
        <f>VLOOKUP($A8,'L10'!$A:$IZ,222,FALSE)</f>
        <v/>
      </c>
      <c r="BP8" s="54">
        <f>RANK(BO8,BO$5:BO$22)</f>
        <v/>
      </c>
      <c r="BQ8" s="65">
        <f>104-(BJ8+BL8+BN8+BP8)</f>
        <v/>
      </c>
      <c r="BR8" s="47">
        <f>RANK(BQ8,BQ$5:BQ$22)</f>
        <v/>
      </c>
      <c r="BS8" s="56" t="n"/>
      <c r="BT8" s="57">
        <f>VLOOKUP($A8,'Ratings Season'!$A:$M,8,FALSE)</f>
        <v/>
      </c>
      <c r="BU8" s="54">
        <f>RANK(BT8,BT$5:BT$22)</f>
        <v/>
      </c>
      <c r="BV8" s="57">
        <f>VLOOKUP($A8,'Ratings Season'!$A:$M,4,FALSE)</f>
        <v/>
      </c>
      <c r="BW8" s="54">
        <f>RANK(BV8,BV$5:BV$22)</f>
        <v/>
      </c>
      <c r="BX8" s="57">
        <f>VLOOKUP($A8,'Ratings Season'!$A:$M,2,FALSE)</f>
        <v/>
      </c>
      <c r="BY8" s="58">
        <f>RANK(BX8,BX$5:BX$22)</f>
        <v/>
      </c>
      <c r="BZ8" s="69" t="n"/>
    </row>
    <row r="9" ht="25" customHeight="1">
      <c r="A9" s="79" t="inlineStr">
        <is>
          <t>Essendon</t>
        </is>
      </c>
      <c r="B9" s="53">
        <f>VLOOKUP($A9,'L10'!$A:$IZ,222,FALSE)</f>
        <v/>
      </c>
      <c r="C9" s="54">
        <f>RANK(B9,B$5:B$22)</f>
        <v/>
      </c>
      <c r="D9" s="55">
        <f>VLOOKUP($A9,'L10'!$A:$IZ,218,FALSE)</f>
        <v/>
      </c>
      <c r="E9" s="54">
        <f>RANK(D9,D$5:D$22)</f>
        <v/>
      </c>
      <c r="F9" s="55">
        <f>VLOOKUP($A9,'L10'!$A:$IZ,49,FALSE)</f>
        <v/>
      </c>
      <c r="G9" s="54">
        <f>RANK(F9,F$5:F$22)</f>
        <v/>
      </c>
      <c r="H9" s="55">
        <f>VLOOKUP($A9,'L10'!$A:$IZ,229,FALSE)</f>
        <v/>
      </c>
      <c r="I9" s="54">
        <f>RANK(H9,H$5:H$22)</f>
        <v/>
      </c>
      <c r="J9" s="49">
        <f>104-(C9+E9+G9+I9)</f>
        <v/>
      </c>
      <c r="K9" s="47">
        <f>RANK(J9,J$5:J$22)</f>
        <v/>
      </c>
      <c r="L9" s="56" t="n"/>
      <c r="M9" s="53">
        <f>VLOOKUP($A9,'L10'!$A:$IZ,88,FALSE)</f>
        <v/>
      </c>
      <c r="N9" s="54">
        <f>RANK(M9,M$5:M$22)</f>
        <v/>
      </c>
      <c r="O9" s="53">
        <f>VLOOKUP($A9,'L10'!$A:$IZ,84,FALSE)</f>
        <v/>
      </c>
      <c r="P9" s="54">
        <f>RANK(O9,O$5:O$22)</f>
        <v/>
      </c>
      <c r="Q9" s="53">
        <f>VLOOKUP($A9,'L10'!$A:$IZ,85,FALSE)</f>
        <v/>
      </c>
      <c r="R9" s="54">
        <f>RANK(Q9,Q$5:Q$22)</f>
        <v/>
      </c>
      <c r="S9" s="55">
        <f>VLOOKUP($A9,'L10'!$A:$IZ,29,FALSE)</f>
        <v/>
      </c>
      <c r="T9" s="54">
        <f>RANK(S9,S$5:S$22)</f>
        <v/>
      </c>
      <c r="U9" s="49">
        <f>104-(N9+P9+R9+T9)</f>
        <v/>
      </c>
      <c r="V9" s="47">
        <f>RANK(U9,U$5:U$22)</f>
        <v/>
      </c>
      <c r="W9" s="56" t="n"/>
      <c r="X9" s="53">
        <f>VLOOKUP($A9,'L10'!$A:$IZ,65,FALSE)</f>
        <v/>
      </c>
      <c r="Y9" s="54">
        <f>RANK(X9,X$5:X$22)</f>
        <v/>
      </c>
      <c r="Z9" s="53">
        <f>VLOOKUP($A9,'L10'!$A:$IZ,64,FALSE)</f>
        <v/>
      </c>
      <c r="AA9" s="54">
        <f>RANK(Z9,Z$5:Z$22)</f>
        <v/>
      </c>
      <c r="AB9" s="53">
        <f>VLOOKUP($A9,'L10'!$A:$IZ,63,FALSE)</f>
        <v/>
      </c>
      <c r="AC9" s="54">
        <f>RANK(AB9,AB$5:AB$22)</f>
        <v/>
      </c>
      <c r="AD9" s="53">
        <f>VLOOKUP($A9,'L10'!$A:$IZ,71,FALSE)</f>
        <v/>
      </c>
      <c r="AE9" s="54">
        <f>RANK(AD9,AD$5:AD$22)</f>
        <v/>
      </c>
      <c r="AF9" s="65">
        <f>104-(Y9+AA9+AC9+AE9)</f>
        <v/>
      </c>
      <c r="AG9" s="47">
        <f>RANK(AF9,AF$5:AF$22)</f>
        <v/>
      </c>
      <c r="AH9" s="56" t="n"/>
      <c r="AI9" s="53">
        <f>VLOOKUP($A9,'L10'!$A:$IZ,183,FALSE)</f>
        <v/>
      </c>
      <c r="AJ9" s="54">
        <f>RANK(AI9,AI$5:AI$22,1)</f>
        <v/>
      </c>
      <c r="AK9" s="53">
        <f>VLOOKUP($A9,'L10'!$A:$IZ,181,FALSE)</f>
        <v/>
      </c>
      <c r="AL9" s="54">
        <f>RANK(AK9,AK$5:AK$22,1)</f>
        <v/>
      </c>
      <c r="AM9" s="53">
        <f>VLOOKUP($A9,'L10'!$A:$IZ,182,FALSE)</f>
        <v/>
      </c>
      <c r="AN9" s="54">
        <f>RANK(AM9,AM$5:AM$22,1)</f>
        <v/>
      </c>
      <c r="AO9" s="53">
        <f>VLOOKUP($A9,'L10'!$A:$IZ,163,FALSE)</f>
        <v/>
      </c>
      <c r="AP9" s="54">
        <f>RANK(AO9,AO$5:AO$22,1)</f>
        <v/>
      </c>
      <c r="AQ9" s="65">
        <f>104-(AJ9+AL9+AN9+AP9)</f>
        <v/>
      </c>
      <c r="AR9" s="47">
        <f>RANK(AQ9,AQ$5:AQ$22)</f>
        <v/>
      </c>
      <c r="AS9" s="56" t="n"/>
      <c r="AT9" s="46">
        <f>VLOOKUP($A9,'L10'!$A:$IZ,250,FALSE)</f>
        <v/>
      </c>
      <c r="AU9" s="47">
        <f>RANK(AT9,AT$5:AT$22,0)</f>
        <v/>
      </c>
      <c r="AV9" s="46">
        <f>VLOOKUP($A9,'L10'!$A:$IZ,92,FALSE)</f>
        <v/>
      </c>
      <c r="AW9" s="47">
        <f>RANK(AV9,AV$5:AV$22,0)</f>
        <v/>
      </c>
      <c r="AX9" s="46">
        <f>VLOOKUP($A9,'L10'!$A:$IZ,93,FALSE)</f>
        <v/>
      </c>
      <c r="AY9" s="47">
        <f>RANK(AX9,AX$5:AX$22,0)</f>
        <v/>
      </c>
      <c r="AZ9" s="46">
        <f>VLOOKUP($A9,'L10'!$A:$IZ,108,FALSE)</f>
        <v/>
      </c>
      <c r="BA9" s="47">
        <f>RANK(AZ9,AZ$5:AZ$22,0)</f>
        <v/>
      </c>
      <c r="BB9" s="49">
        <f>104-(AU9+AW9+AY9+BA9)</f>
        <v/>
      </c>
      <c r="BC9" s="47">
        <f>RANK(BB9,BB$5:BB$22,0)</f>
        <v/>
      </c>
      <c r="BD9" s="56" t="n"/>
      <c r="BE9" s="53">
        <f>VLOOKUP($A9,'L10'!$A:$IZ,80,FALSE)</f>
        <v/>
      </c>
      <c r="BF9" s="54">
        <f>RANK(BE9,BE$5:BE$22)</f>
        <v/>
      </c>
      <c r="BG9" s="53">
        <f>VLOOKUP($A9,'L10'!$A:$IZ,177,FALSE)</f>
        <v/>
      </c>
      <c r="BH9" s="54">
        <f>RANK(BG9,BG$5:BG$22,1)</f>
        <v/>
      </c>
      <c r="BI9" s="53">
        <f>VLOOKUP($A9,'L10'!$A:$IZ,79,FALSE)</f>
        <v/>
      </c>
      <c r="BJ9" s="54">
        <f>RANK(BI9,BI$5:BI$22)</f>
        <v/>
      </c>
      <c r="BK9" s="53">
        <f>VLOOKUP($A9,'L10'!$A:$IZ,176,FALSE)</f>
        <v/>
      </c>
      <c r="BL9" s="54">
        <f>RANK(BK9,BK$5:BK$22,1)</f>
        <v/>
      </c>
      <c r="BM9" s="53">
        <f>VLOOKUP($A9,'L10'!$A:$IZ,11,FALSE)</f>
        <v/>
      </c>
      <c r="BN9" s="54">
        <f>RANK(BM9,BM$5:BM$22)</f>
        <v/>
      </c>
      <c r="BO9" s="53">
        <f>VLOOKUP($A9,'L10'!$A:$IZ,222,FALSE)</f>
        <v/>
      </c>
      <c r="BP9" s="54">
        <f>RANK(BO9,BO$5:BO$22)</f>
        <v/>
      </c>
      <c r="BQ9" s="65">
        <f>104-(BJ9+BL9+BN9+BP9)</f>
        <v/>
      </c>
      <c r="BR9" s="47">
        <f>RANK(BQ9,BQ$5:BQ$22)</f>
        <v/>
      </c>
      <c r="BS9" s="56" t="n"/>
      <c r="BT9" s="57">
        <f>VLOOKUP($A9,'Ratings Season'!$A:$M,8,FALSE)</f>
        <v/>
      </c>
      <c r="BU9" s="54">
        <f>RANK(BT9,BT$5:BT$22)</f>
        <v/>
      </c>
      <c r="BV9" s="57">
        <f>VLOOKUP($A9,'Ratings Season'!$A:$M,4,FALSE)</f>
        <v/>
      </c>
      <c r="BW9" s="54">
        <f>RANK(BV9,BV$5:BV$22)</f>
        <v/>
      </c>
      <c r="BX9" s="57">
        <f>VLOOKUP($A9,'Ratings Season'!$A:$M,2,FALSE)</f>
        <v/>
      </c>
      <c r="BY9" s="58">
        <f>RANK(BX9,BX$5:BX$22)</f>
        <v/>
      </c>
      <c r="BZ9" s="69" t="n"/>
    </row>
    <row r="10" ht="25" customHeight="1">
      <c r="A10" s="80" t="inlineStr">
        <is>
          <t>Fremantle</t>
        </is>
      </c>
      <c r="B10" s="53">
        <f>VLOOKUP($A10,'L10'!$A:$IZ,222,FALSE)</f>
        <v/>
      </c>
      <c r="C10" s="54">
        <f>RANK(B10,B$5:B$22)</f>
        <v/>
      </c>
      <c r="D10" s="55">
        <f>VLOOKUP($A10,'L10'!$A:$IZ,218,FALSE)</f>
        <v/>
      </c>
      <c r="E10" s="54">
        <f>RANK(D10,D$5:D$22)</f>
        <v/>
      </c>
      <c r="F10" s="55">
        <f>VLOOKUP($A10,'L10'!$A:$IZ,49,FALSE)</f>
        <v/>
      </c>
      <c r="G10" s="54">
        <f>RANK(F10,F$5:F$22)</f>
        <v/>
      </c>
      <c r="H10" s="55">
        <f>VLOOKUP($A10,'L10'!$A:$IZ,229,FALSE)</f>
        <v/>
      </c>
      <c r="I10" s="54">
        <f>RANK(H10,H$5:H$22)</f>
        <v/>
      </c>
      <c r="J10" s="49">
        <f>104-(C10+E10+G10+I10)</f>
        <v/>
      </c>
      <c r="K10" s="47">
        <f>RANK(J10,J$5:J$22)</f>
        <v/>
      </c>
      <c r="L10" s="56" t="n"/>
      <c r="M10" s="53">
        <f>VLOOKUP($A10,'L10'!$A:$IZ,88,FALSE)</f>
        <v/>
      </c>
      <c r="N10" s="54">
        <f>RANK(M10,M$5:M$22)</f>
        <v/>
      </c>
      <c r="O10" s="53">
        <f>VLOOKUP($A10,'L10'!$A:$IZ,84,FALSE)</f>
        <v/>
      </c>
      <c r="P10" s="54">
        <f>RANK(O10,O$5:O$22)</f>
        <v/>
      </c>
      <c r="Q10" s="53">
        <f>VLOOKUP($A10,'L10'!$A:$IZ,85,FALSE)</f>
        <v/>
      </c>
      <c r="R10" s="54">
        <f>RANK(Q10,Q$5:Q$22)</f>
        <v/>
      </c>
      <c r="S10" s="55">
        <f>VLOOKUP($A10,'L10'!$A:$IZ,29,FALSE)</f>
        <v/>
      </c>
      <c r="T10" s="54">
        <f>RANK(S10,S$5:S$22)</f>
        <v/>
      </c>
      <c r="U10" s="49">
        <f>104-(N10+P10+R10+T10)</f>
        <v/>
      </c>
      <c r="V10" s="47">
        <f>RANK(U10,U$5:U$22)</f>
        <v/>
      </c>
      <c r="W10" s="56" t="n"/>
      <c r="X10" s="53">
        <f>VLOOKUP($A10,'L10'!$A:$IZ,65,FALSE)</f>
        <v/>
      </c>
      <c r="Y10" s="54">
        <f>RANK(X10,X$5:X$22)</f>
        <v/>
      </c>
      <c r="Z10" s="53">
        <f>VLOOKUP($A10,'L10'!$A:$IZ,64,FALSE)</f>
        <v/>
      </c>
      <c r="AA10" s="54">
        <f>RANK(Z10,Z$5:Z$22)</f>
        <v/>
      </c>
      <c r="AB10" s="53">
        <f>VLOOKUP($A10,'L10'!$A:$IZ,63,FALSE)</f>
        <v/>
      </c>
      <c r="AC10" s="54">
        <f>RANK(AB10,AB$5:AB$22)</f>
        <v/>
      </c>
      <c r="AD10" s="53">
        <f>VLOOKUP($A10,'L10'!$A:$IZ,71,FALSE)</f>
        <v/>
      </c>
      <c r="AE10" s="54">
        <f>RANK(AD10,AD$5:AD$22)</f>
        <v/>
      </c>
      <c r="AF10" s="65">
        <f>104-(Y10+AA10+AC10+AE10)</f>
        <v/>
      </c>
      <c r="AG10" s="47">
        <f>RANK(AF10,AF$5:AF$22)</f>
        <v/>
      </c>
      <c r="AH10" s="56" t="n"/>
      <c r="AI10" s="53">
        <f>VLOOKUP($A10,'L10'!$A:$IZ,183,FALSE)</f>
        <v/>
      </c>
      <c r="AJ10" s="54">
        <f>RANK(AI10,AI$5:AI$22,1)</f>
        <v/>
      </c>
      <c r="AK10" s="53">
        <f>VLOOKUP($A10,'L10'!$A:$IZ,181,FALSE)</f>
        <v/>
      </c>
      <c r="AL10" s="54">
        <f>RANK(AK10,AK$5:AK$22,1)</f>
        <v/>
      </c>
      <c r="AM10" s="53">
        <f>VLOOKUP($A10,'L10'!$A:$IZ,182,FALSE)</f>
        <v/>
      </c>
      <c r="AN10" s="54">
        <f>RANK(AM10,AM$5:AM$22,1)</f>
        <v/>
      </c>
      <c r="AO10" s="53">
        <f>VLOOKUP($A10,'L10'!$A:$IZ,163,FALSE)</f>
        <v/>
      </c>
      <c r="AP10" s="54">
        <f>RANK(AO10,AO$5:AO$22,1)</f>
        <v/>
      </c>
      <c r="AQ10" s="65">
        <f>104-(AJ10+AL10+AN10+AP10)</f>
        <v/>
      </c>
      <c r="AR10" s="47">
        <f>RANK(AQ10,AQ$5:AQ$22)</f>
        <v/>
      </c>
      <c r="AS10" s="56" t="n"/>
      <c r="AT10" s="46">
        <f>VLOOKUP($A10,'L10'!$A:$IZ,250,FALSE)</f>
        <v/>
      </c>
      <c r="AU10" s="47">
        <f>RANK(AT10,AT$5:AT$22,0)</f>
        <v/>
      </c>
      <c r="AV10" s="46">
        <f>VLOOKUP($A10,'L10'!$A:$IZ,92,FALSE)</f>
        <v/>
      </c>
      <c r="AW10" s="47">
        <f>RANK(AV10,AV$5:AV$22,0)</f>
        <v/>
      </c>
      <c r="AX10" s="46">
        <f>VLOOKUP($A10,'L10'!$A:$IZ,93,FALSE)</f>
        <v/>
      </c>
      <c r="AY10" s="47">
        <f>RANK(AX10,AX$5:AX$22,0)</f>
        <v/>
      </c>
      <c r="AZ10" s="46">
        <f>VLOOKUP($A10,'L10'!$A:$IZ,108,FALSE)</f>
        <v/>
      </c>
      <c r="BA10" s="47">
        <f>RANK(AZ10,AZ$5:AZ$22,0)</f>
        <v/>
      </c>
      <c r="BB10" s="49">
        <f>104-(AU10+AW10+AY10+BA10)</f>
        <v/>
      </c>
      <c r="BC10" s="47">
        <f>RANK(BB10,BB$5:BB$22,0)</f>
        <v/>
      </c>
      <c r="BD10" s="56" t="n"/>
      <c r="BE10" s="53">
        <f>VLOOKUP($A10,'L10'!$A:$IZ,80,FALSE)</f>
        <v/>
      </c>
      <c r="BF10" s="54">
        <f>RANK(BE10,BE$5:BE$22)</f>
        <v/>
      </c>
      <c r="BG10" s="53">
        <f>VLOOKUP($A10,'L10'!$A:$IZ,177,FALSE)</f>
        <v/>
      </c>
      <c r="BH10" s="54">
        <f>RANK(BG10,BG$5:BG$22,1)</f>
        <v/>
      </c>
      <c r="BI10" s="53">
        <f>VLOOKUP($A10,'L10'!$A:$IZ,79,FALSE)</f>
        <v/>
      </c>
      <c r="BJ10" s="54">
        <f>RANK(BI10,BI$5:BI$22)</f>
        <v/>
      </c>
      <c r="BK10" s="53">
        <f>VLOOKUP($A10,'L10'!$A:$IZ,176,FALSE)</f>
        <v/>
      </c>
      <c r="BL10" s="54">
        <f>RANK(BK10,BK$5:BK$22,1)</f>
        <v/>
      </c>
      <c r="BM10" s="53">
        <f>VLOOKUP($A10,'L10'!$A:$IZ,11,FALSE)</f>
        <v/>
      </c>
      <c r="BN10" s="54">
        <f>RANK(BM10,BM$5:BM$22)</f>
        <v/>
      </c>
      <c r="BO10" s="53">
        <f>VLOOKUP($A10,'L10'!$A:$IZ,222,FALSE)</f>
        <v/>
      </c>
      <c r="BP10" s="54">
        <f>RANK(BO10,BO$5:BO$22)</f>
        <v/>
      </c>
      <c r="BQ10" s="65">
        <f>104-(BJ10+BL10+BN10+BP10)</f>
        <v/>
      </c>
      <c r="BR10" s="47">
        <f>RANK(BQ10,BQ$5:BQ$22)</f>
        <v/>
      </c>
      <c r="BS10" s="56" t="n"/>
      <c r="BT10" s="57">
        <f>VLOOKUP($A10,'Ratings Season'!$A:$M,8,FALSE)</f>
        <v/>
      </c>
      <c r="BU10" s="54">
        <f>RANK(BT10,BT$5:BT$22)</f>
        <v/>
      </c>
      <c r="BV10" s="57">
        <f>VLOOKUP($A10,'Ratings Season'!$A:$M,4,FALSE)</f>
        <v/>
      </c>
      <c r="BW10" s="54">
        <f>RANK(BV10,BV$5:BV$22)</f>
        <v/>
      </c>
      <c r="BX10" s="57">
        <f>VLOOKUP($A10,'Ratings Season'!$A:$M,2,FALSE)</f>
        <v/>
      </c>
      <c r="BY10" s="58">
        <f>RANK(BX10,BX$5:BX$22)</f>
        <v/>
      </c>
      <c r="BZ10" s="69" t="n"/>
    </row>
    <row r="11" ht="25" customHeight="1">
      <c r="A11" s="81" t="inlineStr">
        <is>
          <t>Geelong</t>
        </is>
      </c>
      <c r="B11" s="53">
        <f>VLOOKUP($A11,'L10'!$A:$IZ,222,FALSE)</f>
        <v/>
      </c>
      <c r="C11" s="54">
        <f>RANK(B11,B$5:B$22)</f>
        <v/>
      </c>
      <c r="D11" s="55">
        <f>VLOOKUP($A11,'L10'!$A:$IZ,218,FALSE)</f>
        <v/>
      </c>
      <c r="E11" s="54">
        <f>RANK(D11,D$5:D$22)</f>
        <v/>
      </c>
      <c r="F11" s="55">
        <f>VLOOKUP($A11,'L10'!$A:$IZ,49,FALSE)</f>
        <v/>
      </c>
      <c r="G11" s="54">
        <f>RANK(F11,F$5:F$22)</f>
        <v/>
      </c>
      <c r="H11" s="55">
        <f>VLOOKUP($A11,'L10'!$A:$IZ,229,FALSE)</f>
        <v/>
      </c>
      <c r="I11" s="54">
        <f>RANK(H11,H$5:H$22)</f>
        <v/>
      </c>
      <c r="J11" s="49">
        <f>104-(C11+E11+G11+I11)</f>
        <v/>
      </c>
      <c r="K11" s="47">
        <f>RANK(J11,J$5:J$22)</f>
        <v/>
      </c>
      <c r="L11" s="56" t="n"/>
      <c r="M11" s="53">
        <f>VLOOKUP($A11,'L10'!$A:$IZ,88,FALSE)</f>
        <v/>
      </c>
      <c r="N11" s="54">
        <f>RANK(M11,M$5:M$22)</f>
        <v/>
      </c>
      <c r="O11" s="53">
        <f>VLOOKUP($A11,'L10'!$A:$IZ,84,FALSE)</f>
        <v/>
      </c>
      <c r="P11" s="54">
        <f>RANK(O11,O$5:O$22)</f>
        <v/>
      </c>
      <c r="Q11" s="53">
        <f>VLOOKUP($A11,'L10'!$A:$IZ,85,FALSE)</f>
        <v/>
      </c>
      <c r="R11" s="54">
        <f>RANK(Q11,Q$5:Q$22)</f>
        <v/>
      </c>
      <c r="S11" s="55">
        <f>VLOOKUP($A11,'L10'!$A:$IZ,29,FALSE)</f>
        <v/>
      </c>
      <c r="T11" s="54">
        <f>RANK(S11,S$5:S$22)</f>
        <v/>
      </c>
      <c r="U11" s="49">
        <f>104-(N11+P11+R11+T11)</f>
        <v/>
      </c>
      <c r="V11" s="47">
        <f>RANK(U11,U$5:U$22)</f>
        <v/>
      </c>
      <c r="W11" s="56" t="n"/>
      <c r="X11" s="53">
        <f>VLOOKUP($A11,'L10'!$A:$IZ,65,FALSE)</f>
        <v/>
      </c>
      <c r="Y11" s="54">
        <f>RANK(X11,X$5:X$22)</f>
        <v/>
      </c>
      <c r="Z11" s="53">
        <f>VLOOKUP($A11,'L10'!$A:$IZ,64,FALSE)</f>
        <v/>
      </c>
      <c r="AA11" s="54">
        <f>RANK(Z11,Z$5:Z$22)</f>
        <v/>
      </c>
      <c r="AB11" s="53">
        <f>VLOOKUP($A11,'L10'!$A:$IZ,63,FALSE)</f>
        <v/>
      </c>
      <c r="AC11" s="54">
        <f>RANK(AB11,AB$5:AB$22)</f>
        <v/>
      </c>
      <c r="AD11" s="53">
        <f>VLOOKUP($A11,'L10'!$A:$IZ,71,FALSE)</f>
        <v/>
      </c>
      <c r="AE11" s="54">
        <f>RANK(AD11,AD$5:AD$22)</f>
        <v/>
      </c>
      <c r="AF11" s="65">
        <f>104-(Y11+AA11+AC11+AE11)</f>
        <v/>
      </c>
      <c r="AG11" s="47">
        <f>RANK(AF11,AF$5:AF$22)</f>
        <v/>
      </c>
      <c r="AH11" s="56" t="n"/>
      <c r="AI11" s="53">
        <f>VLOOKUP($A11,'L10'!$A:$IZ,183,FALSE)</f>
        <v/>
      </c>
      <c r="AJ11" s="54">
        <f>RANK(AI11,AI$5:AI$22,1)</f>
        <v/>
      </c>
      <c r="AK11" s="53">
        <f>VLOOKUP($A11,'L10'!$A:$IZ,181,FALSE)</f>
        <v/>
      </c>
      <c r="AL11" s="54">
        <f>RANK(AK11,AK$5:AK$22,1)</f>
        <v/>
      </c>
      <c r="AM11" s="53">
        <f>VLOOKUP($A11,'L10'!$A:$IZ,182,FALSE)</f>
        <v/>
      </c>
      <c r="AN11" s="54">
        <f>RANK(AM11,AM$5:AM$22,1)</f>
        <v/>
      </c>
      <c r="AO11" s="53">
        <f>VLOOKUP($A11,'L10'!$A:$IZ,163,FALSE)</f>
        <v/>
      </c>
      <c r="AP11" s="54">
        <f>RANK(AO11,AO$5:AO$22,1)</f>
        <v/>
      </c>
      <c r="AQ11" s="65">
        <f>104-(AJ11+AL11+AN11+AP11)</f>
        <v/>
      </c>
      <c r="AR11" s="47">
        <f>RANK(AQ11,AQ$5:AQ$22)</f>
        <v/>
      </c>
      <c r="AS11" s="56" t="n"/>
      <c r="AT11" s="46">
        <f>VLOOKUP($A11,'L10'!$A:$IZ,250,FALSE)</f>
        <v/>
      </c>
      <c r="AU11" s="47">
        <f>RANK(AT11,AT$5:AT$22,0)</f>
        <v/>
      </c>
      <c r="AV11" s="46">
        <f>VLOOKUP($A11,'L10'!$A:$IZ,92,FALSE)</f>
        <v/>
      </c>
      <c r="AW11" s="47">
        <f>RANK(AV11,AV$5:AV$22,0)</f>
        <v/>
      </c>
      <c r="AX11" s="46">
        <f>VLOOKUP($A11,'L10'!$A:$IZ,93,FALSE)</f>
        <v/>
      </c>
      <c r="AY11" s="47">
        <f>RANK(AX11,AX$5:AX$22,0)</f>
        <v/>
      </c>
      <c r="AZ11" s="46">
        <f>VLOOKUP($A11,'L10'!$A:$IZ,108,FALSE)</f>
        <v/>
      </c>
      <c r="BA11" s="47">
        <f>RANK(AZ11,AZ$5:AZ$22,0)</f>
        <v/>
      </c>
      <c r="BB11" s="49">
        <f>104-(AU11+AW11+AY11+BA11)</f>
        <v/>
      </c>
      <c r="BC11" s="47">
        <f>RANK(BB11,BB$5:BB$22,0)</f>
        <v/>
      </c>
      <c r="BD11" s="56" t="n"/>
      <c r="BE11" s="53">
        <f>VLOOKUP($A11,'L10'!$A:$IZ,80,FALSE)</f>
        <v/>
      </c>
      <c r="BF11" s="54">
        <f>RANK(BE11,BE$5:BE$22)</f>
        <v/>
      </c>
      <c r="BG11" s="53">
        <f>VLOOKUP($A11,'L10'!$A:$IZ,177,FALSE)</f>
        <v/>
      </c>
      <c r="BH11" s="54">
        <f>RANK(BG11,BG$5:BG$22,1)</f>
        <v/>
      </c>
      <c r="BI11" s="53">
        <f>VLOOKUP($A11,'L10'!$A:$IZ,79,FALSE)</f>
        <v/>
      </c>
      <c r="BJ11" s="54">
        <f>RANK(BI11,BI$5:BI$22)</f>
        <v/>
      </c>
      <c r="BK11" s="53">
        <f>VLOOKUP($A11,'L10'!$A:$IZ,176,FALSE)</f>
        <v/>
      </c>
      <c r="BL11" s="54">
        <f>RANK(BK11,BK$5:BK$22,1)</f>
        <v/>
      </c>
      <c r="BM11" s="53">
        <f>VLOOKUP($A11,'L10'!$A:$IZ,11,FALSE)</f>
        <v/>
      </c>
      <c r="BN11" s="54">
        <f>RANK(BM11,BM$5:BM$22)</f>
        <v/>
      </c>
      <c r="BO11" s="53">
        <f>VLOOKUP($A11,'L10'!$A:$IZ,222,FALSE)</f>
        <v/>
      </c>
      <c r="BP11" s="54">
        <f>RANK(BO11,BO$5:BO$22)</f>
        <v/>
      </c>
      <c r="BQ11" s="65">
        <f>104-(BJ11+BL11+BN11+BP11)</f>
        <v/>
      </c>
      <c r="BR11" s="47">
        <f>RANK(BQ11,BQ$5:BQ$22)</f>
        <v/>
      </c>
      <c r="BS11" s="56" t="n"/>
      <c r="BT11" s="57">
        <f>VLOOKUP($A11,'Ratings Season'!$A:$M,8,FALSE)</f>
        <v/>
      </c>
      <c r="BU11" s="54">
        <f>RANK(BT11,BT$5:BT$22)</f>
        <v/>
      </c>
      <c r="BV11" s="57">
        <f>VLOOKUP($A11,'Ratings Season'!$A:$M,4,FALSE)</f>
        <v/>
      </c>
      <c r="BW11" s="54">
        <f>RANK(BV11,BV$5:BV$22)</f>
        <v/>
      </c>
      <c r="BX11" s="57">
        <f>VLOOKUP($A11,'Ratings Season'!$A:$M,2,FALSE)</f>
        <v/>
      </c>
      <c r="BY11" s="58">
        <f>RANK(BX11,BX$5:BX$22)</f>
        <v/>
      </c>
      <c r="BZ11" s="69" t="n"/>
    </row>
    <row r="12" ht="25" customHeight="1">
      <c r="A12" s="82" t="inlineStr">
        <is>
          <t>Gold Coast</t>
        </is>
      </c>
      <c r="B12" s="53">
        <f>VLOOKUP($A12,'L10'!$A:$IZ,222,FALSE)</f>
        <v/>
      </c>
      <c r="C12" s="54">
        <f>RANK(B12,B$5:B$22)</f>
        <v/>
      </c>
      <c r="D12" s="55">
        <f>VLOOKUP($A12,'L10'!$A:$IZ,218,FALSE)</f>
        <v/>
      </c>
      <c r="E12" s="54">
        <f>RANK(D12,D$5:D$22)</f>
        <v/>
      </c>
      <c r="F12" s="55">
        <f>VLOOKUP($A12,'L10'!$A:$IZ,49,FALSE)</f>
        <v/>
      </c>
      <c r="G12" s="54">
        <f>RANK(F12,F$5:F$22)</f>
        <v/>
      </c>
      <c r="H12" s="55">
        <f>VLOOKUP($A12,'L10'!$A:$IZ,229,FALSE)</f>
        <v/>
      </c>
      <c r="I12" s="54">
        <f>RANK(H12,H$5:H$22)</f>
        <v/>
      </c>
      <c r="J12" s="49">
        <f>104-(C12+E12+G12+I12)</f>
        <v/>
      </c>
      <c r="K12" s="47">
        <f>RANK(J12,J$5:J$22)</f>
        <v/>
      </c>
      <c r="L12" s="56" t="n"/>
      <c r="M12" s="53">
        <f>VLOOKUP($A12,'L10'!$A:$IZ,88,FALSE)</f>
        <v/>
      </c>
      <c r="N12" s="54">
        <f>RANK(M12,M$5:M$22)</f>
        <v/>
      </c>
      <c r="O12" s="53">
        <f>VLOOKUP($A12,'L10'!$A:$IZ,84,FALSE)</f>
        <v/>
      </c>
      <c r="P12" s="54">
        <f>RANK(O12,O$5:O$22)</f>
        <v/>
      </c>
      <c r="Q12" s="53">
        <f>VLOOKUP($A12,'L10'!$A:$IZ,85,FALSE)</f>
        <v/>
      </c>
      <c r="R12" s="54">
        <f>RANK(Q12,Q$5:Q$22)</f>
        <v/>
      </c>
      <c r="S12" s="55">
        <f>VLOOKUP($A12,'L10'!$A:$IZ,29,FALSE)</f>
        <v/>
      </c>
      <c r="T12" s="54">
        <f>RANK(S12,S$5:S$22)</f>
        <v/>
      </c>
      <c r="U12" s="49">
        <f>104-(N12+P12+R12+T12)</f>
        <v/>
      </c>
      <c r="V12" s="47">
        <f>RANK(U12,U$5:U$22)</f>
        <v/>
      </c>
      <c r="W12" s="56" t="n"/>
      <c r="X12" s="53">
        <f>VLOOKUP($A12,'L10'!$A:$IZ,65,FALSE)</f>
        <v/>
      </c>
      <c r="Y12" s="54">
        <f>RANK(X12,X$5:X$22)</f>
        <v/>
      </c>
      <c r="Z12" s="53">
        <f>VLOOKUP($A12,'L10'!$A:$IZ,64,FALSE)</f>
        <v/>
      </c>
      <c r="AA12" s="54">
        <f>RANK(Z12,Z$5:Z$22)</f>
        <v/>
      </c>
      <c r="AB12" s="53">
        <f>VLOOKUP($A12,'L10'!$A:$IZ,63,FALSE)</f>
        <v/>
      </c>
      <c r="AC12" s="54">
        <f>RANK(AB12,AB$5:AB$22)</f>
        <v/>
      </c>
      <c r="AD12" s="53">
        <f>VLOOKUP($A12,'L10'!$A:$IZ,71,FALSE)</f>
        <v/>
      </c>
      <c r="AE12" s="54">
        <f>RANK(AD12,AD$5:AD$22)</f>
        <v/>
      </c>
      <c r="AF12" s="65">
        <f>104-(Y12+AA12+AC12+AE12)</f>
        <v/>
      </c>
      <c r="AG12" s="47">
        <f>RANK(AF12,AF$5:AF$22)</f>
        <v/>
      </c>
      <c r="AH12" s="56" t="n"/>
      <c r="AI12" s="53">
        <f>VLOOKUP($A12,'L10'!$A:$IZ,183,FALSE)</f>
        <v/>
      </c>
      <c r="AJ12" s="54">
        <f>RANK(AI12,AI$5:AI$22,1)</f>
        <v/>
      </c>
      <c r="AK12" s="53">
        <f>VLOOKUP($A12,'L10'!$A:$IZ,181,FALSE)</f>
        <v/>
      </c>
      <c r="AL12" s="54">
        <f>RANK(AK12,AK$5:AK$22,1)</f>
        <v/>
      </c>
      <c r="AM12" s="53">
        <f>VLOOKUP($A12,'L10'!$A:$IZ,182,FALSE)</f>
        <v/>
      </c>
      <c r="AN12" s="54">
        <f>RANK(AM12,AM$5:AM$22,1)</f>
        <v/>
      </c>
      <c r="AO12" s="53">
        <f>VLOOKUP($A12,'L10'!$A:$IZ,163,FALSE)</f>
        <v/>
      </c>
      <c r="AP12" s="54">
        <f>RANK(AO12,AO$5:AO$22,1)</f>
        <v/>
      </c>
      <c r="AQ12" s="65">
        <f>104-(AJ12+AL12+AN12+AP12)</f>
        <v/>
      </c>
      <c r="AR12" s="47">
        <f>RANK(AQ12,AQ$5:AQ$22)</f>
        <v/>
      </c>
      <c r="AS12" s="56" t="n"/>
      <c r="AT12" s="46">
        <f>VLOOKUP($A12,'L10'!$A:$IZ,250,FALSE)</f>
        <v/>
      </c>
      <c r="AU12" s="47">
        <f>RANK(AT12,AT$5:AT$22,0)</f>
        <v/>
      </c>
      <c r="AV12" s="46">
        <f>VLOOKUP($A12,'L10'!$A:$IZ,92,FALSE)</f>
        <v/>
      </c>
      <c r="AW12" s="47">
        <f>RANK(AV12,AV$5:AV$22,0)</f>
        <v/>
      </c>
      <c r="AX12" s="46">
        <f>VLOOKUP($A12,'L10'!$A:$IZ,93,FALSE)</f>
        <v/>
      </c>
      <c r="AY12" s="47">
        <f>RANK(AX12,AX$5:AX$22,0)</f>
        <v/>
      </c>
      <c r="AZ12" s="46">
        <f>VLOOKUP($A12,'L10'!$A:$IZ,108,FALSE)</f>
        <v/>
      </c>
      <c r="BA12" s="47">
        <f>RANK(AZ12,AZ$5:AZ$22,0)</f>
        <v/>
      </c>
      <c r="BB12" s="49">
        <f>104-(AU12+AW12+AY12+BA12)</f>
        <v/>
      </c>
      <c r="BC12" s="47">
        <f>RANK(BB12,BB$5:BB$22,0)</f>
        <v/>
      </c>
      <c r="BD12" s="56" t="n"/>
      <c r="BE12" s="53">
        <f>VLOOKUP($A12,'L10'!$A:$IZ,80,FALSE)</f>
        <v/>
      </c>
      <c r="BF12" s="54">
        <f>RANK(BE12,BE$5:BE$22)</f>
        <v/>
      </c>
      <c r="BG12" s="53">
        <f>VLOOKUP($A12,'L10'!$A:$IZ,177,FALSE)</f>
        <v/>
      </c>
      <c r="BH12" s="54">
        <f>RANK(BG12,BG$5:BG$22,1)</f>
        <v/>
      </c>
      <c r="BI12" s="53">
        <f>VLOOKUP($A12,'L10'!$A:$IZ,79,FALSE)</f>
        <v/>
      </c>
      <c r="BJ12" s="54">
        <f>RANK(BI12,BI$5:BI$22)</f>
        <v/>
      </c>
      <c r="BK12" s="53">
        <f>VLOOKUP($A12,'L10'!$A:$IZ,176,FALSE)</f>
        <v/>
      </c>
      <c r="BL12" s="54">
        <f>RANK(BK12,BK$5:BK$22,1)</f>
        <v/>
      </c>
      <c r="BM12" s="53">
        <f>VLOOKUP($A12,'L10'!$A:$IZ,11,FALSE)</f>
        <v/>
      </c>
      <c r="BN12" s="54">
        <f>RANK(BM12,BM$5:BM$22)</f>
        <v/>
      </c>
      <c r="BO12" s="53">
        <f>VLOOKUP($A12,'L10'!$A:$IZ,222,FALSE)</f>
        <v/>
      </c>
      <c r="BP12" s="54">
        <f>RANK(BO12,BO$5:BO$22)</f>
        <v/>
      </c>
      <c r="BQ12" s="65">
        <f>104-(BJ12+BL12+BN12+BP12)</f>
        <v/>
      </c>
      <c r="BR12" s="47">
        <f>RANK(BQ12,BQ$5:BQ$22)</f>
        <v/>
      </c>
      <c r="BS12" s="56" t="n"/>
      <c r="BT12" s="57">
        <f>VLOOKUP($A12,'Ratings Season'!$A:$M,8,FALSE)</f>
        <v/>
      </c>
      <c r="BU12" s="54">
        <f>RANK(BT12,BT$5:BT$22)</f>
        <v/>
      </c>
      <c r="BV12" s="57">
        <f>VLOOKUP($A12,'Ratings Season'!$A:$M,4,FALSE)</f>
        <v/>
      </c>
      <c r="BW12" s="54">
        <f>RANK(BV12,BV$5:BV$22)</f>
        <v/>
      </c>
      <c r="BX12" s="57">
        <f>VLOOKUP($A12,'Ratings Season'!$A:$M,2,FALSE)</f>
        <v/>
      </c>
      <c r="BY12" s="58">
        <f>RANK(BX12,BX$5:BX$22)</f>
        <v/>
      </c>
      <c r="BZ12" s="69" t="n"/>
    </row>
    <row r="13" ht="25" customHeight="1">
      <c r="A13" s="83" t="inlineStr">
        <is>
          <t>Greater Western Sydney</t>
        </is>
      </c>
      <c r="B13" s="53">
        <f>VLOOKUP($A13,'L10'!$A:$IZ,222,FALSE)</f>
        <v/>
      </c>
      <c r="C13" s="54">
        <f>RANK(B13,B$5:B$22)</f>
        <v/>
      </c>
      <c r="D13" s="55">
        <f>VLOOKUP($A13,'L10'!$A:$IZ,218,FALSE)</f>
        <v/>
      </c>
      <c r="E13" s="54">
        <f>RANK(D13,D$5:D$22)</f>
        <v/>
      </c>
      <c r="F13" s="55">
        <f>VLOOKUP($A13,'L10'!$A:$IZ,49,FALSE)</f>
        <v/>
      </c>
      <c r="G13" s="54">
        <f>RANK(F13,F$5:F$22)</f>
        <v/>
      </c>
      <c r="H13" s="55">
        <f>VLOOKUP($A13,'L10'!$A:$IZ,229,FALSE)</f>
        <v/>
      </c>
      <c r="I13" s="54">
        <f>RANK(H13,H$5:H$22)</f>
        <v/>
      </c>
      <c r="J13" s="49">
        <f>104-(C13+E13+G13+I13)</f>
        <v/>
      </c>
      <c r="K13" s="47">
        <f>RANK(J13,J$5:J$22)</f>
        <v/>
      </c>
      <c r="L13" s="56" t="n"/>
      <c r="M13" s="53">
        <f>VLOOKUP($A13,'L10'!$A:$IZ,88,FALSE)</f>
        <v/>
      </c>
      <c r="N13" s="54">
        <f>RANK(M13,M$5:M$22)</f>
        <v/>
      </c>
      <c r="O13" s="53">
        <f>VLOOKUP($A13,'L10'!$A:$IZ,84,FALSE)</f>
        <v/>
      </c>
      <c r="P13" s="54">
        <f>RANK(O13,O$5:O$22)</f>
        <v/>
      </c>
      <c r="Q13" s="53">
        <f>VLOOKUP($A13,'L10'!$A:$IZ,85,FALSE)</f>
        <v/>
      </c>
      <c r="R13" s="54">
        <f>RANK(Q13,Q$5:Q$22)</f>
        <v/>
      </c>
      <c r="S13" s="55">
        <f>VLOOKUP($A13,'L10'!$A:$IZ,29,FALSE)</f>
        <v/>
      </c>
      <c r="T13" s="54">
        <f>RANK(S13,S$5:S$22)</f>
        <v/>
      </c>
      <c r="U13" s="49">
        <f>104-(N13+P13+R13+T13)</f>
        <v/>
      </c>
      <c r="V13" s="47">
        <f>RANK(U13,U$5:U$22)</f>
        <v/>
      </c>
      <c r="W13" s="56" t="n"/>
      <c r="X13" s="53">
        <f>VLOOKUP($A13,'L10'!$A:$IZ,65,FALSE)</f>
        <v/>
      </c>
      <c r="Y13" s="54">
        <f>RANK(X13,X$5:X$22)</f>
        <v/>
      </c>
      <c r="Z13" s="53">
        <f>VLOOKUP($A13,'L10'!$A:$IZ,64,FALSE)</f>
        <v/>
      </c>
      <c r="AA13" s="54">
        <f>RANK(Z13,Z$5:Z$22)</f>
        <v/>
      </c>
      <c r="AB13" s="53">
        <f>VLOOKUP($A13,'L10'!$A:$IZ,63,FALSE)</f>
        <v/>
      </c>
      <c r="AC13" s="54">
        <f>RANK(AB13,AB$5:AB$22)</f>
        <v/>
      </c>
      <c r="AD13" s="53">
        <f>VLOOKUP($A13,'L10'!$A:$IZ,71,FALSE)</f>
        <v/>
      </c>
      <c r="AE13" s="54">
        <f>RANK(AD13,AD$5:AD$22)</f>
        <v/>
      </c>
      <c r="AF13" s="65">
        <f>104-(Y13+AA13+AC13+AE13)</f>
        <v/>
      </c>
      <c r="AG13" s="47">
        <f>RANK(AF13,AF$5:AF$22)</f>
        <v/>
      </c>
      <c r="AH13" s="56" t="n"/>
      <c r="AI13" s="53">
        <f>VLOOKUP($A13,'L10'!$A:$IZ,183,FALSE)</f>
        <v/>
      </c>
      <c r="AJ13" s="54">
        <f>RANK(AI13,AI$5:AI$22,1)</f>
        <v/>
      </c>
      <c r="AK13" s="53">
        <f>VLOOKUP($A13,'L10'!$A:$IZ,181,FALSE)</f>
        <v/>
      </c>
      <c r="AL13" s="54">
        <f>RANK(AK13,AK$5:AK$22,1)</f>
        <v/>
      </c>
      <c r="AM13" s="53">
        <f>VLOOKUP($A13,'L10'!$A:$IZ,182,FALSE)</f>
        <v/>
      </c>
      <c r="AN13" s="54">
        <f>RANK(AM13,AM$5:AM$22,1)</f>
        <v/>
      </c>
      <c r="AO13" s="53">
        <f>VLOOKUP($A13,'L10'!$A:$IZ,163,FALSE)</f>
        <v/>
      </c>
      <c r="AP13" s="54">
        <f>RANK(AO13,AO$5:AO$22,1)</f>
        <v/>
      </c>
      <c r="AQ13" s="65">
        <f>104-(AJ13+AL13+AN13+AP13)</f>
        <v/>
      </c>
      <c r="AR13" s="47">
        <f>RANK(AQ13,AQ$5:AQ$22)</f>
        <v/>
      </c>
      <c r="AS13" s="56" t="n"/>
      <c r="AT13" s="46">
        <f>VLOOKUP($A13,'L10'!$A:$IZ,250,FALSE)</f>
        <v/>
      </c>
      <c r="AU13" s="47">
        <f>RANK(AT13,AT$5:AT$22,0)</f>
        <v/>
      </c>
      <c r="AV13" s="46">
        <f>VLOOKUP($A13,'L10'!$A:$IZ,92,FALSE)</f>
        <v/>
      </c>
      <c r="AW13" s="47">
        <f>RANK(AV13,AV$5:AV$22,0)</f>
        <v/>
      </c>
      <c r="AX13" s="46">
        <f>VLOOKUP($A13,'L10'!$A:$IZ,93,FALSE)</f>
        <v/>
      </c>
      <c r="AY13" s="47">
        <f>RANK(AX13,AX$5:AX$22,0)</f>
        <v/>
      </c>
      <c r="AZ13" s="46">
        <f>VLOOKUP($A13,'L10'!$A:$IZ,108,FALSE)</f>
        <v/>
      </c>
      <c r="BA13" s="47">
        <f>RANK(AZ13,AZ$5:AZ$22,0)</f>
        <v/>
      </c>
      <c r="BB13" s="49">
        <f>104-(AU13+AW13+AY13+BA13)</f>
        <v/>
      </c>
      <c r="BC13" s="47">
        <f>RANK(BB13,BB$5:BB$22,0)</f>
        <v/>
      </c>
      <c r="BD13" s="56" t="n"/>
      <c r="BE13" s="53">
        <f>VLOOKUP($A13,'L10'!$A:$IZ,80,FALSE)</f>
        <v/>
      </c>
      <c r="BF13" s="54">
        <f>RANK(BE13,BE$5:BE$22)</f>
        <v/>
      </c>
      <c r="BG13" s="53">
        <f>VLOOKUP($A13,'L10'!$A:$IZ,177,FALSE)</f>
        <v/>
      </c>
      <c r="BH13" s="54">
        <f>RANK(BG13,BG$5:BG$22,1)</f>
        <v/>
      </c>
      <c r="BI13" s="53">
        <f>VLOOKUP($A13,'L10'!$A:$IZ,79,FALSE)</f>
        <v/>
      </c>
      <c r="BJ13" s="54">
        <f>RANK(BI13,BI$5:BI$22)</f>
        <v/>
      </c>
      <c r="BK13" s="53">
        <f>VLOOKUP($A13,'L10'!$A:$IZ,176,FALSE)</f>
        <v/>
      </c>
      <c r="BL13" s="54">
        <f>RANK(BK13,BK$5:BK$22,1)</f>
        <v/>
      </c>
      <c r="BM13" s="53">
        <f>VLOOKUP($A13,'L10'!$A:$IZ,11,FALSE)</f>
        <v/>
      </c>
      <c r="BN13" s="54">
        <f>RANK(BM13,BM$5:BM$22)</f>
        <v/>
      </c>
      <c r="BO13" s="53">
        <f>VLOOKUP($A13,'L10'!$A:$IZ,222,FALSE)</f>
        <v/>
      </c>
      <c r="BP13" s="54">
        <f>RANK(BO13,BO$5:BO$22)</f>
        <v/>
      </c>
      <c r="BQ13" s="65">
        <f>104-(BJ13+BL13+BN13+BP13)</f>
        <v/>
      </c>
      <c r="BR13" s="47">
        <f>RANK(BQ13,BQ$5:BQ$22)</f>
        <v/>
      </c>
      <c r="BS13" s="56" t="n"/>
      <c r="BT13" s="57">
        <f>VLOOKUP($A13,'Ratings Season'!$A:$M,8,FALSE)</f>
        <v/>
      </c>
      <c r="BU13" s="54">
        <f>RANK(BT13,BT$5:BT$22)</f>
        <v/>
      </c>
      <c r="BV13" s="57">
        <f>VLOOKUP($A13,'Ratings Season'!$A:$M,4,FALSE)</f>
        <v/>
      </c>
      <c r="BW13" s="54">
        <f>RANK(BV13,BV$5:BV$22)</f>
        <v/>
      </c>
      <c r="BX13" s="57">
        <f>VLOOKUP($A13,'Ratings Season'!$A:$M,2,FALSE)</f>
        <v/>
      </c>
      <c r="BY13" s="58">
        <f>RANK(BX13,BX$5:BX$22)</f>
        <v/>
      </c>
      <c r="BZ13" s="69" t="n"/>
    </row>
    <row r="14" ht="25" customHeight="1">
      <c r="A14" s="84" t="inlineStr">
        <is>
          <t>Hawthorn</t>
        </is>
      </c>
      <c r="B14" s="53">
        <f>VLOOKUP($A14,'L10'!$A:$IZ,222,FALSE)</f>
        <v/>
      </c>
      <c r="C14" s="54">
        <f>RANK(B14,B$5:B$22)</f>
        <v/>
      </c>
      <c r="D14" s="55">
        <f>VLOOKUP($A14,'L10'!$A:$IZ,218,FALSE)</f>
        <v/>
      </c>
      <c r="E14" s="54">
        <f>RANK(D14,D$5:D$22)</f>
        <v/>
      </c>
      <c r="F14" s="55">
        <f>VLOOKUP($A14,'L10'!$A:$IZ,49,FALSE)</f>
        <v/>
      </c>
      <c r="G14" s="54">
        <f>RANK(F14,F$5:F$22)</f>
        <v/>
      </c>
      <c r="H14" s="55">
        <f>VLOOKUP($A14,'L10'!$A:$IZ,229,FALSE)</f>
        <v/>
      </c>
      <c r="I14" s="54">
        <f>RANK(H14,H$5:H$22)</f>
        <v/>
      </c>
      <c r="J14" s="49">
        <f>104-(C14+E14+G14+I14)</f>
        <v/>
      </c>
      <c r="K14" s="47">
        <f>RANK(J14,J$5:J$22)</f>
        <v/>
      </c>
      <c r="L14" s="56" t="n"/>
      <c r="M14" s="53">
        <f>VLOOKUP($A14,'L10'!$A:$IZ,88,FALSE)</f>
        <v/>
      </c>
      <c r="N14" s="54">
        <f>RANK(M14,M$5:M$22)</f>
        <v/>
      </c>
      <c r="O14" s="53">
        <f>VLOOKUP($A14,'L10'!$A:$IZ,84,FALSE)</f>
        <v/>
      </c>
      <c r="P14" s="54">
        <f>RANK(O14,O$5:O$22)</f>
        <v/>
      </c>
      <c r="Q14" s="53">
        <f>VLOOKUP($A14,'L10'!$A:$IZ,85,FALSE)</f>
        <v/>
      </c>
      <c r="R14" s="54">
        <f>RANK(Q14,Q$5:Q$22)</f>
        <v/>
      </c>
      <c r="S14" s="55">
        <f>VLOOKUP($A14,'L10'!$A:$IZ,29,FALSE)</f>
        <v/>
      </c>
      <c r="T14" s="54">
        <f>RANK(S14,S$5:S$22)</f>
        <v/>
      </c>
      <c r="U14" s="49">
        <f>104-(N14+P14+R14+T14)</f>
        <v/>
      </c>
      <c r="V14" s="47">
        <f>RANK(U14,U$5:U$22)</f>
        <v/>
      </c>
      <c r="W14" s="56" t="n"/>
      <c r="X14" s="53">
        <f>VLOOKUP($A14,'L10'!$A:$IZ,65,FALSE)</f>
        <v/>
      </c>
      <c r="Y14" s="54">
        <f>RANK(X14,X$5:X$22)</f>
        <v/>
      </c>
      <c r="Z14" s="53">
        <f>VLOOKUP($A14,'L10'!$A:$IZ,64,FALSE)</f>
        <v/>
      </c>
      <c r="AA14" s="54">
        <f>RANK(Z14,Z$5:Z$22)</f>
        <v/>
      </c>
      <c r="AB14" s="53">
        <f>VLOOKUP($A14,'L10'!$A:$IZ,63,FALSE)</f>
        <v/>
      </c>
      <c r="AC14" s="54">
        <f>RANK(AB14,AB$5:AB$22)</f>
        <v/>
      </c>
      <c r="AD14" s="53">
        <f>VLOOKUP($A14,'L10'!$A:$IZ,71,FALSE)</f>
        <v/>
      </c>
      <c r="AE14" s="54">
        <f>RANK(AD14,AD$5:AD$22)</f>
        <v/>
      </c>
      <c r="AF14" s="65">
        <f>104-(Y14+AA14+AC14+AE14)</f>
        <v/>
      </c>
      <c r="AG14" s="47">
        <f>RANK(AF14,AF$5:AF$22)</f>
        <v/>
      </c>
      <c r="AH14" s="56" t="n"/>
      <c r="AI14" s="53">
        <f>VLOOKUP($A14,'L10'!$A:$IZ,183,FALSE)</f>
        <v/>
      </c>
      <c r="AJ14" s="54">
        <f>RANK(AI14,AI$5:AI$22,1)</f>
        <v/>
      </c>
      <c r="AK14" s="53">
        <f>VLOOKUP($A14,'L10'!$A:$IZ,181,FALSE)</f>
        <v/>
      </c>
      <c r="AL14" s="54">
        <f>RANK(AK14,AK$5:AK$22,1)</f>
        <v/>
      </c>
      <c r="AM14" s="53">
        <f>VLOOKUP($A14,'L10'!$A:$IZ,182,FALSE)</f>
        <v/>
      </c>
      <c r="AN14" s="54">
        <f>RANK(AM14,AM$5:AM$22,1)</f>
        <v/>
      </c>
      <c r="AO14" s="53">
        <f>VLOOKUP($A14,'L10'!$A:$IZ,163,FALSE)</f>
        <v/>
      </c>
      <c r="AP14" s="54">
        <f>RANK(AO14,AO$5:AO$22,1)</f>
        <v/>
      </c>
      <c r="AQ14" s="65">
        <f>104-(AJ14+AL14+AN14+AP14)</f>
        <v/>
      </c>
      <c r="AR14" s="47">
        <f>RANK(AQ14,AQ$5:AQ$22)</f>
        <v/>
      </c>
      <c r="AS14" s="56" t="n"/>
      <c r="AT14" s="46">
        <f>VLOOKUP($A14,'L10'!$A:$IZ,250,FALSE)</f>
        <v/>
      </c>
      <c r="AU14" s="47">
        <f>RANK(AT14,AT$5:AT$22,0)</f>
        <v/>
      </c>
      <c r="AV14" s="46">
        <f>VLOOKUP($A14,'L10'!$A:$IZ,92,FALSE)</f>
        <v/>
      </c>
      <c r="AW14" s="47">
        <f>RANK(AV14,AV$5:AV$22,0)</f>
        <v/>
      </c>
      <c r="AX14" s="46">
        <f>VLOOKUP($A14,'L10'!$A:$IZ,93,FALSE)</f>
        <v/>
      </c>
      <c r="AY14" s="47">
        <f>RANK(AX14,AX$5:AX$22,0)</f>
        <v/>
      </c>
      <c r="AZ14" s="46">
        <f>VLOOKUP($A14,'L10'!$A:$IZ,108,FALSE)</f>
        <v/>
      </c>
      <c r="BA14" s="47">
        <f>RANK(AZ14,AZ$5:AZ$22,0)</f>
        <v/>
      </c>
      <c r="BB14" s="49">
        <f>104-(AU14+AW14+AY14+BA14)</f>
        <v/>
      </c>
      <c r="BC14" s="47">
        <f>RANK(BB14,BB$5:BB$22,0)</f>
        <v/>
      </c>
      <c r="BD14" s="56" t="n"/>
      <c r="BE14" s="53">
        <f>VLOOKUP($A14,'L10'!$A:$IZ,80,FALSE)</f>
        <v/>
      </c>
      <c r="BF14" s="54">
        <f>RANK(BE14,BE$5:BE$22)</f>
        <v/>
      </c>
      <c r="BG14" s="53">
        <f>VLOOKUP($A14,'L10'!$A:$IZ,177,FALSE)</f>
        <v/>
      </c>
      <c r="BH14" s="54">
        <f>RANK(BG14,BG$5:BG$22,1)</f>
        <v/>
      </c>
      <c r="BI14" s="53">
        <f>VLOOKUP($A14,'L10'!$A:$IZ,79,FALSE)</f>
        <v/>
      </c>
      <c r="BJ14" s="54">
        <f>RANK(BI14,BI$5:BI$22)</f>
        <v/>
      </c>
      <c r="BK14" s="53">
        <f>VLOOKUP($A14,'L10'!$A:$IZ,176,FALSE)</f>
        <v/>
      </c>
      <c r="BL14" s="54">
        <f>RANK(BK14,BK$5:BK$22,1)</f>
        <v/>
      </c>
      <c r="BM14" s="53">
        <f>VLOOKUP($A14,'L10'!$A:$IZ,11,FALSE)</f>
        <v/>
      </c>
      <c r="BN14" s="54">
        <f>RANK(BM14,BM$5:BM$22)</f>
        <v/>
      </c>
      <c r="BO14" s="53">
        <f>VLOOKUP($A14,'L10'!$A:$IZ,222,FALSE)</f>
        <v/>
      </c>
      <c r="BP14" s="54">
        <f>RANK(BO14,BO$5:BO$22)</f>
        <v/>
      </c>
      <c r="BQ14" s="65">
        <f>104-(BJ14+BL14+BN14+BP14)</f>
        <v/>
      </c>
      <c r="BR14" s="47">
        <f>RANK(BQ14,BQ$5:BQ$22)</f>
        <v/>
      </c>
      <c r="BS14" s="56" t="n"/>
      <c r="BT14" s="57">
        <f>VLOOKUP($A14,'Ratings Season'!$A:$M,8,FALSE)</f>
        <v/>
      </c>
      <c r="BU14" s="54">
        <f>RANK(BT14,BT$5:BT$22)</f>
        <v/>
      </c>
      <c r="BV14" s="57">
        <f>VLOOKUP($A14,'Ratings Season'!$A:$M,4,FALSE)</f>
        <v/>
      </c>
      <c r="BW14" s="54">
        <f>RANK(BV14,BV$5:BV$22)</f>
        <v/>
      </c>
      <c r="BX14" s="57">
        <f>VLOOKUP($A14,'Ratings Season'!$A:$M,2,FALSE)</f>
        <v/>
      </c>
      <c r="BY14" s="58">
        <f>RANK(BX14,BX$5:BX$22)</f>
        <v/>
      </c>
      <c r="BZ14" s="69" t="n"/>
    </row>
    <row r="15" ht="25" customHeight="1">
      <c r="A15" s="85" t="inlineStr">
        <is>
          <t>Melbourne</t>
        </is>
      </c>
      <c r="B15" s="53">
        <f>VLOOKUP($A15,'L10'!$A:$IZ,222,FALSE)</f>
        <v/>
      </c>
      <c r="C15" s="54">
        <f>RANK(B15,B$5:B$22)</f>
        <v/>
      </c>
      <c r="D15" s="55">
        <f>VLOOKUP($A15,'L10'!$A:$IZ,218,FALSE)</f>
        <v/>
      </c>
      <c r="E15" s="54">
        <f>RANK(D15,D$5:D$22)</f>
        <v/>
      </c>
      <c r="F15" s="55">
        <f>VLOOKUP($A15,'L10'!$A:$IZ,49,FALSE)</f>
        <v/>
      </c>
      <c r="G15" s="54">
        <f>RANK(F15,F$5:F$22)</f>
        <v/>
      </c>
      <c r="H15" s="55">
        <f>VLOOKUP($A15,'L10'!$A:$IZ,229,FALSE)</f>
        <v/>
      </c>
      <c r="I15" s="54">
        <f>RANK(H15,H$5:H$22)</f>
        <v/>
      </c>
      <c r="J15" s="49">
        <f>104-(C15+E15+G15+I15)</f>
        <v/>
      </c>
      <c r="K15" s="47">
        <f>RANK(J15,J$5:J$22)</f>
        <v/>
      </c>
      <c r="L15" s="56" t="n"/>
      <c r="M15" s="53">
        <f>VLOOKUP($A15,'L10'!$A:$IZ,88,FALSE)</f>
        <v/>
      </c>
      <c r="N15" s="54">
        <f>RANK(M15,M$5:M$22)</f>
        <v/>
      </c>
      <c r="O15" s="53">
        <f>VLOOKUP($A15,'L10'!$A:$IZ,84,FALSE)</f>
        <v/>
      </c>
      <c r="P15" s="54">
        <f>RANK(O15,O$5:O$22)</f>
        <v/>
      </c>
      <c r="Q15" s="53">
        <f>VLOOKUP($A15,'L10'!$A:$IZ,85,FALSE)</f>
        <v/>
      </c>
      <c r="R15" s="54">
        <f>RANK(Q15,Q$5:Q$22)</f>
        <v/>
      </c>
      <c r="S15" s="55">
        <f>VLOOKUP($A15,'L10'!$A:$IZ,29,FALSE)</f>
        <v/>
      </c>
      <c r="T15" s="54">
        <f>RANK(S15,S$5:S$22)</f>
        <v/>
      </c>
      <c r="U15" s="49">
        <f>104-(N15+P15+R15+T15)</f>
        <v/>
      </c>
      <c r="V15" s="47">
        <f>RANK(U15,U$5:U$22)</f>
        <v/>
      </c>
      <c r="W15" s="56" t="n"/>
      <c r="X15" s="53">
        <f>VLOOKUP($A15,'L10'!$A:$IZ,65,FALSE)</f>
        <v/>
      </c>
      <c r="Y15" s="54">
        <f>RANK(X15,X$5:X$22)</f>
        <v/>
      </c>
      <c r="Z15" s="53">
        <f>VLOOKUP($A15,'L10'!$A:$IZ,64,FALSE)</f>
        <v/>
      </c>
      <c r="AA15" s="54">
        <f>RANK(Z15,Z$5:Z$22)</f>
        <v/>
      </c>
      <c r="AB15" s="53">
        <f>VLOOKUP($A15,'L10'!$A:$IZ,63,FALSE)</f>
        <v/>
      </c>
      <c r="AC15" s="54">
        <f>RANK(AB15,AB$5:AB$22)</f>
        <v/>
      </c>
      <c r="AD15" s="53">
        <f>VLOOKUP($A15,'L10'!$A:$IZ,71,FALSE)</f>
        <v/>
      </c>
      <c r="AE15" s="54">
        <f>RANK(AD15,AD$5:AD$22)</f>
        <v/>
      </c>
      <c r="AF15" s="65">
        <f>104-(Y15+AA15+AC15+AE15)</f>
        <v/>
      </c>
      <c r="AG15" s="47">
        <f>RANK(AF15,AF$5:AF$22)</f>
        <v/>
      </c>
      <c r="AH15" s="56" t="n"/>
      <c r="AI15" s="53">
        <f>VLOOKUP($A15,'L10'!$A:$IZ,183,FALSE)</f>
        <v/>
      </c>
      <c r="AJ15" s="54">
        <f>RANK(AI15,AI$5:AI$22,1)</f>
        <v/>
      </c>
      <c r="AK15" s="53">
        <f>VLOOKUP($A15,'L10'!$A:$IZ,181,FALSE)</f>
        <v/>
      </c>
      <c r="AL15" s="54">
        <f>RANK(AK15,AK$5:AK$22,1)</f>
        <v/>
      </c>
      <c r="AM15" s="53">
        <f>VLOOKUP($A15,'L10'!$A:$IZ,182,FALSE)</f>
        <v/>
      </c>
      <c r="AN15" s="54">
        <f>RANK(AM15,AM$5:AM$22,1)</f>
        <v/>
      </c>
      <c r="AO15" s="53">
        <f>VLOOKUP($A15,'L10'!$A:$IZ,163,FALSE)</f>
        <v/>
      </c>
      <c r="AP15" s="54">
        <f>RANK(AO15,AO$5:AO$22,1)</f>
        <v/>
      </c>
      <c r="AQ15" s="65">
        <f>104-(AJ15+AL15+AN15+AP15)</f>
        <v/>
      </c>
      <c r="AR15" s="47">
        <f>RANK(AQ15,AQ$5:AQ$22)</f>
        <v/>
      </c>
      <c r="AS15" s="56" t="n"/>
      <c r="AT15" s="46">
        <f>VLOOKUP($A15,'L10'!$A:$IZ,250,FALSE)</f>
        <v/>
      </c>
      <c r="AU15" s="47">
        <f>RANK(AT15,AT$5:AT$22,0)</f>
        <v/>
      </c>
      <c r="AV15" s="46">
        <f>VLOOKUP($A15,'L10'!$A:$IZ,92,FALSE)</f>
        <v/>
      </c>
      <c r="AW15" s="47">
        <f>RANK(AV15,AV$5:AV$22,0)</f>
        <v/>
      </c>
      <c r="AX15" s="46">
        <f>VLOOKUP($A15,'L10'!$A:$IZ,93,FALSE)</f>
        <v/>
      </c>
      <c r="AY15" s="47">
        <f>RANK(AX15,AX$5:AX$22,0)</f>
        <v/>
      </c>
      <c r="AZ15" s="46">
        <f>VLOOKUP($A15,'L10'!$A:$IZ,108,FALSE)</f>
        <v/>
      </c>
      <c r="BA15" s="47">
        <f>RANK(AZ15,AZ$5:AZ$22,0)</f>
        <v/>
      </c>
      <c r="BB15" s="49">
        <f>104-(AU15+AW15+AY15+BA15)</f>
        <v/>
      </c>
      <c r="BC15" s="47">
        <f>RANK(BB15,BB$5:BB$22,0)</f>
        <v/>
      </c>
      <c r="BD15" s="56" t="n"/>
      <c r="BE15" s="53">
        <f>VLOOKUP($A15,'L10'!$A:$IZ,80,FALSE)</f>
        <v/>
      </c>
      <c r="BF15" s="54">
        <f>RANK(BE15,BE$5:BE$22)</f>
        <v/>
      </c>
      <c r="BG15" s="53">
        <f>VLOOKUP($A15,'L10'!$A:$IZ,177,FALSE)</f>
        <v/>
      </c>
      <c r="BH15" s="54">
        <f>RANK(BG15,BG$5:BG$22,1)</f>
        <v/>
      </c>
      <c r="BI15" s="53">
        <f>VLOOKUP($A15,'L10'!$A:$IZ,79,FALSE)</f>
        <v/>
      </c>
      <c r="BJ15" s="54">
        <f>RANK(BI15,BI$5:BI$22)</f>
        <v/>
      </c>
      <c r="BK15" s="53">
        <f>VLOOKUP($A15,'L10'!$A:$IZ,176,FALSE)</f>
        <v/>
      </c>
      <c r="BL15" s="54">
        <f>RANK(BK15,BK$5:BK$22,1)</f>
        <v/>
      </c>
      <c r="BM15" s="53">
        <f>VLOOKUP($A15,'L10'!$A:$IZ,11,FALSE)</f>
        <v/>
      </c>
      <c r="BN15" s="54">
        <f>RANK(BM15,BM$5:BM$22)</f>
        <v/>
      </c>
      <c r="BO15" s="53">
        <f>VLOOKUP($A15,'L10'!$A:$IZ,222,FALSE)</f>
        <v/>
      </c>
      <c r="BP15" s="54">
        <f>RANK(BO15,BO$5:BO$22)</f>
        <v/>
      </c>
      <c r="BQ15" s="65">
        <f>104-(BJ15+BL15+BN15+BP15)</f>
        <v/>
      </c>
      <c r="BR15" s="47">
        <f>RANK(BQ15,BQ$5:BQ$22)</f>
        <v/>
      </c>
      <c r="BS15" s="56" t="n"/>
      <c r="BT15" s="57">
        <f>VLOOKUP($A15,'Ratings Season'!$A:$M,8,FALSE)</f>
        <v/>
      </c>
      <c r="BU15" s="54">
        <f>RANK(BT15,BT$5:BT$22)</f>
        <v/>
      </c>
      <c r="BV15" s="57">
        <f>VLOOKUP($A15,'Ratings Season'!$A:$M,4,FALSE)</f>
        <v/>
      </c>
      <c r="BW15" s="54">
        <f>RANK(BV15,BV$5:BV$22)</f>
        <v/>
      </c>
      <c r="BX15" s="57">
        <f>VLOOKUP($A15,'Ratings Season'!$A:$M,2,FALSE)</f>
        <v/>
      </c>
      <c r="BY15" s="58">
        <f>RANK(BX15,BX$5:BX$22)</f>
        <v/>
      </c>
      <c r="BZ15" s="69" t="n"/>
    </row>
    <row r="16" ht="25" customHeight="1">
      <c r="A16" s="86" t="inlineStr">
        <is>
          <t>North Melbourne</t>
        </is>
      </c>
      <c r="B16" s="53">
        <f>VLOOKUP($A16,'L10'!$A:$IZ,222,FALSE)</f>
        <v/>
      </c>
      <c r="C16" s="54">
        <f>RANK(B16,B$5:B$22)</f>
        <v/>
      </c>
      <c r="D16" s="55">
        <f>VLOOKUP($A16,'L10'!$A:$IZ,218,FALSE)</f>
        <v/>
      </c>
      <c r="E16" s="54">
        <f>RANK(D16,D$5:D$22)</f>
        <v/>
      </c>
      <c r="F16" s="55">
        <f>VLOOKUP($A16,'L10'!$A:$IZ,49,FALSE)</f>
        <v/>
      </c>
      <c r="G16" s="54">
        <f>RANK(F16,F$5:F$22)</f>
        <v/>
      </c>
      <c r="H16" s="55">
        <f>VLOOKUP($A16,'L10'!$A:$IZ,229,FALSE)</f>
        <v/>
      </c>
      <c r="I16" s="54">
        <f>RANK(H16,H$5:H$22)</f>
        <v/>
      </c>
      <c r="J16" s="49">
        <f>104-(C16+E16+G16+I16)</f>
        <v/>
      </c>
      <c r="K16" s="47">
        <f>RANK(J16,J$5:J$22)</f>
        <v/>
      </c>
      <c r="L16" s="56" t="n"/>
      <c r="M16" s="53">
        <f>VLOOKUP($A16,'L10'!$A:$IZ,88,FALSE)</f>
        <v/>
      </c>
      <c r="N16" s="54">
        <f>RANK(M16,M$5:M$22)</f>
        <v/>
      </c>
      <c r="O16" s="53">
        <f>VLOOKUP($A16,'L10'!$A:$IZ,84,FALSE)</f>
        <v/>
      </c>
      <c r="P16" s="54">
        <f>RANK(O16,O$5:O$22)</f>
        <v/>
      </c>
      <c r="Q16" s="53">
        <f>VLOOKUP($A16,'L10'!$A:$IZ,85,FALSE)</f>
        <v/>
      </c>
      <c r="R16" s="54">
        <f>RANK(Q16,Q$5:Q$22)</f>
        <v/>
      </c>
      <c r="S16" s="55">
        <f>VLOOKUP($A16,'L10'!$A:$IZ,29,FALSE)</f>
        <v/>
      </c>
      <c r="T16" s="54">
        <f>RANK(S16,S$5:S$22)</f>
        <v/>
      </c>
      <c r="U16" s="49">
        <f>104-(N16+P16+R16+T16)</f>
        <v/>
      </c>
      <c r="V16" s="47">
        <f>RANK(U16,U$5:U$22)</f>
        <v/>
      </c>
      <c r="W16" s="56" t="n"/>
      <c r="X16" s="53">
        <f>VLOOKUP($A16,'L10'!$A:$IZ,65,FALSE)</f>
        <v/>
      </c>
      <c r="Y16" s="54">
        <f>RANK(X16,X$5:X$22)</f>
        <v/>
      </c>
      <c r="Z16" s="53">
        <f>VLOOKUP($A16,'L10'!$A:$IZ,64,FALSE)</f>
        <v/>
      </c>
      <c r="AA16" s="54">
        <f>RANK(Z16,Z$5:Z$22)</f>
        <v/>
      </c>
      <c r="AB16" s="53">
        <f>VLOOKUP($A16,'L10'!$A:$IZ,63,FALSE)</f>
        <v/>
      </c>
      <c r="AC16" s="54">
        <f>RANK(AB16,AB$5:AB$22)</f>
        <v/>
      </c>
      <c r="AD16" s="53">
        <f>VLOOKUP($A16,'L10'!$A:$IZ,71,FALSE)</f>
        <v/>
      </c>
      <c r="AE16" s="54">
        <f>RANK(AD16,AD$5:AD$22)</f>
        <v/>
      </c>
      <c r="AF16" s="65">
        <f>104-(Y16+AA16+AC16+AE16)</f>
        <v/>
      </c>
      <c r="AG16" s="47">
        <f>RANK(AF16,AF$5:AF$22)</f>
        <v/>
      </c>
      <c r="AH16" s="56" t="n"/>
      <c r="AI16" s="53">
        <f>VLOOKUP($A16,'L10'!$A:$IZ,183,FALSE)</f>
        <v/>
      </c>
      <c r="AJ16" s="54">
        <f>RANK(AI16,AI$5:AI$22,1)</f>
        <v/>
      </c>
      <c r="AK16" s="53">
        <f>VLOOKUP($A16,'L10'!$A:$IZ,181,FALSE)</f>
        <v/>
      </c>
      <c r="AL16" s="54">
        <f>RANK(AK16,AK$5:AK$22,1)</f>
        <v/>
      </c>
      <c r="AM16" s="53">
        <f>VLOOKUP($A16,'L10'!$A:$IZ,182,FALSE)</f>
        <v/>
      </c>
      <c r="AN16" s="54">
        <f>RANK(AM16,AM$5:AM$22,1)</f>
        <v/>
      </c>
      <c r="AO16" s="53">
        <f>VLOOKUP($A16,'L10'!$A:$IZ,163,FALSE)</f>
        <v/>
      </c>
      <c r="AP16" s="54">
        <f>RANK(AO16,AO$5:AO$22,1)</f>
        <v/>
      </c>
      <c r="AQ16" s="65">
        <f>104-(AJ16+AL16+AN16+AP16)</f>
        <v/>
      </c>
      <c r="AR16" s="47">
        <f>RANK(AQ16,AQ$5:AQ$22)</f>
        <v/>
      </c>
      <c r="AS16" s="56" t="n"/>
      <c r="AT16" s="46">
        <f>VLOOKUP($A16,'L10'!$A:$IZ,250,FALSE)</f>
        <v/>
      </c>
      <c r="AU16" s="47">
        <f>RANK(AT16,AT$5:AT$22,0)</f>
        <v/>
      </c>
      <c r="AV16" s="46">
        <f>VLOOKUP($A16,'L10'!$A:$IZ,92,FALSE)</f>
        <v/>
      </c>
      <c r="AW16" s="47">
        <f>RANK(AV16,AV$5:AV$22,0)</f>
        <v/>
      </c>
      <c r="AX16" s="46">
        <f>VLOOKUP($A16,'L10'!$A:$IZ,93,FALSE)</f>
        <v/>
      </c>
      <c r="AY16" s="47">
        <f>RANK(AX16,AX$5:AX$22,0)</f>
        <v/>
      </c>
      <c r="AZ16" s="46">
        <f>VLOOKUP($A16,'L10'!$A:$IZ,108,FALSE)</f>
        <v/>
      </c>
      <c r="BA16" s="47">
        <f>RANK(AZ16,AZ$5:AZ$22,0)</f>
        <v/>
      </c>
      <c r="BB16" s="49">
        <f>104-(AU16+AW16+AY16+BA16)</f>
        <v/>
      </c>
      <c r="BC16" s="47">
        <f>RANK(BB16,BB$5:BB$22,0)</f>
        <v/>
      </c>
      <c r="BD16" s="56" t="n"/>
      <c r="BE16" s="53">
        <f>VLOOKUP($A16,'L10'!$A:$IZ,80,FALSE)</f>
        <v/>
      </c>
      <c r="BF16" s="54">
        <f>RANK(BE16,BE$5:BE$22)</f>
        <v/>
      </c>
      <c r="BG16" s="53">
        <f>VLOOKUP($A16,'L10'!$A:$IZ,177,FALSE)</f>
        <v/>
      </c>
      <c r="BH16" s="54">
        <f>RANK(BG16,BG$5:BG$22,1)</f>
        <v/>
      </c>
      <c r="BI16" s="53">
        <f>VLOOKUP($A16,'L10'!$A:$IZ,79,FALSE)</f>
        <v/>
      </c>
      <c r="BJ16" s="54">
        <f>RANK(BI16,BI$5:BI$22)</f>
        <v/>
      </c>
      <c r="BK16" s="53">
        <f>VLOOKUP($A16,'L10'!$A:$IZ,176,FALSE)</f>
        <v/>
      </c>
      <c r="BL16" s="54">
        <f>RANK(BK16,BK$5:BK$22,1)</f>
        <v/>
      </c>
      <c r="BM16" s="53">
        <f>VLOOKUP($A16,'L10'!$A:$IZ,11,FALSE)</f>
        <v/>
      </c>
      <c r="BN16" s="54">
        <f>RANK(BM16,BM$5:BM$22)</f>
        <v/>
      </c>
      <c r="BO16" s="53">
        <f>VLOOKUP($A16,'L10'!$A:$IZ,222,FALSE)</f>
        <v/>
      </c>
      <c r="BP16" s="54">
        <f>RANK(BO16,BO$5:BO$22)</f>
        <v/>
      </c>
      <c r="BQ16" s="65">
        <f>104-(BJ16+BL16+BN16+BP16)</f>
        <v/>
      </c>
      <c r="BR16" s="47">
        <f>RANK(BQ16,BQ$5:BQ$22)</f>
        <v/>
      </c>
      <c r="BS16" s="56" t="n"/>
      <c r="BT16" s="57">
        <f>VLOOKUP($A16,'Ratings Season'!$A:$M,8,FALSE)</f>
        <v/>
      </c>
      <c r="BU16" s="54">
        <f>RANK(BT16,BT$5:BT$22)</f>
        <v/>
      </c>
      <c r="BV16" s="57">
        <f>VLOOKUP($A16,'Ratings Season'!$A:$M,4,FALSE)</f>
        <v/>
      </c>
      <c r="BW16" s="54">
        <f>RANK(BV16,BV$5:BV$22)</f>
        <v/>
      </c>
      <c r="BX16" s="57">
        <f>VLOOKUP($A16,'Ratings Season'!$A:$M,2,FALSE)</f>
        <v/>
      </c>
      <c r="BY16" s="58">
        <f>RANK(BX16,BX$5:BX$22)</f>
        <v/>
      </c>
      <c r="BZ16" s="69" t="n"/>
    </row>
    <row r="17" ht="25" customHeight="1">
      <c r="A17" s="87" t="inlineStr">
        <is>
          <t>Port Adelaide</t>
        </is>
      </c>
      <c r="B17" s="53">
        <f>VLOOKUP($A17,'L10'!$A:$IZ,222,FALSE)</f>
        <v/>
      </c>
      <c r="C17" s="54">
        <f>RANK(B17,B$5:B$22)</f>
        <v/>
      </c>
      <c r="D17" s="55">
        <f>VLOOKUP($A17,'L10'!$A:$IZ,218,FALSE)</f>
        <v/>
      </c>
      <c r="E17" s="54">
        <f>RANK(D17,D$5:D$22)</f>
        <v/>
      </c>
      <c r="F17" s="55">
        <f>VLOOKUP($A17,'L10'!$A:$IZ,49,FALSE)</f>
        <v/>
      </c>
      <c r="G17" s="54">
        <f>RANK(F17,F$5:F$22)</f>
        <v/>
      </c>
      <c r="H17" s="55">
        <f>VLOOKUP($A17,'L10'!$A:$IZ,229,FALSE)</f>
        <v/>
      </c>
      <c r="I17" s="54">
        <f>RANK(H17,H$5:H$22)</f>
        <v/>
      </c>
      <c r="J17" s="49">
        <f>104-(C17+E17+G17+I17)</f>
        <v/>
      </c>
      <c r="K17" s="47">
        <f>RANK(J17,J$5:J$22)</f>
        <v/>
      </c>
      <c r="L17" s="56" t="n"/>
      <c r="M17" s="53">
        <f>VLOOKUP($A17,'L10'!$A:$IZ,88,FALSE)</f>
        <v/>
      </c>
      <c r="N17" s="54">
        <f>RANK(M17,M$5:M$22)</f>
        <v/>
      </c>
      <c r="O17" s="53">
        <f>VLOOKUP($A17,'L10'!$A:$IZ,84,FALSE)</f>
        <v/>
      </c>
      <c r="P17" s="54">
        <f>RANK(O17,O$5:O$22)</f>
        <v/>
      </c>
      <c r="Q17" s="53">
        <f>VLOOKUP($A17,'L10'!$A:$IZ,85,FALSE)</f>
        <v/>
      </c>
      <c r="R17" s="54">
        <f>RANK(Q17,Q$5:Q$22)</f>
        <v/>
      </c>
      <c r="S17" s="55">
        <f>VLOOKUP($A17,'L10'!$A:$IZ,29,FALSE)</f>
        <v/>
      </c>
      <c r="T17" s="54">
        <f>RANK(S17,S$5:S$22)</f>
        <v/>
      </c>
      <c r="U17" s="49">
        <f>104-(N17+P17+R17+T17)</f>
        <v/>
      </c>
      <c r="V17" s="47">
        <f>RANK(U17,U$5:U$22)</f>
        <v/>
      </c>
      <c r="W17" s="56" t="n"/>
      <c r="X17" s="53">
        <f>VLOOKUP($A17,'L10'!$A:$IZ,65,FALSE)</f>
        <v/>
      </c>
      <c r="Y17" s="54">
        <f>RANK(X17,X$5:X$22)</f>
        <v/>
      </c>
      <c r="Z17" s="53">
        <f>VLOOKUP($A17,'L10'!$A:$IZ,64,FALSE)</f>
        <v/>
      </c>
      <c r="AA17" s="54">
        <f>RANK(Z17,Z$5:Z$22)</f>
        <v/>
      </c>
      <c r="AB17" s="53">
        <f>VLOOKUP($A17,'L10'!$A:$IZ,63,FALSE)</f>
        <v/>
      </c>
      <c r="AC17" s="54">
        <f>RANK(AB17,AB$5:AB$22)</f>
        <v/>
      </c>
      <c r="AD17" s="53">
        <f>VLOOKUP($A17,'L10'!$A:$IZ,71,FALSE)</f>
        <v/>
      </c>
      <c r="AE17" s="54">
        <f>RANK(AD17,AD$5:AD$22)</f>
        <v/>
      </c>
      <c r="AF17" s="65">
        <f>104-(Y17+AA17+AC17+AE17)</f>
        <v/>
      </c>
      <c r="AG17" s="47">
        <f>RANK(AF17,AF$5:AF$22)</f>
        <v/>
      </c>
      <c r="AH17" s="56" t="n"/>
      <c r="AI17" s="53">
        <f>VLOOKUP($A17,'L10'!$A:$IZ,183,FALSE)</f>
        <v/>
      </c>
      <c r="AJ17" s="54">
        <f>RANK(AI17,AI$5:AI$22,1)</f>
        <v/>
      </c>
      <c r="AK17" s="53">
        <f>VLOOKUP($A17,'L10'!$A:$IZ,181,FALSE)</f>
        <v/>
      </c>
      <c r="AL17" s="54">
        <f>RANK(AK17,AK$5:AK$22,1)</f>
        <v/>
      </c>
      <c r="AM17" s="53">
        <f>VLOOKUP($A17,'L10'!$A:$IZ,182,FALSE)</f>
        <v/>
      </c>
      <c r="AN17" s="54">
        <f>RANK(AM17,AM$5:AM$22,1)</f>
        <v/>
      </c>
      <c r="AO17" s="53">
        <f>VLOOKUP($A17,'L10'!$A:$IZ,163,FALSE)</f>
        <v/>
      </c>
      <c r="AP17" s="54">
        <f>RANK(AO17,AO$5:AO$22,1)</f>
        <v/>
      </c>
      <c r="AQ17" s="65">
        <f>104-(AJ17+AL17+AN17+AP17)</f>
        <v/>
      </c>
      <c r="AR17" s="47">
        <f>RANK(AQ17,AQ$5:AQ$22)</f>
        <v/>
      </c>
      <c r="AS17" s="56" t="n"/>
      <c r="AT17" s="46">
        <f>VLOOKUP($A17,'L10'!$A:$IZ,250,FALSE)</f>
        <v/>
      </c>
      <c r="AU17" s="47">
        <f>RANK(AT17,AT$5:AT$22,0)</f>
        <v/>
      </c>
      <c r="AV17" s="46">
        <f>VLOOKUP($A17,'L10'!$A:$IZ,92,FALSE)</f>
        <v/>
      </c>
      <c r="AW17" s="47">
        <f>RANK(AV17,AV$5:AV$22,0)</f>
        <v/>
      </c>
      <c r="AX17" s="46">
        <f>VLOOKUP($A17,'L10'!$A:$IZ,93,FALSE)</f>
        <v/>
      </c>
      <c r="AY17" s="47">
        <f>RANK(AX17,AX$5:AX$22,0)</f>
        <v/>
      </c>
      <c r="AZ17" s="46">
        <f>VLOOKUP($A17,'L10'!$A:$IZ,108,FALSE)</f>
        <v/>
      </c>
      <c r="BA17" s="47">
        <f>RANK(AZ17,AZ$5:AZ$22,0)</f>
        <v/>
      </c>
      <c r="BB17" s="49">
        <f>104-(AU17+AW17+AY17+BA17)</f>
        <v/>
      </c>
      <c r="BC17" s="47">
        <f>RANK(BB17,BB$5:BB$22,0)</f>
        <v/>
      </c>
      <c r="BD17" s="56" t="n"/>
      <c r="BE17" s="53">
        <f>VLOOKUP($A17,'L10'!$A:$IZ,80,FALSE)</f>
        <v/>
      </c>
      <c r="BF17" s="54">
        <f>RANK(BE17,BE$5:BE$22)</f>
        <v/>
      </c>
      <c r="BG17" s="53">
        <f>VLOOKUP($A17,'L10'!$A:$IZ,177,FALSE)</f>
        <v/>
      </c>
      <c r="BH17" s="54">
        <f>RANK(BG17,BG$5:BG$22,1)</f>
        <v/>
      </c>
      <c r="BI17" s="53">
        <f>VLOOKUP($A17,'L10'!$A:$IZ,79,FALSE)</f>
        <v/>
      </c>
      <c r="BJ17" s="54">
        <f>RANK(BI17,BI$5:BI$22)</f>
        <v/>
      </c>
      <c r="BK17" s="53">
        <f>VLOOKUP($A17,'L10'!$A:$IZ,176,FALSE)</f>
        <v/>
      </c>
      <c r="BL17" s="54">
        <f>RANK(BK17,BK$5:BK$22,1)</f>
        <v/>
      </c>
      <c r="BM17" s="53">
        <f>VLOOKUP($A17,'L10'!$A:$IZ,11,FALSE)</f>
        <v/>
      </c>
      <c r="BN17" s="54">
        <f>RANK(BM17,BM$5:BM$22)</f>
        <v/>
      </c>
      <c r="BO17" s="53">
        <f>VLOOKUP($A17,'L10'!$A:$IZ,222,FALSE)</f>
        <v/>
      </c>
      <c r="BP17" s="54">
        <f>RANK(BO17,BO$5:BO$22)</f>
        <v/>
      </c>
      <c r="BQ17" s="65">
        <f>104-(BJ17+BL17+BN17+BP17)</f>
        <v/>
      </c>
      <c r="BR17" s="47">
        <f>RANK(BQ17,BQ$5:BQ$22)</f>
        <v/>
      </c>
      <c r="BS17" s="56" t="n"/>
      <c r="BT17" s="57">
        <f>VLOOKUP($A17,'Ratings Season'!$A:$M,8,FALSE)</f>
        <v/>
      </c>
      <c r="BU17" s="54">
        <f>RANK(BT17,BT$5:BT$22)</f>
        <v/>
      </c>
      <c r="BV17" s="57">
        <f>VLOOKUP($A17,'Ratings Season'!$A:$M,4,FALSE)</f>
        <v/>
      </c>
      <c r="BW17" s="54">
        <f>RANK(BV17,BV$5:BV$22)</f>
        <v/>
      </c>
      <c r="BX17" s="57">
        <f>VLOOKUP($A17,'Ratings Season'!$A:$M,2,FALSE)</f>
        <v/>
      </c>
      <c r="BY17" s="58">
        <f>RANK(BX17,BX$5:BX$22)</f>
        <v/>
      </c>
      <c r="BZ17" s="69" t="n"/>
    </row>
    <row r="18" ht="25" customHeight="1">
      <c r="A18" s="88" t="inlineStr">
        <is>
          <t>Richmond</t>
        </is>
      </c>
      <c r="B18" s="53">
        <f>VLOOKUP($A18,'L10'!$A:$IZ,222,FALSE)</f>
        <v/>
      </c>
      <c r="C18" s="54">
        <f>RANK(B18,B$5:B$22)</f>
        <v/>
      </c>
      <c r="D18" s="55">
        <f>VLOOKUP($A18,'L10'!$A:$IZ,218,FALSE)</f>
        <v/>
      </c>
      <c r="E18" s="54">
        <f>RANK(D18,D$5:D$22)</f>
        <v/>
      </c>
      <c r="F18" s="55">
        <f>VLOOKUP($A18,'L10'!$A:$IZ,49,FALSE)</f>
        <v/>
      </c>
      <c r="G18" s="54">
        <f>RANK(F18,F$5:F$22)</f>
        <v/>
      </c>
      <c r="H18" s="55">
        <f>VLOOKUP($A18,'L10'!$A:$IZ,229,FALSE)</f>
        <v/>
      </c>
      <c r="I18" s="54">
        <f>RANK(H18,H$5:H$22)</f>
        <v/>
      </c>
      <c r="J18" s="49">
        <f>104-(C18+E18+G18+I18)</f>
        <v/>
      </c>
      <c r="K18" s="47">
        <f>RANK(J18,J$5:J$22)</f>
        <v/>
      </c>
      <c r="L18" s="56" t="n"/>
      <c r="M18" s="53">
        <f>VLOOKUP($A18,'L10'!$A:$IZ,88,FALSE)</f>
        <v/>
      </c>
      <c r="N18" s="54">
        <f>RANK(M18,M$5:M$22)</f>
        <v/>
      </c>
      <c r="O18" s="53">
        <f>VLOOKUP($A18,'L10'!$A:$IZ,84,FALSE)</f>
        <v/>
      </c>
      <c r="P18" s="54">
        <f>RANK(O18,O$5:O$22)</f>
        <v/>
      </c>
      <c r="Q18" s="53">
        <f>VLOOKUP($A18,'L10'!$A:$IZ,85,FALSE)</f>
        <v/>
      </c>
      <c r="R18" s="54">
        <f>RANK(Q18,Q$5:Q$22)</f>
        <v/>
      </c>
      <c r="S18" s="55">
        <f>VLOOKUP($A18,'L10'!$A:$IZ,29,FALSE)</f>
        <v/>
      </c>
      <c r="T18" s="54">
        <f>RANK(S18,S$5:S$22)</f>
        <v/>
      </c>
      <c r="U18" s="49">
        <f>104-(N18+P18+R18+T18)</f>
        <v/>
      </c>
      <c r="V18" s="47">
        <f>RANK(U18,U$5:U$22)</f>
        <v/>
      </c>
      <c r="W18" s="56" t="n"/>
      <c r="X18" s="53">
        <f>VLOOKUP($A18,'L10'!$A:$IZ,65,FALSE)</f>
        <v/>
      </c>
      <c r="Y18" s="54">
        <f>RANK(X18,X$5:X$22)</f>
        <v/>
      </c>
      <c r="Z18" s="53">
        <f>VLOOKUP($A18,'L10'!$A:$IZ,64,FALSE)</f>
        <v/>
      </c>
      <c r="AA18" s="54">
        <f>RANK(Z18,Z$5:Z$22)</f>
        <v/>
      </c>
      <c r="AB18" s="53">
        <f>VLOOKUP($A18,'L10'!$A:$IZ,63,FALSE)</f>
        <v/>
      </c>
      <c r="AC18" s="54">
        <f>RANK(AB18,AB$5:AB$22)</f>
        <v/>
      </c>
      <c r="AD18" s="53">
        <f>VLOOKUP($A18,'L10'!$A:$IZ,71,FALSE)</f>
        <v/>
      </c>
      <c r="AE18" s="54">
        <f>RANK(AD18,AD$5:AD$22)</f>
        <v/>
      </c>
      <c r="AF18" s="65">
        <f>104-(Y18+AA18+AC18+AE18)</f>
        <v/>
      </c>
      <c r="AG18" s="47">
        <f>RANK(AF18,AF$5:AF$22)</f>
        <v/>
      </c>
      <c r="AH18" s="56" t="n"/>
      <c r="AI18" s="53">
        <f>VLOOKUP($A18,'L10'!$A:$IZ,183,FALSE)</f>
        <v/>
      </c>
      <c r="AJ18" s="54">
        <f>RANK(AI18,AI$5:AI$22,1)</f>
        <v/>
      </c>
      <c r="AK18" s="53">
        <f>VLOOKUP($A18,'L10'!$A:$IZ,181,FALSE)</f>
        <v/>
      </c>
      <c r="AL18" s="54">
        <f>RANK(AK18,AK$5:AK$22,1)</f>
        <v/>
      </c>
      <c r="AM18" s="53">
        <f>VLOOKUP($A18,'L10'!$A:$IZ,182,FALSE)</f>
        <v/>
      </c>
      <c r="AN18" s="54">
        <f>RANK(AM18,AM$5:AM$22,1)</f>
        <v/>
      </c>
      <c r="AO18" s="53">
        <f>VLOOKUP($A18,'L10'!$A:$IZ,163,FALSE)</f>
        <v/>
      </c>
      <c r="AP18" s="54">
        <f>RANK(AO18,AO$5:AO$22,1)</f>
        <v/>
      </c>
      <c r="AQ18" s="65">
        <f>104-(AJ18+AL18+AN18+AP18)</f>
        <v/>
      </c>
      <c r="AR18" s="47">
        <f>RANK(AQ18,AQ$5:AQ$22)</f>
        <v/>
      </c>
      <c r="AS18" s="56" t="n"/>
      <c r="AT18" s="46">
        <f>VLOOKUP($A18,'L10'!$A:$IZ,250,FALSE)</f>
        <v/>
      </c>
      <c r="AU18" s="47">
        <f>RANK(AT18,AT$5:AT$22,0)</f>
        <v/>
      </c>
      <c r="AV18" s="46">
        <f>VLOOKUP($A18,'L10'!$A:$IZ,92,FALSE)</f>
        <v/>
      </c>
      <c r="AW18" s="47">
        <f>RANK(AV18,AV$5:AV$22,0)</f>
        <v/>
      </c>
      <c r="AX18" s="46">
        <f>VLOOKUP($A18,'L10'!$A:$IZ,93,FALSE)</f>
        <v/>
      </c>
      <c r="AY18" s="47">
        <f>RANK(AX18,AX$5:AX$22,0)</f>
        <v/>
      </c>
      <c r="AZ18" s="46">
        <f>VLOOKUP($A18,'L10'!$A:$IZ,108,FALSE)</f>
        <v/>
      </c>
      <c r="BA18" s="47">
        <f>RANK(AZ18,AZ$5:AZ$22,0)</f>
        <v/>
      </c>
      <c r="BB18" s="49">
        <f>104-(AU18+AW18+AY18+BA18)</f>
        <v/>
      </c>
      <c r="BC18" s="47">
        <f>RANK(BB18,BB$5:BB$22,0)</f>
        <v/>
      </c>
      <c r="BD18" s="56" t="n"/>
      <c r="BE18" s="53">
        <f>VLOOKUP($A18,'L10'!$A:$IZ,80,FALSE)</f>
        <v/>
      </c>
      <c r="BF18" s="54">
        <f>RANK(BE18,BE$5:BE$22)</f>
        <v/>
      </c>
      <c r="BG18" s="53">
        <f>VLOOKUP($A18,'L10'!$A:$IZ,177,FALSE)</f>
        <v/>
      </c>
      <c r="BH18" s="54">
        <f>RANK(BG18,BG$5:BG$22,1)</f>
        <v/>
      </c>
      <c r="BI18" s="53">
        <f>VLOOKUP($A18,'L10'!$A:$IZ,79,FALSE)</f>
        <v/>
      </c>
      <c r="BJ18" s="54">
        <f>RANK(BI18,BI$5:BI$22)</f>
        <v/>
      </c>
      <c r="BK18" s="53">
        <f>VLOOKUP($A18,'L10'!$A:$IZ,176,FALSE)</f>
        <v/>
      </c>
      <c r="BL18" s="54">
        <f>RANK(BK18,BK$5:BK$22,1)</f>
        <v/>
      </c>
      <c r="BM18" s="53">
        <f>VLOOKUP($A18,'L10'!$A:$IZ,11,FALSE)</f>
        <v/>
      </c>
      <c r="BN18" s="54">
        <f>RANK(BM18,BM$5:BM$22)</f>
        <v/>
      </c>
      <c r="BO18" s="53">
        <f>VLOOKUP($A18,'L10'!$A:$IZ,222,FALSE)</f>
        <v/>
      </c>
      <c r="BP18" s="54">
        <f>RANK(BO18,BO$5:BO$22)</f>
        <v/>
      </c>
      <c r="BQ18" s="65">
        <f>104-(BJ18+BL18+BN18+BP18)</f>
        <v/>
      </c>
      <c r="BR18" s="47">
        <f>RANK(BQ18,BQ$5:BQ$22)</f>
        <v/>
      </c>
      <c r="BS18" s="56" t="n"/>
      <c r="BT18" s="57">
        <f>VLOOKUP($A18,'Ratings Season'!$A:$M,8,FALSE)</f>
        <v/>
      </c>
      <c r="BU18" s="54">
        <f>RANK(BT18,BT$5:BT$22)</f>
        <v/>
      </c>
      <c r="BV18" s="57">
        <f>VLOOKUP($A18,'Ratings Season'!$A:$M,4,FALSE)</f>
        <v/>
      </c>
      <c r="BW18" s="54">
        <f>RANK(BV18,BV$5:BV$22)</f>
        <v/>
      </c>
      <c r="BX18" s="57">
        <f>VLOOKUP($A18,'Ratings Season'!$A:$M,2,FALSE)</f>
        <v/>
      </c>
      <c r="BY18" s="58">
        <f>RANK(BX18,BX$5:BX$22)</f>
        <v/>
      </c>
      <c r="BZ18" s="69" t="n"/>
    </row>
    <row r="19" ht="25" customHeight="1">
      <c r="A19" s="89" t="inlineStr">
        <is>
          <t>St Kilda</t>
        </is>
      </c>
      <c r="B19" s="53">
        <f>VLOOKUP($A19,'L10'!$A:$IZ,222,FALSE)</f>
        <v/>
      </c>
      <c r="C19" s="54">
        <f>RANK(B19,B$5:B$22)</f>
        <v/>
      </c>
      <c r="D19" s="55">
        <f>VLOOKUP($A19,'L10'!$A:$IZ,218,FALSE)</f>
        <v/>
      </c>
      <c r="E19" s="54">
        <f>RANK(D19,D$5:D$22)</f>
        <v/>
      </c>
      <c r="F19" s="55">
        <f>VLOOKUP($A19,'L10'!$A:$IZ,49,FALSE)</f>
        <v/>
      </c>
      <c r="G19" s="54">
        <f>RANK(F19,F$5:F$22)</f>
        <v/>
      </c>
      <c r="H19" s="55">
        <f>VLOOKUP($A19,'L10'!$A:$IZ,229,FALSE)</f>
        <v/>
      </c>
      <c r="I19" s="54">
        <f>RANK(H19,H$5:H$22)</f>
        <v/>
      </c>
      <c r="J19" s="49">
        <f>104-(C19+E19+G19+I19)</f>
        <v/>
      </c>
      <c r="K19" s="47">
        <f>RANK(J19,J$5:J$22)</f>
        <v/>
      </c>
      <c r="L19" s="56" t="n"/>
      <c r="M19" s="53">
        <f>VLOOKUP($A19,'L10'!$A:$IZ,88,FALSE)</f>
        <v/>
      </c>
      <c r="N19" s="54">
        <f>RANK(M19,M$5:M$22)</f>
        <v/>
      </c>
      <c r="O19" s="53">
        <f>VLOOKUP($A19,'L10'!$A:$IZ,84,FALSE)</f>
        <v/>
      </c>
      <c r="P19" s="54">
        <f>RANK(O19,O$5:O$22)</f>
        <v/>
      </c>
      <c r="Q19" s="53">
        <f>VLOOKUP($A19,'L10'!$A:$IZ,85,FALSE)</f>
        <v/>
      </c>
      <c r="R19" s="54">
        <f>RANK(Q19,Q$5:Q$22)</f>
        <v/>
      </c>
      <c r="S19" s="55">
        <f>VLOOKUP($A19,'L10'!$A:$IZ,29,FALSE)</f>
        <v/>
      </c>
      <c r="T19" s="54">
        <f>RANK(S19,S$5:S$22)</f>
        <v/>
      </c>
      <c r="U19" s="49">
        <f>104-(N19+P19+R19+T19)</f>
        <v/>
      </c>
      <c r="V19" s="47">
        <f>RANK(U19,U$5:U$22)</f>
        <v/>
      </c>
      <c r="W19" s="56" t="n"/>
      <c r="X19" s="53">
        <f>VLOOKUP($A19,'L10'!$A:$IZ,65,FALSE)</f>
        <v/>
      </c>
      <c r="Y19" s="54">
        <f>RANK(X19,X$5:X$22)</f>
        <v/>
      </c>
      <c r="Z19" s="53">
        <f>VLOOKUP($A19,'L10'!$A:$IZ,64,FALSE)</f>
        <v/>
      </c>
      <c r="AA19" s="54">
        <f>RANK(Z19,Z$5:Z$22)</f>
        <v/>
      </c>
      <c r="AB19" s="53">
        <f>VLOOKUP($A19,'L10'!$A:$IZ,63,FALSE)</f>
        <v/>
      </c>
      <c r="AC19" s="54">
        <f>RANK(AB19,AB$5:AB$22)</f>
        <v/>
      </c>
      <c r="AD19" s="53">
        <f>VLOOKUP($A19,'L10'!$A:$IZ,71,FALSE)</f>
        <v/>
      </c>
      <c r="AE19" s="54">
        <f>RANK(AD19,AD$5:AD$22)</f>
        <v/>
      </c>
      <c r="AF19" s="65">
        <f>104-(Y19+AA19+AC19+AE19)</f>
        <v/>
      </c>
      <c r="AG19" s="47">
        <f>RANK(AF19,AF$5:AF$22)</f>
        <v/>
      </c>
      <c r="AH19" s="56" t="n"/>
      <c r="AI19" s="53">
        <f>VLOOKUP($A19,'L10'!$A:$IZ,183,FALSE)</f>
        <v/>
      </c>
      <c r="AJ19" s="54">
        <f>RANK(AI19,AI$5:AI$22,1)</f>
        <v/>
      </c>
      <c r="AK19" s="53">
        <f>VLOOKUP($A19,'L10'!$A:$IZ,181,FALSE)</f>
        <v/>
      </c>
      <c r="AL19" s="54">
        <f>RANK(AK19,AK$5:AK$22,1)</f>
        <v/>
      </c>
      <c r="AM19" s="53">
        <f>VLOOKUP($A19,'L10'!$A:$IZ,182,FALSE)</f>
        <v/>
      </c>
      <c r="AN19" s="54">
        <f>RANK(AM19,AM$5:AM$22,1)</f>
        <v/>
      </c>
      <c r="AO19" s="53">
        <f>VLOOKUP($A19,'L10'!$A:$IZ,163,FALSE)</f>
        <v/>
      </c>
      <c r="AP19" s="54">
        <f>RANK(AO19,AO$5:AO$22,1)</f>
        <v/>
      </c>
      <c r="AQ19" s="65">
        <f>104-(AJ19+AL19+AN19+AP19)</f>
        <v/>
      </c>
      <c r="AR19" s="47">
        <f>RANK(AQ19,AQ$5:AQ$22)</f>
        <v/>
      </c>
      <c r="AS19" s="56" t="n"/>
      <c r="AT19" s="46">
        <f>VLOOKUP($A19,'L10'!$A:$IZ,250,FALSE)</f>
        <v/>
      </c>
      <c r="AU19" s="47">
        <f>RANK(AT19,AT$5:AT$22,0)</f>
        <v/>
      </c>
      <c r="AV19" s="46">
        <f>VLOOKUP($A19,'L10'!$A:$IZ,92,FALSE)</f>
        <v/>
      </c>
      <c r="AW19" s="47">
        <f>RANK(AV19,AV$5:AV$22,0)</f>
        <v/>
      </c>
      <c r="AX19" s="46">
        <f>VLOOKUP($A19,'L10'!$A:$IZ,93,FALSE)</f>
        <v/>
      </c>
      <c r="AY19" s="47">
        <f>RANK(AX19,AX$5:AX$22,0)</f>
        <v/>
      </c>
      <c r="AZ19" s="46">
        <f>VLOOKUP($A19,'L10'!$A:$IZ,108,FALSE)</f>
        <v/>
      </c>
      <c r="BA19" s="47">
        <f>RANK(AZ19,AZ$5:AZ$22,0)</f>
        <v/>
      </c>
      <c r="BB19" s="49">
        <f>104-(AU19+AW19+AY19+BA19)</f>
        <v/>
      </c>
      <c r="BC19" s="47">
        <f>RANK(BB19,BB$5:BB$22,0)</f>
        <v/>
      </c>
      <c r="BD19" s="56" t="n"/>
      <c r="BE19" s="53">
        <f>VLOOKUP($A19,'L10'!$A:$IZ,80,FALSE)</f>
        <v/>
      </c>
      <c r="BF19" s="54">
        <f>RANK(BE19,BE$5:BE$22)</f>
        <v/>
      </c>
      <c r="BG19" s="53">
        <f>VLOOKUP($A19,'L10'!$A:$IZ,177,FALSE)</f>
        <v/>
      </c>
      <c r="BH19" s="54">
        <f>RANK(BG19,BG$5:BG$22,1)</f>
        <v/>
      </c>
      <c r="BI19" s="53">
        <f>VLOOKUP($A19,'L10'!$A:$IZ,79,FALSE)</f>
        <v/>
      </c>
      <c r="BJ19" s="54">
        <f>RANK(BI19,BI$5:BI$22)</f>
        <v/>
      </c>
      <c r="BK19" s="53">
        <f>VLOOKUP($A19,'L10'!$A:$IZ,176,FALSE)</f>
        <v/>
      </c>
      <c r="BL19" s="54">
        <f>RANK(BK19,BK$5:BK$22,1)</f>
        <v/>
      </c>
      <c r="BM19" s="53">
        <f>VLOOKUP($A19,'L10'!$A:$IZ,11,FALSE)</f>
        <v/>
      </c>
      <c r="BN19" s="54">
        <f>RANK(BM19,BM$5:BM$22)</f>
        <v/>
      </c>
      <c r="BO19" s="53">
        <f>VLOOKUP($A19,'L10'!$A:$IZ,222,FALSE)</f>
        <v/>
      </c>
      <c r="BP19" s="54">
        <f>RANK(BO19,BO$5:BO$22)</f>
        <v/>
      </c>
      <c r="BQ19" s="65">
        <f>104-(BJ19+BL19+BN19+BP19)</f>
        <v/>
      </c>
      <c r="BR19" s="47">
        <f>RANK(BQ19,BQ$5:BQ$22)</f>
        <v/>
      </c>
      <c r="BS19" s="56" t="n"/>
      <c r="BT19" s="57">
        <f>VLOOKUP($A19,'Ratings Season'!$A:$M,8,FALSE)</f>
        <v/>
      </c>
      <c r="BU19" s="54">
        <f>RANK(BT19,BT$5:BT$22)</f>
        <v/>
      </c>
      <c r="BV19" s="57">
        <f>VLOOKUP($A19,'Ratings Season'!$A:$M,4,FALSE)</f>
        <v/>
      </c>
      <c r="BW19" s="54">
        <f>RANK(BV19,BV$5:BV$22)</f>
        <v/>
      </c>
      <c r="BX19" s="57">
        <f>VLOOKUP($A19,'Ratings Season'!$A:$M,2,FALSE)</f>
        <v/>
      </c>
      <c r="BY19" s="58">
        <f>RANK(BX19,BX$5:BX$22)</f>
        <v/>
      </c>
      <c r="BZ19" s="69" t="n"/>
    </row>
    <row r="20" ht="25" customHeight="1">
      <c r="A20" s="90" t="inlineStr">
        <is>
          <t>Sydney</t>
        </is>
      </c>
      <c r="B20" s="53">
        <f>VLOOKUP($A20,'L10'!$A:$IZ,222,FALSE)</f>
        <v/>
      </c>
      <c r="C20" s="54">
        <f>RANK(B20,B$5:B$22)</f>
        <v/>
      </c>
      <c r="D20" s="55">
        <f>VLOOKUP($A20,'L10'!$A:$IZ,218,FALSE)</f>
        <v/>
      </c>
      <c r="E20" s="54">
        <f>RANK(D20,D$5:D$22)</f>
        <v/>
      </c>
      <c r="F20" s="55">
        <f>VLOOKUP($A20,'L10'!$A:$IZ,49,FALSE)</f>
        <v/>
      </c>
      <c r="G20" s="54">
        <f>RANK(F20,F$5:F$22)</f>
        <v/>
      </c>
      <c r="H20" s="55">
        <f>VLOOKUP($A20,'L10'!$A:$IZ,229,FALSE)</f>
        <v/>
      </c>
      <c r="I20" s="54">
        <f>RANK(H20,H$5:H$22)</f>
        <v/>
      </c>
      <c r="J20" s="49">
        <f>104-(C20+E20+G20+I20)</f>
        <v/>
      </c>
      <c r="K20" s="47">
        <f>RANK(J20,J$5:J$22)</f>
        <v/>
      </c>
      <c r="L20" s="56" t="n"/>
      <c r="M20" s="53">
        <f>VLOOKUP($A20,'L10'!$A:$IZ,88,FALSE)</f>
        <v/>
      </c>
      <c r="N20" s="54">
        <f>RANK(M20,M$5:M$22)</f>
        <v/>
      </c>
      <c r="O20" s="53">
        <f>VLOOKUP($A20,'L10'!$A:$IZ,84,FALSE)</f>
        <v/>
      </c>
      <c r="P20" s="54">
        <f>RANK(O20,O$5:O$22)</f>
        <v/>
      </c>
      <c r="Q20" s="53">
        <f>VLOOKUP($A20,'L10'!$A:$IZ,85,FALSE)</f>
        <v/>
      </c>
      <c r="R20" s="54">
        <f>RANK(Q20,Q$5:Q$22)</f>
        <v/>
      </c>
      <c r="S20" s="55">
        <f>VLOOKUP($A20,'L10'!$A:$IZ,29,FALSE)</f>
        <v/>
      </c>
      <c r="T20" s="54">
        <f>RANK(S20,S$5:S$22)</f>
        <v/>
      </c>
      <c r="U20" s="49">
        <f>104-(N20+P20+R20+T20)</f>
        <v/>
      </c>
      <c r="V20" s="47">
        <f>RANK(U20,U$5:U$22)</f>
        <v/>
      </c>
      <c r="W20" s="56" t="n"/>
      <c r="X20" s="53">
        <f>VLOOKUP($A20,'L10'!$A:$IZ,65,FALSE)</f>
        <v/>
      </c>
      <c r="Y20" s="54">
        <f>RANK(X20,X$5:X$22)</f>
        <v/>
      </c>
      <c r="Z20" s="53">
        <f>VLOOKUP($A20,'L10'!$A:$IZ,64,FALSE)</f>
        <v/>
      </c>
      <c r="AA20" s="54">
        <f>RANK(Z20,Z$5:Z$22)</f>
        <v/>
      </c>
      <c r="AB20" s="53">
        <f>VLOOKUP($A20,'L10'!$A:$IZ,63,FALSE)</f>
        <v/>
      </c>
      <c r="AC20" s="54">
        <f>RANK(AB20,AB$5:AB$22)</f>
        <v/>
      </c>
      <c r="AD20" s="53">
        <f>VLOOKUP($A20,'L10'!$A:$IZ,71,FALSE)</f>
        <v/>
      </c>
      <c r="AE20" s="54">
        <f>RANK(AD20,AD$5:AD$22)</f>
        <v/>
      </c>
      <c r="AF20" s="65">
        <f>104-(Y20+AA20+AC20+AE20)</f>
        <v/>
      </c>
      <c r="AG20" s="47">
        <f>RANK(AF20,AF$5:AF$22)</f>
        <v/>
      </c>
      <c r="AH20" s="56" t="n"/>
      <c r="AI20" s="53">
        <f>VLOOKUP($A20,'L10'!$A:$IZ,183,FALSE)</f>
        <v/>
      </c>
      <c r="AJ20" s="54">
        <f>RANK(AI20,AI$5:AI$22,1)</f>
        <v/>
      </c>
      <c r="AK20" s="53">
        <f>VLOOKUP($A20,'L10'!$A:$IZ,181,FALSE)</f>
        <v/>
      </c>
      <c r="AL20" s="54">
        <f>RANK(AK20,AK$5:AK$22,1)</f>
        <v/>
      </c>
      <c r="AM20" s="53">
        <f>VLOOKUP($A20,'L10'!$A:$IZ,182,FALSE)</f>
        <v/>
      </c>
      <c r="AN20" s="54">
        <f>RANK(AM20,AM$5:AM$22,1)</f>
        <v/>
      </c>
      <c r="AO20" s="53">
        <f>VLOOKUP($A20,'L10'!$A:$IZ,163,FALSE)</f>
        <v/>
      </c>
      <c r="AP20" s="54">
        <f>RANK(AO20,AO$5:AO$22,1)</f>
        <v/>
      </c>
      <c r="AQ20" s="65">
        <f>104-(AJ20+AL20+AN20+AP20)</f>
        <v/>
      </c>
      <c r="AR20" s="47">
        <f>RANK(AQ20,AQ$5:AQ$22)</f>
        <v/>
      </c>
      <c r="AS20" s="56" t="n"/>
      <c r="AT20" s="46">
        <f>VLOOKUP($A20,'L10'!$A:$IZ,250,FALSE)</f>
        <v/>
      </c>
      <c r="AU20" s="47">
        <f>RANK(AT20,AT$5:AT$22,0)</f>
        <v/>
      </c>
      <c r="AV20" s="46">
        <f>VLOOKUP($A20,'L10'!$A:$IZ,92,FALSE)</f>
        <v/>
      </c>
      <c r="AW20" s="47">
        <f>RANK(AV20,AV$5:AV$22,0)</f>
        <v/>
      </c>
      <c r="AX20" s="46">
        <f>VLOOKUP($A20,'L10'!$A:$IZ,93,FALSE)</f>
        <v/>
      </c>
      <c r="AY20" s="47">
        <f>RANK(AX20,AX$5:AX$22,0)</f>
        <v/>
      </c>
      <c r="AZ20" s="46">
        <f>VLOOKUP($A20,'L10'!$A:$IZ,108,FALSE)</f>
        <v/>
      </c>
      <c r="BA20" s="47">
        <f>RANK(AZ20,AZ$5:AZ$22,0)</f>
        <v/>
      </c>
      <c r="BB20" s="49">
        <f>104-(AU20+AW20+AY20+BA20)</f>
        <v/>
      </c>
      <c r="BC20" s="47">
        <f>RANK(BB20,BB$5:BB$22,0)</f>
        <v/>
      </c>
      <c r="BD20" s="56" t="n"/>
      <c r="BE20" s="53">
        <f>VLOOKUP($A20,'L10'!$A:$IZ,80,FALSE)</f>
        <v/>
      </c>
      <c r="BF20" s="54">
        <f>RANK(BE20,BE$5:BE$22)</f>
        <v/>
      </c>
      <c r="BG20" s="53">
        <f>VLOOKUP($A20,'L10'!$A:$IZ,177,FALSE)</f>
        <v/>
      </c>
      <c r="BH20" s="54">
        <f>RANK(BG20,BG$5:BG$22,1)</f>
        <v/>
      </c>
      <c r="BI20" s="53">
        <f>VLOOKUP($A20,'L10'!$A:$IZ,79,FALSE)</f>
        <v/>
      </c>
      <c r="BJ20" s="54">
        <f>RANK(BI20,BI$5:BI$22)</f>
        <v/>
      </c>
      <c r="BK20" s="53">
        <f>VLOOKUP($A20,'L10'!$A:$IZ,176,FALSE)</f>
        <v/>
      </c>
      <c r="BL20" s="54">
        <f>RANK(BK20,BK$5:BK$22,1)</f>
        <v/>
      </c>
      <c r="BM20" s="53">
        <f>VLOOKUP($A20,'L10'!$A:$IZ,11,FALSE)</f>
        <v/>
      </c>
      <c r="BN20" s="54">
        <f>RANK(BM20,BM$5:BM$22)</f>
        <v/>
      </c>
      <c r="BO20" s="53">
        <f>VLOOKUP($A20,'L10'!$A:$IZ,222,FALSE)</f>
        <v/>
      </c>
      <c r="BP20" s="54">
        <f>RANK(BO20,BO$5:BO$22)</f>
        <v/>
      </c>
      <c r="BQ20" s="65">
        <f>104-(BJ20+BL20+BN20+BP20)</f>
        <v/>
      </c>
      <c r="BR20" s="47">
        <f>RANK(BQ20,BQ$5:BQ$22)</f>
        <v/>
      </c>
      <c r="BS20" s="56" t="n"/>
      <c r="BT20" s="57">
        <f>VLOOKUP($A20,'Ratings Season'!$A:$M,8,FALSE)</f>
        <v/>
      </c>
      <c r="BU20" s="54">
        <f>RANK(BT20,BT$5:BT$22)</f>
        <v/>
      </c>
      <c r="BV20" s="57">
        <f>VLOOKUP($A20,'Ratings Season'!$A:$M,4,FALSE)</f>
        <v/>
      </c>
      <c r="BW20" s="54">
        <f>RANK(BV20,BV$5:BV$22)</f>
        <v/>
      </c>
      <c r="BX20" s="57">
        <f>VLOOKUP($A20,'Ratings Season'!$A:$M,2,FALSE)</f>
        <v/>
      </c>
      <c r="BY20" s="58">
        <f>RANK(BX20,BX$5:BX$22)</f>
        <v/>
      </c>
      <c r="BZ20" s="69" t="n"/>
    </row>
    <row r="21" ht="25" customHeight="1">
      <c r="A21" s="91" t="inlineStr">
        <is>
          <t>West Coast</t>
        </is>
      </c>
      <c r="B21" s="53">
        <f>VLOOKUP($A21,'L10'!$A:$IZ,222,FALSE)</f>
        <v/>
      </c>
      <c r="C21" s="54">
        <f>RANK(B21,B$5:B$22)</f>
        <v/>
      </c>
      <c r="D21" s="55">
        <f>VLOOKUP($A21,'L10'!$A:$IZ,218,FALSE)</f>
        <v/>
      </c>
      <c r="E21" s="54">
        <f>RANK(D21,D$5:D$22)</f>
        <v/>
      </c>
      <c r="F21" s="55">
        <f>VLOOKUP($A21,'L10'!$A:$IZ,49,FALSE)</f>
        <v/>
      </c>
      <c r="G21" s="54">
        <f>RANK(F21,F$5:F$22)</f>
        <v/>
      </c>
      <c r="H21" s="55">
        <f>VLOOKUP($A21,'L10'!$A:$IZ,229,FALSE)</f>
        <v/>
      </c>
      <c r="I21" s="54">
        <f>RANK(H21,H$5:H$22)</f>
        <v/>
      </c>
      <c r="J21" s="49">
        <f>104-(C21+E21+G21+I21)</f>
        <v/>
      </c>
      <c r="K21" s="47">
        <f>RANK(J21,J$5:J$22)</f>
        <v/>
      </c>
      <c r="L21" s="56" t="n"/>
      <c r="M21" s="53">
        <f>VLOOKUP($A21,'L10'!$A:$IZ,88,FALSE)</f>
        <v/>
      </c>
      <c r="N21" s="54">
        <f>RANK(M21,M$5:M$22)</f>
        <v/>
      </c>
      <c r="O21" s="53">
        <f>VLOOKUP($A21,'L10'!$A:$IZ,84,FALSE)</f>
        <v/>
      </c>
      <c r="P21" s="54">
        <f>RANK(O21,O$5:O$22)</f>
        <v/>
      </c>
      <c r="Q21" s="53">
        <f>VLOOKUP($A21,'L10'!$A:$IZ,85,FALSE)</f>
        <v/>
      </c>
      <c r="R21" s="54">
        <f>RANK(Q21,Q$5:Q$22)</f>
        <v/>
      </c>
      <c r="S21" s="55">
        <f>VLOOKUP($A21,'L10'!$A:$IZ,29,FALSE)</f>
        <v/>
      </c>
      <c r="T21" s="54">
        <f>RANK(S21,S$5:S$22)</f>
        <v/>
      </c>
      <c r="U21" s="49">
        <f>104-(N21+P21+R21+T21)</f>
        <v/>
      </c>
      <c r="V21" s="47">
        <f>RANK(U21,U$5:U$22)</f>
        <v/>
      </c>
      <c r="W21" s="56" t="n"/>
      <c r="X21" s="53">
        <f>VLOOKUP($A21,'L10'!$A:$IZ,65,FALSE)</f>
        <v/>
      </c>
      <c r="Y21" s="54">
        <f>RANK(X21,X$5:X$22)</f>
        <v/>
      </c>
      <c r="Z21" s="53">
        <f>VLOOKUP($A21,'L10'!$A:$IZ,64,FALSE)</f>
        <v/>
      </c>
      <c r="AA21" s="54">
        <f>RANK(Z21,Z$5:Z$22)</f>
        <v/>
      </c>
      <c r="AB21" s="53">
        <f>VLOOKUP($A21,'L10'!$A:$IZ,63,FALSE)</f>
        <v/>
      </c>
      <c r="AC21" s="54">
        <f>RANK(AB21,AB$5:AB$22)</f>
        <v/>
      </c>
      <c r="AD21" s="53">
        <f>VLOOKUP($A21,'L10'!$A:$IZ,71,FALSE)</f>
        <v/>
      </c>
      <c r="AE21" s="54">
        <f>RANK(AD21,AD$5:AD$22)</f>
        <v/>
      </c>
      <c r="AF21" s="65">
        <f>104-(Y21+AA21+AC21+AE21)</f>
        <v/>
      </c>
      <c r="AG21" s="47">
        <f>RANK(AF21,AF$5:AF$22)</f>
        <v/>
      </c>
      <c r="AH21" s="56" t="n"/>
      <c r="AI21" s="53">
        <f>VLOOKUP($A21,'L10'!$A:$IZ,183,FALSE)</f>
        <v/>
      </c>
      <c r="AJ21" s="54">
        <f>RANK(AI21,AI$5:AI$22,1)</f>
        <v/>
      </c>
      <c r="AK21" s="53">
        <f>VLOOKUP($A21,'L10'!$A:$IZ,181,FALSE)</f>
        <v/>
      </c>
      <c r="AL21" s="54">
        <f>RANK(AK21,AK$5:AK$22,1)</f>
        <v/>
      </c>
      <c r="AM21" s="53">
        <f>VLOOKUP($A21,'L10'!$A:$IZ,182,FALSE)</f>
        <v/>
      </c>
      <c r="AN21" s="54">
        <f>RANK(AM21,AM$5:AM$22,1)</f>
        <v/>
      </c>
      <c r="AO21" s="53">
        <f>VLOOKUP($A21,'L10'!$A:$IZ,163,FALSE)</f>
        <v/>
      </c>
      <c r="AP21" s="54">
        <f>RANK(AO21,AO$5:AO$22,1)</f>
        <v/>
      </c>
      <c r="AQ21" s="65">
        <f>104-(AJ21+AL21+AN21+AP21)</f>
        <v/>
      </c>
      <c r="AR21" s="47">
        <f>RANK(AQ21,AQ$5:AQ$22)</f>
        <v/>
      </c>
      <c r="AS21" s="56" t="n"/>
      <c r="AT21" s="46">
        <f>VLOOKUP($A21,'L10'!$A:$IZ,250,FALSE)</f>
        <v/>
      </c>
      <c r="AU21" s="47">
        <f>RANK(AT21,AT$5:AT$22,0)</f>
        <v/>
      </c>
      <c r="AV21" s="46">
        <f>VLOOKUP($A21,'L10'!$A:$IZ,92,FALSE)</f>
        <v/>
      </c>
      <c r="AW21" s="47">
        <f>RANK(AV21,AV$5:AV$22,0)</f>
        <v/>
      </c>
      <c r="AX21" s="46">
        <f>VLOOKUP($A21,'L10'!$A:$IZ,93,FALSE)</f>
        <v/>
      </c>
      <c r="AY21" s="47">
        <f>RANK(AX21,AX$5:AX$22,0)</f>
        <v/>
      </c>
      <c r="AZ21" s="46">
        <f>VLOOKUP($A21,'L10'!$A:$IZ,108,FALSE)</f>
        <v/>
      </c>
      <c r="BA21" s="47">
        <f>RANK(AZ21,AZ$5:AZ$22,0)</f>
        <v/>
      </c>
      <c r="BB21" s="49">
        <f>104-(AU21+AW21+AY21+BA21)</f>
        <v/>
      </c>
      <c r="BC21" s="47">
        <f>RANK(BB21,BB$5:BB$22,0)</f>
        <v/>
      </c>
      <c r="BD21" s="56" t="n"/>
      <c r="BE21" s="53">
        <f>VLOOKUP($A21,'L10'!$A:$IZ,80,FALSE)</f>
        <v/>
      </c>
      <c r="BF21" s="54">
        <f>RANK(BE21,BE$5:BE$22)</f>
        <v/>
      </c>
      <c r="BG21" s="53">
        <f>VLOOKUP($A21,'L10'!$A:$IZ,177,FALSE)</f>
        <v/>
      </c>
      <c r="BH21" s="54">
        <f>RANK(BG21,BG$5:BG$22,1)</f>
        <v/>
      </c>
      <c r="BI21" s="53">
        <f>VLOOKUP($A21,'L10'!$A:$IZ,79,FALSE)</f>
        <v/>
      </c>
      <c r="BJ21" s="54">
        <f>RANK(BI21,BI$5:BI$22)</f>
        <v/>
      </c>
      <c r="BK21" s="53">
        <f>VLOOKUP($A21,'L10'!$A:$IZ,176,FALSE)</f>
        <v/>
      </c>
      <c r="BL21" s="54">
        <f>RANK(BK21,BK$5:BK$22,1)</f>
        <v/>
      </c>
      <c r="BM21" s="53">
        <f>VLOOKUP($A21,'L10'!$A:$IZ,11,FALSE)</f>
        <v/>
      </c>
      <c r="BN21" s="54">
        <f>RANK(BM21,BM$5:BM$22)</f>
        <v/>
      </c>
      <c r="BO21" s="53">
        <f>VLOOKUP($A21,'L10'!$A:$IZ,222,FALSE)</f>
        <v/>
      </c>
      <c r="BP21" s="54">
        <f>RANK(BO21,BO$5:BO$22)</f>
        <v/>
      </c>
      <c r="BQ21" s="65">
        <f>104-(BJ21+BL21+BN21+BP21)</f>
        <v/>
      </c>
      <c r="BR21" s="47">
        <f>RANK(BQ21,BQ$5:BQ$22)</f>
        <v/>
      </c>
      <c r="BS21" s="56" t="n"/>
      <c r="BT21" s="57">
        <f>VLOOKUP($A21,'Ratings Season'!$A:$M,8,FALSE)</f>
        <v/>
      </c>
      <c r="BU21" s="54">
        <f>RANK(BT21,BT$5:BT$22)</f>
        <v/>
      </c>
      <c r="BV21" s="57">
        <f>VLOOKUP($A21,'Ratings Season'!$A:$M,4,FALSE)</f>
        <v/>
      </c>
      <c r="BW21" s="54">
        <f>RANK(BV21,BV$5:BV$22)</f>
        <v/>
      </c>
      <c r="BX21" s="57">
        <f>VLOOKUP($A21,'Ratings Season'!$A:$M,2,FALSE)</f>
        <v/>
      </c>
      <c r="BY21" s="58">
        <f>RANK(BX21,BX$5:BX$22)</f>
        <v/>
      </c>
      <c r="BZ21" s="69" t="n"/>
    </row>
    <row r="22" ht="25" customHeight="1" thickBot="1">
      <c r="A22" s="92" t="inlineStr">
        <is>
          <t>Western Bulldogs</t>
        </is>
      </c>
      <c r="B22" s="59">
        <f>VLOOKUP($A22,'L10'!$A:$IZ,222,FALSE)</f>
        <v/>
      </c>
      <c r="C22" s="60">
        <f>RANK(B22,B$5:B$22)</f>
        <v/>
      </c>
      <c r="D22" s="61">
        <f>VLOOKUP($A22,'L10'!$A:$IZ,218,FALSE)</f>
        <v/>
      </c>
      <c r="E22" s="60">
        <f>RANK(D22,D$5:D$22)</f>
        <v/>
      </c>
      <c r="F22" s="61">
        <f>VLOOKUP($A22,'L10'!$A:$IZ,49,FALSE)</f>
        <v/>
      </c>
      <c r="G22" s="60">
        <f>RANK(F22,F$5:F$22)</f>
        <v/>
      </c>
      <c r="H22" s="61">
        <f>VLOOKUP($A22,'L10'!$A:$IZ,229,FALSE)</f>
        <v/>
      </c>
      <c r="I22" s="60">
        <f>RANK(H22,H$5:H$22)</f>
        <v/>
      </c>
      <c r="J22" s="49">
        <f>104-(C22+E22+G22+I22)</f>
        <v/>
      </c>
      <c r="K22" s="47">
        <f>RANK(J22,J$5:J$22)</f>
        <v/>
      </c>
      <c r="L22" s="62" t="n"/>
      <c r="M22" s="59">
        <f>VLOOKUP($A22,'L10'!$A:$IZ,88,FALSE)</f>
        <v/>
      </c>
      <c r="N22" s="60">
        <f>RANK(M22,M$5:M$22)</f>
        <v/>
      </c>
      <c r="O22" s="59">
        <f>VLOOKUP($A22,'L10'!$A:$IZ,84,FALSE)</f>
        <v/>
      </c>
      <c r="P22" s="60">
        <f>RANK(O22,O$5:O$22)</f>
        <v/>
      </c>
      <c r="Q22" s="59">
        <f>VLOOKUP($A22,'L10'!$A:$IZ,85,FALSE)</f>
        <v/>
      </c>
      <c r="R22" s="60">
        <f>RANK(Q22,Q$5:Q$22)</f>
        <v/>
      </c>
      <c r="S22" s="61">
        <f>VLOOKUP($A22,'L10'!$A:$IZ,29,FALSE)</f>
        <v/>
      </c>
      <c r="T22" s="60">
        <f>RANK(S22,S$5:S$22)</f>
        <v/>
      </c>
      <c r="U22" s="49">
        <f>104-(N22+P22+R22+T22)</f>
        <v/>
      </c>
      <c r="V22" s="47">
        <f>RANK(U22,U$5:U$22)</f>
        <v/>
      </c>
      <c r="W22" s="62" t="n"/>
      <c r="X22" s="59">
        <f>VLOOKUP($A22,'L10'!$A:$IZ,65,FALSE)</f>
        <v/>
      </c>
      <c r="Y22" s="60">
        <f>RANK(X22,X$5:X$22)</f>
        <v/>
      </c>
      <c r="Z22" s="59">
        <f>VLOOKUP($A22,'L10'!$A:$IZ,64,FALSE)</f>
        <v/>
      </c>
      <c r="AA22" s="60">
        <f>RANK(Z22,Z$5:Z$22)</f>
        <v/>
      </c>
      <c r="AB22" s="59">
        <f>VLOOKUP($A22,'L10'!$A:$IZ,63,FALSE)</f>
        <v/>
      </c>
      <c r="AC22" s="60">
        <f>RANK(AB22,AB$5:AB$22)</f>
        <v/>
      </c>
      <c r="AD22" s="59">
        <f>VLOOKUP($A22,'L10'!$A:$IZ,71,FALSE)</f>
        <v/>
      </c>
      <c r="AE22" s="60">
        <f>RANK(AD22,AD$5:AD$22)</f>
        <v/>
      </c>
      <c r="AF22" s="66">
        <f>104-(Y22+AA22+AC22+AE22)</f>
        <v/>
      </c>
      <c r="AG22" s="47">
        <f>RANK(AF22,AF$5:AF$22)</f>
        <v/>
      </c>
      <c r="AH22" s="62" t="n"/>
      <c r="AI22" s="59">
        <f>VLOOKUP($A22,'L10'!$A:$IZ,183,FALSE)</f>
        <v/>
      </c>
      <c r="AJ22" s="60">
        <f>RANK(AI22,AI$5:AI$22,1)</f>
        <v/>
      </c>
      <c r="AK22" s="59">
        <f>VLOOKUP($A22,'L10'!$A:$IZ,181,FALSE)</f>
        <v/>
      </c>
      <c r="AL22" s="60">
        <f>RANK(AK22,AK$5:AK$22,1)</f>
        <v/>
      </c>
      <c r="AM22" s="59">
        <f>VLOOKUP($A22,'L10'!$A:$IZ,182,FALSE)</f>
        <v/>
      </c>
      <c r="AN22" s="60">
        <f>RANK(AM22,AM$5:AM$22,1)</f>
        <v/>
      </c>
      <c r="AO22" s="59">
        <f>VLOOKUP($A22,'L10'!$A:$IZ,163,FALSE)</f>
        <v/>
      </c>
      <c r="AP22" s="60">
        <f>RANK(AO22,AO$5:AO$22,1)</f>
        <v/>
      </c>
      <c r="AQ22" s="66">
        <f>104-(AJ22+AL22+AN22+AP22)</f>
        <v/>
      </c>
      <c r="AR22" s="47">
        <f>RANK(AQ22,AQ$5:AQ$22)</f>
        <v/>
      </c>
      <c r="AS22" s="62" t="n"/>
      <c r="AT22" s="46">
        <f>VLOOKUP($A22,'L10'!$A:$IZ,250,FALSE)</f>
        <v/>
      </c>
      <c r="AU22" s="47">
        <f>RANK(AT22,AT$5:AT$22,0)</f>
        <v/>
      </c>
      <c r="AV22" s="46">
        <f>VLOOKUP($A22,'L10'!$A:$IZ,92,FALSE)</f>
        <v/>
      </c>
      <c r="AW22" s="47">
        <f>RANK(AV22,AV$5:AV$22,0)</f>
        <v/>
      </c>
      <c r="AX22" s="46">
        <f>VLOOKUP($A22,'L10'!$A:$IZ,93,FALSE)</f>
        <v/>
      </c>
      <c r="AY22" s="47">
        <f>RANK(AX22,AX$5:AX$22,0)</f>
        <v/>
      </c>
      <c r="AZ22" s="46">
        <f>VLOOKUP($A22,'L10'!$A:$IZ,108,FALSE)</f>
        <v/>
      </c>
      <c r="BA22" s="47">
        <f>RANK(AZ22,AZ$5:AZ$22,0)</f>
        <v/>
      </c>
      <c r="BB22" s="49">
        <f>104-(AU22+AW22+AY22+BA22)</f>
        <v/>
      </c>
      <c r="BC22" s="47">
        <f>RANK(BB22,BB$5:BB$22,0)</f>
        <v/>
      </c>
      <c r="BD22" s="62" t="n"/>
      <c r="BE22" s="59">
        <f>VLOOKUP($A22,'L10'!$A:$IZ,80,FALSE)</f>
        <v/>
      </c>
      <c r="BF22" s="60">
        <f>RANK(BE22,BE$5:BE$22)</f>
        <v/>
      </c>
      <c r="BG22" s="59">
        <f>VLOOKUP($A22,'L10'!$A:$IZ,177,FALSE)</f>
        <v/>
      </c>
      <c r="BH22" s="60">
        <f>RANK(BG22,BG$5:BG$22,1)</f>
        <v/>
      </c>
      <c r="BI22" s="59">
        <f>VLOOKUP($A22,'L10'!$A:$IZ,79,FALSE)</f>
        <v/>
      </c>
      <c r="BJ22" s="60">
        <f>RANK(BI22,BI$5:BI$22)</f>
        <v/>
      </c>
      <c r="BK22" s="59">
        <f>VLOOKUP($A22,'L10'!$A:$IZ,176,FALSE)</f>
        <v/>
      </c>
      <c r="BL22" s="60">
        <f>RANK(BK22,BK$5:BK$22,1)</f>
        <v/>
      </c>
      <c r="BM22" s="59">
        <f>VLOOKUP($A22,'L10'!$A:$IZ,11,FALSE)</f>
        <v/>
      </c>
      <c r="BN22" s="60">
        <f>RANK(BM22,BM$5:BM$22)</f>
        <v/>
      </c>
      <c r="BO22" s="59">
        <f>VLOOKUP($A22,'L10'!$A:$IZ,222,FALSE)</f>
        <v/>
      </c>
      <c r="BP22" s="60">
        <f>RANK(BO22,BO$5:BO$22)</f>
        <v/>
      </c>
      <c r="BQ22" s="66">
        <f>104-(BJ22+BL22+BN22+BP22)</f>
        <v/>
      </c>
      <c r="BR22" s="47">
        <f>RANK(BQ22,BQ$5:BQ$22)</f>
        <v/>
      </c>
      <c r="BS22" s="62" t="n"/>
      <c r="BT22" s="63">
        <f>VLOOKUP($A22,'Ratings Season'!$A:$M,8,FALSE)</f>
        <v/>
      </c>
      <c r="BU22" s="60">
        <f>RANK(BT22,BT$5:BT$22)</f>
        <v/>
      </c>
      <c r="BV22" s="63">
        <f>VLOOKUP($A22,'Ratings Season'!$A:$M,4,FALSE)</f>
        <v/>
      </c>
      <c r="BW22" s="60">
        <f>RANK(BV22,BV$5:BV$22)</f>
        <v/>
      </c>
      <c r="BX22" s="63">
        <f>VLOOKUP($A22,'Ratings Season'!$A:$M,2,FALSE)</f>
        <v/>
      </c>
      <c r="BY22" s="64">
        <f>RANK(BX22,BX$5:BX$22)</f>
        <v/>
      </c>
      <c r="BZ22" s="69" t="n"/>
    </row>
    <row r="23">
      <c r="A23" s="69" t="n"/>
      <c r="B23" s="69" t="n"/>
      <c r="C23" s="69" t="n"/>
      <c r="D23" s="69" t="n"/>
      <c r="E23" s="69" t="n"/>
      <c r="F23" s="69" t="n"/>
      <c r="G23" s="69" t="n"/>
      <c r="H23" s="69" t="n"/>
      <c r="I23" s="69" t="n"/>
      <c r="J23" s="69" t="n"/>
      <c r="K23" s="69" t="n"/>
      <c r="L23" s="69" t="n"/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  <c r="Z23" s="69" t="n"/>
      <c r="AA23" s="69" t="n"/>
      <c r="AB23" s="69" t="n"/>
      <c r="AC23" s="69" t="n"/>
      <c r="AD23" s="69" t="n"/>
      <c r="AE23" s="69" t="n"/>
      <c r="AF23" s="69" t="n"/>
      <c r="AG23" s="69" t="n"/>
      <c r="AH23" s="69" t="n"/>
      <c r="AI23" s="69" t="n"/>
      <c r="AJ23" s="69" t="n"/>
      <c r="AK23" s="69" t="n"/>
      <c r="AL23" s="69" t="n"/>
      <c r="AM23" s="69" t="n"/>
      <c r="AN23" s="69" t="n"/>
      <c r="AO23" s="69" t="n"/>
      <c r="AP23" s="69" t="n"/>
      <c r="AQ23" s="69" t="n"/>
      <c r="AR23" s="69" t="n"/>
      <c r="AS23" s="69" t="n"/>
      <c r="AT23" s="69" t="n"/>
      <c r="AU23" s="69" t="n"/>
      <c r="AV23" s="69" t="n"/>
      <c r="AW23" s="69" t="n"/>
      <c r="AX23" s="69" t="n"/>
      <c r="AY23" s="69" t="n"/>
      <c r="AZ23" s="69" t="n"/>
      <c r="BA23" s="69" t="n"/>
      <c r="BB23" s="69" t="n"/>
      <c r="BC23" s="69" t="n"/>
      <c r="BD23" s="69" t="n"/>
      <c r="BE23" s="69" t="n"/>
      <c r="BF23" s="69" t="n"/>
      <c r="BG23" s="69" t="n"/>
      <c r="BH23" s="69" t="n"/>
      <c r="BI23" s="69" t="n"/>
      <c r="BJ23" s="69" t="n"/>
      <c r="BK23" s="69" t="n"/>
      <c r="BL23" s="69" t="n"/>
      <c r="BM23" s="69" t="n"/>
      <c r="BN23" s="69" t="n"/>
      <c r="BO23" s="69" t="n"/>
      <c r="BP23" s="69" t="n"/>
      <c r="BQ23" s="69" t="n"/>
      <c r="BR23" s="69" t="n"/>
      <c r="BS23" s="69" t="n"/>
      <c r="BT23" s="69" t="n"/>
      <c r="BU23" s="69" t="n"/>
      <c r="BV23" s="69" t="n"/>
      <c r="BW23" s="69" t="n"/>
      <c r="BX23" s="69" t="n"/>
      <c r="BY23" s="69" t="n"/>
      <c r="BZ23" s="69" t="n"/>
    </row>
  </sheetData>
  <mergeCells count="8">
    <mergeCell ref="BE3:BR3"/>
    <mergeCell ref="M3:V3"/>
    <mergeCell ref="A3:A4"/>
    <mergeCell ref="AT3:BC3"/>
    <mergeCell ref="X3:AG3"/>
    <mergeCell ref="AI3:AR3"/>
    <mergeCell ref="B3:K3"/>
    <mergeCell ref="BT3:BY3"/>
  </mergeCells>
  <conditionalFormatting sqref="B5:B22">
    <cfRule type="dataBar" priority="133">
      <dataBar>
        <cfvo type="min"/>
        <cfvo type="max"/>
        <color rgb="FF638EC6"/>
      </dataBar>
    </cfRule>
  </conditionalFormatting>
  <conditionalFormatting sqref="D5:D22">
    <cfRule type="dataBar" priority="132">
      <dataBar>
        <cfvo type="min"/>
        <cfvo type="max"/>
        <color rgb="FF638EC6"/>
      </dataBar>
    </cfRule>
  </conditionalFormatting>
  <conditionalFormatting sqref="F5:F22">
    <cfRule type="dataBar" priority="130">
      <dataBar>
        <cfvo type="min"/>
        <cfvo type="max"/>
        <color rgb="FF638EC6"/>
      </dataBar>
    </cfRule>
    <cfRule type="dataBar" priority="131">
      <dataBar>
        <cfvo type="min"/>
        <cfvo type="max"/>
        <color rgb="FF638EC6"/>
      </dataBar>
    </cfRule>
  </conditionalFormatting>
  <conditionalFormatting sqref="H5:H22">
    <cfRule type="dataBar" priority="129">
      <dataBar>
        <cfvo type="min"/>
        <cfvo type="max"/>
        <color rgb="FF638EC6"/>
      </dataBar>
    </cfRule>
  </conditionalFormatting>
  <conditionalFormatting sqref="J5:J22">
    <cfRule type="dataBar" priority="98">
      <dataBar>
        <cfvo type="min"/>
        <cfvo type="max"/>
        <color rgb="FF638EC6"/>
      </dataBar>
    </cfRule>
  </conditionalFormatting>
  <conditionalFormatting sqref="M5:M22">
    <cfRule type="dataBar" priority="128">
      <dataBar>
        <cfvo type="min"/>
        <cfvo type="max"/>
        <color rgb="FF63C384"/>
      </dataBar>
    </cfRule>
    <cfRule type="dataBar" priority="127">
      <dataBar>
        <cfvo type="min"/>
        <cfvo type="max"/>
        <color rgb="FF63C384"/>
      </dataBar>
    </cfRule>
  </conditionalFormatting>
  <conditionalFormatting sqref="O5:O22">
    <cfRule type="dataBar" priority="126">
      <dataBar>
        <cfvo type="min"/>
        <cfvo type="max"/>
        <color rgb="FF63C384"/>
      </dataBar>
    </cfRule>
    <cfRule type="dataBar" priority="125">
      <dataBar>
        <cfvo type="min"/>
        <cfvo type="max"/>
        <color rgb="FF63C384"/>
      </dataBar>
    </cfRule>
  </conditionalFormatting>
  <conditionalFormatting sqref="Q5:Q22">
    <cfRule type="dataBar" priority="124">
      <dataBar>
        <cfvo type="min"/>
        <cfvo type="max"/>
        <color rgb="FF63C384"/>
      </dataBar>
    </cfRule>
    <cfRule type="dataBar" priority="123">
      <dataBar>
        <cfvo type="min"/>
        <cfvo type="max"/>
        <color rgb="FF63C384"/>
      </dataBar>
    </cfRule>
  </conditionalFormatting>
  <conditionalFormatting sqref="S5:S22">
    <cfRule type="dataBar" priority="122">
      <dataBar>
        <cfvo type="min"/>
        <cfvo type="max"/>
        <color rgb="FF63C384"/>
      </dataBar>
    </cfRule>
  </conditionalFormatting>
  <conditionalFormatting sqref="U5:U22">
    <cfRule type="dataBar" priority="97">
      <dataBar>
        <cfvo type="min"/>
        <cfvo type="max"/>
        <color rgb="FF63C384"/>
      </dataBar>
    </cfRule>
  </conditionalFormatting>
  <conditionalFormatting sqref="X5:X22">
    <cfRule type="dataBar" priority="121">
      <dataBar>
        <cfvo type="min"/>
        <cfvo type="max"/>
        <color rgb="FF63C384"/>
      </dataBar>
    </cfRule>
    <cfRule type="dataBar" priority="120">
      <dataBar>
        <cfvo type="min"/>
        <cfvo type="max"/>
        <color rgb="FFFFFF00"/>
      </dataBar>
    </cfRule>
  </conditionalFormatting>
  <conditionalFormatting sqref="Z5:Z22">
    <cfRule type="dataBar" priority="92">
      <dataBar>
        <cfvo type="min"/>
        <cfvo type="max"/>
        <color rgb="FF63C384"/>
      </dataBar>
    </cfRule>
    <cfRule type="dataBar" priority="91">
      <dataBar>
        <cfvo type="min"/>
        <cfvo type="max"/>
        <color rgb="FFFFFF00"/>
      </dataBar>
    </cfRule>
  </conditionalFormatting>
  <conditionalFormatting sqref="AB5:AB22">
    <cfRule type="dataBar" priority="90">
      <dataBar>
        <cfvo type="min"/>
        <cfvo type="max"/>
        <color rgb="FF63C384"/>
      </dataBar>
    </cfRule>
    <cfRule type="dataBar" priority="89">
      <dataBar>
        <cfvo type="min"/>
        <cfvo type="max"/>
        <color rgb="FFFFFF00"/>
      </dataBar>
    </cfRule>
  </conditionalFormatting>
  <conditionalFormatting sqref="AD5:AD22">
    <cfRule type="dataBar" priority="88">
      <dataBar>
        <cfvo type="min"/>
        <cfvo type="max"/>
        <color rgb="FF63C384"/>
      </dataBar>
    </cfRule>
    <cfRule type="dataBar" priority="87">
      <dataBar>
        <cfvo type="min"/>
        <cfvo type="max"/>
        <color rgb="FFFFFF00"/>
      </dataBar>
    </cfRule>
  </conditionalFormatting>
  <conditionalFormatting sqref="AF5:AF22">
    <cfRule type="dataBar" priority="86">
      <dataBar>
        <cfvo type="min"/>
        <cfvo type="max"/>
        <color rgb="FF63C384"/>
      </dataBar>
    </cfRule>
    <cfRule type="dataBar" priority="85">
      <dataBar>
        <cfvo type="min"/>
        <cfvo type="max"/>
        <color rgb="FFFFFF00"/>
      </dataBar>
    </cfRule>
  </conditionalFormatting>
  <conditionalFormatting sqref="AI5:AI22">
    <cfRule type="dataBar" priority="119">
      <dataBar>
        <cfvo type="min"/>
        <cfvo type="max"/>
        <color rgb="FF63C384"/>
      </dataBar>
    </cfRule>
    <cfRule type="dataBar" priority="118">
      <dataBar>
        <cfvo type="min"/>
        <cfvo type="max"/>
        <color rgb="FFFF555A"/>
      </dataBar>
    </cfRule>
  </conditionalFormatting>
  <conditionalFormatting sqref="AK5:AK22">
    <cfRule type="dataBar" priority="116">
      <dataBar>
        <cfvo type="min"/>
        <cfvo type="max"/>
        <color rgb="FFFF555A"/>
      </dataBar>
    </cfRule>
    <cfRule type="dataBar" priority="117">
      <dataBar>
        <cfvo type="min"/>
        <cfvo type="max"/>
        <color rgb="FF63C384"/>
      </dataBar>
    </cfRule>
  </conditionalFormatting>
  <conditionalFormatting sqref="AM5:AM22">
    <cfRule type="dataBar" priority="114">
      <dataBar>
        <cfvo type="min"/>
        <cfvo type="max"/>
        <color rgb="FFFF555A"/>
      </dataBar>
    </cfRule>
    <cfRule type="dataBar" priority="115">
      <dataBar>
        <cfvo type="min"/>
        <cfvo type="max"/>
        <color rgb="FF63C384"/>
      </dataBar>
    </cfRule>
  </conditionalFormatting>
  <conditionalFormatting sqref="AO5:AO22">
    <cfRule type="dataBar" priority="32">
      <dataBar>
        <cfvo type="min"/>
        <cfvo type="max"/>
        <color rgb="FF63C384"/>
      </dataBar>
    </cfRule>
    <cfRule type="dataBar" priority="31">
      <dataBar>
        <cfvo type="min"/>
        <cfvo type="max"/>
        <color rgb="FFFF555A"/>
      </dataBar>
    </cfRule>
  </conditionalFormatting>
  <conditionalFormatting sqref="AQ5:AQ22">
    <cfRule type="dataBar" priority="96">
      <dataBar>
        <cfvo type="min"/>
        <cfvo type="max"/>
        <color rgb="FF63C384"/>
      </dataBar>
    </cfRule>
    <cfRule type="dataBar" priority="95">
      <dataBar>
        <cfvo type="min"/>
        <cfvo type="max"/>
        <color rgb="FFFF555A"/>
      </dataBar>
    </cfRule>
  </conditionalFormatting>
  <conditionalFormatting sqref="AT5:AT22">
    <cfRule type="dataBar" priority="19">
      <dataBar>
        <cfvo type="min"/>
        <cfvo type="max"/>
        <color rgb="FFD883FF"/>
      </dataBar>
    </cfRule>
    <cfRule type="dataBar" priority="20">
      <dataBar>
        <cfvo type="min"/>
        <cfvo type="max"/>
        <color rgb="FF63C384"/>
      </dataBar>
    </cfRule>
  </conditionalFormatting>
  <conditionalFormatting sqref="AV5:AV22">
    <cfRule type="dataBar" priority="18">
      <dataBar>
        <cfvo type="min"/>
        <cfvo type="max"/>
        <color rgb="FF63C384"/>
      </dataBar>
    </cfRule>
    <cfRule type="dataBar" priority="17">
      <dataBar>
        <cfvo type="min"/>
        <cfvo type="max"/>
        <color rgb="FFD883FF"/>
      </dataBar>
    </cfRule>
  </conditionalFormatting>
  <conditionalFormatting sqref="AX5:AX22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rgb="FFD883FF"/>
      </dataBar>
    </cfRule>
  </conditionalFormatting>
  <conditionalFormatting sqref="AZ5:AZ22">
    <cfRule type="dataBar" priority="13">
      <dataBar>
        <cfvo type="min"/>
        <cfvo type="max"/>
        <color rgb="FFD883FF"/>
      </dataBar>
    </cfRule>
    <cfRule type="dataBar" priority="14">
      <dataBar>
        <cfvo type="min"/>
        <cfvo type="max"/>
        <color rgb="FF63C384"/>
      </dataBar>
    </cfRule>
  </conditionalFormatting>
  <conditionalFormatting sqref="BB5:BB22">
    <cfRule type="dataBar" priority="11">
      <dataBar>
        <cfvo type="min"/>
        <cfvo type="max"/>
        <color rgb="FFD883FF"/>
      </dataBar>
    </cfRule>
    <cfRule type="dataBar" priority="12">
      <dataBar>
        <cfvo type="min"/>
        <cfvo type="max"/>
        <color rgb="FF63C384"/>
      </dataBar>
    </cfRule>
  </conditionalFormatting>
  <conditionalFormatting sqref="BE5:BE22">
    <cfRule type="dataBar" priority="113">
      <dataBar>
        <cfvo type="min"/>
        <cfvo type="max"/>
        <color rgb="FF63C384"/>
      </dataBar>
    </cfRule>
    <cfRule type="dataBar" priority="112">
      <dataBar>
        <cfvo type="min"/>
        <cfvo type="max"/>
        <color theme="1" tint="0.499984740745262"/>
      </dataBar>
    </cfRule>
  </conditionalFormatting>
  <conditionalFormatting sqref="BG5:BG22">
    <cfRule type="dataBar" priority="110">
      <dataBar>
        <cfvo type="min"/>
        <cfvo type="max"/>
        <color theme="1" tint="0.499984740745262"/>
      </dataBar>
    </cfRule>
    <cfRule type="dataBar" priority="111">
      <dataBar>
        <cfvo type="min"/>
        <cfvo type="max"/>
        <color rgb="FF63C384"/>
      </dataBar>
    </cfRule>
  </conditionalFormatting>
  <conditionalFormatting sqref="BI5:BI22">
    <cfRule type="dataBar" priority="108">
      <dataBar>
        <cfvo type="min"/>
        <cfvo type="max"/>
        <color theme="1" tint="0.499984740745262"/>
      </dataBar>
    </cfRule>
    <cfRule type="dataBar" priority="109">
      <dataBar>
        <cfvo type="min"/>
        <cfvo type="max"/>
        <color rgb="FF63C384"/>
      </dataBar>
    </cfRule>
  </conditionalFormatting>
  <conditionalFormatting sqref="BK5:BK22">
    <cfRule type="dataBar" priority="106">
      <dataBar>
        <cfvo type="min"/>
        <cfvo type="max"/>
        <color theme="1" tint="0.499984740745262"/>
      </dataBar>
    </cfRule>
    <cfRule type="dataBar" priority="107">
      <dataBar>
        <cfvo type="min"/>
        <cfvo type="max"/>
        <color rgb="FF63C384"/>
      </dataBar>
    </cfRule>
  </conditionalFormatting>
  <conditionalFormatting sqref="BM5:BM22">
    <cfRule type="dataBar" priority="104">
      <dataBar>
        <cfvo type="min"/>
        <cfvo type="max"/>
        <color theme="1" tint="0.499984740745262"/>
      </dataBar>
    </cfRule>
    <cfRule type="dataBar" priority="105">
      <dataBar>
        <cfvo type="min"/>
        <cfvo type="max"/>
        <color rgb="FF63C384"/>
      </dataBar>
    </cfRule>
  </conditionalFormatting>
  <conditionalFormatting sqref="BO5:BO22">
    <cfRule type="dataBar" priority="102">
      <dataBar>
        <cfvo type="min"/>
        <cfvo type="max"/>
        <color theme="1" tint="0.499984740745262"/>
      </dataBar>
    </cfRule>
    <cfRule type="dataBar" priority="103">
      <dataBar>
        <cfvo type="min"/>
        <cfvo type="max"/>
        <color rgb="FF63C384"/>
      </dataBar>
    </cfRule>
  </conditionalFormatting>
  <conditionalFormatting sqref="BQ5:BQ22">
    <cfRule type="dataBar" priority="94">
      <dataBar>
        <cfvo type="min"/>
        <cfvo type="max"/>
        <color rgb="FF63C384"/>
      </dataBar>
    </cfRule>
    <cfRule type="dataBar" priority="93">
      <dataBar>
        <cfvo type="min"/>
        <cfvo type="max"/>
        <color theme="1" tint="0.499984740745262"/>
      </dataBar>
    </cfRule>
  </conditionalFormatting>
  <conditionalFormatting sqref="BT5:BT22">
    <cfRule type="dataBar" priority="101">
      <dataBar>
        <cfvo type="min"/>
        <cfvo type="max"/>
        <color theme="5"/>
      </dataBar>
    </cfRule>
  </conditionalFormatting>
  <conditionalFormatting sqref="BV5:BV22">
    <cfRule type="dataBar" priority="100">
      <dataBar>
        <cfvo type="min"/>
        <cfvo type="max"/>
        <color theme="5"/>
      </dataBar>
    </cfRule>
  </conditionalFormatting>
  <conditionalFormatting sqref="BX5:BX22">
    <cfRule type="dataBar" priority="99">
      <dataBar>
        <cfvo type="min"/>
        <cfvo type="max"/>
        <color theme="5"/>
      </dataBar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BZ22"/>
  <sheetViews>
    <sheetView zoomScale="86" workbookViewId="0">
      <pane xSplit="1" topLeftCell="B1" activePane="topRight" state="frozen"/>
      <selection activeCell="A4" sqref="A4"/>
      <selection pane="topRight" activeCell="E35" sqref="E35"/>
    </sheetView>
  </sheetViews>
  <sheetFormatPr baseColWidth="10" defaultRowHeight="16"/>
  <cols>
    <col width="30.33203125" bestFit="1" customWidth="1" min="1" max="1"/>
    <col width="3.6640625" customWidth="1" min="3" max="3"/>
    <col width="3.6640625" customWidth="1" min="5" max="5"/>
    <col width="3.6640625" customWidth="1" min="7" max="7"/>
    <col width="3.6640625" customWidth="1" min="9" max="9"/>
    <col width="11" customWidth="1" min="10" max="10"/>
    <col width="3.6640625" customWidth="1" min="11" max="12"/>
    <col width="3.6640625" customWidth="1" min="14" max="14"/>
    <col width="3.6640625" customWidth="1" min="16" max="16"/>
    <col width="3.6640625" customWidth="1" min="18" max="18"/>
    <col width="3.6640625" customWidth="1" min="20" max="20"/>
    <col width="11" customWidth="1" min="21" max="21"/>
    <col width="3.6640625" customWidth="1" min="22" max="23"/>
    <col width="3.6640625" customWidth="1" min="25" max="25"/>
    <col width="3.6640625" customWidth="1" min="27" max="27"/>
    <col width="3.6640625" customWidth="1" min="29" max="29"/>
    <col width="3.6640625" customWidth="1" min="31" max="31"/>
    <col width="11" customWidth="1" min="32" max="32"/>
    <col width="3.6640625" customWidth="1" min="33" max="34"/>
    <col width="3.6640625" customWidth="1" min="36" max="36"/>
    <col width="3.6640625" customWidth="1" min="38" max="38"/>
    <col width="3.6640625" customWidth="1" min="40" max="40"/>
    <col width="3.6640625" customWidth="1" min="42" max="42"/>
    <col width="11" customWidth="1" min="43" max="43"/>
    <col width="3.6640625" customWidth="1" min="44" max="45"/>
    <col width="3.6640625" customWidth="1" min="47" max="47"/>
    <col width="3.6640625" customWidth="1" min="49" max="49"/>
    <col width="3.6640625" customWidth="1" min="51" max="51"/>
    <col width="3.6640625" customWidth="1" min="53" max="53"/>
    <col width="11" customWidth="1" min="54" max="54"/>
    <col width="3.6640625" customWidth="1" min="55" max="56"/>
    <col width="3.6640625" customWidth="1" min="58" max="58"/>
    <col width="3.6640625" customWidth="1" min="60" max="60"/>
    <col width="3.6640625" customWidth="1" min="62" max="62"/>
    <col width="3.6640625" customWidth="1" min="64" max="64"/>
    <col width="3.6640625" customWidth="1" min="66" max="66"/>
    <col width="3.6640625" customWidth="1" min="68" max="68"/>
    <col width="11" customWidth="1" min="69" max="69"/>
    <col width="3.6640625" customWidth="1" min="70" max="71"/>
    <col width="3.6640625" customWidth="1" min="73" max="73"/>
    <col width="3.6640625" customWidth="1" min="75" max="75"/>
    <col width="3.6640625" customWidth="1" min="77" max="77"/>
  </cols>
  <sheetData>
    <row r="1" ht="35" customHeight="1">
      <c r="A1" s="68" t="inlineStr">
        <is>
          <t>SEASON TOTAL</t>
        </is>
      </c>
      <c r="B1" s="69" t="n"/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  <c r="Z1" s="69" t="n"/>
      <c r="AA1" s="69" t="n"/>
      <c r="AB1" s="69" t="n"/>
      <c r="AC1" s="69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  <c r="AQ1" s="69" t="n"/>
      <c r="AR1" s="69" t="n"/>
      <c r="AS1" s="69" t="n"/>
      <c r="AT1" s="69" t="n"/>
      <c r="AU1" s="69" t="n"/>
      <c r="AV1" s="69" t="n"/>
      <c r="AW1" s="69" t="n"/>
      <c r="AX1" s="69" t="n"/>
      <c r="AY1" s="69" t="n"/>
      <c r="AZ1" s="69" t="n"/>
      <c r="BA1" s="69" t="n"/>
      <c r="BB1" s="69" t="n"/>
      <c r="BC1" s="69" t="n"/>
      <c r="BD1" s="69" t="n"/>
      <c r="BE1" s="69" t="n"/>
      <c r="BF1" s="69" t="n"/>
      <c r="BG1" s="69" t="n"/>
      <c r="BH1" s="69" t="n"/>
      <c r="BI1" s="69" t="n"/>
      <c r="BJ1" s="69" t="n"/>
      <c r="BK1" s="69" t="n"/>
      <c r="BL1" s="69" t="n"/>
      <c r="BM1" s="69" t="n"/>
      <c r="BN1" s="69" t="n"/>
      <c r="BO1" s="69" t="n"/>
      <c r="BP1" s="69" t="n"/>
      <c r="BQ1" s="69" t="n"/>
      <c r="BR1" s="69" t="n"/>
      <c r="BS1" s="69" t="n"/>
      <c r="BT1" s="69" t="n"/>
      <c r="BU1" s="69" t="n"/>
      <c r="BV1" s="69" t="n"/>
      <c r="BW1" s="69" t="n"/>
      <c r="BX1" s="69" t="n"/>
      <c r="BY1" s="69" t="n"/>
      <c r="BZ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  <c r="Z2" s="69" t="n"/>
      <c r="AA2" s="69" t="n"/>
      <c r="AB2" s="69" t="n"/>
      <c r="AC2" s="69" t="n"/>
      <c r="AD2" s="6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  <c r="AQ2" s="69" t="n"/>
      <c r="AR2" s="69" t="n"/>
      <c r="AS2" s="69" t="n"/>
      <c r="AT2" s="69" t="n"/>
      <c r="AU2" s="69" t="n"/>
      <c r="AV2" s="69" t="n"/>
      <c r="AW2" s="69" t="n"/>
      <c r="AX2" s="69" t="n"/>
      <c r="AY2" s="69" t="n"/>
      <c r="AZ2" s="69" t="n"/>
      <c r="BA2" s="69" t="n"/>
      <c r="BB2" s="69" t="n"/>
      <c r="BC2" s="69" t="n"/>
      <c r="BD2" s="69" t="n"/>
      <c r="BE2" s="69" t="n"/>
      <c r="BF2" s="69" t="n"/>
      <c r="BG2" s="69" t="n"/>
      <c r="BH2" s="69" t="n"/>
      <c r="BI2" s="69" t="n"/>
      <c r="BJ2" s="69" t="n"/>
      <c r="BK2" s="69" t="n"/>
      <c r="BL2" s="69" t="n"/>
      <c r="BM2" s="69" t="n"/>
      <c r="BN2" s="69" t="n"/>
      <c r="BO2" s="69" t="n"/>
      <c r="BP2" s="69" t="n"/>
      <c r="BQ2" s="69" t="n"/>
      <c r="BR2" s="69" t="n"/>
      <c r="BS2" s="69" t="n"/>
      <c r="BT2" s="69" t="n"/>
      <c r="BU2" s="69" t="n"/>
      <c r="BV2" s="69" t="n"/>
      <c r="BW2" s="69" t="n"/>
      <c r="BX2" s="69" t="n"/>
      <c r="BY2" s="69" t="n"/>
      <c r="BZ2" s="69" t="n"/>
    </row>
    <row r="3" ht="25" customFormat="1" customHeight="1" s="25" thickBot="1">
      <c r="A3" s="240" t="inlineStr">
        <is>
          <t>Team</t>
        </is>
      </c>
      <c r="B3" s="242" t="inlineStr">
        <is>
          <t>Ball Winning</t>
        </is>
      </c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9" t="n"/>
      <c r="M3" s="245" t="inlineStr">
        <is>
          <t>Ball Movement</t>
        </is>
      </c>
      <c r="N3" s="321" t="n"/>
      <c r="O3" s="321" t="n"/>
      <c r="P3" s="321" t="n"/>
      <c r="Q3" s="321" t="n"/>
      <c r="R3" s="321" t="n"/>
      <c r="S3" s="321" t="n"/>
      <c r="T3" s="321" t="n"/>
      <c r="U3" s="321" t="n"/>
      <c r="V3" s="321" t="n"/>
      <c r="W3" s="39" t="n"/>
      <c r="X3" s="248" t="inlineStr">
        <is>
          <t>Scoring</t>
        </is>
      </c>
      <c r="Y3" s="321" t="n"/>
      <c r="Z3" s="321" t="n"/>
      <c r="AA3" s="321" t="n"/>
      <c r="AB3" s="321" t="n"/>
      <c r="AC3" s="321" t="n"/>
      <c r="AD3" s="321" t="n"/>
      <c r="AE3" s="321" t="n"/>
      <c r="AF3" s="321" t="n"/>
      <c r="AG3" s="321" t="n"/>
      <c r="AH3" s="39" t="n"/>
      <c r="AI3" s="251" t="inlineStr">
        <is>
          <t>Defence</t>
        </is>
      </c>
      <c r="AJ3" s="321" t="n"/>
      <c r="AK3" s="321" t="n"/>
      <c r="AL3" s="321" t="n"/>
      <c r="AM3" s="321" t="n"/>
      <c r="AN3" s="321" t="n"/>
      <c r="AO3" s="321" t="n"/>
      <c r="AP3" s="321" t="n"/>
      <c r="AQ3" s="321" t="n"/>
      <c r="AR3" s="321" t="n"/>
      <c r="AS3" s="39" t="n"/>
      <c r="AT3" s="254" t="inlineStr">
        <is>
          <t>Pressure</t>
        </is>
      </c>
      <c r="AU3" s="321" t="n"/>
      <c r="AV3" s="321" t="n"/>
      <c r="AW3" s="321" t="n"/>
      <c r="AX3" s="321" t="n"/>
      <c r="AY3" s="321" t="n"/>
      <c r="AZ3" s="321" t="n"/>
      <c r="BA3" s="321" t="n"/>
      <c r="BB3" s="321" t="n"/>
      <c r="BC3" s="321" t="n"/>
      <c r="BD3" s="39" t="n"/>
      <c r="BE3" s="322" t="inlineStr">
        <is>
          <t>Health Check</t>
        </is>
      </c>
      <c r="BF3" s="321" t="n"/>
      <c r="BG3" s="321" t="n"/>
      <c r="BH3" s="321" t="n"/>
      <c r="BI3" s="321" t="n"/>
      <c r="BJ3" s="321" t="n"/>
      <c r="BK3" s="321" t="n"/>
      <c r="BL3" s="321" t="n"/>
      <c r="BM3" s="321" t="n"/>
      <c r="BN3" s="321" t="n"/>
      <c r="BO3" s="321" t="n"/>
      <c r="BP3" s="321" t="n"/>
      <c r="BQ3" s="321" t="n"/>
      <c r="BR3" s="323" t="n"/>
      <c r="BS3" s="39" t="n"/>
      <c r="BT3" s="237" t="inlineStr">
        <is>
          <t>Wheelo Ratings</t>
        </is>
      </c>
      <c r="BU3" s="321" t="n"/>
      <c r="BV3" s="321" t="n"/>
      <c r="BW3" s="321" t="n"/>
      <c r="BX3" s="321" t="n"/>
      <c r="BY3" s="324" t="n"/>
      <c r="BZ3" s="70" t="n"/>
    </row>
    <row r="4" ht="69" customFormat="1" customHeight="1" s="2" thickBot="1">
      <c r="A4" s="325" t="n"/>
      <c r="B4" s="4" t="inlineStr">
        <is>
          <t>Post Clear CP Diff</t>
        </is>
      </c>
      <c r="C4" s="5" t="inlineStr">
        <is>
          <t>Rank</t>
        </is>
      </c>
      <c r="D4" s="5" t="inlineStr">
        <is>
          <t>Ground Ball Diff</t>
        </is>
      </c>
      <c r="E4" s="5" t="inlineStr">
        <is>
          <t>Rank</t>
        </is>
      </c>
      <c r="F4" s="5" t="inlineStr">
        <is>
          <t>1st Poss to Clear %</t>
        </is>
      </c>
      <c r="G4" s="5" t="inlineStr">
        <is>
          <t>Rank</t>
        </is>
      </c>
      <c r="H4" s="5" t="inlineStr">
        <is>
          <t>Clearance Diff</t>
        </is>
      </c>
      <c r="I4" s="6" t="inlineStr">
        <is>
          <t>Rank</t>
        </is>
      </c>
      <c r="J4" s="27" t="inlineStr">
        <is>
          <t>Ball Winning Ranking</t>
        </is>
      </c>
      <c r="K4" s="38" t="inlineStr">
        <is>
          <t>Rank</t>
        </is>
      </c>
      <c r="L4" s="40" t="n"/>
      <c r="M4" s="7" t="inlineStr">
        <is>
          <t>Def Half to Score %</t>
        </is>
      </c>
      <c r="N4" s="8" t="inlineStr">
        <is>
          <t>Rank</t>
        </is>
      </c>
      <c r="O4" s="8" t="inlineStr">
        <is>
          <t>Chain to Score %</t>
        </is>
      </c>
      <c r="P4" s="8" t="inlineStr">
        <is>
          <t>Rank</t>
        </is>
      </c>
      <c r="Q4" s="8" t="inlineStr">
        <is>
          <t>D50 to F50 %</t>
        </is>
      </c>
      <c r="R4" s="8" t="inlineStr">
        <is>
          <t>Rank</t>
        </is>
      </c>
      <c r="S4" s="8" t="inlineStr">
        <is>
          <t>Kick Rating</t>
        </is>
      </c>
      <c r="T4" s="9" t="inlineStr">
        <is>
          <t>Rank</t>
        </is>
      </c>
      <c r="U4" s="30" t="inlineStr">
        <is>
          <t>Ball Movement Ranking</t>
        </is>
      </c>
      <c r="V4" s="31" t="inlineStr">
        <is>
          <t>Rank</t>
        </is>
      </c>
      <c r="W4" s="40" t="n"/>
      <c r="X4" s="41" t="inlineStr">
        <is>
          <t>Scores per I50 %</t>
        </is>
      </c>
      <c r="Y4" s="23" t="inlineStr">
        <is>
          <t>Rank</t>
        </is>
      </c>
      <c r="Z4" s="23" t="inlineStr">
        <is>
          <t>Goals Per I 50 %</t>
        </is>
      </c>
      <c r="AA4" s="23" t="inlineStr">
        <is>
          <t>Rank</t>
        </is>
      </c>
      <c r="AB4" s="23" t="inlineStr">
        <is>
          <t>Accuracy %</t>
        </is>
      </c>
      <c r="AC4" s="23" t="inlineStr">
        <is>
          <t>Rank</t>
        </is>
      </c>
      <c r="AD4" s="42" t="inlineStr">
        <is>
          <t>+/- Exp Score</t>
        </is>
      </c>
      <c r="AE4" s="43" t="inlineStr">
        <is>
          <t>Rank</t>
        </is>
      </c>
      <c r="AF4" s="44" t="inlineStr">
        <is>
          <t>Scoring Ranking</t>
        </is>
      </c>
      <c r="AG4" s="45" t="inlineStr">
        <is>
          <t>Rank</t>
        </is>
      </c>
      <c r="AH4" s="40" t="n"/>
      <c r="AI4" s="13" t="inlineStr">
        <is>
          <t>Def Half to Score Ag %</t>
        </is>
      </c>
      <c r="AJ4" s="14" t="inlineStr">
        <is>
          <t>Rank</t>
        </is>
      </c>
      <c r="AK4" s="14" t="inlineStr">
        <is>
          <t>Chain to Score Ag %</t>
        </is>
      </c>
      <c r="AL4" s="14" t="inlineStr">
        <is>
          <t>Rank</t>
        </is>
      </c>
      <c r="AM4" s="14" t="inlineStr">
        <is>
          <t>D50 to F50 Ag %</t>
        </is>
      </c>
      <c r="AN4" s="14" t="inlineStr">
        <is>
          <t>Rank</t>
        </is>
      </c>
      <c r="AO4" s="14" t="inlineStr">
        <is>
          <t>Goals Per I50 Ag %</t>
        </is>
      </c>
      <c r="AP4" s="15" t="inlineStr">
        <is>
          <t>Rank</t>
        </is>
      </c>
      <c r="AQ4" s="33" t="inlineStr">
        <is>
          <t>Defence Ranking</t>
        </is>
      </c>
      <c r="AR4" s="34" t="inlineStr">
        <is>
          <t>Rank</t>
        </is>
      </c>
      <c r="AS4" s="40" t="n"/>
      <c r="AT4" s="183" t="inlineStr">
        <is>
          <t>Tackle Diff</t>
        </is>
      </c>
      <c r="AU4" s="184" t="inlineStr">
        <is>
          <t>Rank</t>
        </is>
      </c>
      <c r="AV4" s="184" t="inlineStr">
        <is>
          <t>F50 Tackles</t>
        </is>
      </c>
      <c r="AW4" s="184" t="inlineStr">
        <is>
          <t>Rank</t>
        </is>
      </c>
      <c r="AX4" s="184" t="inlineStr">
        <is>
          <t>Pressure Acts</t>
        </is>
      </c>
      <c r="AY4" s="184" t="inlineStr">
        <is>
          <t>Rank</t>
        </is>
      </c>
      <c r="AZ4" s="184" t="inlineStr">
        <is>
          <t>1%'ers</t>
        </is>
      </c>
      <c r="BA4" s="185" t="inlineStr">
        <is>
          <t>Rank</t>
        </is>
      </c>
      <c r="BB4" s="186" t="inlineStr">
        <is>
          <t>Pressure Ranking</t>
        </is>
      </c>
      <c r="BC4" s="187" t="inlineStr">
        <is>
          <t>Rank</t>
        </is>
      </c>
      <c r="BD4" s="40" t="n"/>
      <c r="BE4" s="16" t="inlineStr">
        <is>
          <t>Score from Turnover For</t>
        </is>
      </c>
      <c r="BF4" s="17" t="inlineStr">
        <is>
          <t>Rank</t>
        </is>
      </c>
      <c r="BG4" s="17" t="inlineStr">
        <is>
          <t>Scores from Turnover Ag</t>
        </is>
      </c>
      <c r="BH4" s="17" t="inlineStr">
        <is>
          <t>Rank</t>
        </is>
      </c>
      <c r="BI4" s="17" t="inlineStr">
        <is>
          <t>Scores from Stoppages For</t>
        </is>
      </c>
      <c r="BJ4" s="17" t="inlineStr">
        <is>
          <t>Rank</t>
        </is>
      </c>
      <c r="BK4" s="17" t="inlineStr">
        <is>
          <t>Scores from Stoppage Ag</t>
        </is>
      </c>
      <c r="BL4" s="17" t="inlineStr">
        <is>
          <t>Rank</t>
        </is>
      </c>
      <c r="BM4" s="17" t="inlineStr">
        <is>
          <t>Territory %</t>
        </is>
      </c>
      <c r="BN4" s="17" t="inlineStr">
        <is>
          <t>Rank</t>
        </is>
      </c>
      <c r="BO4" s="17" t="inlineStr">
        <is>
          <t>Post-Clearance CP Diff</t>
        </is>
      </c>
      <c r="BP4" s="35" t="inlineStr">
        <is>
          <t>Rank</t>
        </is>
      </c>
      <c r="BQ4" s="36" t="inlineStr">
        <is>
          <t>Health Check Ranking</t>
        </is>
      </c>
      <c r="BR4" s="37" t="inlineStr">
        <is>
          <t>Rank</t>
        </is>
      </c>
      <c r="BS4" s="40" t="n"/>
      <c r="BT4" s="41" t="inlineStr">
        <is>
          <t>Attack Rating</t>
        </is>
      </c>
      <c r="BU4" s="23" t="inlineStr">
        <is>
          <t>Rank</t>
        </is>
      </c>
      <c r="BV4" s="23" t="inlineStr">
        <is>
          <t>Defence Rating</t>
        </is>
      </c>
      <c r="BW4" s="23" t="inlineStr">
        <is>
          <t>Rank</t>
        </is>
      </c>
      <c r="BX4" s="23" t="inlineStr">
        <is>
          <t>Overall Rating</t>
        </is>
      </c>
      <c r="BY4" s="24" t="inlineStr">
        <is>
          <t>Rank</t>
        </is>
      </c>
      <c r="BZ4" s="71" t="n"/>
    </row>
    <row r="5" ht="25" customFormat="1" customHeight="1" s="3">
      <c r="A5" s="75" t="inlineStr">
        <is>
          <t>Adelaide</t>
        </is>
      </c>
      <c r="B5" s="46">
        <f>VLOOKUP($A5,'2025'!$A:$IZ,222,FALSE)</f>
        <v/>
      </c>
      <c r="C5" s="47">
        <f>RANK(B5,B$5:B$22)</f>
        <v/>
      </c>
      <c r="D5" s="48">
        <f>VLOOKUP($A5,'2025'!$A:$IZ,218,FALSE)</f>
        <v/>
      </c>
      <c r="E5" s="47">
        <f>RANK(D5,D$5:D$22)</f>
        <v/>
      </c>
      <c r="F5" s="48">
        <f>VLOOKUP($A5,'2025'!$A:$IZ,49,FALSE)</f>
        <v/>
      </c>
      <c r="G5" s="47">
        <f>RANK(F5,F$5:F$22)</f>
        <v/>
      </c>
      <c r="H5" s="48">
        <f>VLOOKUP($A5,'2025'!$A:$IZ,229,FALSE)</f>
        <v/>
      </c>
      <c r="I5" s="47">
        <f>RANK(H5,H$5:H$22)</f>
        <v/>
      </c>
      <c r="J5" s="49">
        <f>104-(C5+E5+G5+I5)</f>
        <v/>
      </c>
      <c r="K5" s="47">
        <f>RANK(J5,J$5:J$22)</f>
        <v/>
      </c>
      <c r="L5" s="50" t="n"/>
      <c r="M5" s="46">
        <f>VLOOKUP($A5,'2025'!$A:$IZ,88,FALSE)</f>
        <v/>
      </c>
      <c r="N5" s="47">
        <f>RANK(M5,M$5:M$22)</f>
        <v/>
      </c>
      <c r="O5" s="46">
        <f>VLOOKUP($A5,'2025'!$A:$IZ,84,FALSE)</f>
        <v/>
      </c>
      <c r="P5" s="47">
        <f>RANK(O5,O$5:O$22)</f>
        <v/>
      </c>
      <c r="Q5" s="46">
        <f>VLOOKUP($A5,'2025'!$A:$IZ,85,FALSE)</f>
        <v/>
      </c>
      <c r="R5" s="47">
        <f>RANK(Q5,Q$5:Q$22)</f>
        <v/>
      </c>
      <c r="S5" s="48">
        <f>VLOOKUP($A5,'2025'!$A:$IZ,29,FALSE)</f>
        <v/>
      </c>
      <c r="T5" s="47">
        <f>RANK(S5,S$5:S$22)</f>
        <v/>
      </c>
      <c r="U5" s="49">
        <f>104-(N5+P5+R5+T5)</f>
        <v/>
      </c>
      <c r="V5" s="47">
        <f>RANK(U5,U$5:U$22)</f>
        <v/>
      </c>
      <c r="W5" s="50" t="n"/>
      <c r="X5" s="46">
        <f>VLOOKUP($A5,'2025'!$A:$IZ,65,FALSE)</f>
        <v/>
      </c>
      <c r="Y5" s="47">
        <f>RANK(X5,X$5:X$22)</f>
        <v/>
      </c>
      <c r="Z5" s="46">
        <f>VLOOKUP($A5,'2025'!$A:$IZ,64,FALSE)</f>
        <v/>
      </c>
      <c r="AA5" s="47">
        <f>RANK(Z5,Z$5:Z$22)</f>
        <v/>
      </c>
      <c r="AB5" s="46">
        <f>VLOOKUP($A5,'2025'!$A:$IZ,63,FALSE)</f>
        <v/>
      </c>
      <c r="AC5" s="47">
        <f>RANK(AB5,AB$5:AB$22)</f>
        <v/>
      </c>
      <c r="AD5" s="46">
        <f>VLOOKUP($A5,'2025'!$A:$IZ,71,FALSE)</f>
        <v/>
      </c>
      <c r="AE5" s="47">
        <f>RANK(AD5,AD$5:AD$22)</f>
        <v/>
      </c>
      <c r="AF5" s="49">
        <f>104-(Y5+AA5+AC5+AE5)</f>
        <v/>
      </c>
      <c r="AG5" s="47">
        <f>RANK(AF5,AF$5:AF$22)</f>
        <v/>
      </c>
      <c r="AH5" s="50" t="n"/>
      <c r="AI5" s="46">
        <f>VLOOKUP($A5,'2025'!$A:$IZ,183,FALSE)</f>
        <v/>
      </c>
      <c r="AJ5" s="47">
        <f>RANK(AI5,AI$5:AI$22,1)</f>
        <v/>
      </c>
      <c r="AK5" s="46">
        <f>VLOOKUP($A5,'2025'!$A:$IZ,181,FALSE)</f>
        <v/>
      </c>
      <c r="AL5" s="47">
        <f>RANK(AK5,AK$5:AK$22,1)</f>
        <v/>
      </c>
      <c r="AM5" s="46">
        <f>VLOOKUP($A5,'2025'!$A:$IZ,182,FALSE)</f>
        <v/>
      </c>
      <c r="AN5" s="47">
        <f>RANK(AM5,AM$5:AM$22,1)</f>
        <v/>
      </c>
      <c r="AO5" s="46">
        <f>VLOOKUP($A5,'2025'!$A:$IZ,163,FALSE)</f>
        <v/>
      </c>
      <c r="AP5" s="47">
        <f>RANK(AO5,AO$5:AO$22,1)</f>
        <v/>
      </c>
      <c r="AQ5" s="49">
        <f>104-(AJ5+AL5+AN5+AP5)</f>
        <v/>
      </c>
      <c r="AR5" s="47">
        <f>RANK(AQ5,AQ$5:AQ$22)</f>
        <v/>
      </c>
      <c r="AS5" s="50" t="n"/>
      <c r="AT5" s="46">
        <f>VLOOKUP($A5,'2025'!$A:$IZ,250,FALSE)</f>
        <v/>
      </c>
      <c r="AU5" s="47">
        <f>RANK(AT5,AT$5:AT$22,0)</f>
        <v/>
      </c>
      <c r="AV5" s="46">
        <f>VLOOKUP($A5,'2025'!$A:$IZ,92,FALSE)</f>
        <v/>
      </c>
      <c r="AW5" s="47">
        <f>RANK(AV5,AV$5:AV$22,0)</f>
        <v/>
      </c>
      <c r="AX5" s="46">
        <f>VLOOKUP($A5,'2025'!$A:$IZ,93,FALSE)</f>
        <v/>
      </c>
      <c r="AY5" s="47">
        <f>RANK(AX5,AX$5:AX$22,0)</f>
        <v/>
      </c>
      <c r="AZ5" s="46">
        <f>VLOOKUP($A5,'2025'!$A:$IZ,108,FALSE)</f>
        <v/>
      </c>
      <c r="BA5" s="47">
        <f>RANK(AZ5,AZ$5:AZ$22,0)</f>
        <v/>
      </c>
      <c r="BB5" s="49">
        <f>104-(AU5+AW5+AY5+BA5)</f>
        <v/>
      </c>
      <c r="BC5" s="47">
        <f>RANK(BB5,BB$5:BB$22)</f>
        <v/>
      </c>
      <c r="BD5" s="50" t="n"/>
      <c r="BE5" s="46">
        <f>VLOOKUP($A5,'2025'!$A:$IZ,80,FALSE)</f>
        <v/>
      </c>
      <c r="BF5" s="47">
        <f>RANK(BE5,BE$5:BE$22)</f>
        <v/>
      </c>
      <c r="BG5" s="46">
        <f>VLOOKUP($A5,'2025'!$A:$IZ,177,FALSE)</f>
        <v/>
      </c>
      <c r="BH5" s="47">
        <f>RANK(BG5,BG$5:BG$22,1)</f>
        <v/>
      </c>
      <c r="BI5" s="46">
        <f>VLOOKUP($A5,'2025'!$A:$IZ,79,FALSE)</f>
        <v/>
      </c>
      <c r="BJ5" s="47">
        <f>RANK(BI5,BI$5:BI$22)</f>
        <v/>
      </c>
      <c r="BK5" s="46">
        <f>VLOOKUP($A5,'2025'!$A:$IZ,176,FALSE)</f>
        <v/>
      </c>
      <c r="BL5" s="47">
        <f>RANK(BK5,BK$5:BK$22,1)</f>
        <v/>
      </c>
      <c r="BM5" s="46">
        <f>VLOOKUP($A5,'2025'!$A:$IZ,11,FALSE)</f>
        <v/>
      </c>
      <c r="BN5" s="47">
        <f>RANK(BM5,BM$5:BM$22)</f>
        <v/>
      </c>
      <c r="BO5" s="46">
        <f>VLOOKUP($A5,'2025'!$A:$IZ,222,FALSE)</f>
        <v/>
      </c>
      <c r="BP5" s="47">
        <f>RANK(BO5,BO$5:BO$22)</f>
        <v/>
      </c>
      <c r="BQ5" s="49">
        <f>106-(BF5+BH5+BN5+BP5+BJ5+BL5)</f>
        <v/>
      </c>
      <c r="BR5" s="47">
        <f>RANK(BQ5,BQ$5:BQ$22)</f>
        <v/>
      </c>
      <c r="BS5" s="50" t="n"/>
      <c r="BT5" s="51">
        <f>VLOOKUP($A5,'Ratings Season'!$A:$M,10,FALSE)</f>
        <v/>
      </c>
      <c r="BU5" s="47">
        <f>RANK(BT5,BT$5:BT$22)</f>
        <v/>
      </c>
      <c r="BV5" s="51">
        <f>VLOOKUP($A5,'Ratings Season'!$A:$M,12,FALSE)</f>
        <v/>
      </c>
      <c r="BW5" s="47">
        <f>RANK(BV5,BV$5:BV$22)</f>
        <v/>
      </c>
      <c r="BX5" s="51">
        <f>VLOOKUP($A5,'Ratings Season'!$A:$M,8,FALSE)</f>
        <v/>
      </c>
      <c r="BY5" s="52">
        <f>RANK(BX5,BX$5:BX$22)</f>
        <v/>
      </c>
      <c r="BZ5" s="72" t="n"/>
    </row>
    <row r="6" ht="25" customFormat="1" customHeight="1" s="3">
      <c r="A6" s="76" t="inlineStr">
        <is>
          <t>Brisbane</t>
        </is>
      </c>
      <c r="B6" s="53">
        <f>VLOOKUP($A6,'2025'!$A:$IZ,222,FALSE)</f>
        <v/>
      </c>
      <c r="C6" s="54">
        <f>RANK(B6,B$5:B$22)</f>
        <v/>
      </c>
      <c r="D6" s="55">
        <f>VLOOKUP($A6,'2025'!$A:$IZ,218,FALSE)</f>
        <v/>
      </c>
      <c r="E6" s="54">
        <f>RANK(D6,D$5:D$22)</f>
        <v/>
      </c>
      <c r="F6" s="55">
        <f>VLOOKUP($A6,'2025'!$A:$IZ,49,FALSE)</f>
        <v/>
      </c>
      <c r="G6" s="54">
        <f>RANK(F6,F$5:F$22)</f>
        <v/>
      </c>
      <c r="H6" s="55">
        <f>VLOOKUP($A6,'2025'!$A:$IZ,229,FALSE)</f>
        <v/>
      </c>
      <c r="I6" s="54">
        <f>RANK(H6,H$5:H$22)</f>
        <v/>
      </c>
      <c r="J6" s="49">
        <f>104-(C6+E6+G6+I6)</f>
        <v/>
      </c>
      <c r="K6" s="47">
        <f>RANK(J6,J$5:J$22)</f>
        <v/>
      </c>
      <c r="L6" s="56" t="n"/>
      <c r="M6" s="53">
        <f>VLOOKUP($A6,'2025'!$A:$IZ,88,FALSE)</f>
        <v/>
      </c>
      <c r="N6" s="54">
        <f>RANK(M6,M$5:M$22)</f>
        <v/>
      </c>
      <c r="O6" s="53">
        <f>VLOOKUP($A6,'2025'!$A:$IZ,84,FALSE)</f>
        <v/>
      </c>
      <c r="P6" s="54">
        <f>RANK(O6,O$5:O$22)</f>
        <v/>
      </c>
      <c r="Q6" s="53">
        <f>VLOOKUP($A6,'2025'!$A:$IZ,85,FALSE)</f>
        <v/>
      </c>
      <c r="R6" s="54">
        <f>RANK(Q6,Q$5:Q$22)</f>
        <v/>
      </c>
      <c r="S6" s="55">
        <f>VLOOKUP($A6,'2025'!$A:$IZ,29,FALSE)</f>
        <v/>
      </c>
      <c r="T6" s="54">
        <f>RANK(S6,S$5:S$22)</f>
        <v/>
      </c>
      <c r="U6" s="49">
        <f>104-(N6+P6+R6+T6)</f>
        <v/>
      </c>
      <c r="V6" s="47">
        <f>RANK(U6,U$5:U$22)</f>
        <v/>
      </c>
      <c r="W6" s="56" t="n"/>
      <c r="X6" s="53">
        <f>VLOOKUP($A6,'2025'!$A:$IZ,65,FALSE)</f>
        <v/>
      </c>
      <c r="Y6" s="54">
        <f>RANK(X6,X$5:X$22)</f>
        <v/>
      </c>
      <c r="Z6" s="53">
        <f>VLOOKUP($A6,'2025'!$A:$IZ,64,FALSE)</f>
        <v/>
      </c>
      <c r="AA6" s="54">
        <f>RANK(Z6,Z$5:Z$22)</f>
        <v/>
      </c>
      <c r="AB6" s="53">
        <f>VLOOKUP($A6,'2025'!$A:$IZ,63,FALSE)</f>
        <v/>
      </c>
      <c r="AC6" s="54">
        <f>RANK(AB6,AB$5:AB$22)</f>
        <v/>
      </c>
      <c r="AD6" s="53">
        <f>VLOOKUP($A6,'2025'!$A:$IZ,71,FALSE)</f>
        <v/>
      </c>
      <c r="AE6" s="54">
        <f>RANK(AD6,AD$5:AD$22)</f>
        <v/>
      </c>
      <c r="AF6" s="65">
        <f>104-(Y6+AA6+AC6+AE6)</f>
        <v/>
      </c>
      <c r="AG6" s="47">
        <f>RANK(AF6,AF$5:AF$22)</f>
        <v/>
      </c>
      <c r="AH6" s="56" t="n"/>
      <c r="AI6" s="53">
        <f>VLOOKUP($A6,'2025'!$A:$IZ,183,FALSE)</f>
        <v/>
      </c>
      <c r="AJ6" s="54">
        <f>RANK(AI6,AI$5:AI$22,1)</f>
        <v/>
      </c>
      <c r="AK6" s="53">
        <f>VLOOKUP($A6,'2025'!$A:$IZ,181,FALSE)</f>
        <v/>
      </c>
      <c r="AL6" s="54">
        <f>RANK(AK6,AK$5:AK$22,1)</f>
        <v/>
      </c>
      <c r="AM6" s="53">
        <f>VLOOKUP($A6,'2025'!$A:$IZ,182,FALSE)</f>
        <v/>
      </c>
      <c r="AN6" s="54">
        <f>RANK(AM6,AM$5:AM$22,1)</f>
        <v/>
      </c>
      <c r="AO6" s="53">
        <f>VLOOKUP($A6,'2025'!$A:$IZ,163,FALSE)</f>
        <v/>
      </c>
      <c r="AP6" s="54">
        <f>RANK(AO6,AO$5:AO$22,1)</f>
        <v/>
      </c>
      <c r="AQ6" s="65">
        <f>104-(AJ6+AL6+AN6+AP6)</f>
        <v/>
      </c>
      <c r="AR6" s="47">
        <f>RANK(AQ6,AQ$5:AQ$22)</f>
        <v/>
      </c>
      <c r="AS6" s="56" t="n"/>
      <c r="AT6" s="46">
        <f>VLOOKUP($A6,'2025'!$A:$IZ,250,FALSE)</f>
        <v/>
      </c>
      <c r="AU6" s="47">
        <f>RANK(AT6,AT$5:AT$22,0)</f>
        <v/>
      </c>
      <c r="AV6" s="46">
        <f>VLOOKUP($A6,'2025'!$A:$IZ,92,FALSE)</f>
        <v/>
      </c>
      <c r="AW6" s="47">
        <f>RANK(AV6,AV$5:AV$22,0)</f>
        <v/>
      </c>
      <c r="AX6" s="46">
        <f>VLOOKUP($A6,'2025'!$A:$IZ,93,FALSE)</f>
        <v/>
      </c>
      <c r="AY6" s="47">
        <f>RANK(AX6,AX$5:AX$22,0)</f>
        <v/>
      </c>
      <c r="AZ6" s="46">
        <f>VLOOKUP($A6,'2025'!$A:$IZ,108,FALSE)</f>
        <v/>
      </c>
      <c r="BA6" s="47">
        <f>RANK(AZ6,AZ$5:AZ$22,0)</f>
        <v/>
      </c>
      <c r="BB6" s="49">
        <f>104-(AU6+AW6+AY6+BA6)</f>
        <v/>
      </c>
      <c r="BC6" s="47">
        <f>RANK(BB6,BB$5:BB$22)</f>
        <v/>
      </c>
      <c r="BD6" s="56" t="n"/>
      <c r="BE6" s="53">
        <f>VLOOKUP($A6,'2025'!$A:$IZ,80,FALSE)</f>
        <v/>
      </c>
      <c r="BF6" s="54">
        <f>RANK(BE6,BE$5:BE$22)</f>
        <v/>
      </c>
      <c r="BG6" s="53">
        <f>VLOOKUP($A6,'2025'!$A:$IZ,177,FALSE)</f>
        <v/>
      </c>
      <c r="BH6" s="54">
        <f>RANK(BG6,BG$5:BG$22,1)</f>
        <v/>
      </c>
      <c r="BI6" s="53">
        <f>VLOOKUP($A6,'2025'!$A:$IZ,79,FALSE)</f>
        <v/>
      </c>
      <c r="BJ6" s="54">
        <f>RANK(BI6,BI$5:BI$22)</f>
        <v/>
      </c>
      <c r="BK6" s="53">
        <f>VLOOKUP($A6,'2025'!$A:$IZ,176,FALSE)</f>
        <v/>
      </c>
      <c r="BL6" s="54">
        <f>RANK(BK6,BK$5:BK$22,1)</f>
        <v/>
      </c>
      <c r="BM6" s="53">
        <f>VLOOKUP($A6,'2025'!$A:$IZ,11,FALSE)</f>
        <v/>
      </c>
      <c r="BN6" s="54">
        <f>RANK(BM6,BM$5:BM$22)</f>
        <v/>
      </c>
      <c r="BO6" s="53">
        <f>VLOOKUP($A6,'2025'!$A:$IZ,222,FALSE)</f>
        <v/>
      </c>
      <c r="BP6" s="54">
        <f>RANK(BO6,BO$5:BO$22)</f>
        <v/>
      </c>
      <c r="BQ6" s="65">
        <f>106-(BF6+BH6+BN6+BP6+BJ6+BL6)</f>
        <v/>
      </c>
      <c r="BR6" s="47">
        <f>RANK(BQ6,BQ$5:BQ$22)</f>
        <v/>
      </c>
      <c r="BS6" s="56" t="n"/>
      <c r="BT6" s="57">
        <f>VLOOKUP($A6,'Ratings Season'!$A:$M,10,FALSE)</f>
        <v/>
      </c>
      <c r="BU6" s="54">
        <f>RANK(BT6,BT$5:BT$22)</f>
        <v/>
      </c>
      <c r="BV6" s="57">
        <f>VLOOKUP($A6,'Ratings Season'!$A:$M,12,FALSE)</f>
        <v/>
      </c>
      <c r="BW6" s="54">
        <f>RANK(BV6,BV$5:BV$22)</f>
        <v/>
      </c>
      <c r="BX6" s="57">
        <f>VLOOKUP($A6,'Ratings Season'!$A:$M,8,FALSE)</f>
        <v/>
      </c>
      <c r="BY6" s="58">
        <f>RANK(BX6,BX$5:BX$22)</f>
        <v/>
      </c>
      <c r="BZ6" s="72" t="n"/>
    </row>
    <row r="7" ht="25" customFormat="1" customHeight="1" s="3">
      <c r="A7" s="77" t="inlineStr">
        <is>
          <t>Carlton</t>
        </is>
      </c>
      <c r="B7" s="53">
        <f>VLOOKUP($A7,'2025'!$A:$IZ,222,FALSE)</f>
        <v/>
      </c>
      <c r="C7" s="54">
        <f>RANK(B7,B$5:B$22)</f>
        <v/>
      </c>
      <c r="D7" s="55">
        <f>VLOOKUP($A7,'2025'!$A:$IZ,218,FALSE)</f>
        <v/>
      </c>
      <c r="E7" s="54">
        <f>RANK(D7,D$5:D$22)</f>
        <v/>
      </c>
      <c r="F7" s="55">
        <f>VLOOKUP($A7,'2025'!$A:$IZ,49,FALSE)</f>
        <v/>
      </c>
      <c r="G7" s="54">
        <f>RANK(F7,F$5:F$22)</f>
        <v/>
      </c>
      <c r="H7" s="55">
        <f>VLOOKUP($A7,'2025'!$A:$IZ,229,FALSE)</f>
        <v/>
      </c>
      <c r="I7" s="54">
        <f>RANK(H7,H$5:H$22)</f>
        <v/>
      </c>
      <c r="J7" s="49">
        <f>104-(C7+E7+G7+I7)</f>
        <v/>
      </c>
      <c r="K7" s="47">
        <f>RANK(J7,J$5:J$22)</f>
        <v/>
      </c>
      <c r="L7" s="56" t="n"/>
      <c r="M7" s="53">
        <f>VLOOKUP($A7,'2025'!$A:$IZ,88,FALSE)</f>
        <v/>
      </c>
      <c r="N7" s="54">
        <f>RANK(M7,M$5:M$22)</f>
        <v/>
      </c>
      <c r="O7" s="53">
        <f>VLOOKUP($A7,'2025'!$A:$IZ,84,FALSE)</f>
        <v/>
      </c>
      <c r="P7" s="54">
        <f>RANK(O7,O$5:O$22)</f>
        <v/>
      </c>
      <c r="Q7" s="53">
        <f>VLOOKUP($A7,'2025'!$A:$IZ,85,FALSE)</f>
        <v/>
      </c>
      <c r="R7" s="54">
        <f>RANK(Q7,Q$5:Q$22)</f>
        <v/>
      </c>
      <c r="S7" s="55">
        <f>VLOOKUP($A7,'2025'!$A:$IZ,29,FALSE)</f>
        <v/>
      </c>
      <c r="T7" s="54">
        <f>RANK(S7,S$5:S$22)</f>
        <v/>
      </c>
      <c r="U7" s="49">
        <f>104-(N7+P7+R7+T7)</f>
        <v/>
      </c>
      <c r="V7" s="47">
        <f>RANK(U7,U$5:U$22)</f>
        <v/>
      </c>
      <c r="W7" s="56" t="n"/>
      <c r="X7" s="53">
        <f>VLOOKUP($A7,'2025'!$A:$IZ,65,FALSE)</f>
        <v/>
      </c>
      <c r="Y7" s="54">
        <f>RANK(X7,X$5:X$22)</f>
        <v/>
      </c>
      <c r="Z7" s="53">
        <f>VLOOKUP($A7,'2025'!$A:$IZ,64,FALSE)</f>
        <v/>
      </c>
      <c r="AA7" s="54">
        <f>RANK(Z7,Z$5:Z$22)</f>
        <v/>
      </c>
      <c r="AB7" s="53">
        <f>VLOOKUP($A7,'2025'!$A:$IZ,63,FALSE)</f>
        <v/>
      </c>
      <c r="AC7" s="54">
        <f>RANK(AB7,AB$5:AB$22)</f>
        <v/>
      </c>
      <c r="AD7" s="53">
        <f>VLOOKUP($A7,'2025'!$A:$IZ,71,FALSE)</f>
        <v/>
      </c>
      <c r="AE7" s="54">
        <f>RANK(AD7,AD$5:AD$22)</f>
        <v/>
      </c>
      <c r="AF7" s="65">
        <f>104-(Y7+AA7+AC7+AE7)</f>
        <v/>
      </c>
      <c r="AG7" s="47">
        <f>RANK(AF7,AF$5:AF$22)</f>
        <v/>
      </c>
      <c r="AH7" s="56" t="n"/>
      <c r="AI7" s="53">
        <f>VLOOKUP($A7,'2025'!$A:$IZ,183,FALSE)</f>
        <v/>
      </c>
      <c r="AJ7" s="54">
        <f>RANK(AI7,AI$5:AI$22,1)</f>
        <v/>
      </c>
      <c r="AK7" s="53">
        <f>VLOOKUP($A7,'2025'!$A:$IZ,181,FALSE)</f>
        <v/>
      </c>
      <c r="AL7" s="54">
        <f>RANK(AK7,AK$5:AK$22,1)</f>
        <v/>
      </c>
      <c r="AM7" s="53">
        <f>VLOOKUP($A7,'2025'!$A:$IZ,182,FALSE)</f>
        <v/>
      </c>
      <c r="AN7" s="54">
        <f>RANK(AM7,AM$5:AM$22,1)</f>
        <v/>
      </c>
      <c r="AO7" s="53">
        <f>VLOOKUP($A7,'2025'!$A:$IZ,163,FALSE)</f>
        <v/>
      </c>
      <c r="AP7" s="54">
        <f>RANK(AO7,AO$5:AO$22,1)</f>
        <v/>
      </c>
      <c r="AQ7" s="65">
        <f>104-(AJ7+AL7+AN7+AP7)</f>
        <v/>
      </c>
      <c r="AR7" s="47">
        <f>RANK(AQ7,AQ$5:AQ$22)</f>
        <v/>
      </c>
      <c r="AS7" s="56" t="n"/>
      <c r="AT7" s="46">
        <f>VLOOKUP($A7,'2025'!$A:$IZ,250,FALSE)</f>
        <v/>
      </c>
      <c r="AU7" s="47">
        <f>RANK(AT7,AT$5:AT$22,0)</f>
        <v/>
      </c>
      <c r="AV7" s="46">
        <f>VLOOKUP($A7,'2025'!$A:$IZ,92,FALSE)</f>
        <v/>
      </c>
      <c r="AW7" s="47">
        <f>RANK(AV7,AV$5:AV$22,0)</f>
        <v/>
      </c>
      <c r="AX7" s="46">
        <f>VLOOKUP($A7,'2025'!$A:$IZ,93,FALSE)</f>
        <v/>
      </c>
      <c r="AY7" s="47">
        <f>RANK(AX7,AX$5:AX$22,0)</f>
        <v/>
      </c>
      <c r="AZ7" s="46">
        <f>VLOOKUP($A7,'2025'!$A:$IZ,108,FALSE)</f>
        <v/>
      </c>
      <c r="BA7" s="47">
        <f>RANK(AZ7,AZ$5:AZ$22,0)</f>
        <v/>
      </c>
      <c r="BB7" s="49">
        <f>104-(AU7+AW7+AY7+BA7)</f>
        <v/>
      </c>
      <c r="BC7" s="47">
        <f>RANK(BB7,BB$5:BB$22)</f>
        <v/>
      </c>
      <c r="BD7" s="56" t="n"/>
      <c r="BE7" s="53">
        <f>VLOOKUP($A7,'2025'!$A:$IZ,80,FALSE)</f>
        <v/>
      </c>
      <c r="BF7" s="54">
        <f>RANK(BE7,BE$5:BE$22)</f>
        <v/>
      </c>
      <c r="BG7" s="53">
        <f>VLOOKUP($A7,'2025'!$A:$IZ,177,FALSE)</f>
        <v/>
      </c>
      <c r="BH7" s="54">
        <f>RANK(BG7,BG$5:BG$22,1)</f>
        <v/>
      </c>
      <c r="BI7" s="53">
        <f>VLOOKUP($A7,'2025'!$A:$IZ,79,FALSE)</f>
        <v/>
      </c>
      <c r="BJ7" s="54">
        <f>RANK(BI7,BI$5:BI$22)</f>
        <v/>
      </c>
      <c r="BK7" s="53">
        <f>VLOOKUP($A7,'2025'!$A:$IZ,176,FALSE)</f>
        <v/>
      </c>
      <c r="BL7" s="54">
        <f>RANK(BK7,BK$5:BK$22,1)</f>
        <v/>
      </c>
      <c r="BM7" s="53">
        <f>VLOOKUP($A7,'2025'!$A:$IZ,11,FALSE)</f>
        <v/>
      </c>
      <c r="BN7" s="54">
        <f>RANK(BM7,BM$5:BM$22)</f>
        <v/>
      </c>
      <c r="BO7" s="53">
        <f>VLOOKUP($A7,'2025'!$A:$IZ,222,FALSE)</f>
        <v/>
      </c>
      <c r="BP7" s="54">
        <f>RANK(BO7,BO$5:BO$22)</f>
        <v/>
      </c>
      <c r="BQ7" s="65">
        <f>106-(BF7+BH7+BN7+BP7+BJ7+BL7)</f>
        <v/>
      </c>
      <c r="BR7" s="47">
        <f>RANK(BQ7,BQ$5:BQ$22)</f>
        <v/>
      </c>
      <c r="BS7" s="56" t="n"/>
      <c r="BT7" s="57">
        <f>VLOOKUP($A7,'Ratings Season'!$A:$M,10,FALSE)</f>
        <v/>
      </c>
      <c r="BU7" s="54">
        <f>RANK(BT7,BT$5:BT$22)</f>
        <v/>
      </c>
      <c r="BV7" s="57">
        <f>VLOOKUP($A7,'Ratings Season'!$A:$M,12,FALSE)</f>
        <v/>
      </c>
      <c r="BW7" s="54">
        <f>RANK(BV7,BV$5:BV$22)</f>
        <v/>
      </c>
      <c r="BX7" s="57">
        <f>VLOOKUP($A7,'Ratings Season'!$A:$M,8,FALSE)</f>
        <v/>
      </c>
      <c r="BY7" s="58">
        <f>RANK(BX7,BX$5:BX$22)</f>
        <v/>
      </c>
      <c r="BZ7" s="72" t="n"/>
    </row>
    <row r="8" ht="25" customFormat="1" customHeight="1" s="3">
      <c r="A8" s="78" t="inlineStr">
        <is>
          <t>Collingwood</t>
        </is>
      </c>
      <c r="B8" s="53">
        <f>VLOOKUP($A8,'2025'!$A:$IZ,222,FALSE)</f>
        <v/>
      </c>
      <c r="C8" s="54">
        <f>RANK(B8,B$5:B$22)</f>
        <v/>
      </c>
      <c r="D8" s="55">
        <f>VLOOKUP($A8,'2025'!$A:$IZ,218,FALSE)</f>
        <v/>
      </c>
      <c r="E8" s="54">
        <f>RANK(D8,D$5:D$22)</f>
        <v/>
      </c>
      <c r="F8" s="55">
        <f>VLOOKUP($A8,'2025'!$A:$IZ,49,FALSE)</f>
        <v/>
      </c>
      <c r="G8" s="54">
        <f>RANK(F8,F$5:F$22)</f>
        <v/>
      </c>
      <c r="H8" s="55">
        <f>VLOOKUP($A8,'2025'!$A:$IZ,229,FALSE)</f>
        <v/>
      </c>
      <c r="I8" s="54">
        <f>RANK(H8,H$5:H$22)</f>
        <v/>
      </c>
      <c r="J8" s="49">
        <f>104-(C8+E8+G8+I8)</f>
        <v/>
      </c>
      <c r="K8" s="47">
        <f>RANK(J8,J$5:J$22)</f>
        <v/>
      </c>
      <c r="L8" s="56" t="n"/>
      <c r="M8" s="53">
        <f>VLOOKUP($A8,'2025'!$A:$IZ,88,FALSE)</f>
        <v/>
      </c>
      <c r="N8" s="54">
        <f>RANK(M8,M$5:M$22)</f>
        <v/>
      </c>
      <c r="O8" s="53">
        <f>VLOOKUP($A8,'2025'!$A:$IZ,84,FALSE)</f>
        <v/>
      </c>
      <c r="P8" s="54">
        <f>RANK(O8,O$5:O$22)</f>
        <v/>
      </c>
      <c r="Q8" s="53">
        <f>VLOOKUP($A8,'2025'!$A:$IZ,85,FALSE)</f>
        <v/>
      </c>
      <c r="R8" s="54">
        <f>RANK(Q8,Q$5:Q$22)</f>
        <v/>
      </c>
      <c r="S8" s="55">
        <f>VLOOKUP($A8,'2025'!$A:$IZ,29,FALSE)</f>
        <v/>
      </c>
      <c r="T8" s="54">
        <f>RANK(S8,S$5:S$22)</f>
        <v/>
      </c>
      <c r="U8" s="49">
        <f>104-(N8+P8+R8+T8)</f>
        <v/>
      </c>
      <c r="V8" s="47">
        <f>RANK(U8,U$5:U$22)</f>
        <v/>
      </c>
      <c r="W8" s="56" t="n"/>
      <c r="X8" s="53">
        <f>VLOOKUP($A8,'2025'!$A:$IZ,65,FALSE)</f>
        <v/>
      </c>
      <c r="Y8" s="54">
        <f>RANK(X8,X$5:X$22)</f>
        <v/>
      </c>
      <c r="Z8" s="53">
        <f>VLOOKUP($A8,'2025'!$A:$IZ,64,FALSE)</f>
        <v/>
      </c>
      <c r="AA8" s="54">
        <f>RANK(Z8,Z$5:Z$22)</f>
        <v/>
      </c>
      <c r="AB8" s="53">
        <f>VLOOKUP($A8,'2025'!$A:$IZ,63,FALSE)</f>
        <v/>
      </c>
      <c r="AC8" s="54">
        <f>RANK(AB8,AB$5:AB$22)</f>
        <v/>
      </c>
      <c r="AD8" s="53">
        <f>VLOOKUP($A8,'2025'!$A:$IZ,71,FALSE)</f>
        <v/>
      </c>
      <c r="AE8" s="54">
        <f>RANK(AD8,AD$5:AD$22)</f>
        <v/>
      </c>
      <c r="AF8" s="65">
        <f>104-(Y8+AA8+AC8+AE8)</f>
        <v/>
      </c>
      <c r="AG8" s="47">
        <f>RANK(AF8,AF$5:AF$22)</f>
        <v/>
      </c>
      <c r="AH8" s="56" t="n"/>
      <c r="AI8" s="53">
        <f>VLOOKUP($A8,'2025'!$A:$IZ,183,FALSE)</f>
        <v/>
      </c>
      <c r="AJ8" s="54">
        <f>RANK(AI8,AI$5:AI$22,1)</f>
        <v/>
      </c>
      <c r="AK8" s="53">
        <f>VLOOKUP($A8,'2025'!$A:$IZ,181,FALSE)</f>
        <v/>
      </c>
      <c r="AL8" s="54">
        <f>RANK(AK8,AK$5:AK$22,1)</f>
        <v/>
      </c>
      <c r="AM8" s="53">
        <f>VLOOKUP($A8,'2025'!$A:$IZ,182,FALSE)</f>
        <v/>
      </c>
      <c r="AN8" s="54">
        <f>RANK(AM8,AM$5:AM$22,1)</f>
        <v/>
      </c>
      <c r="AO8" s="53">
        <f>VLOOKUP($A8,'2025'!$A:$IZ,163,FALSE)</f>
        <v/>
      </c>
      <c r="AP8" s="54">
        <f>RANK(AO8,AO$5:AO$22,1)</f>
        <v/>
      </c>
      <c r="AQ8" s="65">
        <f>104-(AJ8+AL8+AN8+AP8)</f>
        <v/>
      </c>
      <c r="AR8" s="47">
        <f>RANK(AQ8,AQ$5:AQ$22)</f>
        <v/>
      </c>
      <c r="AS8" s="56" t="n"/>
      <c r="AT8" s="46">
        <f>VLOOKUP($A8,'2025'!$A:$IZ,250,FALSE)</f>
        <v/>
      </c>
      <c r="AU8" s="47">
        <f>RANK(AT8,AT$5:AT$22,0)</f>
        <v/>
      </c>
      <c r="AV8" s="46">
        <f>VLOOKUP($A8,'2025'!$A:$IZ,92,FALSE)</f>
        <v/>
      </c>
      <c r="AW8" s="47">
        <f>RANK(AV8,AV$5:AV$22,0)</f>
        <v/>
      </c>
      <c r="AX8" s="46">
        <f>VLOOKUP($A8,'2025'!$A:$IZ,93,FALSE)</f>
        <v/>
      </c>
      <c r="AY8" s="47">
        <f>RANK(AX8,AX$5:AX$22,0)</f>
        <v/>
      </c>
      <c r="AZ8" s="46">
        <f>VLOOKUP($A8,'2025'!$A:$IZ,108,FALSE)</f>
        <v/>
      </c>
      <c r="BA8" s="47">
        <f>RANK(AZ8,AZ$5:AZ$22,0)</f>
        <v/>
      </c>
      <c r="BB8" s="49">
        <f>104-(AU8+AW8+AY8+BA8)</f>
        <v/>
      </c>
      <c r="BC8" s="47">
        <f>RANK(BB8,BB$5:BB$22)</f>
        <v/>
      </c>
      <c r="BD8" s="56" t="n"/>
      <c r="BE8" s="53">
        <f>VLOOKUP($A8,'2025'!$A:$IZ,80,FALSE)</f>
        <v/>
      </c>
      <c r="BF8" s="54">
        <f>RANK(BE8,BE$5:BE$22)</f>
        <v/>
      </c>
      <c r="BG8" s="53">
        <f>VLOOKUP($A8,'2025'!$A:$IZ,177,FALSE)</f>
        <v/>
      </c>
      <c r="BH8" s="54">
        <f>RANK(BG8,BG$5:BG$22,1)</f>
        <v/>
      </c>
      <c r="BI8" s="53">
        <f>VLOOKUP($A8,'2025'!$A:$IZ,79,FALSE)</f>
        <v/>
      </c>
      <c r="BJ8" s="54">
        <f>RANK(BI8,BI$5:BI$22)</f>
        <v/>
      </c>
      <c r="BK8" s="53">
        <f>VLOOKUP($A8,'2025'!$A:$IZ,176,FALSE)</f>
        <v/>
      </c>
      <c r="BL8" s="54">
        <f>RANK(BK8,BK$5:BK$22,1)</f>
        <v/>
      </c>
      <c r="BM8" s="53">
        <f>VLOOKUP($A8,'2025'!$A:$IZ,11,FALSE)</f>
        <v/>
      </c>
      <c r="BN8" s="54">
        <f>RANK(BM8,BM$5:BM$22)</f>
        <v/>
      </c>
      <c r="BO8" s="53">
        <f>VLOOKUP($A8,'2025'!$A:$IZ,222,FALSE)</f>
        <v/>
      </c>
      <c r="BP8" s="54">
        <f>RANK(BO8,BO$5:BO$22)</f>
        <v/>
      </c>
      <c r="BQ8" s="65">
        <f>106-(BF8+BH8+BN8+BP8+BJ8+BL8)</f>
        <v/>
      </c>
      <c r="BR8" s="47">
        <f>RANK(BQ8,BQ$5:BQ$22)</f>
        <v/>
      </c>
      <c r="BS8" s="56" t="n"/>
      <c r="BT8" s="57">
        <f>VLOOKUP($A8,'Ratings Season'!$A:$M,10,FALSE)</f>
        <v/>
      </c>
      <c r="BU8" s="54">
        <f>RANK(BT8,BT$5:BT$22)</f>
        <v/>
      </c>
      <c r="BV8" s="57">
        <f>VLOOKUP($A8,'Ratings Season'!$A:$M,12,FALSE)</f>
        <v/>
      </c>
      <c r="BW8" s="54">
        <f>RANK(BV8,BV$5:BV$22)</f>
        <v/>
      </c>
      <c r="BX8" s="57">
        <f>VLOOKUP($A8,'Ratings Season'!$A:$M,8,FALSE)</f>
        <v/>
      </c>
      <c r="BY8" s="58">
        <f>RANK(BX8,BX$5:BX$22)</f>
        <v/>
      </c>
      <c r="BZ8" s="72" t="n"/>
    </row>
    <row r="9" ht="25" customFormat="1" customHeight="1" s="3">
      <c r="A9" s="79" t="inlineStr">
        <is>
          <t>Essendon</t>
        </is>
      </c>
      <c r="B9" s="53">
        <f>VLOOKUP($A9,'2025'!$A:$IZ,222,FALSE)</f>
        <v/>
      </c>
      <c r="C9" s="54">
        <f>RANK(B9,B$5:B$22)</f>
        <v/>
      </c>
      <c r="D9" s="55">
        <f>VLOOKUP($A9,'2025'!$A:$IZ,218,FALSE)</f>
        <v/>
      </c>
      <c r="E9" s="54">
        <f>RANK(D9,D$5:D$22)</f>
        <v/>
      </c>
      <c r="F9" s="55">
        <f>VLOOKUP($A9,'2025'!$A:$IZ,49,FALSE)</f>
        <v/>
      </c>
      <c r="G9" s="54">
        <f>RANK(F9,F$5:F$22)</f>
        <v/>
      </c>
      <c r="H9" s="55">
        <f>VLOOKUP($A9,'2025'!$A:$IZ,229,FALSE)</f>
        <v/>
      </c>
      <c r="I9" s="54">
        <f>RANK(H9,H$5:H$22)</f>
        <v/>
      </c>
      <c r="J9" s="49">
        <f>104-(C9+E9+G9+I9)</f>
        <v/>
      </c>
      <c r="K9" s="47">
        <f>RANK(J9,J$5:J$22)</f>
        <v/>
      </c>
      <c r="L9" s="56" t="n"/>
      <c r="M9" s="53">
        <f>VLOOKUP($A9,'2025'!$A:$IZ,88,FALSE)</f>
        <v/>
      </c>
      <c r="N9" s="54">
        <f>RANK(M9,M$5:M$22)</f>
        <v/>
      </c>
      <c r="O9" s="53">
        <f>VLOOKUP($A9,'2025'!$A:$IZ,84,FALSE)</f>
        <v/>
      </c>
      <c r="P9" s="54">
        <f>RANK(O9,O$5:O$22)</f>
        <v/>
      </c>
      <c r="Q9" s="53">
        <f>VLOOKUP($A9,'2025'!$A:$IZ,85,FALSE)</f>
        <v/>
      </c>
      <c r="R9" s="54">
        <f>RANK(Q9,Q$5:Q$22)</f>
        <v/>
      </c>
      <c r="S9" s="55">
        <f>VLOOKUP($A9,'2025'!$A:$IZ,29,FALSE)</f>
        <v/>
      </c>
      <c r="T9" s="54">
        <f>RANK(S9,S$5:S$22)</f>
        <v/>
      </c>
      <c r="U9" s="49">
        <f>104-(N9+P9+R9+T9)</f>
        <v/>
      </c>
      <c r="V9" s="47">
        <f>RANK(U9,U$5:U$22)</f>
        <v/>
      </c>
      <c r="W9" s="56" t="n"/>
      <c r="X9" s="53">
        <f>VLOOKUP($A9,'2025'!$A:$IZ,65,FALSE)</f>
        <v/>
      </c>
      <c r="Y9" s="54">
        <f>RANK(X9,X$5:X$22)</f>
        <v/>
      </c>
      <c r="Z9" s="53">
        <f>VLOOKUP($A9,'2025'!$A:$IZ,64,FALSE)</f>
        <v/>
      </c>
      <c r="AA9" s="54">
        <f>RANK(Z9,Z$5:Z$22)</f>
        <v/>
      </c>
      <c r="AB9" s="53">
        <f>VLOOKUP($A9,'2025'!$A:$IZ,63,FALSE)</f>
        <v/>
      </c>
      <c r="AC9" s="54">
        <f>RANK(AB9,AB$5:AB$22)</f>
        <v/>
      </c>
      <c r="AD9" s="53">
        <f>VLOOKUP($A9,'2025'!$A:$IZ,71,FALSE)</f>
        <v/>
      </c>
      <c r="AE9" s="54">
        <f>RANK(AD9,AD$5:AD$22)</f>
        <v/>
      </c>
      <c r="AF9" s="65">
        <f>104-(Y9+AA9+AC9+AE9)</f>
        <v/>
      </c>
      <c r="AG9" s="47">
        <f>RANK(AF9,AF$5:AF$22)</f>
        <v/>
      </c>
      <c r="AH9" s="56" t="n"/>
      <c r="AI9" s="53">
        <f>VLOOKUP($A9,'2025'!$A:$IZ,183,FALSE)</f>
        <v/>
      </c>
      <c r="AJ9" s="54">
        <f>RANK(AI9,AI$5:AI$22,1)</f>
        <v/>
      </c>
      <c r="AK9" s="53">
        <f>VLOOKUP($A9,'2025'!$A:$IZ,181,FALSE)</f>
        <v/>
      </c>
      <c r="AL9" s="54">
        <f>RANK(AK9,AK$5:AK$22,1)</f>
        <v/>
      </c>
      <c r="AM9" s="53">
        <f>VLOOKUP($A9,'2025'!$A:$IZ,182,FALSE)</f>
        <v/>
      </c>
      <c r="AN9" s="54">
        <f>RANK(AM9,AM$5:AM$22,1)</f>
        <v/>
      </c>
      <c r="AO9" s="53">
        <f>VLOOKUP($A9,'2025'!$A:$IZ,163,FALSE)</f>
        <v/>
      </c>
      <c r="AP9" s="54">
        <f>RANK(AO9,AO$5:AO$22,1)</f>
        <v/>
      </c>
      <c r="AQ9" s="65">
        <f>104-(AJ9+AL9+AN9+AP9)</f>
        <v/>
      </c>
      <c r="AR9" s="47">
        <f>RANK(AQ9,AQ$5:AQ$22)</f>
        <v/>
      </c>
      <c r="AS9" s="56" t="n"/>
      <c r="AT9" s="46">
        <f>VLOOKUP($A9,'2025'!$A:$IZ,250,FALSE)</f>
        <v/>
      </c>
      <c r="AU9" s="47">
        <f>RANK(AT9,AT$5:AT$22,0)</f>
        <v/>
      </c>
      <c r="AV9" s="46">
        <f>VLOOKUP($A9,'2025'!$A:$IZ,92,FALSE)</f>
        <v/>
      </c>
      <c r="AW9" s="47">
        <f>RANK(AV9,AV$5:AV$22,0)</f>
        <v/>
      </c>
      <c r="AX9" s="46">
        <f>VLOOKUP($A9,'2025'!$A:$IZ,93,FALSE)</f>
        <v/>
      </c>
      <c r="AY9" s="47">
        <f>RANK(AX9,AX$5:AX$22,0)</f>
        <v/>
      </c>
      <c r="AZ9" s="46">
        <f>VLOOKUP($A9,'2025'!$A:$IZ,108,FALSE)</f>
        <v/>
      </c>
      <c r="BA9" s="47">
        <f>RANK(AZ9,AZ$5:AZ$22,0)</f>
        <v/>
      </c>
      <c r="BB9" s="49">
        <f>104-(AU9+AW9+AY9+BA9)</f>
        <v/>
      </c>
      <c r="BC9" s="47">
        <f>RANK(BB9,BB$5:BB$22)</f>
        <v/>
      </c>
      <c r="BD9" s="56" t="n"/>
      <c r="BE9" s="53">
        <f>VLOOKUP($A9,'2025'!$A:$IZ,80,FALSE)</f>
        <v/>
      </c>
      <c r="BF9" s="54">
        <f>RANK(BE9,BE$5:BE$22)</f>
        <v/>
      </c>
      <c r="BG9" s="53">
        <f>VLOOKUP($A9,'2025'!$A:$IZ,177,FALSE)</f>
        <v/>
      </c>
      <c r="BH9" s="54">
        <f>RANK(BG9,BG$5:BG$22,1)</f>
        <v/>
      </c>
      <c r="BI9" s="53">
        <f>VLOOKUP($A9,'2025'!$A:$IZ,79,FALSE)</f>
        <v/>
      </c>
      <c r="BJ9" s="54">
        <f>RANK(BI9,BI$5:BI$22)</f>
        <v/>
      </c>
      <c r="BK9" s="53">
        <f>VLOOKUP($A9,'2025'!$A:$IZ,176,FALSE)</f>
        <v/>
      </c>
      <c r="BL9" s="54">
        <f>RANK(BK9,BK$5:BK$22,1)</f>
        <v/>
      </c>
      <c r="BM9" s="53">
        <f>VLOOKUP($A9,'2025'!$A:$IZ,11,FALSE)</f>
        <v/>
      </c>
      <c r="BN9" s="54">
        <f>RANK(BM9,BM$5:BM$22)</f>
        <v/>
      </c>
      <c r="BO9" s="53">
        <f>VLOOKUP($A9,'2025'!$A:$IZ,222,FALSE)</f>
        <v/>
      </c>
      <c r="BP9" s="54">
        <f>RANK(BO9,BO$5:BO$22)</f>
        <v/>
      </c>
      <c r="BQ9" s="65">
        <f>106-(BF9+BH9+BN9+BP9+BJ9+BL9)</f>
        <v/>
      </c>
      <c r="BR9" s="47">
        <f>RANK(BQ9,BQ$5:BQ$22)</f>
        <v/>
      </c>
      <c r="BS9" s="56" t="n"/>
      <c r="BT9" s="57">
        <f>VLOOKUP($A9,'Ratings Season'!$A:$M,10,FALSE)</f>
        <v/>
      </c>
      <c r="BU9" s="54">
        <f>RANK(BT9,BT$5:BT$22)</f>
        <v/>
      </c>
      <c r="BV9" s="57">
        <f>VLOOKUP($A9,'Ratings Season'!$A:$M,12,FALSE)</f>
        <v/>
      </c>
      <c r="BW9" s="54">
        <f>RANK(BV9,BV$5:BV$22)</f>
        <v/>
      </c>
      <c r="BX9" s="57">
        <f>VLOOKUP($A9,'Ratings Season'!$A:$M,8,FALSE)</f>
        <v/>
      </c>
      <c r="BY9" s="58">
        <f>RANK(BX9,BX$5:BX$22)</f>
        <v/>
      </c>
      <c r="BZ9" s="72" t="n"/>
    </row>
    <row r="10" ht="25" customFormat="1" customHeight="1" s="3">
      <c r="A10" s="80" t="inlineStr">
        <is>
          <t>Fremantle</t>
        </is>
      </c>
      <c r="B10" s="53">
        <f>VLOOKUP($A10,'2025'!$A:$IZ,222,FALSE)</f>
        <v/>
      </c>
      <c r="C10" s="54">
        <f>RANK(B10,B$5:B$22)</f>
        <v/>
      </c>
      <c r="D10" s="55">
        <f>VLOOKUP($A10,'2025'!$A:$IZ,218,FALSE)</f>
        <v/>
      </c>
      <c r="E10" s="54">
        <f>RANK(D10,D$5:D$22)</f>
        <v/>
      </c>
      <c r="F10" s="55">
        <f>VLOOKUP($A10,'2025'!$A:$IZ,49,FALSE)</f>
        <v/>
      </c>
      <c r="G10" s="54">
        <f>RANK(F10,F$5:F$22)</f>
        <v/>
      </c>
      <c r="H10" s="55">
        <f>VLOOKUP($A10,'2025'!$A:$IZ,229,FALSE)</f>
        <v/>
      </c>
      <c r="I10" s="54">
        <f>RANK(H10,H$5:H$22)</f>
        <v/>
      </c>
      <c r="J10" s="49">
        <f>104-(C10+E10+G10+I10)</f>
        <v/>
      </c>
      <c r="K10" s="47">
        <f>RANK(J10,J$5:J$22)</f>
        <v/>
      </c>
      <c r="L10" s="56" t="n"/>
      <c r="M10" s="53">
        <f>VLOOKUP($A10,'2025'!$A:$IZ,88,FALSE)</f>
        <v/>
      </c>
      <c r="N10" s="54">
        <f>RANK(M10,M$5:M$22)</f>
        <v/>
      </c>
      <c r="O10" s="53">
        <f>VLOOKUP($A10,'2025'!$A:$IZ,84,FALSE)</f>
        <v/>
      </c>
      <c r="P10" s="54">
        <f>RANK(O10,O$5:O$22)</f>
        <v/>
      </c>
      <c r="Q10" s="53">
        <f>VLOOKUP($A10,'2025'!$A:$IZ,85,FALSE)</f>
        <v/>
      </c>
      <c r="R10" s="54">
        <f>RANK(Q10,Q$5:Q$22)</f>
        <v/>
      </c>
      <c r="S10" s="55">
        <f>VLOOKUP($A10,'2025'!$A:$IZ,29,FALSE)</f>
        <v/>
      </c>
      <c r="T10" s="54">
        <f>RANK(S10,S$5:S$22)</f>
        <v/>
      </c>
      <c r="U10" s="49">
        <f>104-(N10+P10+R10+T10)</f>
        <v/>
      </c>
      <c r="V10" s="47">
        <f>RANK(U10,U$5:U$22)</f>
        <v/>
      </c>
      <c r="W10" s="56" t="n"/>
      <c r="X10" s="53">
        <f>VLOOKUP($A10,'2025'!$A:$IZ,65,FALSE)</f>
        <v/>
      </c>
      <c r="Y10" s="54">
        <f>RANK(X10,X$5:X$22)</f>
        <v/>
      </c>
      <c r="Z10" s="53">
        <f>VLOOKUP($A10,'2025'!$A:$IZ,64,FALSE)</f>
        <v/>
      </c>
      <c r="AA10" s="54">
        <f>RANK(Z10,Z$5:Z$22)</f>
        <v/>
      </c>
      <c r="AB10" s="53">
        <f>VLOOKUP($A10,'2025'!$A:$IZ,63,FALSE)</f>
        <v/>
      </c>
      <c r="AC10" s="54">
        <f>RANK(AB10,AB$5:AB$22)</f>
        <v/>
      </c>
      <c r="AD10" s="53">
        <f>VLOOKUP($A10,'2025'!$A:$IZ,71,FALSE)</f>
        <v/>
      </c>
      <c r="AE10" s="54">
        <f>RANK(AD10,AD$5:AD$22)</f>
        <v/>
      </c>
      <c r="AF10" s="65">
        <f>104-(Y10+AA10+AC10+AE10)</f>
        <v/>
      </c>
      <c r="AG10" s="47">
        <f>RANK(AF10,AF$5:AF$22)</f>
        <v/>
      </c>
      <c r="AH10" s="56" t="n"/>
      <c r="AI10" s="53">
        <f>VLOOKUP($A10,'2025'!$A:$IZ,183,FALSE)</f>
        <v/>
      </c>
      <c r="AJ10" s="54">
        <f>RANK(AI10,AI$5:AI$22,1)</f>
        <v/>
      </c>
      <c r="AK10" s="53">
        <f>VLOOKUP($A10,'2025'!$A:$IZ,181,FALSE)</f>
        <v/>
      </c>
      <c r="AL10" s="54">
        <f>RANK(AK10,AK$5:AK$22,1)</f>
        <v/>
      </c>
      <c r="AM10" s="53">
        <f>VLOOKUP($A10,'2025'!$A:$IZ,182,FALSE)</f>
        <v/>
      </c>
      <c r="AN10" s="54">
        <f>RANK(AM10,AM$5:AM$22,1)</f>
        <v/>
      </c>
      <c r="AO10" s="53">
        <f>VLOOKUP($A10,'2025'!$A:$IZ,163,FALSE)</f>
        <v/>
      </c>
      <c r="AP10" s="54">
        <f>RANK(AO10,AO$5:AO$22,1)</f>
        <v/>
      </c>
      <c r="AQ10" s="65">
        <f>104-(AJ10+AL10+AN10+AP10)</f>
        <v/>
      </c>
      <c r="AR10" s="47">
        <f>RANK(AQ10,AQ$5:AQ$22)</f>
        <v/>
      </c>
      <c r="AS10" s="56" t="n"/>
      <c r="AT10" s="46">
        <f>VLOOKUP($A10,'2025'!$A:$IZ,250,FALSE)</f>
        <v/>
      </c>
      <c r="AU10" s="47">
        <f>RANK(AT10,AT$5:AT$22,0)</f>
        <v/>
      </c>
      <c r="AV10" s="46">
        <f>VLOOKUP($A10,'2025'!$A:$IZ,92,FALSE)</f>
        <v/>
      </c>
      <c r="AW10" s="47">
        <f>RANK(AV10,AV$5:AV$22,0)</f>
        <v/>
      </c>
      <c r="AX10" s="46">
        <f>VLOOKUP($A10,'2025'!$A:$IZ,93,FALSE)</f>
        <v/>
      </c>
      <c r="AY10" s="47">
        <f>RANK(AX10,AX$5:AX$22,0)</f>
        <v/>
      </c>
      <c r="AZ10" s="46">
        <f>VLOOKUP($A10,'2025'!$A:$IZ,108,FALSE)</f>
        <v/>
      </c>
      <c r="BA10" s="47">
        <f>RANK(AZ10,AZ$5:AZ$22,0)</f>
        <v/>
      </c>
      <c r="BB10" s="49">
        <f>104-(AU10+AW10+AY10+BA10)</f>
        <v/>
      </c>
      <c r="BC10" s="47">
        <f>RANK(BB10,BB$5:BB$22)</f>
        <v/>
      </c>
      <c r="BD10" s="56" t="n"/>
      <c r="BE10" s="53">
        <f>VLOOKUP($A10,'2025'!$A:$IZ,80,FALSE)</f>
        <v/>
      </c>
      <c r="BF10" s="54">
        <f>RANK(BE10,BE$5:BE$22)</f>
        <v/>
      </c>
      <c r="BG10" s="53">
        <f>VLOOKUP($A10,'2025'!$A:$IZ,177,FALSE)</f>
        <v/>
      </c>
      <c r="BH10" s="54">
        <f>RANK(BG10,BG$5:BG$22,1)</f>
        <v/>
      </c>
      <c r="BI10" s="53">
        <f>VLOOKUP($A10,'2025'!$A:$IZ,79,FALSE)</f>
        <v/>
      </c>
      <c r="BJ10" s="54">
        <f>RANK(BI10,BI$5:BI$22)</f>
        <v/>
      </c>
      <c r="BK10" s="53">
        <f>VLOOKUP($A10,'2025'!$A:$IZ,176,FALSE)</f>
        <v/>
      </c>
      <c r="BL10" s="54">
        <f>RANK(BK10,BK$5:BK$22,1)</f>
        <v/>
      </c>
      <c r="BM10" s="53">
        <f>VLOOKUP($A10,'2025'!$A:$IZ,11,FALSE)</f>
        <v/>
      </c>
      <c r="BN10" s="54">
        <f>RANK(BM10,BM$5:BM$22)</f>
        <v/>
      </c>
      <c r="BO10" s="53">
        <f>VLOOKUP($A10,'2025'!$A:$IZ,222,FALSE)</f>
        <v/>
      </c>
      <c r="BP10" s="54">
        <f>RANK(BO10,BO$5:BO$22)</f>
        <v/>
      </c>
      <c r="BQ10" s="65">
        <f>106-(BF10+BH10+BN10+BP10+BJ10+BL10)</f>
        <v/>
      </c>
      <c r="BR10" s="47">
        <f>RANK(BQ10,BQ$5:BQ$22)</f>
        <v/>
      </c>
      <c r="BS10" s="56" t="n"/>
      <c r="BT10" s="57">
        <f>VLOOKUP($A10,'Ratings Season'!$A:$M,10,FALSE)</f>
        <v/>
      </c>
      <c r="BU10" s="54">
        <f>RANK(BT10,BT$5:BT$22)</f>
        <v/>
      </c>
      <c r="BV10" s="57">
        <f>VLOOKUP($A10,'Ratings Season'!$A:$M,12,FALSE)</f>
        <v/>
      </c>
      <c r="BW10" s="54">
        <f>RANK(BV10,BV$5:BV$22)</f>
        <v/>
      </c>
      <c r="BX10" s="57">
        <f>VLOOKUP($A10,'Ratings Season'!$A:$M,8,FALSE)</f>
        <v/>
      </c>
      <c r="BY10" s="58">
        <f>RANK(BX10,BX$5:BX$22)</f>
        <v/>
      </c>
      <c r="BZ10" s="72" t="n"/>
    </row>
    <row r="11" ht="25" customFormat="1" customHeight="1" s="3">
      <c r="A11" s="81" t="inlineStr">
        <is>
          <t>Geelong</t>
        </is>
      </c>
      <c r="B11" s="53">
        <f>VLOOKUP($A11,'2025'!$A:$IZ,222,FALSE)</f>
        <v/>
      </c>
      <c r="C11" s="54">
        <f>RANK(B11,B$5:B$22)</f>
        <v/>
      </c>
      <c r="D11" s="55">
        <f>VLOOKUP($A11,'2025'!$A:$IZ,218,FALSE)</f>
        <v/>
      </c>
      <c r="E11" s="54">
        <f>RANK(D11,D$5:D$22)</f>
        <v/>
      </c>
      <c r="F11" s="55">
        <f>VLOOKUP($A11,'2025'!$A:$IZ,49,FALSE)</f>
        <v/>
      </c>
      <c r="G11" s="54">
        <f>RANK(F11,F$5:F$22)</f>
        <v/>
      </c>
      <c r="H11" s="55">
        <f>VLOOKUP($A11,'2025'!$A:$IZ,229,FALSE)</f>
        <v/>
      </c>
      <c r="I11" s="54">
        <f>RANK(H11,H$5:H$22)</f>
        <v/>
      </c>
      <c r="J11" s="49">
        <f>104-(C11+E11+G11+I11)</f>
        <v/>
      </c>
      <c r="K11" s="47">
        <f>RANK(J11,J$5:J$22)</f>
        <v/>
      </c>
      <c r="L11" s="56" t="n"/>
      <c r="M11" s="53">
        <f>VLOOKUP($A11,'2025'!$A:$IZ,88,FALSE)</f>
        <v/>
      </c>
      <c r="N11" s="54">
        <f>RANK(M11,M$5:M$22)</f>
        <v/>
      </c>
      <c r="O11" s="53">
        <f>VLOOKUP($A11,'2025'!$A:$IZ,84,FALSE)</f>
        <v/>
      </c>
      <c r="P11" s="54">
        <f>RANK(O11,O$5:O$22)</f>
        <v/>
      </c>
      <c r="Q11" s="53">
        <f>VLOOKUP($A11,'2025'!$A:$IZ,85,FALSE)</f>
        <v/>
      </c>
      <c r="R11" s="54">
        <f>RANK(Q11,Q$5:Q$22)</f>
        <v/>
      </c>
      <c r="S11" s="55">
        <f>VLOOKUP($A11,'2025'!$A:$IZ,29,FALSE)</f>
        <v/>
      </c>
      <c r="T11" s="54">
        <f>RANK(S11,S$5:S$22)</f>
        <v/>
      </c>
      <c r="U11" s="49">
        <f>104-(N11+P11+R11+T11)</f>
        <v/>
      </c>
      <c r="V11" s="47">
        <f>RANK(U11,U$5:U$22)</f>
        <v/>
      </c>
      <c r="W11" s="56" t="n"/>
      <c r="X11" s="53">
        <f>VLOOKUP($A11,'2025'!$A:$IZ,65,FALSE)</f>
        <v/>
      </c>
      <c r="Y11" s="54">
        <f>RANK(X11,X$5:X$22)</f>
        <v/>
      </c>
      <c r="Z11" s="53">
        <f>VLOOKUP($A11,'2025'!$A:$IZ,64,FALSE)</f>
        <v/>
      </c>
      <c r="AA11" s="54">
        <f>RANK(Z11,Z$5:Z$22)</f>
        <v/>
      </c>
      <c r="AB11" s="53">
        <f>VLOOKUP($A11,'2025'!$A:$IZ,63,FALSE)</f>
        <v/>
      </c>
      <c r="AC11" s="54">
        <f>RANK(AB11,AB$5:AB$22)</f>
        <v/>
      </c>
      <c r="AD11" s="53">
        <f>VLOOKUP($A11,'2025'!$A:$IZ,71,FALSE)</f>
        <v/>
      </c>
      <c r="AE11" s="54">
        <f>RANK(AD11,AD$5:AD$22)</f>
        <v/>
      </c>
      <c r="AF11" s="65">
        <f>104-(Y11+AA11+AC11+AE11)</f>
        <v/>
      </c>
      <c r="AG11" s="47">
        <f>RANK(AF11,AF$5:AF$22)</f>
        <v/>
      </c>
      <c r="AH11" s="56" t="n"/>
      <c r="AI11" s="53">
        <f>VLOOKUP($A11,'2025'!$A:$IZ,183,FALSE)</f>
        <v/>
      </c>
      <c r="AJ11" s="54">
        <f>RANK(AI11,AI$5:AI$22,1)</f>
        <v/>
      </c>
      <c r="AK11" s="53">
        <f>VLOOKUP($A11,'2025'!$A:$IZ,181,FALSE)</f>
        <v/>
      </c>
      <c r="AL11" s="54">
        <f>RANK(AK11,AK$5:AK$22,1)</f>
        <v/>
      </c>
      <c r="AM11" s="53">
        <f>VLOOKUP($A11,'2025'!$A:$IZ,182,FALSE)</f>
        <v/>
      </c>
      <c r="AN11" s="54">
        <f>RANK(AM11,AM$5:AM$22,1)</f>
        <v/>
      </c>
      <c r="AO11" s="53">
        <f>VLOOKUP($A11,'2025'!$A:$IZ,163,FALSE)</f>
        <v/>
      </c>
      <c r="AP11" s="54">
        <f>RANK(AO11,AO$5:AO$22,1)</f>
        <v/>
      </c>
      <c r="AQ11" s="65">
        <f>104-(AJ11+AL11+AN11+AP11)</f>
        <v/>
      </c>
      <c r="AR11" s="47">
        <f>RANK(AQ11,AQ$5:AQ$22)</f>
        <v/>
      </c>
      <c r="AS11" s="56" t="n"/>
      <c r="AT11" s="46">
        <f>VLOOKUP($A11,'2025'!$A:$IZ,250,FALSE)</f>
        <v/>
      </c>
      <c r="AU11" s="47">
        <f>RANK(AT11,AT$5:AT$22,0)</f>
        <v/>
      </c>
      <c r="AV11" s="46">
        <f>VLOOKUP($A11,'2025'!$A:$IZ,92,FALSE)</f>
        <v/>
      </c>
      <c r="AW11" s="47">
        <f>RANK(AV11,AV$5:AV$22,0)</f>
        <v/>
      </c>
      <c r="AX11" s="46">
        <f>VLOOKUP($A11,'2025'!$A:$IZ,93,FALSE)</f>
        <v/>
      </c>
      <c r="AY11" s="47">
        <f>RANK(AX11,AX$5:AX$22,0)</f>
        <v/>
      </c>
      <c r="AZ11" s="46">
        <f>VLOOKUP($A11,'2025'!$A:$IZ,108,FALSE)</f>
        <v/>
      </c>
      <c r="BA11" s="47">
        <f>RANK(AZ11,AZ$5:AZ$22,0)</f>
        <v/>
      </c>
      <c r="BB11" s="49">
        <f>104-(AU11+AW11+AY11+BA11)</f>
        <v/>
      </c>
      <c r="BC11" s="47">
        <f>RANK(BB11,BB$5:BB$22)</f>
        <v/>
      </c>
      <c r="BD11" s="56" t="n"/>
      <c r="BE11" s="53">
        <f>VLOOKUP($A11,'2025'!$A:$IZ,80,FALSE)</f>
        <v/>
      </c>
      <c r="BF11" s="54">
        <f>RANK(BE11,BE$5:BE$22)</f>
        <v/>
      </c>
      <c r="BG11" s="53">
        <f>VLOOKUP($A11,'2025'!$A:$IZ,177,FALSE)</f>
        <v/>
      </c>
      <c r="BH11" s="54">
        <f>RANK(BG11,BG$5:BG$22,1)</f>
        <v/>
      </c>
      <c r="BI11" s="53">
        <f>VLOOKUP($A11,'2025'!$A:$IZ,79,FALSE)</f>
        <v/>
      </c>
      <c r="BJ11" s="54">
        <f>RANK(BI11,BI$5:BI$22)</f>
        <v/>
      </c>
      <c r="BK11" s="53">
        <f>VLOOKUP($A11,'2025'!$A:$IZ,176,FALSE)</f>
        <v/>
      </c>
      <c r="BL11" s="54">
        <f>RANK(BK11,BK$5:BK$22,1)</f>
        <v/>
      </c>
      <c r="BM11" s="53">
        <f>VLOOKUP($A11,'2025'!$A:$IZ,11,FALSE)</f>
        <v/>
      </c>
      <c r="BN11" s="54">
        <f>RANK(BM11,BM$5:BM$22)</f>
        <v/>
      </c>
      <c r="BO11" s="53">
        <f>VLOOKUP($A11,'2025'!$A:$IZ,222,FALSE)</f>
        <v/>
      </c>
      <c r="BP11" s="54">
        <f>RANK(BO11,BO$5:BO$22)</f>
        <v/>
      </c>
      <c r="BQ11" s="65">
        <f>106-(BF11+BH11+BN11+BP11+BJ11+BL11)</f>
        <v/>
      </c>
      <c r="BR11" s="47">
        <f>RANK(BQ11,BQ$5:BQ$22)</f>
        <v/>
      </c>
      <c r="BS11" s="56" t="n"/>
      <c r="BT11" s="57">
        <f>VLOOKUP($A11,'Ratings Season'!$A:$M,10,FALSE)</f>
        <v/>
      </c>
      <c r="BU11" s="54">
        <f>RANK(BT11,BT$5:BT$22)</f>
        <v/>
      </c>
      <c r="BV11" s="57">
        <f>VLOOKUP($A11,'Ratings Season'!$A:$M,12,FALSE)</f>
        <v/>
      </c>
      <c r="BW11" s="54">
        <f>RANK(BV11,BV$5:BV$22)</f>
        <v/>
      </c>
      <c r="BX11" s="57">
        <f>VLOOKUP($A11,'Ratings Season'!$A:$M,8,FALSE)</f>
        <v/>
      </c>
      <c r="BY11" s="58">
        <f>RANK(BX11,BX$5:BX$22)</f>
        <v/>
      </c>
      <c r="BZ11" s="72" t="n"/>
    </row>
    <row r="12" ht="25" customFormat="1" customHeight="1" s="3">
      <c r="A12" s="82" t="inlineStr">
        <is>
          <t>Gold Coast</t>
        </is>
      </c>
      <c r="B12" s="53">
        <f>VLOOKUP($A12,'2025'!$A:$IZ,222,FALSE)</f>
        <v/>
      </c>
      <c r="C12" s="54">
        <f>RANK(B12,B$5:B$22)</f>
        <v/>
      </c>
      <c r="D12" s="55">
        <f>VLOOKUP($A12,'2025'!$A:$IZ,218,FALSE)</f>
        <v/>
      </c>
      <c r="E12" s="54">
        <f>RANK(D12,D$5:D$22)</f>
        <v/>
      </c>
      <c r="F12" s="55">
        <f>VLOOKUP($A12,'2025'!$A:$IZ,49,FALSE)</f>
        <v/>
      </c>
      <c r="G12" s="54">
        <f>RANK(F12,F$5:F$22)</f>
        <v/>
      </c>
      <c r="H12" s="55">
        <f>VLOOKUP($A12,'2025'!$A:$IZ,229,FALSE)</f>
        <v/>
      </c>
      <c r="I12" s="54">
        <f>RANK(H12,H$5:H$22)</f>
        <v/>
      </c>
      <c r="J12" s="49">
        <f>104-(C12+E12+G12+I12)</f>
        <v/>
      </c>
      <c r="K12" s="47">
        <f>RANK(J12,J$5:J$22)</f>
        <v/>
      </c>
      <c r="L12" s="56" t="n"/>
      <c r="M12" s="53">
        <f>VLOOKUP($A12,'2025'!$A:$IZ,88,FALSE)</f>
        <v/>
      </c>
      <c r="N12" s="54">
        <f>RANK(M12,M$5:M$22)</f>
        <v/>
      </c>
      <c r="O12" s="53">
        <f>VLOOKUP($A12,'2025'!$A:$IZ,84,FALSE)</f>
        <v/>
      </c>
      <c r="P12" s="54">
        <f>RANK(O12,O$5:O$22)</f>
        <v/>
      </c>
      <c r="Q12" s="53">
        <f>VLOOKUP($A12,'2025'!$A:$IZ,85,FALSE)</f>
        <v/>
      </c>
      <c r="R12" s="54">
        <f>RANK(Q12,Q$5:Q$22)</f>
        <v/>
      </c>
      <c r="S12" s="55">
        <f>VLOOKUP($A12,'2025'!$A:$IZ,29,FALSE)</f>
        <v/>
      </c>
      <c r="T12" s="54">
        <f>RANK(S12,S$5:S$22)</f>
        <v/>
      </c>
      <c r="U12" s="49">
        <f>104-(N12+P12+R12+T12)</f>
        <v/>
      </c>
      <c r="V12" s="47">
        <f>RANK(U12,U$5:U$22)</f>
        <v/>
      </c>
      <c r="W12" s="56" t="n"/>
      <c r="X12" s="53">
        <f>VLOOKUP($A12,'2025'!$A:$IZ,65,FALSE)</f>
        <v/>
      </c>
      <c r="Y12" s="54">
        <f>RANK(X12,X$5:X$22)</f>
        <v/>
      </c>
      <c r="Z12" s="53">
        <f>VLOOKUP($A12,'2025'!$A:$IZ,64,FALSE)</f>
        <v/>
      </c>
      <c r="AA12" s="54">
        <f>RANK(Z12,Z$5:Z$22)</f>
        <v/>
      </c>
      <c r="AB12" s="53">
        <f>VLOOKUP($A12,'2025'!$A:$IZ,63,FALSE)</f>
        <v/>
      </c>
      <c r="AC12" s="54">
        <f>RANK(AB12,AB$5:AB$22)</f>
        <v/>
      </c>
      <c r="AD12" s="53">
        <f>VLOOKUP($A12,'2025'!$A:$IZ,71,FALSE)</f>
        <v/>
      </c>
      <c r="AE12" s="54">
        <f>RANK(AD12,AD$5:AD$22)</f>
        <v/>
      </c>
      <c r="AF12" s="65">
        <f>104-(Y12+AA12+AC12+AE12)</f>
        <v/>
      </c>
      <c r="AG12" s="47">
        <f>RANK(AF12,AF$5:AF$22)</f>
        <v/>
      </c>
      <c r="AH12" s="56" t="n"/>
      <c r="AI12" s="53">
        <f>VLOOKUP($A12,'2025'!$A:$IZ,183,FALSE)</f>
        <v/>
      </c>
      <c r="AJ12" s="54">
        <f>RANK(AI12,AI$5:AI$22,1)</f>
        <v/>
      </c>
      <c r="AK12" s="53">
        <f>VLOOKUP($A12,'2025'!$A:$IZ,181,FALSE)</f>
        <v/>
      </c>
      <c r="AL12" s="54">
        <f>RANK(AK12,AK$5:AK$22,1)</f>
        <v/>
      </c>
      <c r="AM12" s="53">
        <f>VLOOKUP($A12,'2025'!$A:$IZ,182,FALSE)</f>
        <v/>
      </c>
      <c r="AN12" s="54">
        <f>RANK(AM12,AM$5:AM$22,1)</f>
        <v/>
      </c>
      <c r="AO12" s="53">
        <f>VLOOKUP($A12,'2025'!$A:$IZ,163,FALSE)</f>
        <v/>
      </c>
      <c r="AP12" s="54">
        <f>RANK(AO12,AO$5:AO$22,1)</f>
        <v/>
      </c>
      <c r="AQ12" s="65">
        <f>104-(AJ12+AL12+AN12+AP12)</f>
        <v/>
      </c>
      <c r="AR12" s="47">
        <f>RANK(AQ12,AQ$5:AQ$22)</f>
        <v/>
      </c>
      <c r="AS12" s="56" t="n"/>
      <c r="AT12" s="46">
        <f>VLOOKUP($A12,'2025'!$A:$IZ,250,FALSE)</f>
        <v/>
      </c>
      <c r="AU12" s="47">
        <f>RANK(AT12,AT$5:AT$22,0)</f>
        <v/>
      </c>
      <c r="AV12" s="46">
        <f>VLOOKUP($A12,'2025'!$A:$IZ,92,FALSE)</f>
        <v/>
      </c>
      <c r="AW12" s="47">
        <f>RANK(AV12,AV$5:AV$22,0)</f>
        <v/>
      </c>
      <c r="AX12" s="46">
        <f>VLOOKUP($A12,'2025'!$A:$IZ,93,FALSE)</f>
        <v/>
      </c>
      <c r="AY12" s="47">
        <f>RANK(AX12,AX$5:AX$22,0)</f>
        <v/>
      </c>
      <c r="AZ12" s="46">
        <f>VLOOKUP($A12,'2025'!$A:$IZ,108,FALSE)</f>
        <v/>
      </c>
      <c r="BA12" s="47">
        <f>RANK(AZ12,AZ$5:AZ$22,0)</f>
        <v/>
      </c>
      <c r="BB12" s="49">
        <f>104-(AU12+AW12+AY12+BA12)</f>
        <v/>
      </c>
      <c r="BC12" s="47">
        <f>RANK(BB12,BB$5:BB$22)</f>
        <v/>
      </c>
      <c r="BD12" s="56" t="n"/>
      <c r="BE12" s="53">
        <f>VLOOKUP($A12,'2025'!$A:$IZ,80,FALSE)</f>
        <v/>
      </c>
      <c r="BF12" s="54">
        <f>RANK(BE12,BE$5:BE$22)</f>
        <v/>
      </c>
      <c r="BG12" s="53">
        <f>VLOOKUP($A12,'2025'!$A:$IZ,177,FALSE)</f>
        <v/>
      </c>
      <c r="BH12" s="54">
        <f>RANK(BG12,BG$5:BG$22,1)</f>
        <v/>
      </c>
      <c r="BI12" s="53">
        <f>VLOOKUP($A12,'2025'!$A:$IZ,79,FALSE)</f>
        <v/>
      </c>
      <c r="BJ12" s="54">
        <f>RANK(BI12,BI$5:BI$22)</f>
        <v/>
      </c>
      <c r="BK12" s="53">
        <f>VLOOKUP($A12,'2025'!$A:$IZ,176,FALSE)</f>
        <v/>
      </c>
      <c r="BL12" s="54">
        <f>RANK(BK12,BK$5:BK$22,1)</f>
        <v/>
      </c>
      <c r="BM12" s="53">
        <f>VLOOKUP($A12,'2025'!$A:$IZ,11,FALSE)</f>
        <v/>
      </c>
      <c r="BN12" s="54">
        <f>RANK(BM12,BM$5:BM$22)</f>
        <v/>
      </c>
      <c r="BO12" s="53">
        <f>VLOOKUP($A12,'2025'!$A:$IZ,222,FALSE)</f>
        <v/>
      </c>
      <c r="BP12" s="54">
        <f>RANK(BO12,BO$5:BO$22)</f>
        <v/>
      </c>
      <c r="BQ12" s="65">
        <f>106-(BF12+BH12+BN12+BP12+BJ12+BL12)</f>
        <v/>
      </c>
      <c r="BR12" s="47">
        <f>RANK(BQ12,BQ$5:BQ$22)</f>
        <v/>
      </c>
      <c r="BS12" s="56" t="n"/>
      <c r="BT12" s="57">
        <f>VLOOKUP($A12,'Ratings Season'!$A:$M,10,FALSE)</f>
        <v/>
      </c>
      <c r="BU12" s="54">
        <f>RANK(BT12,BT$5:BT$22)</f>
        <v/>
      </c>
      <c r="BV12" s="57">
        <f>VLOOKUP($A12,'Ratings Season'!$A:$M,12,FALSE)</f>
        <v/>
      </c>
      <c r="BW12" s="54">
        <f>RANK(BV12,BV$5:BV$22)</f>
        <v/>
      </c>
      <c r="BX12" s="57">
        <f>VLOOKUP($A12,'Ratings Season'!$A:$M,8,FALSE)</f>
        <v/>
      </c>
      <c r="BY12" s="58">
        <f>RANK(BX12,BX$5:BX$22)</f>
        <v/>
      </c>
      <c r="BZ12" s="72" t="n"/>
    </row>
    <row r="13" ht="25" customFormat="1" customHeight="1" s="3">
      <c r="A13" s="83" t="inlineStr">
        <is>
          <t>Greater Western Sydney</t>
        </is>
      </c>
      <c r="B13" s="53">
        <f>VLOOKUP($A13,'2025'!$A:$IZ,222,FALSE)</f>
        <v/>
      </c>
      <c r="C13" s="54">
        <f>RANK(B13,B$5:B$22)</f>
        <v/>
      </c>
      <c r="D13" s="55">
        <f>VLOOKUP($A13,'2025'!$A:$IZ,218,FALSE)</f>
        <v/>
      </c>
      <c r="E13" s="54">
        <f>RANK(D13,D$5:D$22)</f>
        <v/>
      </c>
      <c r="F13" s="55">
        <f>VLOOKUP($A13,'2025'!$A:$IZ,49,FALSE)</f>
        <v/>
      </c>
      <c r="G13" s="54">
        <f>RANK(F13,F$5:F$22)</f>
        <v/>
      </c>
      <c r="H13" s="55">
        <f>VLOOKUP($A13,'2025'!$A:$IZ,229,FALSE)</f>
        <v/>
      </c>
      <c r="I13" s="54">
        <f>RANK(H13,H$5:H$22)</f>
        <v/>
      </c>
      <c r="J13" s="49">
        <f>104-(C13+E13+G13+I13)</f>
        <v/>
      </c>
      <c r="K13" s="47">
        <f>RANK(J13,J$5:J$22)</f>
        <v/>
      </c>
      <c r="L13" s="56" t="n"/>
      <c r="M13" s="53">
        <f>VLOOKUP($A13,'2025'!$A:$IZ,88,FALSE)</f>
        <v/>
      </c>
      <c r="N13" s="54">
        <f>RANK(M13,M$5:M$22)</f>
        <v/>
      </c>
      <c r="O13" s="53">
        <f>VLOOKUP($A13,'2025'!$A:$IZ,84,FALSE)</f>
        <v/>
      </c>
      <c r="P13" s="54">
        <f>RANK(O13,O$5:O$22)</f>
        <v/>
      </c>
      <c r="Q13" s="53">
        <f>VLOOKUP($A13,'2025'!$A:$IZ,85,FALSE)</f>
        <v/>
      </c>
      <c r="R13" s="54">
        <f>RANK(Q13,Q$5:Q$22)</f>
        <v/>
      </c>
      <c r="S13" s="55">
        <f>VLOOKUP($A13,'2025'!$A:$IZ,29,FALSE)</f>
        <v/>
      </c>
      <c r="T13" s="54">
        <f>RANK(S13,S$5:S$22)</f>
        <v/>
      </c>
      <c r="U13" s="49">
        <f>104-(N13+P13+R13+T13)</f>
        <v/>
      </c>
      <c r="V13" s="47">
        <f>RANK(U13,U$5:U$22)</f>
        <v/>
      </c>
      <c r="W13" s="56" t="n"/>
      <c r="X13" s="53">
        <f>VLOOKUP($A13,'2025'!$A:$IZ,65,FALSE)</f>
        <v/>
      </c>
      <c r="Y13" s="54">
        <f>RANK(X13,X$5:X$22)</f>
        <v/>
      </c>
      <c r="Z13" s="53">
        <f>VLOOKUP($A13,'2025'!$A:$IZ,64,FALSE)</f>
        <v/>
      </c>
      <c r="AA13" s="54">
        <f>RANK(Z13,Z$5:Z$22)</f>
        <v/>
      </c>
      <c r="AB13" s="53">
        <f>VLOOKUP($A13,'2025'!$A:$IZ,63,FALSE)</f>
        <v/>
      </c>
      <c r="AC13" s="54">
        <f>RANK(AB13,AB$5:AB$22)</f>
        <v/>
      </c>
      <c r="AD13" s="53">
        <f>VLOOKUP($A13,'2025'!$A:$IZ,71,FALSE)</f>
        <v/>
      </c>
      <c r="AE13" s="54">
        <f>RANK(AD13,AD$5:AD$22)</f>
        <v/>
      </c>
      <c r="AF13" s="65">
        <f>104-(Y13+AA13+AC13+AE13)</f>
        <v/>
      </c>
      <c r="AG13" s="47">
        <f>RANK(AF13,AF$5:AF$22)</f>
        <v/>
      </c>
      <c r="AH13" s="56" t="n"/>
      <c r="AI13" s="53">
        <f>VLOOKUP($A13,'2025'!$A:$IZ,183,FALSE)</f>
        <v/>
      </c>
      <c r="AJ13" s="54">
        <f>RANK(AI13,AI$5:AI$22,1)</f>
        <v/>
      </c>
      <c r="AK13" s="53">
        <f>VLOOKUP($A13,'2025'!$A:$IZ,181,FALSE)</f>
        <v/>
      </c>
      <c r="AL13" s="54">
        <f>RANK(AK13,AK$5:AK$22,1)</f>
        <v/>
      </c>
      <c r="AM13" s="53">
        <f>VLOOKUP($A13,'2025'!$A:$IZ,182,FALSE)</f>
        <v/>
      </c>
      <c r="AN13" s="54">
        <f>RANK(AM13,AM$5:AM$22,1)</f>
        <v/>
      </c>
      <c r="AO13" s="53">
        <f>VLOOKUP($A13,'2025'!$A:$IZ,163,FALSE)</f>
        <v/>
      </c>
      <c r="AP13" s="54">
        <f>RANK(AO13,AO$5:AO$22,1)</f>
        <v/>
      </c>
      <c r="AQ13" s="65">
        <f>104-(AJ13+AL13+AN13+AP13)</f>
        <v/>
      </c>
      <c r="AR13" s="47">
        <f>RANK(AQ13,AQ$5:AQ$22)</f>
        <v/>
      </c>
      <c r="AS13" s="56" t="n"/>
      <c r="AT13" s="46">
        <f>VLOOKUP($A13,'2025'!$A:$IZ,250,FALSE)</f>
        <v/>
      </c>
      <c r="AU13" s="47">
        <f>RANK(AT13,AT$5:AT$22,0)</f>
        <v/>
      </c>
      <c r="AV13" s="46">
        <f>VLOOKUP($A13,'2025'!$A:$IZ,92,FALSE)</f>
        <v/>
      </c>
      <c r="AW13" s="47">
        <f>RANK(AV13,AV$5:AV$22,0)</f>
        <v/>
      </c>
      <c r="AX13" s="46">
        <f>VLOOKUP($A13,'2025'!$A:$IZ,93,FALSE)</f>
        <v/>
      </c>
      <c r="AY13" s="47">
        <f>RANK(AX13,AX$5:AX$22,0)</f>
        <v/>
      </c>
      <c r="AZ13" s="46">
        <f>VLOOKUP($A13,'2025'!$A:$IZ,108,FALSE)</f>
        <v/>
      </c>
      <c r="BA13" s="47">
        <f>RANK(AZ13,AZ$5:AZ$22,0)</f>
        <v/>
      </c>
      <c r="BB13" s="49">
        <f>104-(AU13+AW13+AY13+BA13)</f>
        <v/>
      </c>
      <c r="BC13" s="47">
        <f>RANK(BB13,BB$5:BB$22)</f>
        <v/>
      </c>
      <c r="BD13" s="56" t="n"/>
      <c r="BE13" s="53">
        <f>VLOOKUP($A13,'2025'!$A:$IZ,80,FALSE)</f>
        <v/>
      </c>
      <c r="BF13" s="54">
        <f>RANK(BE13,BE$5:BE$22)</f>
        <v/>
      </c>
      <c r="BG13" s="53">
        <f>VLOOKUP($A13,'2025'!$A:$IZ,177,FALSE)</f>
        <v/>
      </c>
      <c r="BH13" s="54">
        <f>RANK(BG13,BG$5:BG$22,1)</f>
        <v/>
      </c>
      <c r="BI13" s="53">
        <f>VLOOKUP($A13,'2025'!$A:$IZ,79,FALSE)</f>
        <v/>
      </c>
      <c r="BJ13" s="54">
        <f>RANK(BI13,BI$5:BI$22)</f>
        <v/>
      </c>
      <c r="BK13" s="53">
        <f>VLOOKUP($A13,'2025'!$A:$IZ,176,FALSE)</f>
        <v/>
      </c>
      <c r="BL13" s="54">
        <f>RANK(BK13,BK$5:BK$22,1)</f>
        <v/>
      </c>
      <c r="BM13" s="53">
        <f>VLOOKUP($A13,'2025'!$A:$IZ,11,FALSE)</f>
        <v/>
      </c>
      <c r="BN13" s="54">
        <f>RANK(BM13,BM$5:BM$22)</f>
        <v/>
      </c>
      <c r="BO13" s="53">
        <f>VLOOKUP($A13,'2025'!$A:$IZ,222,FALSE)</f>
        <v/>
      </c>
      <c r="BP13" s="54">
        <f>RANK(BO13,BO$5:BO$22)</f>
        <v/>
      </c>
      <c r="BQ13" s="65">
        <f>106-(BF13+BH13+BN13+BP13+BJ13+BL13)</f>
        <v/>
      </c>
      <c r="BR13" s="47">
        <f>RANK(BQ13,BQ$5:BQ$22)</f>
        <v/>
      </c>
      <c r="BS13" s="56" t="n"/>
      <c r="BT13" s="57">
        <f>VLOOKUP($A13,'Ratings Season'!$A:$M,10,FALSE)</f>
        <v/>
      </c>
      <c r="BU13" s="54">
        <f>RANK(BT13,BT$5:BT$22)</f>
        <v/>
      </c>
      <c r="BV13" s="57">
        <f>VLOOKUP($A13,'Ratings Season'!$A:$M,12,FALSE)</f>
        <v/>
      </c>
      <c r="BW13" s="54">
        <f>RANK(BV13,BV$5:BV$22)</f>
        <v/>
      </c>
      <c r="BX13" s="57">
        <f>VLOOKUP($A13,'Ratings Season'!$A:$M,8,FALSE)</f>
        <v/>
      </c>
      <c r="BY13" s="58">
        <f>RANK(BX13,BX$5:BX$22)</f>
        <v/>
      </c>
      <c r="BZ13" s="72" t="n"/>
    </row>
    <row r="14" ht="25" customFormat="1" customHeight="1" s="3">
      <c r="A14" s="84" t="inlineStr">
        <is>
          <t>Hawthorn</t>
        </is>
      </c>
      <c r="B14" s="53">
        <f>VLOOKUP($A14,'2025'!$A:$IZ,222,FALSE)</f>
        <v/>
      </c>
      <c r="C14" s="54">
        <f>RANK(B14,B$5:B$22)</f>
        <v/>
      </c>
      <c r="D14" s="55">
        <f>VLOOKUP($A14,'2025'!$A:$IZ,218,FALSE)</f>
        <v/>
      </c>
      <c r="E14" s="54">
        <f>RANK(D14,D$5:D$22)</f>
        <v/>
      </c>
      <c r="F14" s="55">
        <f>VLOOKUP($A14,'2025'!$A:$IZ,49,FALSE)</f>
        <v/>
      </c>
      <c r="G14" s="54">
        <f>RANK(F14,F$5:F$22)</f>
        <v/>
      </c>
      <c r="H14" s="55">
        <f>VLOOKUP($A14,'2025'!$A:$IZ,229,FALSE)</f>
        <v/>
      </c>
      <c r="I14" s="54">
        <f>RANK(H14,H$5:H$22)</f>
        <v/>
      </c>
      <c r="J14" s="49">
        <f>104-(C14+E14+G14+I14)</f>
        <v/>
      </c>
      <c r="K14" s="47">
        <f>RANK(J14,J$5:J$22)</f>
        <v/>
      </c>
      <c r="L14" s="56" t="n"/>
      <c r="M14" s="53">
        <f>VLOOKUP($A14,'2025'!$A:$IZ,88,FALSE)</f>
        <v/>
      </c>
      <c r="N14" s="54">
        <f>RANK(M14,M$5:M$22)</f>
        <v/>
      </c>
      <c r="O14" s="53">
        <f>VLOOKUP($A14,'2025'!$A:$IZ,84,FALSE)</f>
        <v/>
      </c>
      <c r="P14" s="54">
        <f>RANK(O14,O$5:O$22)</f>
        <v/>
      </c>
      <c r="Q14" s="53">
        <f>VLOOKUP($A14,'2025'!$A:$IZ,85,FALSE)</f>
        <v/>
      </c>
      <c r="R14" s="54">
        <f>RANK(Q14,Q$5:Q$22)</f>
        <v/>
      </c>
      <c r="S14" s="55">
        <f>VLOOKUP($A14,'2025'!$A:$IZ,29,FALSE)</f>
        <v/>
      </c>
      <c r="T14" s="54">
        <f>RANK(S14,S$5:S$22)</f>
        <v/>
      </c>
      <c r="U14" s="49">
        <f>104-(N14+P14+R14+T14)</f>
        <v/>
      </c>
      <c r="V14" s="47">
        <f>RANK(U14,U$5:U$22)</f>
        <v/>
      </c>
      <c r="W14" s="56" t="n"/>
      <c r="X14" s="53">
        <f>VLOOKUP($A14,'2025'!$A:$IZ,65,FALSE)</f>
        <v/>
      </c>
      <c r="Y14" s="54">
        <f>RANK(X14,X$5:X$22)</f>
        <v/>
      </c>
      <c r="Z14" s="53">
        <f>VLOOKUP($A14,'2025'!$A:$IZ,64,FALSE)</f>
        <v/>
      </c>
      <c r="AA14" s="54">
        <f>RANK(Z14,Z$5:Z$22)</f>
        <v/>
      </c>
      <c r="AB14" s="53">
        <f>VLOOKUP($A14,'2025'!$A:$IZ,63,FALSE)</f>
        <v/>
      </c>
      <c r="AC14" s="54">
        <f>RANK(AB14,AB$5:AB$22)</f>
        <v/>
      </c>
      <c r="AD14" s="53">
        <f>VLOOKUP($A14,'2025'!$A:$IZ,71,FALSE)</f>
        <v/>
      </c>
      <c r="AE14" s="54">
        <f>RANK(AD14,AD$5:AD$22)</f>
        <v/>
      </c>
      <c r="AF14" s="65">
        <f>104-(Y14+AA14+AC14+AE14)</f>
        <v/>
      </c>
      <c r="AG14" s="47">
        <f>RANK(AF14,AF$5:AF$22)</f>
        <v/>
      </c>
      <c r="AH14" s="56" t="n"/>
      <c r="AI14" s="53">
        <f>VLOOKUP($A14,'2025'!$A:$IZ,183,FALSE)</f>
        <v/>
      </c>
      <c r="AJ14" s="54">
        <f>RANK(AI14,AI$5:AI$22,1)</f>
        <v/>
      </c>
      <c r="AK14" s="53">
        <f>VLOOKUP($A14,'2025'!$A:$IZ,181,FALSE)</f>
        <v/>
      </c>
      <c r="AL14" s="54">
        <f>RANK(AK14,AK$5:AK$22,1)</f>
        <v/>
      </c>
      <c r="AM14" s="53">
        <f>VLOOKUP($A14,'2025'!$A:$IZ,182,FALSE)</f>
        <v/>
      </c>
      <c r="AN14" s="54">
        <f>RANK(AM14,AM$5:AM$22,1)</f>
        <v/>
      </c>
      <c r="AO14" s="53">
        <f>VLOOKUP($A14,'2025'!$A:$IZ,163,FALSE)</f>
        <v/>
      </c>
      <c r="AP14" s="54">
        <f>RANK(AO14,AO$5:AO$22,1)</f>
        <v/>
      </c>
      <c r="AQ14" s="65">
        <f>104-(AJ14+AL14+AN14+AP14)</f>
        <v/>
      </c>
      <c r="AR14" s="47">
        <f>RANK(AQ14,AQ$5:AQ$22)</f>
        <v/>
      </c>
      <c r="AS14" s="56" t="n"/>
      <c r="AT14" s="46">
        <f>VLOOKUP($A14,'2025'!$A:$IZ,250,FALSE)</f>
        <v/>
      </c>
      <c r="AU14" s="47">
        <f>RANK(AT14,AT$5:AT$22,0)</f>
        <v/>
      </c>
      <c r="AV14" s="46">
        <f>VLOOKUP($A14,'2025'!$A:$IZ,92,FALSE)</f>
        <v/>
      </c>
      <c r="AW14" s="47">
        <f>RANK(AV14,AV$5:AV$22,0)</f>
        <v/>
      </c>
      <c r="AX14" s="46">
        <f>VLOOKUP($A14,'2025'!$A:$IZ,93,FALSE)</f>
        <v/>
      </c>
      <c r="AY14" s="47">
        <f>RANK(AX14,AX$5:AX$22,0)</f>
        <v/>
      </c>
      <c r="AZ14" s="46">
        <f>VLOOKUP($A14,'2025'!$A:$IZ,108,FALSE)</f>
        <v/>
      </c>
      <c r="BA14" s="47">
        <f>RANK(AZ14,AZ$5:AZ$22,0)</f>
        <v/>
      </c>
      <c r="BB14" s="49">
        <f>104-(AU14+AW14+AY14+BA14)</f>
        <v/>
      </c>
      <c r="BC14" s="47">
        <f>RANK(BB14,BB$5:BB$22)</f>
        <v/>
      </c>
      <c r="BD14" s="56" t="n"/>
      <c r="BE14" s="53">
        <f>VLOOKUP($A14,'2025'!$A:$IZ,80,FALSE)</f>
        <v/>
      </c>
      <c r="BF14" s="54">
        <f>RANK(BE14,BE$5:BE$22)</f>
        <v/>
      </c>
      <c r="BG14" s="53">
        <f>VLOOKUP($A14,'2025'!$A:$IZ,177,FALSE)</f>
        <v/>
      </c>
      <c r="BH14" s="54">
        <f>RANK(BG14,BG$5:BG$22,1)</f>
        <v/>
      </c>
      <c r="BI14" s="53">
        <f>VLOOKUP($A14,'2025'!$A:$IZ,79,FALSE)</f>
        <v/>
      </c>
      <c r="BJ14" s="54">
        <f>RANK(BI14,BI$5:BI$22)</f>
        <v/>
      </c>
      <c r="BK14" s="53">
        <f>VLOOKUP($A14,'2025'!$A:$IZ,176,FALSE)</f>
        <v/>
      </c>
      <c r="BL14" s="54">
        <f>RANK(BK14,BK$5:BK$22,1)</f>
        <v/>
      </c>
      <c r="BM14" s="53">
        <f>VLOOKUP($A14,'2025'!$A:$IZ,11,FALSE)</f>
        <v/>
      </c>
      <c r="BN14" s="54">
        <f>RANK(BM14,BM$5:BM$22)</f>
        <v/>
      </c>
      <c r="BO14" s="53">
        <f>VLOOKUP($A14,'2025'!$A:$IZ,222,FALSE)</f>
        <v/>
      </c>
      <c r="BP14" s="54">
        <f>RANK(BO14,BO$5:BO$22)</f>
        <v/>
      </c>
      <c r="BQ14" s="65">
        <f>106-(BF14+BH14+BN14+BP14+BJ14+BL14)</f>
        <v/>
      </c>
      <c r="BR14" s="47">
        <f>RANK(BQ14,BQ$5:BQ$22)</f>
        <v/>
      </c>
      <c r="BS14" s="56" t="n"/>
      <c r="BT14" s="57">
        <f>VLOOKUP($A14,'Ratings Season'!$A:$M,10,FALSE)</f>
        <v/>
      </c>
      <c r="BU14" s="54">
        <f>RANK(BT14,BT$5:BT$22)</f>
        <v/>
      </c>
      <c r="BV14" s="57">
        <f>VLOOKUP($A14,'Ratings Season'!$A:$M,12,FALSE)</f>
        <v/>
      </c>
      <c r="BW14" s="54">
        <f>RANK(BV14,BV$5:BV$22)</f>
        <v/>
      </c>
      <c r="BX14" s="57">
        <f>VLOOKUP($A14,'Ratings Season'!$A:$M,8,FALSE)</f>
        <v/>
      </c>
      <c r="BY14" s="58">
        <f>RANK(BX14,BX$5:BX$22)</f>
        <v/>
      </c>
      <c r="BZ14" s="72" t="n"/>
    </row>
    <row r="15" ht="25" customFormat="1" customHeight="1" s="3">
      <c r="A15" s="85" t="inlineStr">
        <is>
          <t>Melbourne</t>
        </is>
      </c>
      <c r="B15" s="53">
        <f>VLOOKUP($A15,'2025'!$A:$IZ,222,FALSE)</f>
        <v/>
      </c>
      <c r="C15" s="54">
        <f>RANK(B15,B$5:B$22)</f>
        <v/>
      </c>
      <c r="D15" s="55">
        <f>VLOOKUP($A15,'2025'!$A:$IZ,218,FALSE)</f>
        <v/>
      </c>
      <c r="E15" s="54">
        <f>RANK(D15,D$5:D$22)</f>
        <v/>
      </c>
      <c r="F15" s="55">
        <f>VLOOKUP($A15,'2025'!$A:$IZ,49,FALSE)</f>
        <v/>
      </c>
      <c r="G15" s="54">
        <f>RANK(F15,F$5:F$22)</f>
        <v/>
      </c>
      <c r="H15" s="55">
        <f>VLOOKUP($A15,'2025'!$A:$IZ,229,FALSE)</f>
        <v/>
      </c>
      <c r="I15" s="54">
        <f>RANK(H15,H$5:H$22)</f>
        <v/>
      </c>
      <c r="J15" s="49">
        <f>104-(C15+E15+G15+I15)</f>
        <v/>
      </c>
      <c r="K15" s="47">
        <f>RANK(J15,J$5:J$22)</f>
        <v/>
      </c>
      <c r="L15" s="56" t="n"/>
      <c r="M15" s="53">
        <f>VLOOKUP($A15,'2025'!$A:$IZ,88,FALSE)</f>
        <v/>
      </c>
      <c r="N15" s="54">
        <f>RANK(M15,M$5:M$22)</f>
        <v/>
      </c>
      <c r="O15" s="53">
        <f>VLOOKUP($A15,'2025'!$A:$IZ,84,FALSE)</f>
        <v/>
      </c>
      <c r="P15" s="54">
        <f>RANK(O15,O$5:O$22)</f>
        <v/>
      </c>
      <c r="Q15" s="53">
        <f>VLOOKUP($A15,'2025'!$A:$IZ,85,FALSE)</f>
        <v/>
      </c>
      <c r="R15" s="54">
        <f>RANK(Q15,Q$5:Q$22)</f>
        <v/>
      </c>
      <c r="S15" s="55">
        <f>VLOOKUP($A15,'2025'!$A:$IZ,29,FALSE)</f>
        <v/>
      </c>
      <c r="T15" s="54">
        <f>RANK(S15,S$5:S$22)</f>
        <v/>
      </c>
      <c r="U15" s="49">
        <f>104-(N15+P15+R15+T15)</f>
        <v/>
      </c>
      <c r="V15" s="47">
        <f>RANK(U15,U$5:U$22)</f>
        <v/>
      </c>
      <c r="W15" s="56" t="n"/>
      <c r="X15" s="53">
        <f>VLOOKUP($A15,'2025'!$A:$IZ,65,FALSE)</f>
        <v/>
      </c>
      <c r="Y15" s="54">
        <f>RANK(X15,X$5:X$22)</f>
        <v/>
      </c>
      <c r="Z15" s="53">
        <f>VLOOKUP($A15,'2025'!$A:$IZ,64,FALSE)</f>
        <v/>
      </c>
      <c r="AA15" s="54">
        <f>RANK(Z15,Z$5:Z$22)</f>
        <v/>
      </c>
      <c r="AB15" s="53">
        <f>VLOOKUP($A15,'2025'!$A:$IZ,63,FALSE)</f>
        <v/>
      </c>
      <c r="AC15" s="54">
        <f>RANK(AB15,AB$5:AB$22)</f>
        <v/>
      </c>
      <c r="AD15" s="53">
        <f>VLOOKUP($A15,'2025'!$A:$IZ,71,FALSE)</f>
        <v/>
      </c>
      <c r="AE15" s="54">
        <f>RANK(AD15,AD$5:AD$22)</f>
        <v/>
      </c>
      <c r="AF15" s="65">
        <f>104-(Y15+AA15+AC15+AE15)</f>
        <v/>
      </c>
      <c r="AG15" s="47">
        <f>RANK(AF15,AF$5:AF$22)</f>
        <v/>
      </c>
      <c r="AH15" s="56" t="n"/>
      <c r="AI15" s="53">
        <f>VLOOKUP($A15,'2025'!$A:$IZ,183,FALSE)</f>
        <v/>
      </c>
      <c r="AJ15" s="54">
        <f>RANK(AI15,AI$5:AI$22,1)</f>
        <v/>
      </c>
      <c r="AK15" s="53">
        <f>VLOOKUP($A15,'2025'!$A:$IZ,181,FALSE)</f>
        <v/>
      </c>
      <c r="AL15" s="54">
        <f>RANK(AK15,AK$5:AK$22,1)</f>
        <v/>
      </c>
      <c r="AM15" s="53">
        <f>VLOOKUP($A15,'2025'!$A:$IZ,182,FALSE)</f>
        <v/>
      </c>
      <c r="AN15" s="54">
        <f>RANK(AM15,AM$5:AM$22,1)</f>
        <v/>
      </c>
      <c r="AO15" s="53">
        <f>VLOOKUP($A15,'2025'!$A:$IZ,163,FALSE)</f>
        <v/>
      </c>
      <c r="AP15" s="54">
        <f>RANK(AO15,AO$5:AO$22,1)</f>
        <v/>
      </c>
      <c r="AQ15" s="65">
        <f>104-(AJ15+AL15+AN15+AP15)</f>
        <v/>
      </c>
      <c r="AR15" s="47">
        <f>RANK(AQ15,AQ$5:AQ$22)</f>
        <v/>
      </c>
      <c r="AS15" s="56" t="n"/>
      <c r="AT15" s="46">
        <f>VLOOKUP($A15,'2025'!$A:$IZ,250,FALSE)</f>
        <v/>
      </c>
      <c r="AU15" s="47">
        <f>RANK(AT15,AT$5:AT$22,0)</f>
        <v/>
      </c>
      <c r="AV15" s="46">
        <f>VLOOKUP($A15,'2025'!$A:$IZ,92,FALSE)</f>
        <v/>
      </c>
      <c r="AW15" s="47">
        <f>RANK(AV15,AV$5:AV$22,0)</f>
        <v/>
      </c>
      <c r="AX15" s="46">
        <f>VLOOKUP($A15,'2025'!$A:$IZ,93,FALSE)</f>
        <v/>
      </c>
      <c r="AY15" s="47">
        <f>RANK(AX15,AX$5:AX$22,0)</f>
        <v/>
      </c>
      <c r="AZ15" s="46">
        <f>VLOOKUP($A15,'2025'!$A:$IZ,108,FALSE)</f>
        <v/>
      </c>
      <c r="BA15" s="47">
        <f>RANK(AZ15,AZ$5:AZ$22,0)</f>
        <v/>
      </c>
      <c r="BB15" s="49">
        <f>104-(AU15+AW15+AY15+BA15)</f>
        <v/>
      </c>
      <c r="BC15" s="47">
        <f>RANK(BB15,BB$5:BB$22)</f>
        <v/>
      </c>
      <c r="BD15" s="56" t="n"/>
      <c r="BE15" s="53">
        <f>VLOOKUP($A15,'2025'!$A:$IZ,80,FALSE)</f>
        <v/>
      </c>
      <c r="BF15" s="54">
        <f>RANK(BE15,BE$5:BE$22)</f>
        <v/>
      </c>
      <c r="BG15" s="53">
        <f>VLOOKUP($A15,'2025'!$A:$IZ,177,FALSE)</f>
        <v/>
      </c>
      <c r="BH15" s="54">
        <f>RANK(BG15,BG$5:BG$22,1)</f>
        <v/>
      </c>
      <c r="BI15" s="53">
        <f>VLOOKUP($A15,'2025'!$A:$IZ,79,FALSE)</f>
        <v/>
      </c>
      <c r="BJ15" s="54">
        <f>RANK(BI15,BI$5:BI$22)</f>
        <v/>
      </c>
      <c r="BK15" s="53">
        <f>VLOOKUP($A15,'2025'!$A:$IZ,176,FALSE)</f>
        <v/>
      </c>
      <c r="BL15" s="54">
        <f>RANK(BK15,BK$5:BK$22,1)</f>
        <v/>
      </c>
      <c r="BM15" s="53">
        <f>VLOOKUP($A15,'2025'!$A:$IZ,11,FALSE)</f>
        <v/>
      </c>
      <c r="BN15" s="54">
        <f>RANK(BM15,BM$5:BM$22)</f>
        <v/>
      </c>
      <c r="BO15" s="53">
        <f>VLOOKUP($A15,'2025'!$A:$IZ,222,FALSE)</f>
        <v/>
      </c>
      <c r="BP15" s="54">
        <f>RANK(BO15,BO$5:BO$22)</f>
        <v/>
      </c>
      <c r="BQ15" s="65">
        <f>106-(BF15+BH15+BN15+BP15+BJ15+BL15)</f>
        <v/>
      </c>
      <c r="BR15" s="47">
        <f>RANK(BQ15,BQ$5:BQ$22)</f>
        <v/>
      </c>
      <c r="BS15" s="56" t="n"/>
      <c r="BT15" s="57">
        <f>VLOOKUP($A15,'Ratings Season'!$A:$M,10,FALSE)</f>
        <v/>
      </c>
      <c r="BU15" s="54">
        <f>RANK(BT15,BT$5:BT$22)</f>
        <v/>
      </c>
      <c r="BV15" s="57">
        <f>VLOOKUP($A15,'Ratings Season'!$A:$M,12,FALSE)</f>
        <v/>
      </c>
      <c r="BW15" s="54">
        <f>RANK(BV15,BV$5:BV$22)</f>
        <v/>
      </c>
      <c r="BX15" s="57">
        <f>VLOOKUP($A15,'Ratings Season'!$A:$M,8,FALSE)</f>
        <v/>
      </c>
      <c r="BY15" s="58">
        <f>RANK(BX15,BX$5:BX$22)</f>
        <v/>
      </c>
      <c r="BZ15" s="72" t="n"/>
    </row>
    <row r="16" ht="25" customFormat="1" customHeight="1" s="3">
      <c r="A16" s="86" t="inlineStr">
        <is>
          <t>North Melbourne</t>
        </is>
      </c>
      <c r="B16" s="53">
        <f>VLOOKUP($A16,'2025'!$A:$IZ,222,FALSE)</f>
        <v/>
      </c>
      <c r="C16" s="54">
        <f>RANK(B16,B$5:B$22)</f>
        <v/>
      </c>
      <c r="D16" s="55">
        <f>VLOOKUP($A16,'2025'!$A:$IZ,218,FALSE)</f>
        <v/>
      </c>
      <c r="E16" s="54">
        <f>RANK(D16,D$5:D$22)</f>
        <v/>
      </c>
      <c r="F16" s="55">
        <f>VLOOKUP($A16,'2025'!$A:$IZ,49,FALSE)</f>
        <v/>
      </c>
      <c r="G16" s="54">
        <f>RANK(F16,F$5:F$22)</f>
        <v/>
      </c>
      <c r="H16" s="55">
        <f>VLOOKUP($A16,'2025'!$A:$IZ,229,FALSE)</f>
        <v/>
      </c>
      <c r="I16" s="54">
        <f>RANK(H16,H$5:H$22)</f>
        <v/>
      </c>
      <c r="J16" s="49">
        <f>104-(C16+E16+G16+I16)</f>
        <v/>
      </c>
      <c r="K16" s="47">
        <f>RANK(J16,J$5:J$22)</f>
        <v/>
      </c>
      <c r="L16" s="56" t="n"/>
      <c r="M16" s="53">
        <f>VLOOKUP($A16,'2025'!$A:$IZ,88,FALSE)</f>
        <v/>
      </c>
      <c r="N16" s="54">
        <f>RANK(M16,M$5:M$22)</f>
        <v/>
      </c>
      <c r="O16" s="53">
        <f>VLOOKUP($A16,'2025'!$A:$IZ,84,FALSE)</f>
        <v/>
      </c>
      <c r="P16" s="54">
        <f>RANK(O16,O$5:O$22)</f>
        <v/>
      </c>
      <c r="Q16" s="53">
        <f>VLOOKUP($A16,'2025'!$A:$IZ,85,FALSE)</f>
        <v/>
      </c>
      <c r="R16" s="54">
        <f>RANK(Q16,Q$5:Q$22)</f>
        <v/>
      </c>
      <c r="S16" s="55">
        <f>VLOOKUP($A16,'2025'!$A:$IZ,29,FALSE)</f>
        <v/>
      </c>
      <c r="T16" s="54">
        <f>RANK(S16,S$5:S$22)</f>
        <v/>
      </c>
      <c r="U16" s="49">
        <f>104-(N16+P16+R16+T16)</f>
        <v/>
      </c>
      <c r="V16" s="47">
        <f>RANK(U16,U$5:U$22)</f>
        <v/>
      </c>
      <c r="W16" s="56" t="n"/>
      <c r="X16" s="53">
        <f>VLOOKUP($A16,'2025'!$A:$IZ,65,FALSE)</f>
        <v/>
      </c>
      <c r="Y16" s="54">
        <f>RANK(X16,X$5:X$22)</f>
        <v/>
      </c>
      <c r="Z16" s="53">
        <f>VLOOKUP($A16,'2025'!$A:$IZ,64,FALSE)</f>
        <v/>
      </c>
      <c r="AA16" s="54">
        <f>RANK(Z16,Z$5:Z$22)</f>
        <v/>
      </c>
      <c r="AB16" s="53">
        <f>VLOOKUP($A16,'2025'!$A:$IZ,63,FALSE)</f>
        <v/>
      </c>
      <c r="AC16" s="54">
        <f>RANK(AB16,AB$5:AB$22)</f>
        <v/>
      </c>
      <c r="AD16" s="53">
        <f>VLOOKUP($A16,'2025'!$A:$IZ,71,FALSE)</f>
        <v/>
      </c>
      <c r="AE16" s="54">
        <f>RANK(AD16,AD$5:AD$22)</f>
        <v/>
      </c>
      <c r="AF16" s="65">
        <f>104-(Y16+AA16+AC16+AE16)</f>
        <v/>
      </c>
      <c r="AG16" s="47">
        <f>RANK(AF16,AF$5:AF$22)</f>
        <v/>
      </c>
      <c r="AH16" s="56" t="n"/>
      <c r="AI16" s="53">
        <f>VLOOKUP($A16,'2025'!$A:$IZ,183,FALSE)</f>
        <v/>
      </c>
      <c r="AJ16" s="54">
        <f>RANK(AI16,AI$5:AI$22,1)</f>
        <v/>
      </c>
      <c r="AK16" s="53">
        <f>VLOOKUP($A16,'2025'!$A:$IZ,181,FALSE)</f>
        <v/>
      </c>
      <c r="AL16" s="54">
        <f>RANK(AK16,AK$5:AK$22,1)</f>
        <v/>
      </c>
      <c r="AM16" s="53">
        <f>VLOOKUP($A16,'2025'!$A:$IZ,182,FALSE)</f>
        <v/>
      </c>
      <c r="AN16" s="54">
        <f>RANK(AM16,AM$5:AM$22,1)</f>
        <v/>
      </c>
      <c r="AO16" s="53">
        <f>VLOOKUP($A16,'2025'!$A:$IZ,163,FALSE)</f>
        <v/>
      </c>
      <c r="AP16" s="54">
        <f>RANK(AO16,AO$5:AO$22,1)</f>
        <v/>
      </c>
      <c r="AQ16" s="65">
        <f>104-(AJ16+AL16+AN16+AP16)</f>
        <v/>
      </c>
      <c r="AR16" s="47">
        <f>RANK(AQ16,AQ$5:AQ$22)</f>
        <v/>
      </c>
      <c r="AS16" s="56" t="n"/>
      <c r="AT16" s="46">
        <f>VLOOKUP($A16,'2025'!$A:$IZ,250,FALSE)</f>
        <v/>
      </c>
      <c r="AU16" s="47">
        <f>RANK(AT16,AT$5:AT$22,0)</f>
        <v/>
      </c>
      <c r="AV16" s="46">
        <f>VLOOKUP($A16,'2025'!$A:$IZ,92,FALSE)</f>
        <v/>
      </c>
      <c r="AW16" s="47">
        <f>RANK(AV16,AV$5:AV$22,0)</f>
        <v/>
      </c>
      <c r="AX16" s="46">
        <f>VLOOKUP($A16,'2025'!$A:$IZ,93,FALSE)</f>
        <v/>
      </c>
      <c r="AY16" s="47">
        <f>RANK(AX16,AX$5:AX$22,0)</f>
        <v/>
      </c>
      <c r="AZ16" s="46">
        <f>VLOOKUP($A16,'2025'!$A:$IZ,108,FALSE)</f>
        <v/>
      </c>
      <c r="BA16" s="47">
        <f>RANK(AZ16,AZ$5:AZ$22,0)</f>
        <v/>
      </c>
      <c r="BB16" s="49">
        <f>104-(AU16+AW16+AY16+BA16)</f>
        <v/>
      </c>
      <c r="BC16" s="47">
        <f>RANK(BB16,BB$5:BB$22)</f>
        <v/>
      </c>
      <c r="BD16" s="56" t="n"/>
      <c r="BE16" s="53">
        <f>VLOOKUP($A16,'2025'!$A:$IZ,80,FALSE)</f>
        <v/>
      </c>
      <c r="BF16" s="54">
        <f>RANK(BE16,BE$5:BE$22)</f>
        <v/>
      </c>
      <c r="BG16" s="53">
        <f>VLOOKUP($A16,'2025'!$A:$IZ,177,FALSE)</f>
        <v/>
      </c>
      <c r="BH16" s="54">
        <f>RANK(BG16,BG$5:BG$22,1)</f>
        <v/>
      </c>
      <c r="BI16" s="53">
        <f>VLOOKUP($A16,'2025'!$A:$IZ,79,FALSE)</f>
        <v/>
      </c>
      <c r="BJ16" s="54">
        <f>RANK(BI16,BI$5:BI$22)</f>
        <v/>
      </c>
      <c r="BK16" s="53">
        <f>VLOOKUP($A16,'2025'!$A:$IZ,176,FALSE)</f>
        <v/>
      </c>
      <c r="BL16" s="54">
        <f>RANK(BK16,BK$5:BK$22,1)</f>
        <v/>
      </c>
      <c r="BM16" s="53">
        <f>VLOOKUP($A16,'2025'!$A:$IZ,11,FALSE)</f>
        <v/>
      </c>
      <c r="BN16" s="54">
        <f>RANK(BM16,BM$5:BM$22)</f>
        <v/>
      </c>
      <c r="BO16" s="53">
        <f>VLOOKUP($A16,'2025'!$A:$IZ,222,FALSE)</f>
        <v/>
      </c>
      <c r="BP16" s="54">
        <f>RANK(BO16,BO$5:BO$22)</f>
        <v/>
      </c>
      <c r="BQ16" s="65">
        <f>106-(BF16+BH16+BN16+BP16+BJ16+BL16)</f>
        <v/>
      </c>
      <c r="BR16" s="47">
        <f>RANK(BQ16,BQ$5:BQ$22)</f>
        <v/>
      </c>
      <c r="BS16" s="56" t="n"/>
      <c r="BT16" s="57">
        <f>VLOOKUP($A16,'Ratings Season'!$A:$M,10,FALSE)</f>
        <v/>
      </c>
      <c r="BU16" s="54">
        <f>RANK(BT16,BT$5:BT$22)</f>
        <v/>
      </c>
      <c r="BV16" s="57">
        <f>VLOOKUP($A16,'Ratings Season'!$A:$M,12,FALSE)</f>
        <v/>
      </c>
      <c r="BW16" s="54">
        <f>RANK(BV16,BV$5:BV$22)</f>
        <v/>
      </c>
      <c r="BX16" s="57">
        <f>VLOOKUP($A16,'Ratings Season'!$A:$M,8,FALSE)</f>
        <v/>
      </c>
      <c r="BY16" s="58">
        <f>RANK(BX16,BX$5:BX$22)</f>
        <v/>
      </c>
      <c r="BZ16" s="72" t="n"/>
    </row>
    <row r="17" ht="25" customFormat="1" customHeight="1" s="3">
      <c r="A17" s="87" t="inlineStr">
        <is>
          <t>Port Adelaide</t>
        </is>
      </c>
      <c r="B17" s="53">
        <f>VLOOKUP($A17,'2025'!$A:$IZ,222,FALSE)</f>
        <v/>
      </c>
      <c r="C17" s="54">
        <f>RANK(B17,B$5:B$22)</f>
        <v/>
      </c>
      <c r="D17" s="55">
        <f>VLOOKUP($A17,'2025'!$A:$IZ,218,FALSE)</f>
        <v/>
      </c>
      <c r="E17" s="54">
        <f>RANK(D17,D$5:D$22)</f>
        <v/>
      </c>
      <c r="F17" s="55">
        <f>VLOOKUP($A17,'2025'!$A:$IZ,49,FALSE)</f>
        <v/>
      </c>
      <c r="G17" s="54">
        <f>RANK(F17,F$5:F$22)</f>
        <v/>
      </c>
      <c r="H17" s="55">
        <f>VLOOKUP($A17,'2025'!$A:$IZ,229,FALSE)</f>
        <v/>
      </c>
      <c r="I17" s="54">
        <f>RANK(H17,H$5:H$22)</f>
        <v/>
      </c>
      <c r="J17" s="49">
        <f>104-(C17+E17+G17+I17)</f>
        <v/>
      </c>
      <c r="K17" s="47">
        <f>RANK(J17,J$5:J$22)</f>
        <v/>
      </c>
      <c r="L17" s="56" t="n"/>
      <c r="M17" s="53">
        <f>VLOOKUP($A17,'2025'!$A:$IZ,88,FALSE)</f>
        <v/>
      </c>
      <c r="N17" s="54">
        <f>RANK(M17,M$5:M$22)</f>
        <v/>
      </c>
      <c r="O17" s="53">
        <f>VLOOKUP($A17,'2025'!$A:$IZ,84,FALSE)</f>
        <v/>
      </c>
      <c r="P17" s="54">
        <f>RANK(O17,O$5:O$22)</f>
        <v/>
      </c>
      <c r="Q17" s="53">
        <f>VLOOKUP($A17,'2025'!$A:$IZ,85,FALSE)</f>
        <v/>
      </c>
      <c r="R17" s="54">
        <f>RANK(Q17,Q$5:Q$22)</f>
        <v/>
      </c>
      <c r="S17" s="55">
        <f>VLOOKUP($A17,'2025'!$A:$IZ,29,FALSE)</f>
        <v/>
      </c>
      <c r="T17" s="54">
        <f>RANK(S17,S$5:S$22)</f>
        <v/>
      </c>
      <c r="U17" s="49">
        <f>104-(N17+P17+R17+T17)</f>
        <v/>
      </c>
      <c r="V17" s="47">
        <f>RANK(U17,U$5:U$22)</f>
        <v/>
      </c>
      <c r="W17" s="56" t="n"/>
      <c r="X17" s="53">
        <f>VLOOKUP($A17,'2025'!$A:$IZ,65,FALSE)</f>
        <v/>
      </c>
      <c r="Y17" s="54">
        <f>RANK(X17,X$5:X$22)</f>
        <v/>
      </c>
      <c r="Z17" s="53">
        <f>VLOOKUP($A17,'2025'!$A:$IZ,64,FALSE)</f>
        <v/>
      </c>
      <c r="AA17" s="54">
        <f>RANK(Z17,Z$5:Z$22)</f>
        <v/>
      </c>
      <c r="AB17" s="53">
        <f>VLOOKUP($A17,'2025'!$A:$IZ,63,FALSE)</f>
        <v/>
      </c>
      <c r="AC17" s="54">
        <f>RANK(AB17,AB$5:AB$22)</f>
        <v/>
      </c>
      <c r="AD17" s="53">
        <f>VLOOKUP($A17,'2025'!$A:$IZ,71,FALSE)</f>
        <v/>
      </c>
      <c r="AE17" s="54">
        <f>RANK(AD17,AD$5:AD$22)</f>
        <v/>
      </c>
      <c r="AF17" s="65">
        <f>104-(Y17+AA17+AC17+AE17)</f>
        <v/>
      </c>
      <c r="AG17" s="47">
        <f>RANK(AF17,AF$5:AF$22)</f>
        <v/>
      </c>
      <c r="AH17" s="56" t="n"/>
      <c r="AI17" s="53">
        <f>VLOOKUP($A17,'2025'!$A:$IZ,183,FALSE)</f>
        <v/>
      </c>
      <c r="AJ17" s="54">
        <f>RANK(AI17,AI$5:AI$22,1)</f>
        <v/>
      </c>
      <c r="AK17" s="53">
        <f>VLOOKUP($A17,'2025'!$A:$IZ,181,FALSE)</f>
        <v/>
      </c>
      <c r="AL17" s="54">
        <f>RANK(AK17,AK$5:AK$22,1)</f>
        <v/>
      </c>
      <c r="AM17" s="53">
        <f>VLOOKUP($A17,'2025'!$A:$IZ,182,FALSE)</f>
        <v/>
      </c>
      <c r="AN17" s="54">
        <f>RANK(AM17,AM$5:AM$22,1)</f>
        <v/>
      </c>
      <c r="AO17" s="53">
        <f>VLOOKUP($A17,'2025'!$A:$IZ,163,FALSE)</f>
        <v/>
      </c>
      <c r="AP17" s="54">
        <f>RANK(AO17,AO$5:AO$22,1)</f>
        <v/>
      </c>
      <c r="AQ17" s="65">
        <f>104-(AJ17+AL17+AN17+AP17)</f>
        <v/>
      </c>
      <c r="AR17" s="47">
        <f>RANK(AQ17,AQ$5:AQ$22)</f>
        <v/>
      </c>
      <c r="AS17" s="56" t="n"/>
      <c r="AT17" s="46">
        <f>VLOOKUP($A17,'2025'!$A:$IZ,250,FALSE)</f>
        <v/>
      </c>
      <c r="AU17" s="47">
        <f>RANK(AT17,AT$5:AT$22,0)</f>
        <v/>
      </c>
      <c r="AV17" s="46">
        <f>VLOOKUP($A17,'2025'!$A:$IZ,92,FALSE)</f>
        <v/>
      </c>
      <c r="AW17" s="47">
        <f>RANK(AV17,AV$5:AV$22,0)</f>
        <v/>
      </c>
      <c r="AX17" s="46">
        <f>VLOOKUP($A17,'2025'!$A:$IZ,93,FALSE)</f>
        <v/>
      </c>
      <c r="AY17" s="47">
        <f>RANK(AX17,AX$5:AX$22,0)</f>
        <v/>
      </c>
      <c r="AZ17" s="46">
        <f>VLOOKUP($A17,'2025'!$A:$IZ,108,FALSE)</f>
        <v/>
      </c>
      <c r="BA17" s="47">
        <f>RANK(AZ17,AZ$5:AZ$22,0)</f>
        <v/>
      </c>
      <c r="BB17" s="49">
        <f>104-(AU17+AW17+AY17+BA17)</f>
        <v/>
      </c>
      <c r="BC17" s="47">
        <f>RANK(BB17,BB$5:BB$22)</f>
        <v/>
      </c>
      <c r="BD17" s="56" t="n"/>
      <c r="BE17" s="53">
        <f>VLOOKUP($A17,'2025'!$A:$IZ,80,FALSE)</f>
        <v/>
      </c>
      <c r="BF17" s="54">
        <f>RANK(BE17,BE$5:BE$22)</f>
        <v/>
      </c>
      <c r="BG17" s="53">
        <f>VLOOKUP($A17,'2025'!$A:$IZ,177,FALSE)</f>
        <v/>
      </c>
      <c r="BH17" s="54">
        <f>RANK(BG17,BG$5:BG$22,1)</f>
        <v/>
      </c>
      <c r="BI17" s="53">
        <f>VLOOKUP($A17,'2025'!$A:$IZ,79,FALSE)</f>
        <v/>
      </c>
      <c r="BJ17" s="54">
        <f>RANK(BI17,BI$5:BI$22)</f>
        <v/>
      </c>
      <c r="BK17" s="53">
        <f>VLOOKUP($A17,'2025'!$A:$IZ,176,FALSE)</f>
        <v/>
      </c>
      <c r="BL17" s="54">
        <f>RANK(BK17,BK$5:BK$22,1)</f>
        <v/>
      </c>
      <c r="BM17" s="53">
        <f>VLOOKUP($A17,'2025'!$A:$IZ,11,FALSE)</f>
        <v/>
      </c>
      <c r="BN17" s="54">
        <f>RANK(BM17,BM$5:BM$22)</f>
        <v/>
      </c>
      <c r="BO17" s="53">
        <f>VLOOKUP($A17,'2025'!$A:$IZ,222,FALSE)</f>
        <v/>
      </c>
      <c r="BP17" s="54">
        <f>RANK(BO17,BO$5:BO$22)</f>
        <v/>
      </c>
      <c r="BQ17" s="65">
        <f>106-(BF17+BH17+BN17+BP17+BJ17+BL17)</f>
        <v/>
      </c>
      <c r="BR17" s="47">
        <f>RANK(BQ17,BQ$5:BQ$22)</f>
        <v/>
      </c>
      <c r="BS17" s="56" t="n"/>
      <c r="BT17" s="57">
        <f>VLOOKUP($A17,'Ratings Season'!$A:$M,10,FALSE)</f>
        <v/>
      </c>
      <c r="BU17" s="54">
        <f>RANK(BT17,BT$5:BT$22)</f>
        <v/>
      </c>
      <c r="BV17" s="57">
        <f>VLOOKUP($A17,'Ratings Season'!$A:$M,12,FALSE)</f>
        <v/>
      </c>
      <c r="BW17" s="54">
        <f>RANK(BV17,BV$5:BV$22)</f>
        <v/>
      </c>
      <c r="BX17" s="57">
        <f>VLOOKUP($A17,'Ratings Season'!$A:$M,8,FALSE)</f>
        <v/>
      </c>
      <c r="BY17" s="58">
        <f>RANK(BX17,BX$5:BX$22)</f>
        <v/>
      </c>
      <c r="BZ17" s="72" t="n"/>
    </row>
    <row r="18" ht="25" customFormat="1" customHeight="1" s="3">
      <c r="A18" s="88" t="inlineStr">
        <is>
          <t>Richmond</t>
        </is>
      </c>
      <c r="B18" s="53">
        <f>VLOOKUP($A18,'2025'!$A:$IZ,222,FALSE)</f>
        <v/>
      </c>
      <c r="C18" s="54">
        <f>RANK(B18,B$5:B$22)</f>
        <v/>
      </c>
      <c r="D18" s="55">
        <f>VLOOKUP($A18,'2025'!$A:$IZ,218,FALSE)</f>
        <v/>
      </c>
      <c r="E18" s="54">
        <f>RANK(D18,D$5:D$22)</f>
        <v/>
      </c>
      <c r="F18" s="55">
        <f>VLOOKUP($A18,'2025'!$A:$IZ,49,FALSE)</f>
        <v/>
      </c>
      <c r="G18" s="54">
        <f>RANK(F18,F$5:F$22)</f>
        <v/>
      </c>
      <c r="H18" s="55">
        <f>VLOOKUP($A18,'2025'!$A:$IZ,229,FALSE)</f>
        <v/>
      </c>
      <c r="I18" s="54">
        <f>RANK(H18,H$5:H$22)</f>
        <v/>
      </c>
      <c r="J18" s="49">
        <f>104-(C18+E18+G18+I18)</f>
        <v/>
      </c>
      <c r="K18" s="47">
        <f>RANK(J18,J$5:J$22)</f>
        <v/>
      </c>
      <c r="L18" s="56" t="n"/>
      <c r="M18" s="53">
        <f>VLOOKUP($A18,'2025'!$A:$IZ,88,FALSE)</f>
        <v/>
      </c>
      <c r="N18" s="54">
        <f>RANK(M18,M$5:M$22)</f>
        <v/>
      </c>
      <c r="O18" s="53">
        <f>VLOOKUP($A18,'2025'!$A:$IZ,84,FALSE)</f>
        <v/>
      </c>
      <c r="P18" s="54">
        <f>RANK(O18,O$5:O$22)</f>
        <v/>
      </c>
      <c r="Q18" s="53">
        <f>VLOOKUP($A18,'2025'!$A:$IZ,85,FALSE)</f>
        <v/>
      </c>
      <c r="R18" s="54">
        <f>RANK(Q18,Q$5:Q$22)</f>
        <v/>
      </c>
      <c r="S18" s="55">
        <f>VLOOKUP($A18,'2025'!$A:$IZ,29,FALSE)</f>
        <v/>
      </c>
      <c r="T18" s="54">
        <f>RANK(S18,S$5:S$22)</f>
        <v/>
      </c>
      <c r="U18" s="49">
        <f>104-(N18+P18+R18+T18)</f>
        <v/>
      </c>
      <c r="V18" s="47">
        <f>RANK(U18,U$5:U$22)</f>
        <v/>
      </c>
      <c r="W18" s="56" t="n"/>
      <c r="X18" s="53">
        <f>VLOOKUP($A18,'2025'!$A:$IZ,65,FALSE)</f>
        <v/>
      </c>
      <c r="Y18" s="54">
        <f>RANK(X18,X$5:X$22)</f>
        <v/>
      </c>
      <c r="Z18" s="53">
        <f>VLOOKUP($A18,'2025'!$A:$IZ,64,FALSE)</f>
        <v/>
      </c>
      <c r="AA18" s="54">
        <f>RANK(Z18,Z$5:Z$22)</f>
        <v/>
      </c>
      <c r="AB18" s="53">
        <f>VLOOKUP($A18,'2025'!$A:$IZ,63,FALSE)</f>
        <v/>
      </c>
      <c r="AC18" s="54">
        <f>RANK(AB18,AB$5:AB$22)</f>
        <v/>
      </c>
      <c r="AD18" s="53">
        <f>VLOOKUP($A18,'2025'!$A:$IZ,71,FALSE)</f>
        <v/>
      </c>
      <c r="AE18" s="54">
        <f>RANK(AD18,AD$5:AD$22)</f>
        <v/>
      </c>
      <c r="AF18" s="65">
        <f>104-(Y18+AA18+AC18+AE18)</f>
        <v/>
      </c>
      <c r="AG18" s="47">
        <f>RANK(AF18,AF$5:AF$22)</f>
        <v/>
      </c>
      <c r="AH18" s="56" t="n"/>
      <c r="AI18" s="53">
        <f>VLOOKUP($A18,'2025'!$A:$IZ,183,FALSE)</f>
        <v/>
      </c>
      <c r="AJ18" s="54">
        <f>RANK(AI18,AI$5:AI$22,1)</f>
        <v/>
      </c>
      <c r="AK18" s="53">
        <f>VLOOKUP($A18,'2025'!$A:$IZ,181,FALSE)</f>
        <v/>
      </c>
      <c r="AL18" s="54">
        <f>RANK(AK18,AK$5:AK$22,1)</f>
        <v/>
      </c>
      <c r="AM18" s="53">
        <f>VLOOKUP($A18,'2025'!$A:$IZ,182,FALSE)</f>
        <v/>
      </c>
      <c r="AN18" s="54">
        <f>RANK(AM18,AM$5:AM$22,1)</f>
        <v/>
      </c>
      <c r="AO18" s="53">
        <f>VLOOKUP($A18,'2025'!$A:$IZ,163,FALSE)</f>
        <v/>
      </c>
      <c r="AP18" s="54">
        <f>RANK(AO18,AO$5:AO$22,1)</f>
        <v/>
      </c>
      <c r="AQ18" s="65">
        <f>104-(AJ18+AL18+AN18+AP18)</f>
        <v/>
      </c>
      <c r="AR18" s="47">
        <f>RANK(AQ18,AQ$5:AQ$22)</f>
        <v/>
      </c>
      <c r="AS18" s="56" t="n"/>
      <c r="AT18" s="46">
        <f>VLOOKUP($A18,'2025'!$A:$IZ,250,FALSE)</f>
        <v/>
      </c>
      <c r="AU18" s="47">
        <f>RANK(AT18,AT$5:AT$22,0)</f>
        <v/>
      </c>
      <c r="AV18" s="46">
        <f>VLOOKUP($A18,'2025'!$A:$IZ,92,FALSE)</f>
        <v/>
      </c>
      <c r="AW18" s="47">
        <f>RANK(AV18,AV$5:AV$22,0)</f>
        <v/>
      </c>
      <c r="AX18" s="46">
        <f>VLOOKUP($A18,'2025'!$A:$IZ,93,FALSE)</f>
        <v/>
      </c>
      <c r="AY18" s="47">
        <f>RANK(AX18,AX$5:AX$22,0)</f>
        <v/>
      </c>
      <c r="AZ18" s="46">
        <f>VLOOKUP($A18,'2025'!$A:$IZ,108,FALSE)</f>
        <v/>
      </c>
      <c r="BA18" s="47">
        <f>RANK(AZ18,AZ$5:AZ$22,0)</f>
        <v/>
      </c>
      <c r="BB18" s="49">
        <f>104-(AU18+AW18+AY18+BA18)</f>
        <v/>
      </c>
      <c r="BC18" s="47">
        <f>RANK(BB18,BB$5:BB$22)</f>
        <v/>
      </c>
      <c r="BD18" s="56" t="n"/>
      <c r="BE18" s="53">
        <f>VLOOKUP($A18,'2025'!$A:$IZ,80,FALSE)</f>
        <v/>
      </c>
      <c r="BF18" s="54">
        <f>RANK(BE18,BE$5:BE$22)</f>
        <v/>
      </c>
      <c r="BG18" s="53">
        <f>VLOOKUP($A18,'2025'!$A:$IZ,177,FALSE)</f>
        <v/>
      </c>
      <c r="BH18" s="54">
        <f>RANK(BG18,BG$5:BG$22,1)</f>
        <v/>
      </c>
      <c r="BI18" s="53">
        <f>VLOOKUP($A18,'2025'!$A:$IZ,79,FALSE)</f>
        <v/>
      </c>
      <c r="BJ18" s="54">
        <f>RANK(BI18,BI$5:BI$22)</f>
        <v/>
      </c>
      <c r="BK18" s="53">
        <f>VLOOKUP($A18,'2025'!$A:$IZ,176,FALSE)</f>
        <v/>
      </c>
      <c r="BL18" s="54">
        <f>RANK(BK18,BK$5:BK$22,1)</f>
        <v/>
      </c>
      <c r="BM18" s="53">
        <f>VLOOKUP($A18,'2025'!$A:$IZ,11,FALSE)</f>
        <v/>
      </c>
      <c r="BN18" s="54">
        <f>RANK(BM18,BM$5:BM$22)</f>
        <v/>
      </c>
      <c r="BO18" s="53">
        <f>VLOOKUP($A18,'2025'!$A:$IZ,222,FALSE)</f>
        <v/>
      </c>
      <c r="BP18" s="54">
        <f>RANK(BO18,BO$5:BO$22)</f>
        <v/>
      </c>
      <c r="BQ18" s="65">
        <f>106-(BF18+BH18+BN18+BP18+BJ18+BL18)</f>
        <v/>
      </c>
      <c r="BR18" s="47">
        <f>RANK(BQ18,BQ$5:BQ$22)</f>
        <v/>
      </c>
      <c r="BS18" s="56" t="n"/>
      <c r="BT18" s="57">
        <f>VLOOKUP($A18,'Ratings Season'!$A:$M,10,FALSE)</f>
        <v/>
      </c>
      <c r="BU18" s="54">
        <f>RANK(BT18,BT$5:BT$22)</f>
        <v/>
      </c>
      <c r="BV18" s="57">
        <f>VLOOKUP($A18,'Ratings Season'!$A:$M,12,FALSE)</f>
        <v/>
      </c>
      <c r="BW18" s="54">
        <f>RANK(BV18,BV$5:BV$22)</f>
        <v/>
      </c>
      <c r="BX18" s="57">
        <f>VLOOKUP($A18,'Ratings Season'!$A:$M,8,FALSE)</f>
        <v/>
      </c>
      <c r="BY18" s="58">
        <f>RANK(BX18,BX$5:BX$22)</f>
        <v/>
      </c>
      <c r="BZ18" s="72" t="n"/>
    </row>
    <row r="19" ht="25" customFormat="1" customHeight="1" s="3">
      <c r="A19" s="89" t="inlineStr">
        <is>
          <t>St Kilda</t>
        </is>
      </c>
      <c r="B19" s="53">
        <f>VLOOKUP($A19,'2025'!$A:$IZ,222,FALSE)</f>
        <v/>
      </c>
      <c r="C19" s="54">
        <f>RANK(B19,B$5:B$22)</f>
        <v/>
      </c>
      <c r="D19" s="55">
        <f>VLOOKUP($A19,'2025'!$A:$IZ,218,FALSE)</f>
        <v/>
      </c>
      <c r="E19" s="54">
        <f>RANK(D19,D$5:D$22)</f>
        <v/>
      </c>
      <c r="F19" s="55">
        <f>VLOOKUP($A19,'2025'!$A:$IZ,49,FALSE)</f>
        <v/>
      </c>
      <c r="G19" s="54">
        <f>RANK(F19,F$5:F$22)</f>
        <v/>
      </c>
      <c r="H19" s="55">
        <f>VLOOKUP($A19,'2025'!$A:$IZ,229,FALSE)</f>
        <v/>
      </c>
      <c r="I19" s="54">
        <f>RANK(H19,H$5:H$22)</f>
        <v/>
      </c>
      <c r="J19" s="49">
        <f>104-(C19+E19+G19+I19)</f>
        <v/>
      </c>
      <c r="K19" s="47">
        <f>RANK(J19,J$5:J$22)</f>
        <v/>
      </c>
      <c r="L19" s="56" t="n"/>
      <c r="M19" s="53">
        <f>VLOOKUP($A19,'2025'!$A:$IZ,88,FALSE)</f>
        <v/>
      </c>
      <c r="N19" s="54">
        <f>RANK(M19,M$5:M$22)</f>
        <v/>
      </c>
      <c r="O19" s="53">
        <f>VLOOKUP($A19,'2025'!$A:$IZ,84,FALSE)</f>
        <v/>
      </c>
      <c r="P19" s="54">
        <f>RANK(O19,O$5:O$22)</f>
        <v/>
      </c>
      <c r="Q19" s="53">
        <f>VLOOKUP($A19,'2025'!$A:$IZ,85,FALSE)</f>
        <v/>
      </c>
      <c r="R19" s="54">
        <f>RANK(Q19,Q$5:Q$22)</f>
        <v/>
      </c>
      <c r="S19" s="55">
        <f>VLOOKUP($A19,'2025'!$A:$IZ,29,FALSE)</f>
        <v/>
      </c>
      <c r="T19" s="54">
        <f>RANK(S19,S$5:S$22)</f>
        <v/>
      </c>
      <c r="U19" s="49">
        <f>104-(N19+P19+R19+T19)</f>
        <v/>
      </c>
      <c r="V19" s="47">
        <f>RANK(U19,U$5:U$22)</f>
        <v/>
      </c>
      <c r="W19" s="56" t="n"/>
      <c r="X19" s="53">
        <f>VLOOKUP($A19,'2025'!$A:$IZ,65,FALSE)</f>
        <v/>
      </c>
      <c r="Y19" s="54">
        <f>RANK(X19,X$5:X$22)</f>
        <v/>
      </c>
      <c r="Z19" s="53">
        <f>VLOOKUP($A19,'2025'!$A:$IZ,64,FALSE)</f>
        <v/>
      </c>
      <c r="AA19" s="54">
        <f>RANK(Z19,Z$5:Z$22)</f>
        <v/>
      </c>
      <c r="AB19" s="53">
        <f>VLOOKUP($A19,'2025'!$A:$IZ,63,FALSE)</f>
        <v/>
      </c>
      <c r="AC19" s="54">
        <f>RANK(AB19,AB$5:AB$22)</f>
        <v/>
      </c>
      <c r="AD19" s="53">
        <f>VLOOKUP($A19,'2025'!$A:$IZ,71,FALSE)</f>
        <v/>
      </c>
      <c r="AE19" s="54">
        <f>RANK(AD19,AD$5:AD$22)</f>
        <v/>
      </c>
      <c r="AF19" s="65">
        <f>104-(Y19+AA19+AC19+AE19)</f>
        <v/>
      </c>
      <c r="AG19" s="47">
        <f>RANK(AF19,AF$5:AF$22)</f>
        <v/>
      </c>
      <c r="AH19" s="56" t="n"/>
      <c r="AI19" s="53">
        <f>VLOOKUP($A19,'2025'!$A:$IZ,183,FALSE)</f>
        <v/>
      </c>
      <c r="AJ19" s="54">
        <f>RANK(AI19,AI$5:AI$22,1)</f>
        <v/>
      </c>
      <c r="AK19" s="53">
        <f>VLOOKUP($A19,'2025'!$A:$IZ,181,FALSE)</f>
        <v/>
      </c>
      <c r="AL19" s="54">
        <f>RANK(AK19,AK$5:AK$22,1)</f>
        <v/>
      </c>
      <c r="AM19" s="53">
        <f>VLOOKUP($A19,'2025'!$A:$IZ,182,FALSE)</f>
        <v/>
      </c>
      <c r="AN19" s="54">
        <f>RANK(AM19,AM$5:AM$22,1)</f>
        <v/>
      </c>
      <c r="AO19" s="53">
        <f>VLOOKUP($A19,'2025'!$A:$IZ,163,FALSE)</f>
        <v/>
      </c>
      <c r="AP19" s="54">
        <f>RANK(AO19,AO$5:AO$22,1)</f>
        <v/>
      </c>
      <c r="AQ19" s="65">
        <f>104-(AJ19+AL19+AN19+AP19)</f>
        <v/>
      </c>
      <c r="AR19" s="47">
        <f>RANK(AQ19,AQ$5:AQ$22)</f>
        <v/>
      </c>
      <c r="AS19" s="56" t="n"/>
      <c r="AT19" s="46">
        <f>VLOOKUP($A19,'2025'!$A:$IZ,250,FALSE)</f>
        <v/>
      </c>
      <c r="AU19" s="47">
        <f>RANK(AT19,AT$5:AT$22,0)</f>
        <v/>
      </c>
      <c r="AV19" s="46">
        <f>VLOOKUP($A19,'2025'!$A:$IZ,92,FALSE)</f>
        <v/>
      </c>
      <c r="AW19" s="47">
        <f>RANK(AV19,AV$5:AV$22,0)</f>
        <v/>
      </c>
      <c r="AX19" s="46">
        <f>VLOOKUP($A19,'2025'!$A:$IZ,93,FALSE)</f>
        <v/>
      </c>
      <c r="AY19" s="47">
        <f>RANK(AX19,AX$5:AX$22,0)</f>
        <v/>
      </c>
      <c r="AZ19" s="46">
        <f>VLOOKUP($A19,'2025'!$A:$IZ,108,FALSE)</f>
        <v/>
      </c>
      <c r="BA19" s="47">
        <f>RANK(AZ19,AZ$5:AZ$22,0)</f>
        <v/>
      </c>
      <c r="BB19" s="49">
        <f>104-(AU19+AW19+AY19+BA19)</f>
        <v/>
      </c>
      <c r="BC19" s="47">
        <f>RANK(BB19,BB$5:BB$22)</f>
        <v/>
      </c>
      <c r="BD19" s="56" t="n"/>
      <c r="BE19" s="53">
        <f>VLOOKUP($A19,'2025'!$A:$IZ,80,FALSE)</f>
        <v/>
      </c>
      <c r="BF19" s="54">
        <f>RANK(BE19,BE$5:BE$22)</f>
        <v/>
      </c>
      <c r="BG19" s="53">
        <f>VLOOKUP($A19,'2025'!$A:$IZ,177,FALSE)</f>
        <v/>
      </c>
      <c r="BH19" s="54">
        <f>RANK(BG19,BG$5:BG$22,1)</f>
        <v/>
      </c>
      <c r="BI19" s="53">
        <f>VLOOKUP($A19,'2025'!$A:$IZ,79,FALSE)</f>
        <v/>
      </c>
      <c r="BJ19" s="54">
        <f>RANK(BI19,BI$5:BI$22)</f>
        <v/>
      </c>
      <c r="BK19" s="53">
        <f>VLOOKUP($A19,'2025'!$A:$IZ,176,FALSE)</f>
        <v/>
      </c>
      <c r="BL19" s="54">
        <f>RANK(BK19,BK$5:BK$22,1)</f>
        <v/>
      </c>
      <c r="BM19" s="53">
        <f>VLOOKUP($A19,'2025'!$A:$IZ,11,FALSE)</f>
        <v/>
      </c>
      <c r="BN19" s="54">
        <f>RANK(BM19,BM$5:BM$22)</f>
        <v/>
      </c>
      <c r="BO19" s="53">
        <f>VLOOKUP($A19,'2025'!$A:$IZ,222,FALSE)</f>
        <v/>
      </c>
      <c r="BP19" s="54">
        <f>RANK(BO19,BO$5:BO$22)</f>
        <v/>
      </c>
      <c r="BQ19" s="65">
        <f>106-(BF19+BH19+BN19+BP19+BJ19+BL19)</f>
        <v/>
      </c>
      <c r="BR19" s="47">
        <f>RANK(BQ19,BQ$5:BQ$22)</f>
        <v/>
      </c>
      <c r="BS19" s="56" t="n"/>
      <c r="BT19" s="57">
        <f>VLOOKUP($A19,'Ratings Season'!$A:$M,10,FALSE)</f>
        <v/>
      </c>
      <c r="BU19" s="54">
        <f>RANK(BT19,BT$5:BT$22)</f>
        <v/>
      </c>
      <c r="BV19" s="57">
        <f>VLOOKUP($A19,'Ratings Season'!$A:$M,12,FALSE)</f>
        <v/>
      </c>
      <c r="BW19" s="54">
        <f>RANK(BV19,BV$5:BV$22)</f>
        <v/>
      </c>
      <c r="BX19" s="57">
        <f>VLOOKUP($A19,'Ratings Season'!$A:$M,8,FALSE)</f>
        <v/>
      </c>
      <c r="BY19" s="58">
        <f>RANK(BX19,BX$5:BX$22)</f>
        <v/>
      </c>
      <c r="BZ19" s="72" t="n"/>
    </row>
    <row r="20" ht="25" customFormat="1" customHeight="1" s="3">
      <c r="A20" s="90" t="inlineStr">
        <is>
          <t>Sydney</t>
        </is>
      </c>
      <c r="B20" s="53">
        <f>VLOOKUP($A20,'2025'!$A:$IZ,222,FALSE)</f>
        <v/>
      </c>
      <c r="C20" s="54">
        <f>RANK(B20,B$5:B$22)</f>
        <v/>
      </c>
      <c r="D20" s="55">
        <f>VLOOKUP($A20,'2025'!$A:$IZ,218,FALSE)</f>
        <v/>
      </c>
      <c r="E20" s="54">
        <f>RANK(D20,D$5:D$22)</f>
        <v/>
      </c>
      <c r="F20" s="55">
        <f>VLOOKUP($A20,'2025'!$A:$IZ,49,FALSE)</f>
        <v/>
      </c>
      <c r="G20" s="54">
        <f>RANK(F20,F$5:F$22)</f>
        <v/>
      </c>
      <c r="H20" s="55">
        <f>VLOOKUP($A20,'2025'!$A:$IZ,229,FALSE)</f>
        <v/>
      </c>
      <c r="I20" s="54">
        <f>RANK(H20,H$5:H$22)</f>
        <v/>
      </c>
      <c r="J20" s="49">
        <f>104-(C20+E20+G20+I20)</f>
        <v/>
      </c>
      <c r="K20" s="47">
        <f>RANK(J20,J$5:J$22)</f>
        <v/>
      </c>
      <c r="L20" s="56" t="n"/>
      <c r="M20" s="53">
        <f>VLOOKUP($A20,'2025'!$A:$IZ,88,FALSE)</f>
        <v/>
      </c>
      <c r="N20" s="54">
        <f>RANK(M20,M$5:M$22)</f>
        <v/>
      </c>
      <c r="O20" s="53">
        <f>VLOOKUP($A20,'2025'!$A:$IZ,84,FALSE)</f>
        <v/>
      </c>
      <c r="P20" s="54">
        <f>RANK(O20,O$5:O$22)</f>
        <v/>
      </c>
      <c r="Q20" s="53">
        <f>VLOOKUP($A20,'2025'!$A:$IZ,85,FALSE)</f>
        <v/>
      </c>
      <c r="R20" s="54">
        <f>RANK(Q20,Q$5:Q$22)</f>
        <v/>
      </c>
      <c r="S20" s="55">
        <f>VLOOKUP($A20,'2025'!$A:$IZ,29,FALSE)</f>
        <v/>
      </c>
      <c r="T20" s="54">
        <f>RANK(S20,S$5:S$22)</f>
        <v/>
      </c>
      <c r="U20" s="49">
        <f>104-(N20+P20+R20+T20)</f>
        <v/>
      </c>
      <c r="V20" s="47">
        <f>RANK(U20,U$5:U$22)</f>
        <v/>
      </c>
      <c r="W20" s="56" t="n"/>
      <c r="X20" s="53">
        <f>VLOOKUP($A20,'2025'!$A:$IZ,65,FALSE)</f>
        <v/>
      </c>
      <c r="Y20" s="54">
        <f>RANK(X20,X$5:X$22)</f>
        <v/>
      </c>
      <c r="Z20" s="53">
        <f>VLOOKUP($A20,'2025'!$A:$IZ,64,FALSE)</f>
        <v/>
      </c>
      <c r="AA20" s="54">
        <f>RANK(Z20,Z$5:Z$22)</f>
        <v/>
      </c>
      <c r="AB20" s="53">
        <f>VLOOKUP($A20,'2025'!$A:$IZ,63,FALSE)</f>
        <v/>
      </c>
      <c r="AC20" s="54">
        <f>RANK(AB20,AB$5:AB$22)</f>
        <v/>
      </c>
      <c r="AD20" s="53">
        <f>VLOOKUP($A20,'2025'!$A:$IZ,71,FALSE)</f>
        <v/>
      </c>
      <c r="AE20" s="54">
        <f>RANK(AD20,AD$5:AD$22)</f>
        <v/>
      </c>
      <c r="AF20" s="65">
        <f>104-(Y20+AA20+AC20+AE20)</f>
        <v/>
      </c>
      <c r="AG20" s="47">
        <f>RANK(AF20,AF$5:AF$22)</f>
        <v/>
      </c>
      <c r="AH20" s="56" t="n"/>
      <c r="AI20" s="53">
        <f>VLOOKUP($A20,'2025'!$A:$IZ,183,FALSE)</f>
        <v/>
      </c>
      <c r="AJ20" s="54">
        <f>RANK(AI20,AI$5:AI$22,1)</f>
        <v/>
      </c>
      <c r="AK20" s="53">
        <f>VLOOKUP($A20,'2025'!$A:$IZ,181,FALSE)</f>
        <v/>
      </c>
      <c r="AL20" s="54">
        <f>RANK(AK20,AK$5:AK$22,1)</f>
        <v/>
      </c>
      <c r="AM20" s="53">
        <f>VLOOKUP($A20,'2025'!$A:$IZ,182,FALSE)</f>
        <v/>
      </c>
      <c r="AN20" s="54">
        <f>RANK(AM20,AM$5:AM$22,1)</f>
        <v/>
      </c>
      <c r="AO20" s="53">
        <f>VLOOKUP($A20,'2025'!$A:$IZ,163,FALSE)</f>
        <v/>
      </c>
      <c r="AP20" s="54">
        <f>RANK(AO20,AO$5:AO$22,1)</f>
        <v/>
      </c>
      <c r="AQ20" s="65">
        <f>104-(AJ20+AL20+AN20+AP20)</f>
        <v/>
      </c>
      <c r="AR20" s="47">
        <f>RANK(AQ20,AQ$5:AQ$22)</f>
        <v/>
      </c>
      <c r="AS20" s="56" t="n"/>
      <c r="AT20" s="46">
        <f>VLOOKUP($A20,'2025'!$A:$IZ,250,FALSE)</f>
        <v/>
      </c>
      <c r="AU20" s="47">
        <f>RANK(AT20,AT$5:AT$22,0)</f>
        <v/>
      </c>
      <c r="AV20" s="46">
        <f>VLOOKUP($A20,'2025'!$A:$IZ,92,FALSE)</f>
        <v/>
      </c>
      <c r="AW20" s="47">
        <f>RANK(AV20,AV$5:AV$22,0)</f>
        <v/>
      </c>
      <c r="AX20" s="46">
        <f>VLOOKUP($A20,'2025'!$A:$IZ,93,FALSE)</f>
        <v/>
      </c>
      <c r="AY20" s="47">
        <f>RANK(AX20,AX$5:AX$22,0)</f>
        <v/>
      </c>
      <c r="AZ20" s="46">
        <f>VLOOKUP($A20,'2025'!$A:$IZ,108,FALSE)</f>
        <v/>
      </c>
      <c r="BA20" s="47">
        <f>RANK(AZ20,AZ$5:AZ$22,0)</f>
        <v/>
      </c>
      <c r="BB20" s="49">
        <f>104-(AU20+AW20+AY20+BA20)</f>
        <v/>
      </c>
      <c r="BC20" s="47">
        <f>RANK(BB20,BB$5:BB$22)</f>
        <v/>
      </c>
      <c r="BD20" s="56" t="n"/>
      <c r="BE20" s="53">
        <f>VLOOKUP($A20,'2025'!$A:$IZ,80,FALSE)</f>
        <v/>
      </c>
      <c r="BF20" s="54">
        <f>RANK(BE20,BE$5:BE$22)</f>
        <v/>
      </c>
      <c r="BG20" s="53">
        <f>VLOOKUP($A20,'2025'!$A:$IZ,177,FALSE)</f>
        <v/>
      </c>
      <c r="BH20" s="54">
        <f>RANK(BG20,BG$5:BG$22,1)</f>
        <v/>
      </c>
      <c r="BI20" s="53">
        <f>VLOOKUP($A20,'2025'!$A:$IZ,79,FALSE)</f>
        <v/>
      </c>
      <c r="BJ20" s="54">
        <f>RANK(BI20,BI$5:BI$22)</f>
        <v/>
      </c>
      <c r="BK20" s="53">
        <f>VLOOKUP($A20,'2025'!$A:$IZ,176,FALSE)</f>
        <v/>
      </c>
      <c r="BL20" s="54">
        <f>RANK(BK20,BK$5:BK$22,1)</f>
        <v/>
      </c>
      <c r="BM20" s="53">
        <f>VLOOKUP($A20,'2025'!$A:$IZ,11,FALSE)</f>
        <v/>
      </c>
      <c r="BN20" s="54">
        <f>RANK(BM20,BM$5:BM$22)</f>
        <v/>
      </c>
      <c r="BO20" s="53">
        <f>VLOOKUP($A20,'2025'!$A:$IZ,222,FALSE)</f>
        <v/>
      </c>
      <c r="BP20" s="54">
        <f>RANK(BO20,BO$5:BO$22)</f>
        <v/>
      </c>
      <c r="BQ20" s="65">
        <f>106-(BF20+BH20+BN20+BP20+BJ20+BL20)</f>
        <v/>
      </c>
      <c r="BR20" s="47">
        <f>RANK(BQ20,BQ$5:BQ$22)</f>
        <v/>
      </c>
      <c r="BS20" s="56" t="n"/>
      <c r="BT20" s="57">
        <f>VLOOKUP($A20,'Ratings Season'!$A:$M,10,FALSE)</f>
        <v/>
      </c>
      <c r="BU20" s="54">
        <f>RANK(BT20,BT$5:BT$22)</f>
        <v/>
      </c>
      <c r="BV20" s="57">
        <f>VLOOKUP($A20,'Ratings Season'!$A:$M,12,FALSE)</f>
        <v/>
      </c>
      <c r="BW20" s="54">
        <f>RANK(BV20,BV$5:BV$22)</f>
        <v/>
      </c>
      <c r="BX20" s="57">
        <f>VLOOKUP($A20,'Ratings Season'!$A:$M,8,FALSE)</f>
        <v/>
      </c>
      <c r="BY20" s="58">
        <f>RANK(BX20,BX$5:BX$22)</f>
        <v/>
      </c>
      <c r="BZ20" s="72" t="n"/>
    </row>
    <row r="21" ht="25" customFormat="1" customHeight="1" s="3">
      <c r="A21" s="91" t="inlineStr">
        <is>
          <t>West Coast</t>
        </is>
      </c>
      <c r="B21" s="53">
        <f>VLOOKUP($A21,'2025'!$A:$IZ,222,FALSE)</f>
        <v/>
      </c>
      <c r="C21" s="54">
        <f>RANK(B21,B$5:B$22)</f>
        <v/>
      </c>
      <c r="D21" s="55">
        <f>VLOOKUP($A21,'2025'!$A:$IZ,218,FALSE)</f>
        <v/>
      </c>
      <c r="E21" s="54">
        <f>RANK(D21,D$5:D$22)</f>
        <v/>
      </c>
      <c r="F21" s="55">
        <f>VLOOKUP($A21,'2025'!$A:$IZ,49,FALSE)</f>
        <v/>
      </c>
      <c r="G21" s="54">
        <f>RANK(F21,F$5:F$22)</f>
        <v/>
      </c>
      <c r="H21" s="55">
        <f>VLOOKUP($A21,'2025'!$A:$IZ,229,FALSE)</f>
        <v/>
      </c>
      <c r="I21" s="54">
        <f>RANK(H21,H$5:H$22)</f>
        <v/>
      </c>
      <c r="J21" s="49">
        <f>104-(C21+E21+G21+I21)</f>
        <v/>
      </c>
      <c r="K21" s="47">
        <f>RANK(J21,J$5:J$22)</f>
        <v/>
      </c>
      <c r="L21" s="56" t="n"/>
      <c r="M21" s="53">
        <f>VLOOKUP($A21,'2025'!$A:$IZ,88,FALSE)</f>
        <v/>
      </c>
      <c r="N21" s="54">
        <f>RANK(M21,M$5:M$22)</f>
        <v/>
      </c>
      <c r="O21" s="53">
        <f>VLOOKUP($A21,'2025'!$A:$IZ,84,FALSE)</f>
        <v/>
      </c>
      <c r="P21" s="54">
        <f>RANK(O21,O$5:O$22)</f>
        <v/>
      </c>
      <c r="Q21" s="53">
        <f>VLOOKUP($A21,'2025'!$A:$IZ,85,FALSE)</f>
        <v/>
      </c>
      <c r="R21" s="54">
        <f>RANK(Q21,Q$5:Q$22)</f>
        <v/>
      </c>
      <c r="S21" s="55">
        <f>VLOOKUP($A21,'2025'!$A:$IZ,29,FALSE)</f>
        <v/>
      </c>
      <c r="T21" s="54">
        <f>RANK(S21,S$5:S$22)</f>
        <v/>
      </c>
      <c r="U21" s="49">
        <f>104-(N21+P21+R21+T21)</f>
        <v/>
      </c>
      <c r="V21" s="47">
        <f>RANK(U21,U$5:U$22)</f>
        <v/>
      </c>
      <c r="W21" s="56" t="n"/>
      <c r="X21" s="53">
        <f>VLOOKUP($A21,'2025'!$A:$IZ,65,FALSE)</f>
        <v/>
      </c>
      <c r="Y21" s="54">
        <f>RANK(X21,X$5:X$22)</f>
        <v/>
      </c>
      <c r="Z21" s="53">
        <f>VLOOKUP($A21,'2025'!$A:$IZ,64,FALSE)</f>
        <v/>
      </c>
      <c r="AA21" s="54">
        <f>RANK(Z21,Z$5:Z$22)</f>
        <v/>
      </c>
      <c r="AB21" s="53">
        <f>VLOOKUP($A21,'2025'!$A:$IZ,63,FALSE)</f>
        <v/>
      </c>
      <c r="AC21" s="54">
        <f>RANK(AB21,AB$5:AB$22)</f>
        <v/>
      </c>
      <c r="AD21" s="53">
        <f>VLOOKUP($A21,'2025'!$A:$IZ,71,FALSE)</f>
        <v/>
      </c>
      <c r="AE21" s="54">
        <f>RANK(AD21,AD$5:AD$22)</f>
        <v/>
      </c>
      <c r="AF21" s="65">
        <f>104-(Y21+AA21+AC21+AE21)</f>
        <v/>
      </c>
      <c r="AG21" s="47">
        <f>RANK(AF21,AF$5:AF$22)</f>
        <v/>
      </c>
      <c r="AH21" s="56" t="n"/>
      <c r="AI21" s="53">
        <f>VLOOKUP($A21,'2025'!$A:$IZ,183,FALSE)</f>
        <v/>
      </c>
      <c r="AJ21" s="54">
        <f>RANK(AI21,AI$5:AI$22,1)</f>
        <v/>
      </c>
      <c r="AK21" s="53">
        <f>VLOOKUP($A21,'2025'!$A:$IZ,181,FALSE)</f>
        <v/>
      </c>
      <c r="AL21" s="54">
        <f>RANK(AK21,AK$5:AK$22,1)</f>
        <v/>
      </c>
      <c r="AM21" s="53">
        <f>VLOOKUP($A21,'2025'!$A:$IZ,182,FALSE)</f>
        <v/>
      </c>
      <c r="AN21" s="54">
        <f>RANK(AM21,AM$5:AM$22,1)</f>
        <v/>
      </c>
      <c r="AO21" s="53">
        <f>VLOOKUP($A21,'2025'!$A:$IZ,163,FALSE)</f>
        <v/>
      </c>
      <c r="AP21" s="54">
        <f>RANK(AO21,AO$5:AO$22,1)</f>
        <v/>
      </c>
      <c r="AQ21" s="65">
        <f>104-(AJ21+AL21+AN21+AP21)</f>
        <v/>
      </c>
      <c r="AR21" s="47">
        <f>RANK(AQ21,AQ$5:AQ$22)</f>
        <v/>
      </c>
      <c r="AS21" s="56" t="n"/>
      <c r="AT21" s="46">
        <f>VLOOKUP($A21,'2025'!$A:$IZ,250,FALSE)</f>
        <v/>
      </c>
      <c r="AU21" s="47">
        <f>RANK(AT21,AT$5:AT$22,0)</f>
        <v/>
      </c>
      <c r="AV21" s="46">
        <f>VLOOKUP($A21,'2025'!$A:$IZ,92,FALSE)</f>
        <v/>
      </c>
      <c r="AW21" s="47">
        <f>RANK(AV21,AV$5:AV$22,0)</f>
        <v/>
      </c>
      <c r="AX21" s="46">
        <f>VLOOKUP($A21,'2025'!$A:$IZ,93,FALSE)</f>
        <v/>
      </c>
      <c r="AY21" s="47">
        <f>RANK(AX21,AX$5:AX$22,0)</f>
        <v/>
      </c>
      <c r="AZ21" s="46">
        <f>VLOOKUP($A21,'2025'!$A:$IZ,108,FALSE)</f>
        <v/>
      </c>
      <c r="BA21" s="47">
        <f>RANK(AZ21,AZ$5:AZ$22,0)</f>
        <v/>
      </c>
      <c r="BB21" s="49">
        <f>104-(AU21+AW21+AY21+BA21)</f>
        <v/>
      </c>
      <c r="BC21" s="47">
        <f>RANK(BB21,BB$5:BB$22)</f>
        <v/>
      </c>
      <c r="BD21" s="56" t="n"/>
      <c r="BE21" s="53">
        <f>VLOOKUP($A21,'2025'!$A:$IZ,80,FALSE)</f>
        <v/>
      </c>
      <c r="BF21" s="54">
        <f>RANK(BE21,BE$5:BE$22)</f>
        <v/>
      </c>
      <c r="BG21" s="53">
        <f>VLOOKUP($A21,'2025'!$A:$IZ,177,FALSE)</f>
        <v/>
      </c>
      <c r="BH21" s="54">
        <f>RANK(BG21,BG$5:BG$22,1)</f>
        <v/>
      </c>
      <c r="BI21" s="53">
        <f>VLOOKUP($A21,'2025'!$A:$IZ,79,FALSE)</f>
        <v/>
      </c>
      <c r="BJ21" s="54">
        <f>RANK(BI21,BI$5:BI$22)</f>
        <v/>
      </c>
      <c r="BK21" s="53">
        <f>VLOOKUP($A21,'2025'!$A:$IZ,176,FALSE)</f>
        <v/>
      </c>
      <c r="BL21" s="54">
        <f>RANK(BK21,BK$5:BK$22,1)</f>
        <v/>
      </c>
      <c r="BM21" s="53">
        <f>VLOOKUP($A21,'2025'!$A:$IZ,11,FALSE)</f>
        <v/>
      </c>
      <c r="BN21" s="54">
        <f>RANK(BM21,BM$5:BM$22)</f>
        <v/>
      </c>
      <c r="BO21" s="53">
        <f>VLOOKUP($A21,'2025'!$A:$IZ,222,FALSE)</f>
        <v/>
      </c>
      <c r="BP21" s="54">
        <f>RANK(BO21,BO$5:BO$22)</f>
        <v/>
      </c>
      <c r="BQ21" s="65">
        <f>106-(BF21+BH21+BN21+BP21+BJ21+BL21)</f>
        <v/>
      </c>
      <c r="BR21" s="47">
        <f>RANK(BQ21,BQ$5:BQ$22)</f>
        <v/>
      </c>
      <c r="BS21" s="56" t="n"/>
      <c r="BT21" s="57">
        <f>VLOOKUP($A21,'Ratings Season'!$A:$M,10,FALSE)</f>
        <v/>
      </c>
      <c r="BU21" s="54">
        <f>RANK(BT21,BT$5:BT$22)</f>
        <v/>
      </c>
      <c r="BV21" s="57">
        <f>VLOOKUP($A21,'Ratings Season'!$A:$M,12,FALSE)</f>
        <v/>
      </c>
      <c r="BW21" s="54">
        <f>RANK(BV21,BV$5:BV$22)</f>
        <v/>
      </c>
      <c r="BX21" s="57">
        <f>VLOOKUP($A21,'Ratings Season'!$A:$M,8,FALSE)</f>
        <v/>
      </c>
      <c r="BY21" s="58">
        <f>RANK(BX21,BX$5:BX$22)</f>
        <v/>
      </c>
      <c r="BZ21" s="72" t="n"/>
    </row>
    <row r="22" ht="25" customFormat="1" customHeight="1" s="3" thickBot="1">
      <c r="A22" s="92" t="inlineStr">
        <is>
          <t>Western Bulldogs</t>
        </is>
      </c>
      <c r="B22" s="59">
        <f>VLOOKUP($A22,'2025'!$A:$IZ,222,FALSE)</f>
        <v/>
      </c>
      <c r="C22" s="60">
        <f>RANK(B22,B$5:B$22)</f>
        <v/>
      </c>
      <c r="D22" s="61">
        <f>VLOOKUP($A22,'2025'!$A:$IZ,218,FALSE)</f>
        <v/>
      </c>
      <c r="E22" s="60">
        <f>RANK(D22,D$5:D$22)</f>
        <v/>
      </c>
      <c r="F22" s="61">
        <f>VLOOKUP($A22,'2025'!$A:$IZ,49,FALSE)</f>
        <v/>
      </c>
      <c r="G22" s="60">
        <f>RANK(F22,F$5:F$22)</f>
        <v/>
      </c>
      <c r="H22" s="61">
        <f>VLOOKUP($A22,'2025'!$A:$IZ,229,FALSE)</f>
        <v/>
      </c>
      <c r="I22" s="60">
        <f>RANK(H22,H$5:H$22)</f>
        <v/>
      </c>
      <c r="J22" s="49">
        <f>104-(C22+E22+G22+I22)</f>
        <v/>
      </c>
      <c r="K22" s="47">
        <f>RANK(J22,J$5:J$22)</f>
        <v/>
      </c>
      <c r="L22" s="62" t="n"/>
      <c r="M22" s="59">
        <f>VLOOKUP($A22,'2025'!$A:$IZ,88,FALSE)</f>
        <v/>
      </c>
      <c r="N22" s="60">
        <f>RANK(M22,M$5:M$22)</f>
        <v/>
      </c>
      <c r="O22" s="59">
        <f>VLOOKUP($A22,'2025'!$A:$IZ,84,FALSE)</f>
        <v/>
      </c>
      <c r="P22" s="60">
        <f>RANK(O22,O$5:O$22)</f>
        <v/>
      </c>
      <c r="Q22" s="59">
        <f>VLOOKUP($A22,'2025'!$A:$IZ,85,FALSE)</f>
        <v/>
      </c>
      <c r="R22" s="60">
        <f>RANK(Q22,Q$5:Q$22)</f>
        <v/>
      </c>
      <c r="S22" s="61">
        <f>VLOOKUP($A22,'2025'!$A:$IZ,29,FALSE)</f>
        <v/>
      </c>
      <c r="T22" s="60">
        <f>RANK(S22,S$5:S$22)</f>
        <v/>
      </c>
      <c r="U22" s="49">
        <f>104-(N22+P22+R22+T22)</f>
        <v/>
      </c>
      <c r="V22" s="47">
        <f>RANK(U22,U$5:U$22)</f>
        <v/>
      </c>
      <c r="W22" s="62" t="n"/>
      <c r="X22" s="59">
        <f>VLOOKUP($A22,'2025'!$A:$IZ,65,FALSE)</f>
        <v/>
      </c>
      <c r="Y22" s="60">
        <f>RANK(X22,X$5:X$22)</f>
        <v/>
      </c>
      <c r="Z22" s="59">
        <f>VLOOKUP($A22,'2025'!$A:$IZ,64,FALSE)</f>
        <v/>
      </c>
      <c r="AA22" s="60">
        <f>RANK(Z22,Z$5:Z$22)</f>
        <v/>
      </c>
      <c r="AB22" s="59">
        <f>VLOOKUP($A22,'2025'!$A:$IZ,63,FALSE)</f>
        <v/>
      </c>
      <c r="AC22" s="60">
        <f>RANK(AB22,AB$5:AB$22)</f>
        <v/>
      </c>
      <c r="AD22" s="59">
        <f>VLOOKUP($A22,'2025'!$A:$IZ,71,FALSE)</f>
        <v/>
      </c>
      <c r="AE22" s="60">
        <f>RANK(AD22,AD$5:AD$22)</f>
        <v/>
      </c>
      <c r="AF22" s="66">
        <f>104-(Y22+AA22+AC22+AE22)</f>
        <v/>
      </c>
      <c r="AG22" s="47">
        <f>RANK(AF22,AF$5:AF$22)</f>
        <v/>
      </c>
      <c r="AH22" s="62" t="n"/>
      <c r="AI22" s="59">
        <f>VLOOKUP($A22,'2025'!$A:$IZ,183,FALSE)</f>
        <v/>
      </c>
      <c r="AJ22" s="60">
        <f>RANK(AI22,AI$5:AI$22,1)</f>
        <v/>
      </c>
      <c r="AK22" s="59">
        <f>VLOOKUP($A22,'2025'!$A:$IZ,181,FALSE)</f>
        <v/>
      </c>
      <c r="AL22" s="60">
        <f>RANK(AK22,AK$5:AK$22,1)</f>
        <v/>
      </c>
      <c r="AM22" s="59">
        <f>VLOOKUP($A22,'2025'!$A:$IZ,182,FALSE)</f>
        <v/>
      </c>
      <c r="AN22" s="60">
        <f>RANK(AM22,AM$5:AM$22,1)</f>
        <v/>
      </c>
      <c r="AO22" s="59">
        <f>VLOOKUP($A22,'2025'!$A:$IZ,163,FALSE)</f>
        <v/>
      </c>
      <c r="AP22" s="60">
        <f>RANK(AO22,AO$5:AO$22,1)</f>
        <v/>
      </c>
      <c r="AQ22" s="66">
        <f>104-(AJ22+AL22+AN22+AP22)</f>
        <v/>
      </c>
      <c r="AR22" s="47">
        <f>RANK(AQ22,AQ$5:AQ$22)</f>
        <v/>
      </c>
      <c r="AS22" s="62" t="n"/>
      <c r="AT22" s="46">
        <f>VLOOKUP($A22,'2025'!$A:$IZ,250,FALSE)</f>
        <v/>
      </c>
      <c r="AU22" s="47">
        <f>RANK(AT22,AT$5:AT$22,0)</f>
        <v/>
      </c>
      <c r="AV22" s="46">
        <f>VLOOKUP($A22,'2025'!$A:$IZ,92,FALSE)</f>
        <v/>
      </c>
      <c r="AW22" s="47">
        <f>RANK(AV22,AV$5:AV$22,0)</f>
        <v/>
      </c>
      <c r="AX22" s="46">
        <f>VLOOKUP($A22,'2025'!$A:$IZ,93,FALSE)</f>
        <v/>
      </c>
      <c r="AY22" s="47">
        <f>RANK(AX22,AX$5:AX$22,0)</f>
        <v/>
      </c>
      <c r="AZ22" s="46">
        <f>VLOOKUP($A22,'2025'!$A:$IZ,108,FALSE)</f>
        <v/>
      </c>
      <c r="BA22" s="47">
        <f>RANK(AZ22,AZ$5:AZ$22,0)</f>
        <v/>
      </c>
      <c r="BB22" s="49">
        <f>104-(AU22+AW22+AY22+BA22)</f>
        <v/>
      </c>
      <c r="BC22" s="47">
        <f>RANK(BB22,BB$5:BB$22)</f>
        <v/>
      </c>
      <c r="BD22" s="62" t="n"/>
      <c r="BE22" s="59">
        <f>VLOOKUP($A22,'2025'!$A:$IZ,80,FALSE)</f>
        <v/>
      </c>
      <c r="BF22" s="60">
        <f>RANK(BE22,BE$5:BE$22)</f>
        <v/>
      </c>
      <c r="BG22" s="59">
        <f>VLOOKUP($A22,'2025'!$A:$IZ,177,FALSE)</f>
        <v/>
      </c>
      <c r="BH22" s="60">
        <f>RANK(BG22,BG$5:BG$22,1)</f>
        <v/>
      </c>
      <c r="BI22" s="59">
        <f>VLOOKUP($A22,'2025'!$A:$IZ,79,FALSE)</f>
        <v/>
      </c>
      <c r="BJ22" s="60">
        <f>RANK(BI22,BI$5:BI$22)</f>
        <v/>
      </c>
      <c r="BK22" s="59">
        <f>VLOOKUP($A22,'2025'!$A:$IZ,176,FALSE)</f>
        <v/>
      </c>
      <c r="BL22" s="60">
        <f>RANK(BK22,BK$5:BK$22,1)</f>
        <v/>
      </c>
      <c r="BM22" s="59">
        <f>VLOOKUP($A22,'2025'!$A:$IZ,11,FALSE)</f>
        <v/>
      </c>
      <c r="BN22" s="60">
        <f>RANK(BM22,BM$5:BM$22)</f>
        <v/>
      </c>
      <c r="BO22" s="59">
        <f>VLOOKUP($A22,'2025'!$A:$IZ,222,FALSE)</f>
        <v/>
      </c>
      <c r="BP22" s="60">
        <f>RANK(BO22,BO$5:BO$22)</f>
        <v/>
      </c>
      <c r="BQ22" s="66">
        <f>106-(BF22+BH22+BN22+BP22+BJ22+BL22)</f>
        <v/>
      </c>
      <c r="BR22" s="47">
        <f>RANK(BQ22,BQ$5:BQ$22)</f>
        <v/>
      </c>
      <c r="BS22" s="62" t="n"/>
      <c r="BT22" s="63">
        <f>VLOOKUP($A22,'Ratings Season'!$A:$M,10,FALSE)</f>
        <v/>
      </c>
      <c r="BU22" s="60">
        <f>RANK(BT22,BT$5:BT$22)</f>
        <v/>
      </c>
      <c r="BV22" s="63">
        <f>VLOOKUP($A22,'Ratings Season'!$A:$M,12,FALSE)</f>
        <v/>
      </c>
      <c r="BW22" s="60">
        <f>RANK(BV22,BV$5:BV$22)</f>
        <v/>
      </c>
      <c r="BX22" s="63">
        <f>VLOOKUP($A22,'Ratings Season'!$A:$M,8,FALSE)</f>
        <v/>
      </c>
      <c r="BY22" s="64">
        <f>RANK(BX22,BX$5:BX$22)</f>
        <v/>
      </c>
      <c r="BZ22" s="72" t="n"/>
    </row>
  </sheetData>
  <mergeCells count="8">
    <mergeCell ref="BE3:BR3"/>
    <mergeCell ref="M3:V3"/>
    <mergeCell ref="A3:A4"/>
    <mergeCell ref="AT3:BC3"/>
    <mergeCell ref="X3:AG3"/>
    <mergeCell ref="AI3:AR3"/>
    <mergeCell ref="B3:K3"/>
    <mergeCell ref="BT3:BY3"/>
  </mergeCells>
  <conditionalFormatting sqref="B5:B22">
    <cfRule type="dataBar" priority="538">
      <dataBar>
        <cfvo type="min"/>
        <cfvo type="max"/>
        <color rgb="FF638EC6"/>
      </dataBar>
    </cfRule>
  </conditionalFormatting>
  <conditionalFormatting sqref="D5:D22">
    <cfRule type="dataBar" priority="537">
      <dataBar>
        <cfvo type="min"/>
        <cfvo type="max"/>
        <color rgb="FF638EC6"/>
      </dataBar>
    </cfRule>
  </conditionalFormatting>
  <conditionalFormatting sqref="F5:F22">
    <cfRule type="dataBar" priority="535">
      <dataBar>
        <cfvo type="min"/>
        <cfvo type="max"/>
        <color rgb="FF638EC6"/>
      </dataBar>
    </cfRule>
    <cfRule type="dataBar" priority="536">
      <dataBar>
        <cfvo type="min"/>
        <cfvo type="max"/>
        <color rgb="FF638EC6"/>
      </dataBar>
    </cfRule>
  </conditionalFormatting>
  <conditionalFormatting sqref="H5:H22">
    <cfRule type="dataBar" priority="534">
      <dataBar>
        <cfvo type="min"/>
        <cfvo type="max"/>
        <color rgb="FF638EC6"/>
      </dataBar>
    </cfRule>
  </conditionalFormatting>
  <conditionalFormatting sqref="J5:J22">
    <cfRule type="dataBar" priority="303">
      <dataBar>
        <cfvo type="min"/>
        <cfvo type="max"/>
        <color rgb="FF638EC6"/>
      </dataBar>
    </cfRule>
  </conditionalFormatting>
  <conditionalFormatting sqref="M5:M22">
    <cfRule type="dataBar" priority="532">
      <dataBar>
        <cfvo type="min"/>
        <cfvo type="max"/>
        <color rgb="FF63C384"/>
      </dataBar>
    </cfRule>
    <cfRule type="dataBar" priority="530">
      <dataBar>
        <cfvo type="min"/>
        <cfvo type="max"/>
        <color rgb="FF63C384"/>
      </dataBar>
    </cfRule>
  </conditionalFormatting>
  <conditionalFormatting sqref="O5:O22">
    <cfRule type="dataBar" priority="529">
      <dataBar>
        <cfvo type="min"/>
        <cfvo type="max"/>
        <color rgb="FF63C384"/>
      </dataBar>
    </cfRule>
    <cfRule type="dataBar" priority="528">
      <dataBar>
        <cfvo type="min"/>
        <cfvo type="max"/>
        <color rgb="FF63C384"/>
      </dataBar>
    </cfRule>
  </conditionalFormatting>
  <conditionalFormatting sqref="Q5:Q22">
    <cfRule type="dataBar" priority="527">
      <dataBar>
        <cfvo type="min"/>
        <cfvo type="max"/>
        <color rgb="FF63C384"/>
      </dataBar>
    </cfRule>
    <cfRule type="dataBar" priority="526">
      <dataBar>
        <cfvo type="min"/>
        <cfvo type="max"/>
        <color rgb="FF63C384"/>
      </dataBar>
    </cfRule>
  </conditionalFormatting>
  <conditionalFormatting sqref="S5:S22">
    <cfRule type="dataBar" priority="525">
      <dataBar>
        <cfvo type="min"/>
        <cfvo type="max"/>
        <color rgb="FF63C384"/>
      </dataBar>
    </cfRule>
  </conditionalFormatting>
  <conditionalFormatting sqref="U5:U22">
    <cfRule type="dataBar" priority="302">
      <dataBar>
        <cfvo type="min"/>
        <cfvo type="max"/>
        <color rgb="FF63C384"/>
      </dataBar>
    </cfRule>
  </conditionalFormatting>
  <conditionalFormatting sqref="X5:X22">
    <cfRule type="dataBar" priority="522">
      <dataBar>
        <cfvo type="min"/>
        <cfvo type="max"/>
        <color rgb="FF63C384"/>
      </dataBar>
    </cfRule>
    <cfRule type="dataBar" priority="520">
      <dataBar>
        <cfvo type="min"/>
        <cfvo type="max"/>
        <color rgb="FFFFFF00"/>
      </dataBar>
    </cfRule>
  </conditionalFormatting>
  <conditionalFormatting sqref="Z5:Z22">
    <cfRule type="dataBar" priority="197">
      <dataBar>
        <cfvo type="min"/>
        <cfvo type="max"/>
        <color rgb="FF63C384"/>
      </dataBar>
    </cfRule>
    <cfRule type="dataBar" priority="196">
      <dataBar>
        <cfvo type="min"/>
        <cfvo type="max"/>
        <color rgb="FFFFFF00"/>
      </dataBar>
    </cfRule>
  </conditionalFormatting>
  <conditionalFormatting sqref="AB5:AB22">
    <cfRule type="dataBar" priority="195">
      <dataBar>
        <cfvo type="min"/>
        <cfvo type="max"/>
        <color rgb="FF63C384"/>
      </dataBar>
    </cfRule>
    <cfRule type="dataBar" priority="194">
      <dataBar>
        <cfvo type="min"/>
        <cfvo type="max"/>
        <color rgb="FFFFFF00"/>
      </dataBar>
    </cfRule>
  </conditionalFormatting>
  <conditionalFormatting sqref="AD5:AD22">
    <cfRule type="dataBar" priority="193">
      <dataBar>
        <cfvo type="min"/>
        <cfvo type="max"/>
        <color rgb="FF63C384"/>
      </dataBar>
    </cfRule>
    <cfRule type="dataBar" priority="192">
      <dataBar>
        <cfvo type="min"/>
        <cfvo type="max"/>
        <color rgb="FFFFFF00"/>
      </dataBar>
    </cfRule>
  </conditionalFormatting>
  <conditionalFormatting sqref="AF5:AF22">
    <cfRule type="dataBar" priority="191">
      <dataBar>
        <cfvo type="min"/>
        <cfvo type="max"/>
        <color rgb="FF63C384"/>
      </dataBar>
    </cfRule>
    <cfRule type="dataBar" priority="190">
      <dataBar>
        <cfvo type="min"/>
        <cfvo type="max"/>
        <color rgb="FFFFFF00"/>
      </dataBar>
    </cfRule>
  </conditionalFormatting>
  <conditionalFormatting sqref="AI5:AI22">
    <cfRule type="dataBar" priority="513">
      <dataBar>
        <cfvo type="min"/>
        <cfvo type="max"/>
        <color rgb="FF63C384"/>
      </dataBar>
    </cfRule>
    <cfRule type="dataBar" priority="511">
      <dataBar>
        <cfvo type="min"/>
        <cfvo type="max"/>
        <color rgb="FFFF555A"/>
      </dataBar>
    </cfRule>
  </conditionalFormatting>
  <conditionalFormatting sqref="AK5:AK22">
    <cfRule type="dataBar" priority="508">
      <dataBar>
        <cfvo type="min"/>
        <cfvo type="max"/>
        <color rgb="FFFF555A"/>
      </dataBar>
    </cfRule>
    <cfRule type="dataBar" priority="509">
      <dataBar>
        <cfvo type="min"/>
        <cfvo type="max"/>
        <color rgb="FF63C384"/>
      </dataBar>
    </cfRule>
  </conditionalFormatting>
  <conditionalFormatting sqref="AM5:AM22">
    <cfRule type="dataBar" priority="506">
      <dataBar>
        <cfvo type="min"/>
        <cfvo type="max"/>
        <color rgb="FFFF555A"/>
      </dataBar>
    </cfRule>
    <cfRule type="dataBar" priority="507">
      <dataBar>
        <cfvo type="min"/>
        <cfvo type="max"/>
        <color rgb="FF63C384"/>
      </dataBar>
    </cfRule>
  </conditionalFormatting>
  <conditionalFormatting sqref="AO5:AO22">
    <cfRule type="dataBar" priority="89">
      <dataBar>
        <cfvo type="min"/>
        <cfvo type="max"/>
        <color rgb="FF63C384"/>
      </dataBar>
    </cfRule>
    <cfRule type="dataBar" priority="88">
      <dataBar>
        <cfvo type="min"/>
        <cfvo type="max"/>
        <color rgb="FFFF555A"/>
      </dataBar>
    </cfRule>
  </conditionalFormatting>
  <conditionalFormatting sqref="AQ5:AQ22">
    <cfRule type="dataBar" priority="299">
      <dataBar>
        <cfvo type="min"/>
        <cfvo type="max"/>
        <color rgb="FF63C384"/>
      </dataBar>
    </cfRule>
    <cfRule type="dataBar" priority="298">
      <dataBar>
        <cfvo type="min"/>
        <cfvo type="max"/>
        <color rgb="FFFF555A"/>
      </dataBar>
    </cfRule>
  </conditionalFormatting>
  <conditionalFormatting sqref="AT5:AT22">
    <cfRule type="dataBar" priority="84">
      <dataBar>
        <cfvo type="min"/>
        <cfvo type="max"/>
        <color rgb="FFD883FF"/>
      </dataBar>
    </cfRule>
    <cfRule type="dataBar" priority="85">
      <dataBar>
        <cfvo type="min"/>
        <cfvo type="max"/>
        <color rgb="FF63C384"/>
      </dataBar>
    </cfRule>
  </conditionalFormatting>
  <conditionalFormatting sqref="AV5:AV22">
    <cfRule type="dataBar" priority="28">
      <dataBar>
        <cfvo type="min"/>
        <cfvo type="max"/>
        <color rgb="FF63C384"/>
      </dataBar>
    </cfRule>
    <cfRule type="dataBar" priority="27">
      <dataBar>
        <cfvo type="min"/>
        <cfvo type="max"/>
        <color rgb="FFD883FF"/>
      </dataBar>
    </cfRule>
  </conditionalFormatting>
  <conditionalFormatting sqref="AX5:AX22">
    <cfRule type="dataBar" priority="26">
      <dataBar>
        <cfvo type="min"/>
        <cfvo type="max"/>
        <color rgb="FF63C384"/>
      </dataBar>
    </cfRule>
    <cfRule type="dataBar" priority="25">
      <dataBar>
        <cfvo type="min"/>
        <cfvo type="max"/>
        <color rgb="FFD883FF"/>
      </dataBar>
    </cfRule>
  </conditionalFormatting>
  <conditionalFormatting sqref="AZ5:AZ22">
    <cfRule type="dataBar" priority="23">
      <dataBar>
        <cfvo type="min"/>
        <cfvo type="max"/>
        <color rgb="FFD883FF"/>
      </dataBar>
    </cfRule>
    <cfRule type="dataBar" priority="24">
      <dataBar>
        <cfvo type="min"/>
        <cfvo type="max"/>
        <color rgb="FF63C384"/>
      </dataBar>
    </cfRule>
  </conditionalFormatting>
  <conditionalFormatting sqref="BB5:BB22">
    <cfRule type="dataBar" priority="21">
      <dataBar>
        <cfvo type="min"/>
        <cfvo type="max"/>
        <color rgb="FFD883FF"/>
      </dataBar>
    </cfRule>
    <cfRule type="dataBar" priority="22">
      <dataBar>
        <cfvo type="min"/>
        <cfvo type="max"/>
        <color rgb="FF63C384"/>
      </dataBar>
    </cfRule>
  </conditionalFormatting>
  <conditionalFormatting sqref="BE5:BE22">
    <cfRule type="dataBar" priority="413">
      <dataBar>
        <cfvo type="min"/>
        <cfvo type="max"/>
        <color rgb="FF63C384"/>
      </dataBar>
    </cfRule>
    <cfRule type="dataBar" priority="412">
      <dataBar>
        <cfvo type="min"/>
        <cfvo type="max"/>
        <color theme="1" tint="0.499984740745262"/>
      </dataBar>
    </cfRule>
  </conditionalFormatting>
  <conditionalFormatting sqref="BG5:BG22">
    <cfRule type="dataBar" priority="410">
      <dataBar>
        <cfvo type="min"/>
        <cfvo type="max"/>
        <color theme="1" tint="0.499984740745262"/>
      </dataBar>
    </cfRule>
    <cfRule type="dataBar" priority="411">
      <dataBar>
        <cfvo type="min"/>
        <cfvo type="max"/>
        <color rgb="FF63C384"/>
      </dataBar>
    </cfRule>
  </conditionalFormatting>
  <conditionalFormatting sqref="BI5:BI22">
    <cfRule type="dataBar" priority="408">
      <dataBar>
        <cfvo type="min"/>
        <cfvo type="max"/>
        <color theme="1" tint="0.499984740745262"/>
      </dataBar>
    </cfRule>
    <cfRule type="dataBar" priority="409">
      <dataBar>
        <cfvo type="min"/>
        <cfvo type="max"/>
        <color rgb="FF63C384"/>
      </dataBar>
    </cfRule>
  </conditionalFormatting>
  <conditionalFormatting sqref="BK5:BK22">
    <cfRule type="dataBar" priority="406">
      <dataBar>
        <cfvo type="min"/>
        <cfvo type="max"/>
        <color theme="1" tint="0.499984740745262"/>
      </dataBar>
    </cfRule>
    <cfRule type="dataBar" priority="407">
      <dataBar>
        <cfvo type="min"/>
        <cfvo type="max"/>
        <color rgb="FF63C384"/>
      </dataBar>
    </cfRule>
  </conditionalFormatting>
  <conditionalFormatting sqref="BM5:BM22">
    <cfRule type="dataBar" priority="404">
      <dataBar>
        <cfvo type="min"/>
        <cfvo type="max"/>
        <color theme="1" tint="0.499984740745262"/>
      </dataBar>
    </cfRule>
    <cfRule type="dataBar" priority="405">
      <dataBar>
        <cfvo type="min"/>
        <cfvo type="max"/>
        <color rgb="FF63C384"/>
      </dataBar>
    </cfRule>
  </conditionalFormatting>
  <conditionalFormatting sqref="BO5:BO22">
    <cfRule type="dataBar" priority="402">
      <dataBar>
        <cfvo type="min"/>
        <cfvo type="max"/>
        <color theme="1" tint="0.499984740745262"/>
      </dataBar>
    </cfRule>
    <cfRule type="dataBar" priority="403">
      <dataBar>
        <cfvo type="min"/>
        <cfvo type="max"/>
        <color rgb="FF63C384"/>
      </dataBar>
    </cfRule>
  </conditionalFormatting>
  <conditionalFormatting sqref="BQ5:BQ22">
    <cfRule type="dataBar" priority="297">
      <dataBar>
        <cfvo type="min"/>
        <cfvo type="max"/>
        <color rgb="FF63C384"/>
      </dataBar>
    </cfRule>
    <cfRule type="dataBar" priority="296">
      <dataBar>
        <cfvo type="min"/>
        <cfvo type="max"/>
        <color theme="1" tint="0.499984740745262"/>
      </dataBar>
    </cfRule>
  </conditionalFormatting>
  <conditionalFormatting sqref="BT5:BT22">
    <cfRule type="dataBar" priority="401">
      <dataBar>
        <cfvo type="min"/>
        <cfvo type="max"/>
        <color theme="5"/>
      </dataBar>
    </cfRule>
  </conditionalFormatting>
  <conditionalFormatting sqref="BV5:BV22">
    <cfRule type="dataBar" priority="400">
      <dataBar>
        <cfvo type="min"/>
        <cfvo type="max"/>
        <color theme="5"/>
      </dataBar>
    </cfRule>
  </conditionalFormatting>
  <conditionalFormatting sqref="BX5:BX22">
    <cfRule type="dataBar" priority="399">
      <dataBar>
        <cfvo type="min"/>
        <cfvo type="max"/>
        <color theme="5"/>
      </dataBar>
    </cfRule>
  </conditionalFormatting>
  <dataValidations count="1">
    <dataValidation sqref="AD1" showDropDown="0" showInputMessage="0" showErrorMessage="1" allowBlank="1" type="list">
      <formula1>"2025, 2024, 2023, 2022, 2021, 2020, 2019, 2018"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A1:BZ24"/>
  <sheetViews>
    <sheetView topLeftCell="A12" zoomScaleNormal="100" workbookViewId="0">
      <pane xSplit="1" topLeftCell="B1" activePane="topRight" state="frozen"/>
      <selection activeCell="A4" sqref="A4"/>
      <selection pane="topRight" activeCell="A24" sqref="A24:XFD45"/>
    </sheetView>
  </sheetViews>
  <sheetFormatPr baseColWidth="10" defaultRowHeight="16"/>
  <cols>
    <col width="30.33203125" bestFit="1" customWidth="1" min="1" max="1"/>
    <col width="11.1640625" bestFit="1" customWidth="1" min="2" max="2"/>
    <col width="3.6640625" customWidth="1" min="3" max="3"/>
    <col width="3.6640625" customWidth="1" min="5" max="5"/>
    <col width="3.6640625" customWidth="1" min="7" max="7"/>
    <col width="3.6640625" customWidth="1" min="9" max="9"/>
    <col width="11" customWidth="1" min="10" max="10"/>
    <col width="3.6640625" customWidth="1" min="11" max="12"/>
    <col width="3.6640625" customWidth="1" min="14" max="14"/>
    <col width="3.6640625" customWidth="1" min="16" max="16"/>
    <col width="3.6640625" customWidth="1" min="18" max="18"/>
    <col width="3.6640625" customWidth="1" min="20" max="20"/>
    <col width="11" customWidth="1" min="21" max="21"/>
    <col width="3.6640625" customWidth="1" min="22" max="23"/>
    <col width="3.6640625" customWidth="1" min="25" max="25"/>
    <col width="3.6640625" customWidth="1" min="27" max="27"/>
    <col width="3.6640625" customWidth="1" min="29" max="29"/>
    <col width="3.6640625" customWidth="1" min="31" max="31"/>
    <col width="11" customWidth="1" min="32" max="32"/>
    <col width="3.6640625" customWidth="1" min="33" max="34"/>
    <col width="3.6640625" customWidth="1" min="36" max="36"/>
    <col width="3.6640625" customWidth="1" min="38" max="38"/>
    <col width="3.6640625" customWidth="1" min="40" max="40"/>
    <col width="3.6640625" customWidth="1" min="42" max="42"/>
    <col width="11" customWidth="1" min="43" max="43"/>
    <col width="3.6640625" customWidth="1" min="44" max="45"/>
    <col width="3.6640625" customWidth="1" min="47" max="47"/>
    <col width="3.6640625" customWidth="1" min="49" max="49"/>
    <col width="3.6640625" customWidth="1" min="51" max="51"/>
    <col width="3.6640625" customWidth="1" min="53" max="53"/>
    <col width="11" customWidth="1" min="54" max="54"/>
    <col width="3.6640625" customWidth="1" min="55" max="56"/>
    <col width="3.6640625" customWidth="1" min="58" max="58"/>
    <col width="3.6640625" customWidth="1" min="60" max="60"/>
    <col width="3.6640625" customWidth="1" min="62" max="62"/>
    <col width="3.6640625" customWidth="1" min="64" max="64"/>
    <col width="3.6640625" customWidth="1" min="66" max="66"/>
    <col width="3.6640625" customWidth="1" min="68" max="68"/>
    <col width="11" customWidth="1" min="69" max="69"/>
    <col width="3.6640625" customWidth="1" min="70" max="71"/>
    <col width="3.6640625" customWidth="1" min="73" max="73"/>
    <col width="3.6640625" customWidth="1" min="75" max="75"/>
    <col width="3.6640625" customWidth="1" min="77" max="77"/>
  </cols>
  <sheetData>
    <row r="1" ht="35" customHeight="1">
      <c r="A1" s="68" t="inlineStr">
        <is>
          <t>SEASON TOTAL</t>
        </is>
      </c>
      <c r="B1" s="154" t="n">
        <v>2024</v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  <c r="Z1" s="69" t="n"/>
      <c r="AA1" s="69" t="n"/>
      <c r="AB1" s="69" t="n"/>
      <c r="AC1" s="69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  <c r="AQ1" s="69" t="n"/>
      <c r="AR1" s="69" t="n"/>
      <c r="AS1" s="69" t="n"/>
      <c r="AT1" s="69" t="n"/>
      <c r="AU1" s="69" t="n"/>
      <c r="AV1" s="69" t="n"/>
      <c r="AW1" s="69" t="n"/>
      <c r="AX1" s="69" t="n"/>
      <c r="AY1" s="69" t="n"/>
      <c r="AZ1" s="69" t="n"/>
      <c r="BA1" s="69" t="n"/>
      <c r="BB1" s="69" t="n"/>
      <c r="BC1" s="69" t="n"/>
      <c r="BD1" s="69" t="n"/>
      <c r="BE1" s="69" t="n"/>
      <c r="BF1" s="69" t="n"/>
      <c r="BG1" s="69" t="n"/>
      <c r="BH1" s="69" t="n"/>
      <c r="BI1" s="69" t="n"/>
      <c r="BJ1" s="69" t="n"/>
      <c r="BK1" s="69" t="n"/>
      <c r="BL1" s="69" t="n"/>
      <c r="BM1" s="69" t="n"/>
      <c r="BN1" s="69" t="n"/>
      <c r="BO1" s="69" t="n"/>
      <c r="BP1" s="69" t="n"/>
      <c r="BQ1" s="69" t="n"/>
      <c r="BR1" s="69" t="n"/>
      <c r="BS1" s="69" t="n"/>
      <c r="BT1" s="69" t="n"/>
      <c r="BU1" s="69" t="n"/>
      <c r="BV1" s="69" t="n"/>
      <c r="BW1" s="69" t="n"/>
      <c r="BX1" s="69" t="n"/>
      <c r="BY1" s="69" t="n"/>
      <c r="BZ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  <c r="Z2" s="69" t="n"/>
      <c r="AA2" s="69" t="n"/>
      <c r="AB2" s="69" t="n"/>
      <c r="AC2" s="69" t="n"/>
      <c r="AD2" s="6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  <c r="AQ2" s="69" t="n"/>
      <c r="AR2" s="69" t="n"/>
      <c r="AS2" s="69" t="n"/>
      <c r="AT2" s="69" t="n"/>
      <c r="AU2" s="69" t="n"/>
      <c r="AV2" s="69" t="n"/>
      <c r="AW2" s="69" t="n"/>
      <c r="AX2" s="69" t="n"/>
      <c r="AY2" s="69" t="n"/>
      <c r="AZ2" s="69" t="n"/>
      <c r="BA2" s="69" t="n"/>
      <c r="BB2" s="69" t="n"/>
      <c r="BC2" s="69" t="n"/>
      <c r="BD2" s="69" t="n"/>
      <c r="BE2" s="69" t="n"/>
      <c r="BF2" s="69" t="n"/>
      <c r="BG2" s="69" t="n"/>
      <c r="BH2" s="69" t="n"/>
      <c r="BI2" s="69" t="n"/>
      <c r="BJ2" s="69" t="n"/>
      <c r="BK2" s="69" t="n"/>
      <c r="BL2" s="69" t="n"/>
      <c r="BM2" s="69" t="n"/>
      <c r="BN2" s="69" t="n"/>
      <c r="BO2" s="69" t="n"/>
      <c r="BP2" s="69" t="n"/>
      <c r="BQ2" s="69" t="n"/>
      <c r="BR2" s="69" t="n"/>
      <c r="BS2" s="69" t="n"/>
      <c r="BT2" s="69" t="n"/>
      <c r="BU2" s="69" t="n"/>
      <c r="BV2" s="69" t="n"/>
      <c r="BW2" s="69" t="n"/>
      <c r="BX2" s="69" t="n"/>
      <c r="BY2" s="69" t="n"/>
      <c r="BZ2" s="69" t="n"/>
    </row>
    <row r="3" ht="25" customFormat="1" customHeight="1" s="25" thickBot="1">
      <c r="A3" s="240" t="inlineStr">
        <is>
          <t>Team</t>
        </is>
      </c>
      <c r="B3" s="242" t="inlineStr">
        <is>
          <t>Ball Winning</t>
        </is>
      </c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9" t="n"/>
      <c r="M3" s="245" t="inlineStr">
        <is>
          <t>Ball Movement</t>
        </is>
      </c>
      <c r="N3" s="321" t="n"/>
      <c r="O3" s="321" t="n"/>
      <c r="P3" s="321" t="n"/>
      <c r="Q3" s="321" t="n"/>
      <c r="R3" s="321" t="n"/>
      <c r="S3" s="321" t="n"/>
      <c r="T3" s="321" t="n"/>
      <c r="U3" s="321" t="n"/>
      <c r="V3" s="321" t="n"/>
      <c r="W3" s="39" t="n"/>
      <c r="X3" s="248" t="inlineStr">
        <is>
          <t>Scoring</t>
        </is>
      </c>
      <c r="Y3" s="321" t="n"/>
      <c r="Z3" s="321" t="n"/>
      <c r="AA3" s="321" t="n"/>
      <c r="AB3" s="321" t="n"/>
      <c r="AC3" s="321" t="n"/>
      <c r="AD3" s="321" t="n"/>
      <c r="AE3" s="321" t="n"/>
      <c r="AF3" s="321" t="n"/>
      <c r="AG3" s="321" t="n"/>
      <c r="AH3" s="39" t="n"/>
      <c r="AI3" s="251" t="inlineStr">
        <is>
          <t>Defence</t>
        </is>
      </c>
      <c r="AJ3" s="321" t="n"/>
      <c r="AK3" s="321" t="n"/>
      <c r="AL3" s="321" t="n"/>
      <c r="AM3" s="321" t="n"/>
      <c r="AN3" s="321" t="n"/>
      <c r="AO3" s="321" t="n"/>
      <c r="AP3" s="321" t="n"/>
      <c r="AQ3" s="321" t="n"/>
      <c r="AR3" s="321" t="n"/>
      <c r="AS3" s="39" t="n"/>
      <c r="AT3" s="254" t="inlineStr">
        <is>
          <t>Pressure</t>
        </is>
      </c>
      <c r="AU3" s="321" t="n"/>
      <c r="AV3" s="321" t="n"/>
      <c r="AW3" s="321" t="n"/>
      <c r="AX3" s="321" t="n"/>
      <c r="AY3" s="321" t="n"/>
      <c r="AZ3" s="321" t="n"/>
      <c r="BA3" s="321" t="n"/>
      <c r="BB3" s="321" t="n"/>
      <c r="BC3" s="321" t="n"/>
      <c r="BD3" s="39" t="n"/>
      <c r="BE3" s="322" t="inlineStr">
        <is>
          <t>Health Check</t>
        </is>
      </c>
      <c r="BF3" s="321" t="n"/>
      <c r="BG3" s="321" t="n"/>
      <c r="BH3" s="321" t="n"/>
      <c r="BI3" s="321" t="n"/>
      <c r="BJ3" s="321" t="n"/>
      <c r="BK3" s="321" t="n"/>
      <c r="BL3" s="321" t="n"/>
      <c r="BM3" s="321" t="n"/>
      <c r="BN3" s="321" t="n"/>
      <c r="BO3" s="321" t="n"/>
      <c r="BP3" s="321" t="n"/>
      <c r="BQ3" s="321" t="n"/>
      <c r="BR3" s="323" t="n"/>
      <c r="BS3" s="39" t="n"/>
      <c r="BT3" s="237" t="inlineStr">
        <is>
          <t>Wheelo Ratings</t>
        </is>
      </c>
      <c r="BU3" s="321" t="n"/>
      <c r="BV3" s="321" t="n"/>
      <c r="BW3" s="321" t="n"/>
      <c r="BX3" s="321" t="n"/>
      <c r="BY3" s="324" t="n"/>
      <c r="BZ3" s="70" t="n"/>
    </row>
    <row r="4" ht="69" customFormat="1" customHeight="1" s="2" thickBot="1">
      <c r="A4" s="325" t="n"/>
      <c r="B4" s="4" t="inlineStr">
        <is>
          <t>Post Clear CP Diff</t>
        </is>
      </c>
      <c r="C4" s="5" t="inlineStr">
        <is>
          <t>Rank</t>
        </is>
      </c>
      <c r="D4" s="5" t="inlineStr">
        <is>
          <t>Ground Ball Diff</t>
        </is>
      </c>
      <c r="E4" s="5" t="inlineStr">
        <is>
          <t>Rank</t>
        </is>
      </c>
      <c r="F4" s="5" t="inlineStr">
        <is>
          <t>1st Poss to Clear %</t>
        </is>
      </c>
      <c r="G4" s="5" t="inlineStr">
        <is>
          <t>Rank</t>
        </is>
      </c>
      <c r="H4" s="5" t="inlineStr">
        <is>
          <t>Clearance Diff</t>
        </is>
      </c>
      <c r="I4" s="6" t="inlineStr">
        <is>
          <t>Rank</t>
        </is>
      </c>
      <c r="J4" s="27" t="inlineStr">
        <is>
          <t>Ball Winning Ranking</t>
        </is>
      </c>
      <c r="K4" s="38" t="inlineStr">
        <is>
          <t>Rank</t>
        </is>
      </c>
      <c r="L4" s="40" t="n"/>
      <c r="M4" s="7" t="inlineStr">
        <is>
          <t>Def Half to Score %</t>
        </is>
      </c>
      <c r="N4" s="8" t="inlineStr">
        <is>
          <t>Rank</t>
        </is>
      </c>
      <c r="O4" s="8" t="inlineStr">
        <is>
          <t>Chain to Score %</t>
        </is>
      </c>
      <c r="P4" s="8" t="inlineStr">
        <is>
          <t>Rank</t>
        </is>
      </c>
      <c r="Q4" s="8" t="inlineStr">
        <is>
          <t>D50 to F50 %</t>
        </is>
      </c>
      <c r="R4" s="8" t="inlineStr">
        <is>
          <t>Rank</t>
        </is>
      </c>
      <c r="S4" s="8" t="inlineStr">
        <is>
          <t>Kick Rating</t>
        </is>
      </c>
      <c r="T4" s="9" t="inlineStr">
        <is>
          <t>Rank</t>
        </is>
      </c>
      <c r="U4" s="30" t="inlineStr">
        <is>
          <t>Ball Movement Ranking</t>
        </is>
      </c>
      <c r="V4" s="31" t="inlineStr">
        <is>
          <t>Rank</t>
        </is>
      </c>
      <c r="W4" s="40" t="n"/>
      <c r="X4" s="41" t="inlineStr">
        <is>
          <t>Scores per I50 %</t>
        </is>
      </c>
      <c r="Y4" s="23" t="inlineStr">
        <is>
          <t>Rank</t>
        </is>
      </c>
      <c r="Z4" s="23" t="inlineStr">
        <is>
          <t>Goals Per I 50 %</t>
        </is>
      </c>
      <c r="AA4" s="23" t="inlineStr">
        <is>
          <t>Rank</t>
        </is>
      </c>
      <c r="AB4" s="23" t="inlineStr">
        <is>
          <t>Accuracy %</t>
        </is>
      </c>
      <c r="AC4" s="23" t="inlineStr">
        <is>
          <t>Rank</t>
        </is>
      </c>
      <c r="AD4" s="42" t="inlineStr">
        <is>
          <t>+/- Exp Score</t>
        </is>
      </c>
      <c r="AE4" s="43" t="inlineStr">
        <is>
          <t>Rank</t>
        </is>
      </c>
      <c r="AF4" s="44" t="inlineStr">
        <is>
          <t>Scoring Ranking</t>
        </is>
      </c>
      <c r="AG4" s="45" t="inlineStr">
        <is>
          <t>Rank</t>
        </is>
      </c>
      <c r="AH4" s="40" t="n"/>
      <c r="AI4" s="13" t="inlineStr">
        <is>
          <t>Def Half to Score Ag %</t>
        </is>
      </c>
      <c r="AJ4" s="14" t="inlineStr">
        <is>
          <t>Rank</t>
        </is>
      </c>
      <c r="AK4" s="14" t="inlineStr">
        <is>
          <t>Chain to Score Ag %</t>
        </is>
      </c>
      <c r="AL4" s="14" t="inlineStr">
        <is>
          <t>Rank</t>
        </is>
      </c>
      <c r="AM4" s="14" t="inlineStr">
        <is>
          <t>D50 to F50 Ag %</t>
        </is>
      </c>
      <c r="AN4" s="14" t="inlineStr">
        <is>
          <t>Rank</t>
        </is>
      </c>
      <c r="AO4" s="14" t="inlineStr">
        <is>
          <t>Goals per I50 Ag %</t>
        </is>
      </c>
      <c r="AP4" s="15" t="inlineStr">
        <is>
          <t>Rank</t>
        </is>
      </c>
      <c r="AQ4" s="33" t="inlineStr">
        <is>
          <t>Defence Ranking</t>
        </is>
      </c>
      <c r="AR4" s="34" t="inlineStr">
        <is>
          <t>Rank</t>
        </is>
      </c>
      <c r="AS4" s="40" t="n"/>
      <c r="AT4" s="183" t="inlineStr">
        <is>
          <t>Tackle Diff</t>
        </is>
      </c>
      <c r="AU4" s="184" t="inlineStr">
        <is>
          <t>Rank</t>
        </is>
      </c>
      <c r="AV4" s="184" t="inlineStr">
        <is>
          <t>F50 Tackles</t>
        </is>
      </c>
      <c r="AW4" s="184" t="inlineStr">
        <is>
          <t>Rank</t>
        </is>
      </c>
      <c r="AX4" s="184" t="inlineStr">
        <is>
          <t>Pressure Acts</t>
        </is>
      </c>
      <c r="AY4" s="184" t="inlineStr">
        <is>
          <t>Rank</t>
        </is>
      </c>
      <c r="AZ4" s="184" t="inlineStr">
        <is>
          <t>1%'ers</t>
        </is>
      </c>
      <c r="BA4" s="185" t="inlineStr">
        <is>
          <t>Rank</t>
        </is>
      </c>
      <c r="BB4" s="186" t="inlineStr">
        <is>
          <t>Pressure Ranking</t>
        </is>
      </c>
      <c r="BC4" s="187" t="inlineStr">
        <is>
          <t>Rank</t>
        </is>
      </c>
      <c r="BD4" s="40" t="n"/>
      <c r="BE4" s="16" t="inlineStr">
        <is>
          <t>Score from Turnover For</t>
        </is>
      </c>
      <c r="BF4" s="17" t="inlineStr">
        <is>
          <t>Rank</t>
        </is>
      </c>
      <c r="BG4" s="17" t="inlineStr">
        <is>
          <t>Scores from Turnover Ag</t>
        </is>
      </c>
      <c r="BH4" s="17" t="inlineStr">
        <is>
          <t>Rank</t>
        </is>
      </c>
      <c r="BI4" s="17" t="inlineStr">
        <is>
          <t>Scores from Stoppages For</t>
        </is>
      </c>
      <c r="BJ4" s="17" t="inlineStr">
        <is>
          <t>Rank</t>
        </is>
      </c>
      <c r="BK4" s="17" t="inlineStr">
        <is>
          <t>Scores from Stoppage Ag</t>
        </is>
      </c>
      <c r="BL4" s="17" t="inlineStr">
        <is>
          <t>Rank</t>
        </is>
      </c>
      <c r="BM4" s="17" t="inlineStr">
        <is>
          <t>Territory %</t>
        </is>
      </c>
      <c r="BN4" s="17" t="inlineStr">
        <is>
          <t>Rank</t>
        </is>
      </c>
      <c r="BO4" s="17" t="inlineStr">
        <is>
          <t>Post-Clearance CP Diff</t>
        </is>
      </c>
      <c r="BP4" s="35" t="inlineStr">
        <is>
          <t>Rank</t>
        </is>
      </c>
      <c r="BQ4" s="36" t="inlineStr">
        <is>
          <t>Health Check Ranking</t>
        </is>
      </c>
      <c r="BR4" s="37" t="inlineStr">
        <is>
          <t>Rank</t>
        </is>
      </c>
      <c r="BS4" s="40" t="n"/>
      <c r="BT4" s="41" t="inlineStr">
        <is>
          <t>Attack Rating</t>
        </is>
      </c>
      <c r="BU4" s="23" t="inlineStr">
        <is>
          <t>Rank</t>
        </is>
      </c>
      <c r="BV4" s="23" t="inlineStr">
        <is>
          <t>Defence Rating</t>
        </is>
      </c>
      <c r="BW4" s="23" t="inlineStr">
        <is>
          <t>Rank</t>
        </is>
      </c>
      <c r="BX4" s="23" t="inlineStr">
        <is>
          <t>Overall Rating</t>
        </is>
      </c>
      <c r="BY4" s="24" t="inlineStr">
        <is>
          <t>Rank</t>
        </is>
      </c>
      <c r="BZ4" s="71" t="n"/>
    </row>
    <row r="5" ht="25" customFormat="1" customHeight="1" s="3">
      <c r="A5" s="75" t="inlineStr">
        <is>
          <t>Adelaide</t>
        </is>
      </c>
      <c r="B5" s="46">
        <f>VLOOKUP($A5,INDIRECT("'"&amp;$B$1&amp;"'!$A:$IZ"),222,FALSE)</f>
        <v/>
      </c>
      <c r="C5" s="47">
        <f>RANK(B5,B$5:B$22)</f>
        <v/>
      </c>
      <c r="D5" s="48">
        <f>VLOOKUP($A5,INDIRECT("'"&amp;$B$1&amp;"'!$A:$IZ"),218,FALSE)</f>
        <v/>
      </c>
      <c r="E5" s="47">
        <f>RANK(D5,D$5:D$22)</f>
        <v/>
      </c>
      <c r="F5" s="48">
        <f>VLOOKUP($A5,INDIRECT("'"&amp;$B$1&amp;"'!$A:$IZ"),49,FALSE)</f>
        <v/>
      </c>
      <c r="G5" s="47">
        <f>RANK(F5,F$5:F$22)</f>
        <v/>
      </c>
      <c r="H5" s="48">
        <f>VLOOKUP($A5,INDIRECT("'"&amp;$B$1&amp;"'!$A:$IZ"),229,FALSE)</f>
        <v/>
      </c>
      <c r="I5" s="47">
        <f>RANK(H5,H$5:H$22)</f>
        <v/>
      </c>
      <c r="J5" s="49">
        <f>104-(C5+E5+G5+I5)</f>
        <v/>
      </c>
      <c r="K5" s="47">
        <f>RANK(J5,J$5:J$22)</f>
        <v/>
      </c>
      <c r="L5" s="50" t="n"/>
      <c r="M5" s="46">
        <f>VLOOKUP($A5,INDIRECT("'"&amp;$B$1&amp;"'!$A:$IZ"),88,FALSE)</f>
        <v/>
      </c>
      <c r="N5" s="47">
        <f>RANK(M5,M$5:M$22)</f>
        <v/>
      </c>
      <c r="O5" s="46">
        <f>VLOOKUP($A5,INDIRECT("'"&amp;$B$1&amp;"'!$A:$IZ"),84,FALSE)</f>
        <v/>
      </c>
      <c r="P5" s="47">
        <f>RANK(O5,O$5:O$22)</f>
        <v/>
      </c>
      <c r="Q5" s="46">
        <f>VLOOKUP($A5,INDIRECT("'"&amp;$B$1&amp;"'!$A:$IZ"),85,FALSE)</f>
        <v/>
      </c>
      <c r="R5" s="47">
        <f>RANK(Q5,Q$5:Q$22)</f>
        <v/>
      </c>
      <c r="S5" s="48">
        <f>VLOOKUP($A5,INDIRECT("'"&amp;$B$1&amp;"'!$A:$IZ"),29,FALSE)</f>
        <v/>
      </c>
      <c r="T5" s="47">
        <f>RANK(S5,S$5:S$22)</f>
        <v/>
      </c>
      <c r="U5" s="49">
        <f>104-(N5+P5+R5+T5)</f>
        <v/>
      </c>
      <c r="V5" s="47">
        <f>RANK(U5,U$5:U$22)</f>
        <v/>
      </c>
      <c r="W5" s="50" t="n"/>
      <c r="X5" s="46">
        <f>VLOOKUP($A5,INDIRECT("'"&amp;$B$1&amp;"'!$A:$IZ"),65,FALSE)</f>
        <v/>
      </c>
      <c r="Y5" s="47">
        <f>RANK(X5,X$5:X$22)</f>
        <v/>
      </c>
      <c r="Z5" s="46">
        <f>VLOOKUP($A5,INDIRECT("'"&amp;$B$1&amp;"'!$A:$IZ"),64,FALSE)</f>
        <v/>
      </c>
      <c r="AA5" s="47">
        <f>RANK(Z5,Z$5:Z$22)</f>
        <v/>
      </c>
      <c r="AB5" s="46">
        <f>VLOOKUP($A5,INDIRECT("'"&amp;$B$1&amp;"'!$A:$IZ"),63,FALSE)</f>
        <v/>
      </c>
      <c r="AC5" s="47">
        <f>RANK(AB5,AB$5:AB$22)</f>
        <v/>
      </c>
      <c r="AD5" s="46">
        <f>VLOOKUP($A5,INDIRECT("'"&amp;$B$1&amp;"'!$A:$IZ"),71,FALSE)</f>
        <v/>
      </c>
      <c r="AE5" s="47">
        <f>RANK(AD5,AD$5:AD$22)</f>
        <v/>
      </c>
      <c r="AF5" s="49">
        <f>104-(Y5+AA5+AC5+AE5)</f>
        <v/>
      </c>
      <c r="AG5" s="47">
        <f>RANK(AF5,AF$5:AF$22)</f>
        <v/>
      </c>
      <c r="AH5" s="50" t="n"/>
      <c r="AI5" s="46">
        <f>VLOOKUP($A5,INDIRECT("'"&amp;$B$1&amp;"'!$A:$IZ"),183,FALSE)</f>
        <v/>
      </c>
      <c r="AJ5" s="47">
        <f>RANK(AI5,AI$5:AI$22,1)</f>
        <v/>
      </c>
      <c r="AK5" s="46">
        <f>VLOOKUP($A5,INDIRECT("'"&amp;$B$1&amp;"'!$A:$IZ"),181,FALSE)</f>
        <v/>
      </c>
      <c r="AL5" s="47">
        <f>RANK(AK5,AK$5:AK$22,1)</f>
        <v/>
      </c>
      <c r="AM5" s="46">
        <f>VLOOKUP($A5,INDIRECT("'"&amp;$B$1&amp;"'!$A:$IZ"),182,FALSE)</f>
        <v/>
      </c>
      <c r="AN5" s="47">
        <f>RANK(AM5,AM$5:AM$22,1)</f>
        <v/>
      </c>
      <c r="AO5" s="46">
        <f>VLOOKUP($A5,INDIRECT("'"&amp;$B$1&amp;"'!$A:$IZ"),163,FALSE)</f>
        <v/>
      </c>
      <c r="AP5" s="47">
        <f>RANK(AO5,AO$5:AO$22,1)</f>
        <v/>
      </c>
      <c r="AQ5" s="49">
        <f>104-(AJ5+AL5+AN5+AP5)</f>
        <v/>
      </c>
      <c r="AR5" s="47">
        <f>RANK(AQ5,AQ$5:AQ$22)</f>
        <v/>
      </c>
      <c r="AS5" s="50" t="n"/>
      <c r="AT5" s="46">
        <f>VLOOKUP($A5,INDIRECT("'"&amp;$B$1&amp;"'!$A:$IZ"),250,FALSE)</f>
        <v/>
      </c>
      <c r="AU5" s="47">
        <f>RANK(AT5,AT$5:AT$22,0)</f>
        <v/>
      </c>
      <c r="AV5" s="46">
        <f>VLOOKUP($A5,INDIRECT("'"&amp;$B$1&amp;"'!$A:$IZ"),92,FALSE)</f>
        <v/>
      </c>
      <c r="AW5" s="47">
        <f>RANK(AV5,AV$5:AV$22,0)</f>
        <v/>
      </c>
      <c r="AX5" s="46">
        <f>VLOOKUP($A5,INDIRECT("'"&amp;$B$1&amp;"'!$A:$IZ"),93,FALSE)</f>
        <v/>
      </c>
      <c r="AY5" s="47">
        <f>RANK(AX5,AX$5:AX$22,0)</f>
        <v/>
      </c>
      <c r="AZ5" s="46">
        <f>VLOOKUP($A5,INDIRECT("'"&amp;$B$1&amp;"'!$A:$IZ"),108,FALSE)</f>
        <v/>
      </c>
      <c r="BA5" s="47">
        <f>RANK(AZ5,AZ$5:AZ$22,0)</f>
        <v/>
      </c>
      <c r="BB5" s="46">
        <f>104-(AU5+AW5+AY5+BA5)</f>
        <v/>
      </c>
      <c r="BC5" s="47">
        <f>RANK(BB5,BB$5:BB$22)</f>
        <v/>
      </c>
      <c r="BD5" s="50" t="n"/>
      <c r="BE5" s="46">
        <f>VLOOKUP($A5,INDIRECT("'"&amp;$B$1&amp;"'!$A:$IZ"),80,FALSE)</f>
        <v/>
      </c>
      <c r="BF5" s="47">
        <f>RANK(BE5,BE$5:BE$22)</f>
        <v/>
      </c>
      <c r="BG5" s="46">
        <f>VLOOKUP($A5,INDIRECT("'"&amp;$B$1&amp;"'!$A:$IZ"),177,FALSE)</f>
        <v/>
      </c>
      <c r="BH5" s="47">
        <f>RANK(BG5,BG$5:BG$22,1)</f>
        <v/>
      </c>
      <c r="BI5" s="46">
        <f>VLOOKUP($A5,INDIRECT("'"&amp;$B$1&amp;"'!$A:$IZ"),79,FALSE)</f>
        <v/>
      </c>
      <c r="BJ5" s="47">
        <f>RANK(BI5,BI$5:BI$22)</f>
        <v/>
      </c>
      <c r="BK5" s="46">
        <f>VLOOKUP($A5,INDIRECT("'"&amp;$B$1&amp;"'!$A:$IZ"),176,FALSE)</f>
        <v/>
      </c>
      <c r="BL5" s="47">
        <f>RANK(BK5,BK$5:BK$22,1)</f>
        <v/>
      </c>
      <c r="BM5" s="46">
        <f>VLOOKUP($A5,INDIRECT("'"&amp;$B$1&amp;"'!$A:$IZ"),11,FALSE)</f>
        <v/>
      </c>
      <c r="BN5" s="47">
        <f>RANK(BM5,BM$5:BM$22)</f>
        <v/>
      </c>
      <c r="BO5" s="46">
        <f>VLOOKUP($A5,INDIRECT("'"&amp;$B$1&amp;"'!$A:$IZ"),222,FALSE)</f>
        <v/>
      </c>
      <c r="BP5" s="47">
        <f>RANK(BO5,BO$5:BO$22)</f>
        <v/>
      </c>
      <c r="BQ5" s="49">
        <f>106-(BF5+BH5+BN5+BP5+BJ5+BL5)</f>
        <v/>
      </c>
      <c r="BR5" s="47">
        <f>RANK(BQ5,BQ$5:BQ$22)</f>
        <v/>
      </c>
      <c r="BS5" s="50" t="n"/>
      <c r="BT5" s="51">
        <f>VLOOKUP($A5,'Ratings Season'!$A:$M,10,FALSE)</f>
        <v/>
      </c>
      <c r="BU5" s="47">
        <f>RANK(BT5,BT$5:BT$22)</f>
        <v/>
      </c>
      <c r="BV5" s="51">
        <f>VLOOKUP($A5,'Ratings Season'!$A:$M,12,FALSE)</f>
        <v/>
      </c>
      <c r="BW5" s="47">
        <f>RANK(BV5,BV$5:BV$22)</f>
        <v/>
      </c>
      <c r="BX5" s="51">
        <f>VLOOKUP($A5,'Ratings Season'!$A:$M,8,FALSE)</f>
        <v/>
      </c>
      <c r="BY5" s="52">
        <f>RANK(BX5,BX$5:BX$22)</f>
        <v/>
      </c>
      <c r="BZ5" s="72" t="n"/>
    </row>
    <row r="6" ht="25" customFormat="1" customHeight="1" s="3">
      <c r="A6" s="76" t="inlineStr">
        <is>
          <t>Brisbane</t>
        </is>
      </c>
      <c r="B6" s="53">
        <f>VLOOKUP($A6,INDIRECT("'"&amp;$B$1&amp;"'!$A:$IZ"),222,FALSE)</f>
        <v/>
      </c>
      <c r="C6" s="54">
        <f>RANK(B6,B$5:B$22)</f>
        <v/>
      </c>
      <c r="D6" s="55">
        <f>VLOOKUP($A6,INDIRECT("'"&amp;$B$1&amp;"'!$A:$IZ"),218,FALSE)</f>
        <v/>
      </c>
      <c r="E6" s="54">
        <f>RANK(D6,D$5:D$22)</f>
        <v/>
      </c>
      <c r="F6" s="55">
        <f>VLOOKUP($A6,INDIRECT("'"&amp;$B$1&amp;"'!$A:$IZ"),49,FALSE)</f>
        <v/>
      </c>
      <c r="G6" s="54">
        <f>RANK(F6,F$5:F$22)</f>
        <v/>
      </c>
      <c r="H6" s="55">
        <f>VLOOKUP($A6,INDIRECT("'"&amp;$B$1&amp;"'!$A:$IZ"),229,FALSE)</f>
        <v/>
      </c>
      <c r="I6" s="54">
        <f>RANK(H6,H$5:H$22)</f>
        <v/>
      </c>
      <c r="J6" s="49">
        <f>104-(C6+E6+G6+I6)</f>
        <v/>
      </c>
      <c r="K6" s="47">
        <f>RANK(J6,J$5:J$22)</f>
        <v/>
      </c>
      <c r="L6" s="56" t="n"/>
      <c r="M6" s="53">
        <f>VLOOKUP($A6,INDIRECT("'"&amp;$B$1&amp;"'!$A:$IZ"),88,FALSE)</f>
        <v/>
      </c>
      <c r="N6" s="54">
        <f>RANK(M6,M$5:M$22)</f>
        <v/>
      </c>
      <c r="O6" s="53">
        <f>VLOOKUP($A6,INDIRECT("'"&amp;$B$1&amp;"'!$A:$IZ"),84,FALSE)</f>
        <v/>
      </c>
      <c r="P6" s="54">
        <f>RANK(O6,O$5:O$22)</f>
        <v/>
      </c>
      <c r="Q6" s="53">
        <f>VLOOKUP($A6,INDIRECT("'"&amp;$B$1&amp;"'!$A:$IZ"),85,FALSE)</f>
        <v/>
      </c>
      <c r="R6" s="54">
        <f>RANK(Q6,Q$5:Q$22)</f>
        <v/>
      </c>
      <c r="S6" s="55">
        <f>VLOOKUP($A6,INDIRECT("'"&amp;$B$1&amp;"'!$A:$IZ"),29,FALSE)</f>
        <v/>
      </c>
      <c r="T6" s="54">
        <f>RANK(S6,S$5:S$22)</f>
        <v/>
      </c>
      <c r="U6" s="49">
        <f>104-(N6+P6+R6+T6)</f>
        <v/>
      </c>
      <c r="V6" s="47">
        <f>RANK(U6,U$5:U$22)</f>
        <v/>
      </c>
      <c r="W6" s="56" t="n"/>
      <c r="X6" s="53">
        <f>VLOOKUP($A6,INDIRECT("'"&amp;$B$1&amp;"'!$A:$IZ"),65,FALSE)</f>
        <v/>
      </c>
      <c r="Y6" s="54">
        <f>RANK(X6,X$5:X$22)</f>
        <v/>
      </c>
      <c r="Z6" s="53">
        <f>VLOOKUP($A6,INDIRECT("'"&amp;$B$1&amp;"'!$A:$IZ"),64,FALSE)</f>
        <v/>
      </c>
      <c r="AA6" s="54">
        <f>RANK(Z6,Z$5:Z$22)</f>
        <v/>
      </c>
      <c r="AB6" s="53">
        <f>VLOOKUP($A6,INDIRECT("'"&amp;$B$1&amp;"'!$A:$IZ"),63,FALSE)</f>
        <v/>
      </c>
      <c r="AC6" s="54">
        <f>RANK(AB6,AB$5:AB$22)</f>
        <v/>
      </c>
      <c r="AD6" s="53">
        <f>VLOOKUP($A6,INDIRECT("'"&amp;$B$1&amp;"'!$A:$IZ"),71,FALSE)</f>
        <v/>
      </c>
      <c r="AE6" s="54">
        <f>RANK(AD6,AD$5:AD$22)</f>
        <v/>
      </c>
      <c r="AF6" s="65">
        <f>104-(Y6+AA6+AC6+AE6)</f>
        <v/>
      </c>
      <c r="AG6" s="47">
        <f>RANK(AF6,AF$5:AF$22)</f>
        <v/>
      </c>
      <c r="AH6" s="56" t="n"/>
      <c r="AI6" s="53">
        <f>VLOOKUP($A6,INDIRECT("'"&amp;$B$1&amp;"'!$A:$IZ"),183,FALSE)</f>
        <v/>
      </c>
      <c r="AJ6" s="54">
        <f>RANK(AI6,AI$5:AI$22,1)</f>
        <v/>
      </c>
      <c r="AK6" s="53">
        <f>VLOOKUP($A6,INDIRECT("'"&amp;$B$1&amp;"'!$A:$IZ"),181,FALSE)</f>
        <v/>
      </c>
      <c r="AL6" s="54">
        <f>RANK(AK6,AK$5:AK$22,1)</f>
        <v/>
      </c>
      <c r="AM6" s="53">
        <f>VLOOKUP($A6,INDIRECT("'"&amp;$B$1&amp;"'!$A:$IZ"),182,FALSE)</f>
        <v/>
      </c>
      <c r="AN6" s="54">
        <f>RANK(AM6,AM$5:AM$22,1)</f>
        <v/>
      </c>
      <c r="AO6" s="53">
        <f>VLOOKUP($A6,INDIRECT("'"&amp;$B$1&amp;"'!$A:$IZ"),163,FALSE)</f>
        <v/>
      </c>
      <c r="AP6" s="54">
        <f>RANK(AO6,AO$5:AO$22,1)</f>
        <v/>
      </c>
      <c r="AQ6" s="65">
        <f>104-(AJ6+AL6+AN6+AP6)</f>
        <v/>
      </c>
      <c r="AR6" s="47">
        <f>RANK(AQ6,AQ$5:AQ$22)</f>
        <v/>
      </c>
      <c r="AS6" s="56" t="n"/>
      <c r="AT6" s="46">
        <f>VLOOKUP($A6,INDIRECT("'"&amp;$B$1&amp;"'!$A:$IZ"),250,FALSE)</f>
        <v/>
      </c>
      <c r="AU6" s="47">
        <f>RANK(AT6,AT$5:AT$22,0)</f>
        <v/>
      </c>
      <c r="AV6" s="46">
        <f>VLOOKUP($A6,INDIRECT("'"&amp;$B$1&amp;"'!$A:$IZ"),92,FALSE)</f>
        <v/>
      </c>
      <c r="AW6" s="47">
        <f>RANK(AV6,AV$5:AV$22,0)</f>
        <v/>
      </c>
      <c r="AX6" s="46">
        <f>VLOOKUP($A6,INDIRECT("'"&amp;$B$1&amp;"'!$A:$IZ"),93,FALSE)</f>
        <v/>
      </c>
      <c r="AY6" s="47">
        <f>RANK(AX6,AX$5:AX$22,0)</f>
        <v/>
      </c>
      <c r="AZ6" s="46">
        <f>VLOOKUP($A6,INDIRECT("'"&amp;$B$1&amp;"'!$A:$IZ"),108,FALSE)</f>
        <v/>
      </c>
      <c r="BA6" s="47">
        <f>RANK(AZ6,AZ$5:AZ$22,0)</f>
        <v/>
      </c>
      <c r="BB6" s="46">
        <f>104-(AU6+AW6+AY6+BA6)</f>
        <v/>
      </c>
      <c r="BC6" s="47">
        <f>RANK(BB6,BB$5:BB$22)</f>
        <v/>
      </c>
      <c r="BD6" s="56" t="n"/>
      <c r="BE6" s="53">
        <f>VLOOKUP($A6,INDIRECT("'"&amp;$B$1&amp;"'!$A:$IZ"),80,FALSE)</f>
        <v/>
      </c>
      <c r="BF6" s="54">
        <f>RANK(BE6,BE$5:BE$22)</f>
        <v/>
      </c>
      <c r="BG6" s="53">
        <f>VLOOKUP($A6,INDIRECT("'"&amp;$B$1&amp;"'!$A:$IZ"),177,FALSE)</f>
        <v/>
      </c>
      <c r="BH6" s="54">
        <f>RANK(BG6,BG$5:BG$22,1)</f>
        <v/>
      </c>
      <c r="BI6" s="53">
        <f>VLOOKUP($A6,INDIRECT("'"&amp;$B$1&amp;"'!$A:$IZ"),79,FALSE)</f>
        <v/>
      </c>
      <c r="BJ6" s="54">
        <f>RANK(BI6,BI$5:BI$22)</f>
        <v/>
      </c>
      <c r="BK6" s="53">
        <f>VLOOKUP($A6,INDIRECT("'"&amp;$B$1&amp;"'!$A:$IZ"),176,FALSE)</f>
        <v/>
      </c>
      <c r="BL6" s="54">
        <f>RANK(BK6,BK$5:BK$22,1)</f>
        <v/>
      </c>
      <c r="BM6" s="53">
        <f>VLOOKUP($A6,INDIRECT("'"&amp;$B$1&amp;"'!$A:$IZ"),11,FALSE)</f>
        <v/>
      </c>
      <c r="BN6" s="54">
        <f>RANK(BM6,BM$5:BM$22)</f>
        <v/>
      </c>
      <c r="BO6" s="53">
        <f>VLOOKUP($A6,INDIRECT("'"&amp;$B$1&amp;"'!$A:$IZ"),222,FALSE)</f>
        <v/>
      </c>
      <c r="BP6" s="54">
        <f>RANK(BO6,BO$5:BO$22)</f>
        <v/>
      </c>
      <c r="BQ6" s="65">
        <f>106-(BF6+BH6+BN6+BP6+BJ6+BL6)</f>
        <v/>
      </c>
      <c r="BR6" s="47">
        <f>RANK(BQ6,BQ$5:BQ$22)</f>
        <v/>
      </c>
      <c r="BS6" s="56" t="n"/>
      <c r="BT6" s="57">
        <f>VLOOKUP($A6,'Ratings Season'!$A:$M,10,FALSE)</f>
        <v/>
      </c>
      <c r="BU6" s="54">
        <f>RANK(BT6,BT$5:BT$22)</f>
        <v/>
      </c>
      <c r="BV6" s="57">
        <f>VLOOKUP($A6,'Ratings Season'!$A:$M,12,FALSE)</f>
        <v/>
      </c>
      <c r="BW6" s="54">
        <f>RANK(BV6,BV$5:BV$22)</f>
        <v/>
      </c>
      <c r="BX6" s="57">
        <f>VLOOKUP($A6,'Ratings Season'!$A:$M,8,FALSE)</f>
        <v/>
      </c>
      <c r="BY6" s="58">
        <f>RANK(BX6,BX$5:BX$22)</f>
        <v/>
      </c>
      <c r="BZ6" s="72" t="n"/>
    </row>
    <row r="7" ht="25" customFormat="1" customHeight="1" s="3">
      <c r="A7" s="77" t="inlineStr">
        <is>
          <t>Carlton</t>
        </is>
      </c>
      <c r="B7" s="53">
        <f>VLOOKUP($A7,INDIRECT("'"&amp;$B$1&amp;"'!$A:$IZ"),222,FALSE)</f>
        <v/>
      </c>
      <c r="C7" s="54">
        <f>RANK(B7,B$5:B$22)</f>
        <v/>
      </c>
      <c r="D7" s="55">
        <f>VLOOKUP($A7,INDIRECT("'"&amp;$B$1&amp;"'!$A:$IZ"),218,FALSE)</f>
        <v/>
      </c>
      <c r="E7" s="54">
        <f>RANK(D7,D$5:D$22)</f>
        <v/>
      </c>
      <c r="F7" s="55">
        <f>VLOOKUP($A7,INDIRECT("'"&amp;$B$1&amp;"'!$A:$IZ"),49,FALSE)</f>
        <v/>
      </c>
      <c r="G7" s="54">
        <f>RANK(F7,F$5:F$22)</f>
        <v/>
      </c>
      <c r="H7" s="55">
        <f>VLOOKUP($A7,INDIRECT("'"&amp;$B$1&amp;"'!$A:$IZ"),229,FALSE)</f>
        <v/>
      </c>
      <c r="I7" s="54">
        <f>RANK(H7,H$5:H$22)</f>
        <v/>
      </c>
      <c r="J7" s="49">
        <f>104-(C7+E7+G7+I7)</f>
        <v/>
      </c>
      <c r="K7" s="47">
        <f>RANK(J7,J$5:J$22)</f>
        <v/>
      </c>
      <c r="L7" s="56" t="n"/>
      <c r="M7" s="53">
        <f>VLOOKUP($A7,INDIRECT("'"&amp;$B$1&amp;"'!$A:$IZ"),88,FALSE)</f>
        <v/>
      </c>
      <c r="N7" s="54">
        <f>RANK(M7,M$5:M$22)</f>
        <v/>
      </c>
      <c r="O7" s="53">
        <f>VLOOKUP($A7,INDIRECT("'"&amp;$B$1&amp;"'!$A:$IZ"),84,FALSE)</f>
        <v/>
      </c>
      <c r="P7" s="54">
        <f>RANK(O7,O$5:O$22)</f>
        <v/>
      </c>
      <c r="Q7" s="53">
        <f>VLOOKUP($A7,INDIRECT("'"&amp;$B$1&amp;"'!$A:$IZ"),85,FALSE)</f>
        <v/>
      </c>
      <c r="R7" s="54">
        <f>RANK(Q7,Q$5:Q$22)</f>
        <v/>
      </c>
      <c r="S7" s="55">
        <f>VLOOKUP($A7,INDIRECT("'"&amp;$B$1&amp;"'!$A:$IZ"),29,FALSE)</f>
        <v/>
      </c>
      <c r="T7" s="54">
        <f>RANK(S7,S$5:S$22)</f>
        <v/>
      </c>
      <c r="U7" s="49">
        <f>104-(N7+P7+R7+T7)</f>
        <v/>
      </c>
      <c r="V7" s="47">
        <f>RANK(U7,U$5:U$22)</f>
        <v/>
      </c>
      <c r="W7" s="56" t="n"/>
      <c r="X7" s="53">
        <f>VLOOKUP($A7,INDIRECT("'"&amp;$B$1&amp;"'!$A:$IZ"),65,FALSE)</f>
        <v/>
      </c>
      <c r="Y7" s="54">
        <f>RANK(X7,X$5:X$22)</f>
        <v/>
      </c>
      <c r="Z7" s="53">
        <f>VLOOKUP($A7,INDIRECT("'"&amp;$B$1&amp;"'!$A:$IZ"),64,FALSE)</f>
        <v/>
      </c>
      <c r="AA7" s="54">
        <f>RANK(Z7,Z$5:Z$22)</f>
        <v/>
      </c>
      <c r="AB7" s="53">
        <f>VLOOKUP($A7,INDIRECT("'"&amp;$B$1&amp;"'!$A:$IZ"),63,FALSE)</f>
        <v/>
      </c>
      <c r="AC7" s="54">
        <f>RANK(AB7,AB$5:AB$22)</f>
        <v/>
      </c>
      <c r="AD7" s="53">
        <f>VLOOKUP($A7,INDIRECT("'"&amp;$B$1&amp;"'!$A:$IZ"),71,FALSE)</f>
        <v/>
      </c>
      <c r="AE7" s="54">
        <f>RANK(AD7,AD$5:AD$22)</f>
        <v/>
      </c>
      <c r="AF7" s="65">
        <f>104-(Y7+AA7+AC7+AE7)</f>
        <v/>
      </c>
      <c r="AG7" s="47">
        <f>RANK(AF7,AF$5:AF$22)</f>
        <v/>
      </c>
      <c r="AH7" s="56" t="n"/>
      <c r="AI7" s="53">
        <f>VLOOKUP($A7,INDIRECT("'"&amp;$B$1&amp;"'!$A:$IZ"),183,FALSE)</f>
        <v/>
      </c>
      <c r="AJ7" s="54">
        <f>RANK(AI7,AI$5:AI$22,1)</f>
        <v/>
      </c>
      <c r="AK7" s="53">
        <f>VLOOKUP($A7,INDIRECT("'"&amp;$B$1&amp;"'!$A:$IZ"),181,FALSE)</f>
        <v/>
      </c>
      <c r="AL7" s="54">
        <f>RANK(AK7,AK$5:AK$22,1)</f>
        <v/>
      </c>
      <c r="AM7" s="53">
        <f>VLOOKUP($A7,INDIRECT("'"&amp;$B$1&amp;"'!$A:$IZ"),182,FALSE)</f>
        <v/>
      </c>
      <c r="AN7" s="54">
        <f>RANK(AM7,AM$5:AM$22,1)</f>
        <v/>
      </c>
      <c r="AO7" s="53">
        <f>VLOOKUP($A7,INDIRECT("'"&amp;$B$1&amp;"'!$A:$IZ"),163,FALSE)</f>
        <v/>
      </c>
      <c r="AP7" s="54">
        <f>RANK(AO7,AO$5:AO$22,1)</f>
        <v/>
      </c>
      <c r="AQ7" s="65">
        <f>104-(AJ7+AL7+AN7+AP7)</f>
        <v/>
      </c>
      <c r="AR7" s="47">
        <f>RANK(AQ7,AQ$5:AQ$22)</f>
        <v/>
      </c>
      <c r="AS7" s="56" t="n"/>
      <c r="AT7" s="46">
        <f>VLOOKUP($A7,INDIRECT("'"&amp;$B$1&amp;"'!$A:$IZ"),250,FALSE)</f>
        <v/>
      </c>
      <c r="AU7" s="47">
        <f>RANK(AT7,AT$5:AT$22,0)</f>
        <v/>
      </c>
      <c r="AV7" s="46">
        <f>VLOOKUP($A7,INDIRECT("'"&amp;$B$1&amp;"'!$A:$IZ"),92,FALSE)</f>
        <v/>
      </c>
      <c r="AW7" s="47">
        <f>RANK(AV7,AV$5:AV$22,0)</f>
        <v/>
      </c>
      <c r="AX7" s="46">
        <f>VLOOKUP($A7,INDIRECT("'"&amp;$B$1&amp;"'!$A:$IZ"),93,FALSE)</f>
        <v/>
      </c>
      <c r="AY7" s="47">
        <f>RANK(AX7,AX$5:AX$22,0)</f>
        <v/>
      </c>
      <c r="AZ7" s="46">
        <f>VLOOKUP($A7,INDIRECT("'"&amp;$B$1&amp;"'!$A:$IZ"),108,FALSE)</f>
        <v/>
      </c>
      <c r="BA7" s="47">
        <f>RANK(AZ7,AZ$5:AZ$22,0)</f>
        <v/>
      </c>
      <c r="BB7" s="46">
        <f>104-(AU7+AW7+AY7+BA7)</f>
        <v/>
      </c>
      <c r="BC7" s="47">
        <f>RANK(BB7,BB$5:BB$22)</f>
        <v/>
      </c>
      <c r="BD7" s="56" t="n"/>
      <c r="BE7" s="53">
        <f>VLOOKUP($A7,INDIRECT("'"&amp;$B$1&amp;"'!$A:$IZ"),80,FALSE)</f>
        <v/>
      </c>
      <c r="BF7" s="54">
        <f>RANK(BE7,BE$5:BE$22)</f>
        <v/>
      </c>
      <c r="BG7" s="53">
        <f>VLOOKUP($A7,INDIRECT("'"&amp;$B$1&amp;"'!$A:$IZ"),177,FALSE)</f>
        <v/>
      </c>
      <c r="BH7" s="54">
        <f>RANK(BG7,BG$5:BG$22,1)</f>
        <v/>
      </c>
      <c r="BI7" s="53">
        <f>VLOOKUP($A7,INDIRECT("'"&amp;$B$1&amp;"'!$A:$IZ"),79,FALSE)</f>
        <v/>
      </c>
      <c r="BJ7" s="54">
        <f>RANK(BI7,BI$5:BI$22)</f>
        <v/>
      </c>
      <c r="BK7" s="53">
        <f>VLOOKUP($A7,INDIRECT("'"&amp;$B$1&amp;"'!$A:$IZ"),176,FALSE)</f>
        <v/>
      </c>
      <c r="BL7" s="54">
        <f>RANK(BK7,BK$5:BK$22,1)</f>
        <v/>
      </c>
      <c r="BM7" s="53">
        <f>VLOOKUP($A7,INDIRECT("'"&amp;$B$1&amp;"'!$A:$IZ"),11,FALSE)</f>
        <v/>
      </c>
      <c r="BN7" s="54">
        <f>RANK(BM7,BM$5:BM$22)</f>
        <v/>
      </c>
      <c r="BO7" s="53">
        <f>VLOOKUP($A7,INDIRECT("'"&amp;$B$1&amp;"'!$A:$IZ"),222,FALSE)</f>
        <v/>
      </c>
      <c r="BP7" s="54">
        <f>RANK(BO7,BO$5:BO$22)</f>
        <v/>
      </c>
      <c r="BQ7" s="65">
        <f>106-(BF7+BH7+BN7+BP7+BJ7+BL7)</f>
        <v/>
      </c>
      <c r="BR7" s="47">
        <f>RANK(BQ7,BQ$5:BQ$22)</f>
        <v/>
      </c>
      <c r="BS7" s="56" t="n"/>
      <c r="BT7" s="57">
        <f>VLOOKUP($A7,'Ratings Season'!$A:$M,10,FALSE)</f>
        <v/>
      </c>
      <c r="BU7" s="54">
        <f>RANK(BT7,BT$5:BT$22)</f>
        <v/>
      </c>
      <c r="BV7" s="57">
        <f>VLOOKUP($A7,'Ratings Season'!$A:$M,12,FALSE)</f>
        <v/>
      </c>
      <c r="BW7" s="54">
        <f>RANK(BV7,BV$5:BV$22)</f>
        <v/>
      </c>
      <c r="BX7" s="57">
        <f>VLOOKUP($A7,'Ratings Season'!$A:$M,8,FALSE)</f>
        <v/>
      </c>
      <c r="BY7" s="58">
        <f>RANK(BX7,BX$5:BX$22)</f>
        <v/>
      </c>
      <c r="BZ7" s="72" t="n"/>
    </row>
    <row r="8" ht="25" customFormat="1" customHeight="1" s="3">
      <c r="A8" s="78" t="inlineStr">
        <is>
          <t>Collingwood</t>
        </is>
      </c>
      <c r="B8" s="53">
        <f>VLOOKUP($A8,INDIRECT("'"&amp;$B$1&amp;"'!$A:$IZ"),222,FALSE)</f>
        <v/>
      </c>
      <c r="C8" s="54">
        <f>RANK(B8,B$5:B$22)</f>
        <v/>
      </c>
      <c r="D8" s="55">
        <f>VLOOKUP($A8,INDIRECT("'"&amp;$B$1&amp;"'!$A:$IZ"),218,FALSE)</f>
        <v/>
      </c>
      <c r="E8" s="54">
        <f>RANK(D8,D$5:D$22)</f>
        <v/>
      </c>
      <c r="F8" s="55">
        <f>VLOOKUP($A8,INDIRECT("'"&amp;$B$1&amp;"'!$A:$IZ"),49,FALSE)</f>
        <v/>
      </c>
      <c r="G8" s="54">
        <f>RANK(F8,F$5:F$22)</f>
        <v/>
      </c>
      <c r="H8" s="55">
        <f>VLOOKUP($A8,INDIRECT("'"&amp;$B$1&amp;"'!$A:$IZ"),229,FALSE)</f>
        <v/>
      </c>
      <c r="I8" s="54">
        <f>RANK(H8,H$5:H$22)</f>
        <v/>
      </c>
      <c r="J8" s="49">
        <f>104-(C8+E8+G8+I8)</f>
        <v/>
      </c>
      <c r="K8" s="47">
        <f>RANK(J8,J$5:J$22)</f>
        <v/>
      </c>
      <c r="L8" s="56" t="n"/>
      <c r="M8" s="53">
        <f>VLOOKUP($A8,INDIRECT("'"&amp;$B$1&amp;"'!$A:$IZ"),88,FALSE)</f>
        <v/>
      </c>
      <c r="N8" s="54">
        <f>RANK(M8,M$5:M$22)</f>
        <v/>
      </c>
      <c r="O8" s="53">
        <f>VLOOKUP($A8,INDIRECT("'"&amp;$B$1&amp;"'!$A:$IZ"),84,FALSE)</f>
        <v/>
      </c>
      <c r="P8" s="54">
        <f>RANK(O8,O$5:O$22)</f>
        <v/>
      </c>
      <c r="Q8" s="53">
        <f>VLOOKUP($A8,INDIRECT("'"&amp;$B$1&amp;"'!$A:$IZ"),85,FALSE)</f>
        <v/>
      </c>
      <c r="R8" s="54">
        <f>RANK(Q8,Q$5:Q$22)</f>
        <v/>
      </c>
      <c r="S8" s="55">
        <f>VLOOKUP($A8,INDIRECT("'"&amp;$B$1&amp;"'!$A:$IZ"),29,FALSE)</f>
        <v/>
      </c>
      <c r="T8" s="54">
        <f>RANK(S8,S$5:S$22)</f>
        <v/>
      </c>
      <c r="U8" s="49">
        <f>104-(N8+P8+R8+T8)</f>
        <v/>
      </c>
      <c r="V8" s="47">
        <f>RANK(U8,U$5:U$22)</f>
        <v/>
      </c>
      <c r="W8" s="56" t="n"/>
      <c r="X8" s="53">
        <f>VLOOKUP($A8,INDIRECT("'"&amp;$B$1&amp;"'!$A:$IZ"),65,FALSE)</f>
        <v/>
      </c>
      <c r="Y8" s="54">
        <f>RANK(X8,X$5:X$22)</f>
        <v/>
      </c>
      <c r="Z8" s="53">
        <f>VLOOKUP($A8,INDIRECT("'"&amp;$B$1&amp;"'!$A:$IZ"),64,FALSE)</f>
        <v/>
      </c>
      <c r="AA8" s="54">
        <f>RANK(Z8,Z$5:Z$22)</f>
        <v/>
      </c>
      <c r="AB8" s="53">
        <f>VLOOKUP($A8,INDIRECT("'"&amp;$B$1&amp;"'!$A:$IZ"),63,FALSE)</f>
        <v/>
      </c>
      <c r="AC8" s="54">
        <f>RANK(AB8,AB$5:AB$22)</f>
        <v/>
      </c>
      <c r="AD8" s="53">
        <f>VLOOKUP($A8,INDIRECT("'"&amp;$B$1&amp;"'!$A:$IZ"),71,FALSE)</f>
        <v/>
      </c>
      <c r="AE8" s="54">
        <f>RANK(AD8,AD$5:AD$22)</f>
        <v/>
      </c>
      <c r="AF8" s="65">
        <f>104-(Y8+AA8+AC8+AE8)</f>
        <v/>
      </c>
      <c r="AG8" s="47">
        <f>RANK(AF8,AF$5:AF$22)</f>
        <v/>
      </c>
      <c r="AH8" s="56" t="n"/>
      <c r="AI8" s="53">
        <f>VLOOKUP($A8,INDIRECT("'"&amp;$B$1&amp;"'!$A:$IZ"),183,FALSE)</f>
        <v/>
      </c>
      <c r="AJ8" s="54">
        <f>RANK(AI8,AI$5:AI$22,1)</f>
        <v/>
      </c>
      <c r="AK8" s="53">
        <f>VLOOKUP($A8,INDIRECT("'"&amp;$B$1&amp;"'!$A:$IZ"),181,FALSE)</f>
        <v/>
      </c>
      <c r="AL8" s="54">
        <f>RANK(AK8,AK$5:AK$22,1)</f>
        <v/>
      </c>
      <c r="AM8" s="53">
        <f>VLOOKUP($A8,INDIRECT("'"&amp;$B$1&amp;"'!$A:$IZ"),182,FALSE)</f>
        <v/>
      </c>
      <c r="AN8" s="54">
        <f>RANK(AM8,AM$5:AM$22,1)</f>
        <v/>
      </c>
      <c r="AO8" s="53">
        <f>VLOOKUP($A8,INDIRECT("'"&amp;$B$1&amp;"'!$A:$IZ"),163,FALSE)</f>
        <v/>
      </c>
      <c r="AP8" s="54">
        <f>RANK(AO8,AO$5:AO$22,1)</f>
        <v/>
      </c>
      <c r="AQ8" s="65">
        <f>104-(AJ8+AL8+AN8+AP8)</f>
        <v/>
      </c>
      <c r="AR8" s="47">
        <f>RANK(AQ8,AQ$5:AQ$22)</f>
        <v/>
      </c>
      <c r="AS8" s="56" t="n"/>
      <c r="AT8" s="46">
        <f>VLOOKUP($A8,INDIRECT("'"&amp;$B$1&amp;"'!$A:$IZ"),250,FALSE)</f>
        <v/>
      </c>
      <c r="AU8" s="47">
        <f>RANK(AT8,AT$5:AT$22,0)</f>
        <v/>
      </c>
      <c r="AV8" s="46">
        <f>VLOOKUP($A8,INDIRECT("'"&amp;$B$1&amp;"'!$A:$IZ"),92,FALSE)</f>
        <v/>
      </c>
      <c r="AW8" s="47">
        <f>RANK(AV8,AV$5:AV$22,0)</f>
        <v/>
      </c>
      <c r="AX8" s="46">
        <f>VLOOKUP($A8,INDIRECT("'"&amp;$B$1&amp;"'!$A:$IZ"),93,FALSE)</f>
        <v/>
      </c>
      <c r="AY8" s="47">
        <f>RANK(AX8,AX$5:AX$22,0)</f>
        <v/>
      </c>
      <c r="AZ8" s="46">
        <f>VLOOKUP($A8,INDIRECT("'"&amp;$B$1&amp;"'!$A:$IZ"),108,FALSE)</f>
        <v/>
      </c>
      <c r="BA8" s="47">
        <f>RANK(AZ8,AZ$5:AZ$22,0)</f>
        <v/>
      </c>
      <c r="BB8" s="46">
        <f>104-(AU8+AW8+AY8+BA8)</f>
        <v/>
      </c>
      <c r="BC8" s="47">
        <f>RANK(BB8,BB$5:BB$22)</f>
        <v/>
      </c>
      <c r="BD8" s="56" t="n"/>
      <c r="BE8" s="53">
        <f>VLOOKUP($A8,INDIRECT("'"&amp;$B$1&amp;"'!$A:$IZ"),80,FALSE)</f>
        <v/>
      </c>
      <c r="BF8" s="54">
        <f>RANK(BE8,BE$5:BE$22)</f>
        <v/>
      </c>
      <c r="BG8" s="53">
        <f>VLOOKUP($A8,INDIRECT("'"&amp;$B$1&amp;"'!$A:$IZ"),177,FALSE)</f>
        <v/>
      </c>
      <c r="BH8" s="54">
        <f>RANK(BG8,BG$5:BG$22,1)</f>
        <v/>
      </c>
      <c r="BI8" s="53">
        <f>VLOOKUP($A8,INDIRECT("'"&amp;$B$1&amp;"'!$A:$IZ"),79,FALSE)</f>
        <v/>
      </c>
      <c r="BJ8" s="54">
        <f>RANK(BI8,BI$5:BI$22)</f>
        <v/>
      </c>
      <c r="BK8" s="53">
        <f>VLOOKUP($A8,INDIRECT("'"&amp;$B$1&amp;"'!$A:$IZ"),176,FALSE)</f>
        <v/>
      </c>
      <c r="BL8" s="54">
        <f>RANK(BK8,BK$5:BK$22,1)</f>
        <v/>
      </c>
      <c r="BM8" s="53">
        <f>VLOOKUP($A8,INDIRECT("'"&amp;$B$1&amp;"'!$A:$IZ"),11,FALSE)</f>
        <v/>
      </c>
      <c r="BN8" s="54">
        <f>RANK(BM8,BM$5:BM$22)</f>
        <v/>
      </c>
      <c r="BO8" s="53">
        <f>VLOOKUP($A8,INDIRECT("'"&amp;$B$1&amp;"'!$A:$IZ"),222,FALSE)</f>
        <v/>
      </c>
      <c r="BP8" s="54">
        <f>RANK(BO8,BO$5:BO$22)</f>
        <v/>
      </c>
      <c r="BQ8" s="65">
        <f>106-(BF8+BH8+BN8+BP8+BJ8+BL8)</f>
        <v/>
      </c>
      <c r="BR8" s="47">
        <f>RANK(BQ8,BQ$5:BQ$22)</f>
        <v/>
      </c>
      <c r="BS8" s="56" t="n"/>
      <c r="BT8" s="57">
        <f>VLOOKUP($A8,'Ratings Season'!$A:$M,10,FALSE)</f>
        <v/>
      </c>
      <c r="BU8" s="54">
        <f>RANK(BT8,BT$5:BT$22)</f>
        <v/>
      </c>
      <c r="BV8" s="57">
        <f>VLOOKUP($A8,'Ratings Season'!$A:$M,12,FALSE)</f>
        <v/>
      </c>
      <c r="BW8" s="54">
        <f>RANK(BV8,BV$5:BV$22)</f>
        <v/>
      </c>
      <c r="BX8" s="57">
        <f>VLOOKUP($A8,'Ratings Season'!$A:$M,8,FALSE)</f>
        <v/>
      </c>
      <c r="BY8" s="58">
        <f>RANK(BX8,BX$5:BX$22)</f>
        <v/>
      </c>
      <c r="BZ8" s="72" t="n"/>
    </row>
    <row r="9" ht="25" customFormat="1" customHeight="1" s="3">
      <c r="A9" s="79" t="inlineStr">
        <is>
          <t>Essendon</t>
        </is>
      </c>
      <c r="B9" s="53">
        <f>VLOOKUP($A9,INDIRECT("'"&amp;$B$1&amp;"'!$A:$IZ"),222,FALSE)</f>
        <v/>
      </c>
      <c r="C9" s="54">
        <f>RANK(B9,B$5:B$22)</f>
        <v/>
      </c>
      <c r="D9" s="55">
        <f>VLOOKUP($A9,INDIRECT("'"&amp;$B$1&amp;"'!$A:$IZ"),218,FALSE)</f>
        <v/>
      </c>
      <c r="E9" s="54">
        <f>RANK(D9,D$5:D$22)</f>
        <v/>
      </c>
      <c r="F9" s="55">
        <f>VLOOKUP($A9,INDIRECT("'"&amp;$B$1&amp;"'!$A:$IZ"),49,FALSE)</f>
        <v/>
      </c>
      <c r="G9" s="54">
        <f>RANK(F9,F$5:F$22)</f>
        <v/>
      </c>
      <c r="H9" s="55">
        <f>VLOOKUP($A9,INDIRECT("'"&amp;$B$1&amp;"'!$A:$IZ"),229,FALSE)</f>
        <v/>
      </c>
      <c r="I9" s="54">
        <f>RANK(H9,H$5:H$22)</f>
        <v/>
      </c>
      <c r="J9" s="49">
        <f>104-(C9+E9+G9+I9)</f>
        <v/>
      </c>
      <c r="K9" s="47">
        <f>RANK(J9,J$5:J$22)</f>
        <v/>
      </c>
      <c r="L9" s="56" t="n"/>
      <c r="M9" s="53">
        <f>VLOOKUP($A9,INDIRECT("'"&amp;$B$1&amp;"'!$A:$IZ"),88,FALSE)</f>
        <v/>
      </c>
      <c r="N9" s="54">
        <f>RANK(M9,M$5:M$22)</f>
        <v/>
      </c>
      <c r="O9" s="53">
        <f>VLOOKUP($A9,INDIRECT("'"&amp;$B$1&amp;"'!$A:$IZ"),84,FALSE)</f>
        <v/>
      </c>
      <c r="P9" s="54">
        <f>RANK(O9,O$5:O$22)</f>
        <v/>
      </c>
      <c r="Q9" s="53">
        <f>VLOOKUP($A9,INDIRECT("'"&amp;$B$1&amp;"'!$A:$IZ"),85,FALSE)</f>
        <v/>
      </c>
      <c r="R9" s="54">
        <f>RANK(Q9,Q$5:Q$22)</f>
        <v/>
      </c>
      <c r="S9" s="55">
        <f>VLOOKUP($A9,INDIRECT("'"&amp;$B$1&amp;"'!$A:$IZ"),29,FALSE)</f>
        <v/>
      </c>
      <c r="T9" s="54">
        <f>RANK(S9,S$5:S$22)</f>
        <v/>
      </c>
      <c r="U9" s="49">
        <f>104-(N9+P9+R9+T9)</f>
        <v/>
      </c>
      <c r="V9" s="47">
        <f>RANK(U9,U$5:U$22)</f>
        <v/>
      </c>
      <c r="W9" s="56" t="n"/>
      <c r="X9" s="53">
        <f>VLOOKUP($A9,INDIRECT("'"&amp;$B$1&amp;"'!$A:$IZ"),65,FALSE)</f>
        <v/>
      </c>
      <c r="Y9" s="54">
        <f>RANK(X9,X$5:X$22)</f>
        <v/>
      </c>
      <c r="Z9" s="53">
        <f>VLOOKUP($A9,INDIRECT("'"&amp;$B$1&amp;"'!$A:$IZ"),64,FALSE)</f>
        <v/>
      </c>
      <c r="AA9" s="54">
        <f>RANK(Z9,Z$5:Z$22)</f>
        <v/>
      </c>
      <c r="AB9" s="53">
        <f>VLOOKUP($A9,INDIRECT("'"&amp;$B$1&amp;"'!$A:$IZ"),63,FALSE)</f>
        <v/>
      </c>
      <c r="AC9" s="54">
        <f>RANK(AB9,AB$5:AB$22)</f>
        <v/>
      </c>
      <c r="AD9" s="53">
        <f>VLOOKUP($A9,INDIRECT("'"&amp;$B$1&amp;"'!$A:$IZ"),71,FALSE)</f>
        <v/>
      </c>
      <c r="AE9" s="54">
        <f>RANK(AD9,AD$5:AD$22)</f>
        <v/>
      </c>
      <c r="AF9" s="65">
        <f>104-(Y9+AA9+AC9+AE9)</f>
        <v/>
      </c>
      <c r="AG9" s="47">
        <f>RANK(AF9,AF$5:AF$22)</f>
        <v/>
      </c>
      <c r="AH9" s="56" t="n"/>
      <c r="AI9" s="53">
        <f>VLOOKUP($A9,INDIRECT("'"&amp;$B$1&amp;"'!$A:$IZ"),183,FALSE)</f>
        <v/>
      </c>
      <c r="AJ9" s="54">
        <f>RANK(AI9,AI$5:AI$22,1)</f>
        <v/>
      </c>
      <c r="AK9" s="53">
        <f>VLOOKUP($A9,INDIRECT("'"&amp;$B$1&amp;"'!$A:$IZ"),181,FALSE)</f>
        <v/>
      </c>
      <c r="AL9" s="54">
        <f>RANK(AK9,AK$5:AK$22,1)</f>
        <v/>
      </c>
      <c r="AM9" s="53">
        <f>VLOOKUP($A9,INDIRECT("'"&amp;$B$1&amp;"'!$A:$IZ"),182,FALSE)</f>
        <v/>
      </c>
      <c r="AN9" s="54">
        <f>RANK(AM9,AM$5:AM$22,1)</f>
        <v/>
      </c>
      <c r="AO9" s="53">
        <f>VLOOKUP($A9,INDIRECT("'"&amp;$B$1&amp;"'!$A:$IZ"),163,FALSE)</f>
        <v/>
      </c>
      <c r="AP9" s="54">
        <f>RANK(AO9,AO$5:AO$22,1)</f>
        <v/>
      </c>
      <c r="AQ9" s="65">
        <f>104-(AJ9+AL9+AN9+AP9)</f>
        <v/>
      </c>
      <c r="AR9" s="47">
        <f>RANK(AQ9,AQ$5:AQ$22)</f>
        <v/>
      </c>
      <c r="AS9" s="56" t="n"/>
      <c r="AT9" s="46">
        <f>VLOOKUP($A9,INDIRECT("'"&amp;$B$1&amp;"'!$A:$IZ"),250,FALSE)</f>
        <v/>
      </c>
      <c r="AU9" s="47">
        <f>RANK(AT9,AT$5:AT$22,0)</f>
        <v/>
      </c>
      <c r="AV9" s="46">
        <f>VLOOKUP($A9,INDIRECT("'"&amp;$B$1&amp;"'!$A:$IZ"),92,FALSE)</f>
        <v/>
      </c>
      <c r="AW9" s="47">
        <f>RANK(AV9,AV$5:AV$22,0)</f>
        <v/>
      </c>
      <c r="AX9" s="46">
        <f>VLOOKUP($A9,INDIRECT("'"&amp;$B$1&amp;"'!$A:$IZ"),93,FALSE)</f>
        <v/>
      </c>
      <c r="AY9" s="47">
        <f>RANK(AX9,AX$5:AX$22,0)</f>
        <v/>
      </c>
      <c r="AZ9" s="46">
        <f>VLOOKUP($A9,INDIRECT("'"&amp;$B$1&amp;"'!$A:$IZ"),108,FALSE)</f>
        <v/>
      </c>
      <c r="BA9" s="47">
        <f>RANK(AZ9,AZ$5:AZ$22,0)</f>
        <v/>
      </c>
      <c r="BB9" s="46">
        <f>104-(AU9+AW9+AY9+BA9)</f>
        <v/>
      </c>
      <c r="BC9" s="47">
        <f>RANK(BB9,BB$5:BB$22)</f>
        <v/>
      </c>
      <c r="BD9" s="56" t="n"/>
      <c r="BE9" s="53">
        <f>VLOOKUP($A9,INDIRECT("'"&amp;$B$1&amp;"'!$A:$IZ"),80,FALSE)</f>
        <v/>
      </c>
      <c r="BF9" s="54">
        <f>RANK(BE9,BE$5:BE$22)</f>
        <v/>
      </c>
      <c r="BG9" s="53">
        <f>VLOOKUP($A9,INDIRECT("'"&amp;$B$1&amp;"'!$A:$IZ"),177,FALSE)</f>
        <v/>
      </c>
      <c r="BH9" s="54">
        <f>RANK(BG9,BG$5:BG$22,1)</f>
        <v/>
      </c>
      <c r="BI9" s="53">
        <f>VLOOKUP($A9,INDIRECT("'"&amp;$B$1&amp;"'!$A:$IZ"),79,FALSE)</f>
        <v/>
      </c>
      <c r="BJ9" s="54">
        <f>RANK(BI9,BI$5:BI$22)</f>
        <v/>
      </c>
      <c r="BK9" s="53">
        <f>VLOOKUP($A9,INDIRECT("'"&amp;$B$1&amp;"'!$A:$IZ"),176,FALSE)</f>
        <v/>
      </c>
      <c r="BL9" s="54">
        <f>RANK(BK9,BK$5:BK$22,1)</f>
        <v/>
      </c>
      <c r="BM9" s="53">
        <f>VLOOKUP($A9,INDIRECT("'"&amp;$B$1&amp;"'!$A:$IZ"),11,FALSE)</f>
        <v/>
      </c>
      <c r="BN9" s="54">
        <f>RANK(BM9,BM$5:BM$22)</f>
        <v/>
      </c>
      <c r="BO9" s="53">
        <f>VLOOKUP($A9,INDIRECT("'"&amp;$B$1&amp;"'!$A:$IZ"),222,FALSE)</f>
        <v/>
      </c>
      <c r="BP9" s="54">
        <f>RANK(BO9,BO$5:BO$22)</f>
        <v/>
      </c>
      <c r="BQ9" s="65">
        <f>106-(BF9+BH9+BN9+BP9+BJ9+BL9)</f>
        <v/>
      </c>
      <c r="BR9" s="47">
        <f>RANK(BQ9,BQ$5:BQ$22)</f>
        <v/>
      </c>
      <c r="BS9" s="56" t="n"/>
      <c r="BT9" s="57">
        <f>VLOOKUP($A9,'Ratings Season'!$A:$M,10,FALSE)</f>
        <v/>
      </c>
      <c r="BU9" s="54">
        <f>RANK(BT9,BT$5:BT$22)</f>
        <v/>
      </c>
      <c r="BV9" s="57">
        <f>VLOOKUP($A9,'Ratings Season'!$A:$M,12,FALSE)</f>
        <v/>
      </c>
      <c r="BW9" s="54">
        <f>RANK(BV9,BV$5:BV$22)</f>
        <v/>
      </c>
      <c r="BX9" s="57">
        <f>VLOOKUP($A9,'Ratings Season'!$A:$M,8,FALSE)</f>
        <v/>
      </c>
      <c r="BY9" s="58">
        <f>RANK(BX9,BX$5:BX$22)</f>
        <v/>
      </c>
      <c r="BZ9" s="72" t="n"/>
    </row>
    <row r="10" ht="25" customFormat="1" customHeight="1" s="3">
      <c r="A10" s="80" t="inlineStr">
        <is>
          <t>Fremantle</t>
        </is>
      </c>
      <c r="B10" s="53">
        <f>VLOOKUP($A10,INDIRECT("'"&amp;$B$1&amp;"'!$A:$IZ"),222,FALSE)</f>
        <v/>
      </c>
      <c r="C10" s="54">
        <f>RANK(B10,B$5:B$22)</f>
        <v/>
      </c>
      <c r="D10" s="55">
        <f>VLOOKUP($A10,INDIRECT("'"&amp;$B$1&amp;"'!$A:$IZ"),218,FALSE)</f>
        <v/>
      </c>
      <c r="E10" s="54">
        <f>RANK(D10,D$5:D$22)</f>
        <v/>
      </c>
      <c r="F10" s="55">
        <f>VLOOKUP($A10,INDIRECT("'"&amp;$B$1&amp;"'!$A:$IZ"),49,FALSE)</f>
        <v/>
      </c>
      <c r="G10" s="54">
        <f>RANK(F10,F$5:F$22)</f>
        <v/>
      </c>
      <c r="H10" s="55">
        <f>VLOOKUP($A10,INDIRECT("'"&amp;$B$1&amp;"'!$A:$IZ"),229,FALSE)</f>
        <v/>
      </c>
      <c r="I10" s="54">
        <f>RANK(H10,H$5:H$22)</f>
        <v/>
      </c>
      <c r="J10" s="49">
        <f>104-(C10+E10+G10+I10)</f>
        <v/>
      </c>
      <c r="K10" s="47">
        <f>RANK(J10,J$5:J$22)</f>
        <v/>
      </c>
      <c r="L10" s="56" t="n"/>
      <c r="M10" s="53">
        <f>VLOOKUP($A10,INDIRECT("'"&amp;$B$1&amp;"'!$A:$IZ"),88,FALSE)</f>
        <v/>
      </c>
      <c r="N10" s="54">
        <f>RANK(M10,M$5:M$22)</f>
        <v/>
      </c>
      <c r="O10" s="53">
        <f>VLOOKUP($A10,INDIRECT("'"&amp;$B$1&amp;"'!$A:$IZ"),84,FALSE)</f>
        <v/>
      </c>
      <c r="P10" s="54">
        <f>RANK(O10,O$5:O$22)</f>
        <v/>
      </c>
      <c r="Q10" s="53">
        <f>VLOOKUP($A10,INDIRECT("'"&amp;$B$1&amp;"'!$A:$IZ"),85,FALSE)</f>
        <v/>
      </c>
      <c r="R10" s="54">
        <f>RANK(Q10,Q$5:Q$22)</f>
        <v/>
      </c>
      <c r="S10" s="55">
        <f>VLOOKUP($A10,INDIRECT("'"&amp;$B$1&amp;"'!$A:$IZ"),29,FALSE)</f>
        <v/>
      </c>
      <c r="T10" s="54">
        <f>RANK(S10,S$5:S$22)</f>
        <v/>
      </c>
      <c r="U10" s="49">
        <f>104-(N10+P10+R10+T10)</f>
        <v/>
      </c>
      <c r="V10" s="47">
        <f>RANK(U10,U$5:U$22)</f>
        <v/>
      </c>
      <c r="W10" s="56" t="n"/>
      <c r="X10" s="53">
        <f>VLOOKUP($A10,INDIRECT("'"&amp;$B$1&amp;"'!$A:$IZ"),65,FALSE)</f>
        <v/>
      </c>
      <c r="Y10" s="54">
        <f>RANK(X10,X$5:X$22)</f>
        <v/>
      </c>
      <c r="Z10" s="53">
        <f>VLOOKUP($A10,INDIRECT("'"&amp;$B$1&amp;"'!$A:$IZ"),64,FALSE)</f>
        <v/>
      </c>
      <c r="AA10" s="54">
        <f>RANK(Z10,Z$5:Z$22)</f>
        <v/>
      </c>
      <c r="AB10" s="53">
        <f>VLOOKUP($A10,INDIRECT("'"&amp;$B$1&amp;"'!$A:$IZ"),63,FALSE)</f>
        <v/>
      </c>
      <c r="AC10" s="54">
        <f>RANK(AB10,AB$5:AB$22)</f>
        <v/>
      </c>
      <c r="AD10" s="53">
        <f>VLOOKUP($A10,INDIRECT("'"&amp;$B$1&amp;"'!$A:$IZ"),71,FALSE)</f>
        <v/>
      </c>
      <c r="AE10" s="54">
        <f>RANK(AD10,AD$5:AD$22)</f>
        <v/>
      </c>
      <c r="AF10" s="65">
        <f>104-(Y10+AA10+AC10+AE10)</f>
        <v/>
      </c>
      <c r="AG10" s="47">
        <f>RANK(AF10,AF$5:AF$22)</f>
        <v/>
      </c>
      <c r="AH10" s="56" t="n"/>
      <c r="AI10" s="53">
        <f>VLOOKUP($A10,INDIRECT("'"&amp;$B$1&amp;"'!$A:$IZ"),183,FALSE)</f>
        <v/>
      </c>
      <c r="AJ10" s="54">
        <f>RANK(AI10,AI$5:AI$22,1)</f>
        <v/>
      </c>
      <c r="AK10" s="53">
        <f>VLOOKUP($A10,INDIRECT("'"&amp;$B$1&amp;"'!$A:$IZ"),181,FALSE)</f>
        <v/>
      </c>
      <c r="AL10" s="54">
        <f>RANK(AK10,AK$5:AK$22,1)</f>
        <v/>
      </c>
      <c r="AM10" s="53">
        <f>VLOOKUP($A10,INDIRECT("'"&amp;$B$1&amp;"'!$A:$IZ"),182,FALSE)</f>
        <v/>
      </c>
      <c r="AN10" s="54">
        <f>RANK(AM10,AM$5:AM$22,1)</f>
        <v/>
      </c>
      <c r="AO10" s="53">
        <f>VLOOKUP($A10,INDIRECT("'"&amp;$B$1&amp;"'!$A:$IZ"),163,FALSE)</f>
        <v/>
      </c>
      <c r="AP10" s="54">
        <f>RANK(AO10,AO$5:AO$22,1)</f>
        <v/>
      </c>
      <c r="AQ10" s="65">
        <f>104-(AJ10+AL10+AN10+AP10)</f>
        <v/>
      </c>
      <c r="AR10" s="47">
        <f>RANK(AQ10,AQ$5:AQ$22)</f>
        <v/>
      </c>
      <c r="AS10" s="56" t="n"/>
      <c r="AT10" s="46">
        <f>VLOOKUP($A10,INDIRECT("'"&amp;$B$1&amp;"'!$A:$IZ"),250,FALSE)</f>
        <v/>
      </c>
      <c r="AU10" s="47">
        <f>RANK(AT10,AT$5:AT$22,0)</f>
        <v/>
      </c>
      <c r="AV10" s="46">
        <f>VLOOKUP($A10,INDIRECT("'"&amp;$B$1&amp;"'!$A:$IZ"),92,FALSE)</f>
        <v/>
      </c>
      <c r="AW10" s="47">
        <f>RANK(AV10,AV$5:AV$22,0)</f>
        <v/>
      </c>
      <c r="AX10" s="46">
        <f>VLOOKUP($A10,INDIRECT("'"&amp;$B$1&amp;"'!$A:$IZ"),93,FALSE)</f>
        <v/>
      </c>
      <c r="AY10" s="47">
        <f>RANK(AX10,AX$5:AX$22,0)</f>
        <v/>
      </c>
      <c r="AZ10" s="46">
        <f>VLOOKUP($A10,INDIRECT("'"&amp;$B$1&amp;"'!$A:$IZ"),108,FALSE)</f>
        <v/>
      </c>
      <c r="BA10" s="47">
        <f>RANK(AZ10,AZ$5:AZ$22,0)</f>
        <v/>
      </c>
      <c r="BB10" s="46">
        <f>104-(AU10+AW10+AY10+BA10)</f>
        <v/>
      </c>
      <c r="BC10" s="47">
        <f>RANK(BB10,BB$5:BB$22)</f>
        <v/>
      </c>
      <c r="BD10" s="56" t="n"/>
      <c r="BE10" s="53">
        <f>VLOOKUP($A10,INDIRECT("'"&amp;$B$1&amp;"'!$A:$IZ"),80,FALSE)</f>
        <v/>
      </c>
      <c r="BF10" s="54">
        <f>RANK(BE10,BE$5:BE$22)</f>
        <v/>
      </c>
      <c r="BG10" s="53">
        <f>VLOOKUP($A10,INDIRECT("'"&amp;$B$1&amp;"'!$A:$IZ"),177,FALSE)</f>
        <v/>
      </c>
      <c r="BH10" s="54">
        <f>RANK(BG10,BG$5:BG$22,1)</f>
        <v/>
      </c>
      <c r="BI10" s="53">
        <f>VLOOKUP($A10,INDIRECT("'"&amp;$B$1&amp;"'!$A:$IZ"),79,FALSE)</f>
        <v/>
      </c>
      <c r="BJ10" s="54">
        <f>RANK(BI10,BI$5:BI$22)</f>
        <v/>
      </c>
      <c r="BK10" s="53">
        <f>VLOOKUP($A10,INDIRECT("'"&amp;$B$1&amp;"'!$A:$IZ"),176,FALSE)</f>
        <v/>
      </c>
      <c r="BL10" s="54">
        <f>RANK(BK10,BK$5:BK$22,1)</f>
        <v/>
      </c>
      <c r="BM10" s="53">
        <f>VLOOKUP($A10,INDIRECT("'"&amp;$B$1&amp;"'!$A:$IZ"),11,FALSE)</f>
        <v/>
      </c>
      <c r="BN10" s="54">
        <f>RANK(BM10,BM$5:BM$22)</f>
        <v/>
      </c>
      <c r="BO10" s="53">
        <f>VLOOKUP($A10,INDIRECT("'"&amp;$B$1&amp;"'!$A:$IZ"),222,FALSE)</f>
        <v/>
      </c>
      <c r="BP10" s="54">
        <f>RANK(BO10,BO$5:BO$22)</f>
        <v/>
      </c>
      <c r="BQ10" s="65">
        <f>106-(BF10+BH10+BN10+BP10+BJ10+BL10)</f>
        <v/>
      </c>
      <c r="BR10" s="47">
        <f>RANK(BQ10,BQ$5:BQ$22)</f>
        <v/>
      </c>
      <c r="BS10" s="56" t="n"/>
      <c r="BT10" s="57">
        <f>VLOOKUP($A10,'Ratings Season'!$A:$M,10,FALSE)</f>
        <v/>
      </c>
      <c r="BU10" s="54">
        <f>RANK(BT10,BT$5:BT$22)</f>
        <v/>
      </c>
      <c r="BV10" s="57">
        <f>VLOOKUP($A10,'Ratings Season'!$A:$M,12,FALSE)</f>
        <v/>
      </c>
      <c r="BW10" s="54">
        <f>RANK(BV10,BV$5:BV$22)</f>
        <v/>
      </c>
      <c r="BX10" s="57">
        <f>VLOOKUP($A10,'Ratings Season'!$A:$M,8,FALSE)</f>
        <v/>
      </c>
      <c r="BY10" s="58">
        <f>RANK(BX10,BX$5:BX$22)</f>
        <v/>
      </c>
      <c r="BZ10" s="72" t="n"/>
    </row>
    <row r="11" ht="25" customFormat="1" customHeight="1" s="3">
      <c r="A11" s="81" t="inlineStr">
        <is>
          <t>Geelong</t>
        </is>
      </c>
      <c r="B11" s="53">
        <f>VLOOKUP($A11,INDIRECT("'"&amp;$B$1&amp;"'!$A:$IZ"),222,FALSE)</f>
        <v/>
      </c>
      <c r="C11" s="54">
        <f>RANK(B11,B$5:B$22)</f>
        <v/>
      </c>
      <c r="D11" s="55">
        <f>VLOOKUP($A11,INDIRECT("'"&amp;$B$1&amp;"'!$A:$IZ"),218,FALSE)</f>
        <v/>
      </c>
      <c r="E11" s="54">
        <f>RANK(D11,D$5:D$22)</f>
        <v/>
      </c>
      <c r="F11" s="55">
        <f>VLOOKUP($A11,INDIRECT("'"&amp;$B$1&amp;"'!$A:$IZ"),49,FALSE)</f>
        <v/>
      </c>
      <c r="G11" s="54">
        <f>RANK(F11,F$5:F$22)</f>
        <v/>
      </c>
      <c r="H11" s="55">
        <f>VLOOKUP($A11,INDIRECT("'"&amp;$B$1&amp;"'!$A:$IZ"),229,FALSE)</f>
        <v/>
      </c>
      <c r="I11" s="54">
        <f>RANK(H11,H$5:H$22)</f>
        <v/>
      </c>
      <c r="J11" s="49">
        <f>104-(C11+E11+G11+I11)</f>
        <v/>
      </c>
      <c r="K11" s="47">
        <f>RANK(J11,J$5:J$22)</f>
        <v/>
      </c>
      <c r="L11" s="56" t="n"/>
      <c r="M11" s="53">
        <f>VLOOKUP($A11,INDIRECT("'"&amp;$B$1&amp;"'!$A:$IZ"),88,FALSE)</f>
        <v/>
      </c>
      <c r="N11" s="54">
        <f>RANK(M11,M$5:M$22)</f>
        <v/>
      </c>
      <c r="O11" s="53">
        <f>VLOOKUP($A11,INDIRECT("'"&amp;$B$1&amp;"'!$A:$IZ"),84,FALSE)</f>
        <v/>
      </c>
      <c r="P11" s="54">
        <f>RANK(O11,O$5:O$22)</f>
        <v/>
      </c>
      <c r="Q11" s="53">
        <f>VLOOKUP($A11,INDIRECT("'"&amp;$B$1&amp;"'!$A:$IZ"),85,FALSE)</f>
        <v/>
      </c>
      <c r="R11" s="54">
        <f>RANK(Q11,Q$5:Q$22)</f>
        <v/>
      </c>
      <c r="S11" s="55">
        <f>VLOOKUP($A11,INDIRECT("'"&amp;$B$1&amp;"'!$A:$IZ"),29,FALSE)</f>
        <v/>
      </c>
      <c r="T11" s="54">
        <f>RANK(S11,S$5:S$22)</f>
        <v/>
      </c>
      <c r="U11" s="49">
        <f>104-(N11+P11+R11+T11)</f>
        <v/>
      </c>
      <c r="V11" s="47">
        <f>RANK(U11,U$5:U$22)</f>
        <v/>
      </c>
      <c r="W11" s="56" t="n"/>
      <c r="X11" s="53">
        <f>VLOOKUP($A11,INDIRECT("'"&amp;$B$1&amp;"'!$A:$IZ"),65,FALSE)</f>
        <v/>
      </c>
      <c r="Y11" s="54">
        <f>RANK(X11,X$5:X$22)</f>
        <v/>
      </c>
      <c r="Z11" s="53">
        <f>VLOOKUP($A11,INDIRECT("'"&amp;$B$1&amp;"'!$A:$IZ"),64,FALSE)</f>
        <v/>
      </c>
      <c r="AA11" s="54">
        <f>RANK(Z11,Z$5:Z$22)</f>
        <v/>
      </c>
      <c r="AB11" s="53">
        <f>VLOOKUP($A11,INDIRECT("'"&amp;$B$1&amp;"'!$A:$IZ"),63,FALSE)</f>
        <v/>
      </c>
      <c r="AC11" s="54">
        <f>RANK(AB11,AB$5:AB$22)</f>
        <v/>
      </c>
      <c r="AD11" s="53">
        <f>VLOOKUP($A11,INDIRECT("'"&amp;$B$1&amp;"'!$A:$IZ"),71,FALSE)</f>
        <v/>
      </c>
      <c r="AE11" s="54">
        <f>RANK(AD11,AD$5:AD$22)</f>
        <v/>
      </c>
      <c r="AF11" s="65">
        <f>104-(Y11+AA11+AC11+AE11)</f>
        <v/>
      </c>
      <c r="AG11" s="47">
        <f>RANK(AF11,AF$5:AF$22)</f>
        <v/>
      </c>
      <c r="AH11" s="56" t="n"/>
      <c r="AI11" s="53">
        <f>VLOOKUP($A11,INDIRECT("'"&amp;$B$1&amp;"'!$A:$IZ"),183,FALSE)</f>
        <v/>
      </c>
      <c r="AJ11" s="54">
        <f>RANK(AI11,AI$5:AI$22,1)</f>
        <v/>
      </c>
      <c r="AK11" s="53">
        <f>VLOOKUP($A11,INDIRECT("'"&amp;$B$1&amp;"'!$A:$IZ"),181,FALSE)</f>
        <v/>
      </c>
      <c r="AL11" s="54">
        <f>RANK(AK11,AK$5:AK$22,1)</f>
        <v/>
      </c>
      <c r="AM11" s="53">
        <f>VLOOKUP($A11,INDIRECT("'"&amp;$B$1&amp;"'!$A:$IZ"),182,FALSE)</f>
        <v/>
      </c>
      <c r="AN11" s="54">
        <f>RANK(AM11,AM$5:AM$22,1)</f>
        <v/>
      </c>
      <c r="AO11" s="53">
        <f>VLOOKUP($A11,INDIRECT("'"&amp;$B$1&amp;"'!$A:$IZ"),163,FALSE)</f>
        <v/>
      </c>
      <c r="AP11" s="54">
        <f>RANK(AO11,AO$5:AO$22,1)</f>
        <v/>
      </c>
      <c r="AQ11" s="65">
        <f>104-(AJ11+AL11+AN11+AP11)</f>
        <v/>
      </c>
      <c r="AR11" s="47">
        <f>RANK(AQ11,AQ$5:AQ$22)</f>
        <v/>
      </c>
      <c r="AS11" s="56" t="n"/>
      <c r="AT11" s="46">
        <f>VLOOKUP($A11,INDIRECT("'"&amp;$B$1&amp;"'!$A:$IZ"),250,FALSE)</f>
        <v/>
      </c>
      <c r="AU11" s="47">
        <f>RANK(AT11,AT$5:AT$22,0)</f>
        <v/>
      </c>
      <c r="AV11" s="46">
        <f>VLOOKUP($A11,INDIRECT("'"&amp;$B$1&amp;"'!$A:$IZ"),92,FALSE)</f>
        <v/>
      </c>
      <c r="AW11" s="47">
        <f>RANK(AV11,AV$5:AV$22,0)</f>
        <v/>
      </c>
      <c r="AX11" s="46">
        <f>VLOOKUP($A11,INDIRECT("'"&amp;$B$1&amp;"'!$A:$IZ"),93,FALSE)</f>
        <v/>
      </c>
      <c r="AY11" s="47">
        <f>RANK(AX11,AX$5:AX$22,0)</f>
        <v/>
      </c>
      <c r="AZ11" s="46">
        <f>VLOOKUP($A11,INDIRECT("'"&amp;$B$1&amp;"'!$A:$IZ"),108,FALSE)</f>
        <v/>
      </c>
      <c r="BA11" s="47">
        <f>RANK(AZ11,AZ$5:AZ$22,0)</f>
        <v/>
      </c>
      <c r="BB11" s="46">
        <f>104-(AU11+AW11+AY11+BA11)</f>
        <v/>
      </c>
      <c r="BC11" s="47">
        <f>RANK(BB11,BB$5:BB$22)</f>
        <v/>
      </c>
      <c r="BD11" s="56" t="n"/>
      <c r="BE11" s="53">
        <f>VLOOKUP($A11,INDIRECT("'"&amp;$B$1&amp;"'!$A:$IZ"),80,FALSE)</f>
        <v/>
      </c>
      <c r="BF11" s="54">
        <f>RANK(BE11,BE$5:BE$22)</f>
        <v/>
      </c>
      <c r="BG11" s="53">
        <f>VLOOKUP($A11,INDIRECT("'"&amp;$B$1&amp;"'!$A:$IZ"),177,FALSE)</f>
        <v/>
      </c>
      <c r="BH11" s="54">
        <f>RANK(BG11,BG$5:BG$22,1)</f>
        <v/>
      </c>
      <c r="BI11" s="53">
        <f>VLOOKUP($A11,INDIRECT("'"&amp;$B$1&amp;"'!$A:$IZ"),79,FALSE)</f>
        <v/>
      </c>
      <c r="BJ11" s="54">
        <f>RANK(BI11,BI$5:BI$22)</f>
        <v/>
      </c>
      <c r="BK11" s="53">
        <f>VLOOKUP($A11,INDIRECT("'"&amp;$B$1&amp;"'!$A:$IZ"),176,FALSE)</f>
        <v/>
      </c>
      <c r="BL11" s="54">
        <f>RANK(BK11,BK$5:BK$22,1)</f>
        <v/>
      </c>
      <c r="BM11" s="53">
        <f>VLOOKUP($A11,INDIRECT("'"&amp;$B$1&amp;"'!$A:$IZ"),11,FALSE)</f>
        <v/>
      </c>
      <c r="BN11" s="54">
        <f>RANK(BM11,BM$5:BM$22)</f>
        <v/>
      </c>
      <c r="BO11" s="53">
        <f>VLOOKUP($A11,INDIRECT("'"&amp;$B$1&amp;"'!$A:$IZ"),222,FALSE)</f>
        <v/>
      </c>
      <c r="BP11" s="54">
        <f>RANK(BO11,BO$5:BO$22)</f>
        <v/>
      </c>
      <c r="BQ11" s="65">
        <f>106-(BF11+BH11+BN11+BP11+BJ11+BL11)</f>
        <v/>
      </c>
      <c r="BR11" s="47">
        <f>RANK(BQ11,BQ$5:BQ$22)</f>
        <v/>
      </c>
      <c r="BS11" s="56" t="n"/>
      <c r="BT11" s="57">
        <f>VLOOKUP($A11,'Ratings Season'!$A:$M,10,FALSE)</f>
        <v/>
      </c>
      <c r="BU11" s="54">
        <f>RANK(BT11,BT$5:BT$22)</f>
        <v/>
      </c>
      <c r="BV11" s="57">
        <f>VLOOKUP($A11,'Ratings Season'!$A:$M,12,FALSE)</f>
        <v/>
      </c>
      <c r="BW11" s="54">
        <f>RANK(BV11,BV$5:BV$22)</f>
        <v/>
      </c>
      <c r="BX11" s="57">
        <f>VLOOKUP($A11,'Ratings Season'!$A:$M,8,FALSE)</f>
        <v/>
      </c>
      <c r="BY11" s="58">
        <f>RANK(BX11,BX$5:BX$22)</f>
        <v/>
      </c>
      <c r="BZ11" s="72" t="n"/>
    </row>
    <row r="12" ht="25" customFormat="1" customHeight="1" s="3">
      <c r="A12" s="82" t="inlineStr">
        <is>
          <t>Gold Coast</t>
        </is>
      </c>
      <c r="B12" s="53">
        <f>VLOOKUP($A12,INDIRECT("'"&amp;$B$1&amp;"'!$A:$IZ"),222,FALSE)</f>
        <v/>
      </c>
      <c r="C12" s="54">
        <f>RANK(B12,B$5:B$22)</f>
        <v/>
      </c>
      <c r="D12" s="55">
        <f>VLOOKUP($A12,INDIRECT("'"&amp;$B$1&amp;"'!$A:$IZ"),218,FALSE)</f>
        <v/>
      </c>
      <c r="E12" s="54">
        <f>RANK(D12,D$5:D$22)</f>
        <v/>
      </c>
      <c r="F12" s="55">
        <f>VLOOKUP($A12,INDIRECT("'"&amp;$B$1&amp;"'!$A:$IZ"),49,FALSE)</f>
        <v/>
      </c>
      <c r="G12" s="54">
        <f>RANK(F12,F$5:F$22)</f>
        <v/>
      </c>
      <c r="H12" s="55">
        <f>VLOOKUP($A12,INDIRECT("'"&amp;$B$1&amp;"'!$A:$IZ"),229,FALSE)</f>
        <v/>
      </c>
      <c r="I12" s="54">
        <f>RANK(H12,H$5:H$22)</f>
        <v/>
      </c>
      <c r="J12" s="49">
        <f>104-(C12+E12+G12+I12)</f>
        <v/>
      </c>
      <c r="K12" s="47">
        <f>RANK(J12,J$5:J$22)</f>
        <v/>
      </c>
      <c r="L12" s="56" t="n"/>
      <c r="M12" s="53">
        <f>VLOOKUP($A12,INDIRECT("'"&amp;$B$1&amp;"'!$A:$IZ"),88,FALSE)</f>
        <v/>
      </c>
      <c r="N12" s="54">
        <f>RANK(M12,M$5:M$22)</f>
        <v/>
      </c>
      <c r="O12" s="53">
        <f>VLOOKUP($A12,INDIRECT("'"&amp;$B$1&amp;"'!$A:$IZ"),84,FALSE)</f>
        <v/>
      </c>
      <c r="P12" s="54">
        <f>RANK(O12,O$5:O$22)</f>
        <v/>
      </c>
      <c r="Q12" s="53">
        <f>VLOOKUP($A12,INDIRECT("'"&amp;$B$1&amp;"'!$A:$IZ"),85,FALSE)</f>
        <v/>
      </c>
      <c r="R12" s="54">
        <f>RANK(Q12,Q$5:Q$22)</f>
        <v/>
      </c>
      <c r="S12" s="55">
        <f>VLOOKUP($A12,INDIRECT("'"&amp;$B$1&amp;"'!$A:$IZ"),29,FALSE)</f>
        <v/>
      </c>
      <c r="T12" s="54">
        <f>RANK(S12,S$5:S$22)</f>
        <v/>
      </c>
      <c r="U12" s="49">
        <f>104-(N12+P12+R12+T12)</f>
        <v/>
      </c>
      <c r="V12" s="47">
        <f>RANK(U12,U$5:U$22)</f>
        <v/>
      </c>
      <c r="W12" s="56" t="n"/>
      <c r="X12" s="53">
        <f>VLOOKUP($A12,INDIRECT("'"&amp;$B$1&amp;"'!$A:$IZ"),65,FALSE)</f>
        <v/>
      </c>
      <c r="Y12" s="54">
        <f>RANK(X12,X$5:X$22)</f>
        <v/>
      </c>
      <c r="Z12" s="53">
        <f>VLOOKUP($A12,INDIRECT("'"&amp;$B$1&amp;"'!$A:$IZ"),64,FALSE)</f>
        <v/>
      </c>
      <c r="AA12" s="54">
        <f>RANK(Z12,Z$5:Z$22)</f>
        <v/>
      </c>
      <c r="AB12" s="53">
        <f>VLOOKUP($A12,INDIRECT("'"&amp;$B$1&amp;"'!$A:$IZ"),63,FALSE)</f>
        <v/>
      </c>
      <c r="AC12" s="54">
        <f>RANK(AB12,AB$5:AB$22)</f>
        <v/>
      </c>
      <c r="AD12" s="53">
        <f>VLOOKUP($A12,INDIRECT("'"&amp;$B$1&amp;"'!$A:$IZ"),71,FALSE)</f>
        <v/>
      </c>
      <c r="AE12" s="54">
        <f>RANK(AD12,AD$5:AD$22)</f>
        <v/>
      </c>
      <c r="AF12" s="65">
        <f>104-(Y12+AA12+AC12+AE12)</f>
        <v/>
      </c>
      <c r="AG12" s="47">
        <f>RANK(AF12,AF$5:AF$22)</f>
        <v/>
      </c>
      <c r="AH12" s="56" t="n"/>
      <c r="AI12" s="53">
        <f>VLOOKUP($A12,INDIRECT("'"&amp;$B$1&amp;"'!$A:$IZ"),183,FALSE)</f>
        <v/>
      </c>
      <c r="AJ12" s="54">
        <f>RANK(AI12,AI$5:AI$22,1)</f>
        <v/>
      </c>
      <c r="AK12" s="53">
        <f>VLOOKUP($A12,INDIRECT("'"&amp;$B$1&amp;"'!$A:$IZ"),181,FALSE)</f>
        <v/>
      </c>
      <c r="AL12" s="54">
        <f>RANK(AK12,AK$5:AK$22,1)</f>
        <v/>
      </c>
      <c r="AM12" s="53">
        <f>VLOOKUP($A12,INDIRECT("'"&amp;$B$1&amp;"'!$A:$IZ"),182,FALSE)</f>
        <v/>
      </c>
      <c r="AN12" s="54">
        <f>RANK(AM12,AM$5:AM$22,1)</f>
        <v/>
      </c>
      <c r="AO12" s="53">
        <f>VLOOKUP($A12,INDIRECT("'"&amp;$B$1&amp;"'!$A:$IZ"),163,FALSE)</f>
        <v/>
      </c>
      <c r="AP12" s="54">
        <f>RANK(AO12,AO$5:AO$22,1)</f>
        <v/>
      </c>
      <c r="AQ12" s="65">
        <f>104-(AJ12+AL12+AN12+AP12)</f>
        <v/>
      </c>
      <c r="AR12" s="47">
        <f>RANK(AQ12,AQ$5:AQ$22)</f>
        <v/>
      </c>
      <c r="AS12" s="56" t="n"/>
      <c r="AT12" s="46">
        <f>VLOOKUP($A12,INDIRECT("'"&amp;$B$1&amp;"'!$A:$IZ"),250,FALSE)</f>
        <v/>
      </c>
      <c r="AU12" s="47">
        <f>RANK(AT12,AT$5:AT$22,0)</f>
        <v/>
      </c>
      <c r="AV12" s="46">
        <f>VLOOKUP($A12,INDIRECT("'"&amp;$B$1&amp;"'!$A:$IZ"),92,FALSE)</f>
        <v/>
      </c>
      <c r="AW12" s="47">
        <f>RANK(AV12,AV$5:AV$22,0)</f>
        <v/>
      </c>
      <c r="AX12" s="46">
        <f>VLOOKUP($A12,INDIRECT("'"&amp;$B$1&amp;"'!$A:$IZ"),93,FALSE)</f>
        <v/>
      </c>
      <c r="AY12" s="47">
        <f>RANK(AX12,AX$5:AX$22,0)</f>
        <v/>
      </c>
      <c r="AZ12" s="46">
        <f>VLOOKUP($A12,INDIRECT("'"&amp;$B$1&amp;"'!$A:$IZ"),108,FALSE)</f>
        <v/>
      </c>
      <c r="BA12" s="47">
        <f>RANK(AZ12,AZ$5:AZ$22,0)</f>
        <v/>
      </c>
      <c r="BB12" s="46">
        <f>104-(AU12+AW12+AY12+BA12)</f>
        <v/>
      </c>
      <c r="BC12" s="47">
        <f>RANK(BB12,BB$5:BB$22)</f>
        <v/>
      </c>
      <c r="BD12" s="56" t="n"/>
      <c r="BE12" s="53">
        <f>VLOOKUP($A12,INDIRECT("'"&amp;$B$1&amp;"'!$A:$IZ"),80,FALSE)</f>
        <v/>
      </c>
      <c r="BF12" s="54">
        <f>RANK(BE12,BE$5:BE$22)</f>
        <v/>
      </c>
      <c r="BG12" s="53">
        <f>VLOOKUP($A12,INDIRECT("'"&amp;$B$1&amp;"'!$A:$IZ"),177,FALSE)</f>
        <v/>
      </c>
      <c r="BH12" s="54">
        <f>RANK(BG12,BG$5:BG$22,1)</f>
        <v/>
      </c>
      <c r="BI12" s="53">
        <f>VLOOKUP($A12,INDIRECT("'"&amp;$B$1&amp;"'!$A:$IZ"),79,FALSE)</f>
        <v/>
      </c>
      <c r="BJ12" s="54">
        <f>RANK(BI12,BI$5:BI$22)</f>
        <v/>
      </c>
      <c r="BK12" s="53">
        <f>VLOOKUP($A12,INDIRECT("'"&amp;$B$1&amp;"'!$A:$IZ"),176,FALSE)</f>
        <v/>
      </c>
      <c r="BL12" s="54">
        <f>RANK(BK12,BK$5:BK$22,1)</f>
        <v/>
      </c>
      <c r="BM12" s="53">
        <f>VLOOKUP($A12,INDIRECT("'"&amp;$B$1&amp;"'!$A:$IZ"),11,FALSE)</f>
        <v/>
      </c>
      <c r="BN12" s="54">
        <f>RANK(BM12,BM$5:BM$22)</f>
        <v/>
      </c>
      <c r="BO12" s="53">
        <f>VLOOKUP($A12,INDIRECT("'"&amp;$B$1&amp;"'!$A:$IZ"),222,FALSE)</f>
        <v/>
      </c>
      <c r="BP12" s="54">
        <f>RANK(BO12,BO$5:BO$22)</f>
        <v/>
      </c>
      <c r="BQ12" s="65">
        <f>106-(BF12+BH12+BN12+BP12+BJ12+BL12)</f>
        <v/>
      </c>
      <c r="BR12" s="47">
        <f>RANK(BQ12,BQ$5:BQ$22)</f>
        <v/>
      </c>
      <c r="BS12" s="56" t="n"/>
      <c r="BT12" s="57">
        <f>VLOOKUP($A12,'Ratings Season'!$A:$M,10,FALSE)</f>
        <v/>
      </c>
      <c r="BU12" s="54">
        <f>RANK(BT12,BT$5:BT$22)</f>
        <v/>
      </c>
      <c r="BV12" s="57">
        <f>VLOOKUP($A12,'Ratings Season'!$A:$M,12,FALSE)</f>
        <v/>
      </c>
      <c r="BW12" s="54">
        <f>RANK(BV12,BV$5:BV$22)</f>
        <v/>
      </c>
      <c r="BX12" s="57">
        <f>VLOOKUP($A12,'Ratings Season'!$A:$M,8,FALSE)</f>
        <v/>
      </c>
      <c r="BY12" s="58">
        <f>RANK(BX12,BX$5:BX$22)</f>
        <v/>
      </c>
      <c r="BZ12" s="72" t="n"/>
    </row>
    <row r="13" ht="25" customFormat="1" customHeight="1" s="3">
      <c r="A13" s="83" t="inlineStr">
        <is>
          <t>Greater Western Sydney</t>
        </is>
      </c>
      <c r="B13" s="53">
        <f>VLOOKUP($A13,INDIRECT("'"&amp;$B$1&amp;"'!$A:$IZ"),222,FALSE)</f>
        <v/>
      </c>
      <c r="C13" s="54">
        <f>RANK(B13,B$5:B$22)</f>
        <v/>
      </c>
      <c r="D13" s="55">
        <f>VLOOKUP($A13,INDIRECT("'"&amp;$B$1&amp;"'!$A:$IZ"),218,FALSE)</f>
        <v/>
      </c>
      <c r="E13" s="54">
        <f>RANK(D13,D$5:D$22)</f>
        <v/>
      </c>
      <c r="F13" s="55">
        <f>VLOOKUP($A13,INDIRECT("'"&amp;$B$1&amp;"'!$A:$IZ"),49,FALSE)</f>
        <v/>
      </c>
      <c r="G13" s="54">
        <f>RANK(F13,F$5:F$22)</f>
        <v/>
      </c>
      <c r="H13" s="55">
        <f>VLOOKUP($A13,INDIRECT("'"&amp;$B$1&amp;"'!$A:$IZ"),229,FALSE)</f>
        <v/>
      </c>
      <c r="I13" s="54">
        <f>RANK(H13,H$5:H$22)</f>
        <v/>
      </c>
      <c r="J13" s="49">
        <f>104-(C13+E13+G13+I13)</f>
        <v/>
      </c>
      <c r="K13" s="47">
        <f>RANK(J13,J$5:J$22)</f>
        <v/>
      </c>
      <c r="L13" s="56" t="n"/>
      <c r="M13" s="53">
        <f>VLOOKUP($A13,INDIRECT("'"&amp;$B$1&amp;"'!$A:$IZ"),88,FALSE)</f>
        <v/>
      </c>
      <c r="N13" s="54">
        <f>RANK(M13,M$5:M$22)</f>
        <v/>
      </c>
      <c r="O13" s="53">
        <f>VLOOKUP($A13,INDIRECT("'"&amp;$B$1&amp;"'!$A:$IZ"),84,FALSE)</f>
        <v/>
      </c>
      <c r="P13" s="54">
        <f>RANK(O13,O$5:O$22)</f>
        <v/>
      </c>
      <c r="Q13" s="53">
        <f>VLOOKUP($A13,INDIRECT("'"&amp;$B$1&amp;"'!$A:$IZ"),85,FALSE)</f>
        <v/>
      </c>
      <c r="R13" s="54">
        <f>RANK(Q13,Q$5:Q$22)</f>
        <v/>
      </c>
      <c r="S13" s="55">
        <f>VLOOKUP($A13,INDIRECT("'"&amp;$B$1&amp;"'!$A:$IZ"),29,FALSE)</f>
        <v/>
      </c>
      <c r="T13" s="54">
        <f>RANK(S13,S$5:S$22)</f>
        <v/>
      </c>
      <c r="U13" s="49">
        <f>104-(N13+P13+R13+T13)</f>
        <v/>
      </c>
      <c r="V13" s="47">
        <f>RANK(U13,U$5:U$22)</f>
        <v/>
      </c>
      <c r="W13" s="56" t="n"/>
      <c r="X13" s="53">
        <f>VLOOKUP($A13,INDIRECT("'"&amp;$B$1&amp;"'!$A:$IZ"),65,FALSE)</f>
        <v/>
      </c>
      <c r="Y13" s="54">
        <f>RANK(X13,X$5:X$22)</f>
        <v/>
      </c>
      <c r="Z13" s="53">
        <f>VLOOKUP($A13,INDIRECT("'"&amp;$B$1&amp;"'!$A:$IZ"),64,FALSE)</f>
        <v/>
      </c>
      <c r="AA13" s="54">
        <f>RANK(Z13,Z$5:Z$22)</f>
        <v/>
      </c>
      <c r="AB13" s="53">
        <f>VLOOKUP($A13,INDIRECT("'"&amp;$B$1&amp;"'!$A:$IZ"),63,FALSE)</f>
        <v/>
      </c>
      <c r="AC13" s="54">
        <f>RANK(AB13,AB$5:AB$22)</f>
        <v/>
      </c>
      <c r="AD13" s="53">
        <f>VLOOKUP($A13,INDIRECT("'"&amp;$B$1&amp;"'!$A:$IZ"),71,FALSE)</f>
        <v/>
      </c>
      <c r="AE13" s="54">
        <f>RANK(AD13,AD$5:AD$22)</f>
        <v/>
      </c>
      <c r="AF13" s="65">
        <f>104-(Y13+AA13+AC13+AE13)</f>
        <v/>
      </c>
      <c r="AG13" s="47">
        <f>RANK(AF13,AF$5:AF$22)</f>
        <v/>
      </c>
      <c r="AH13" s="56" t="n"/>
      <c r="AI13" s="53">
        <f>VLOOKUP($A13,INDIRECT("'"&amp;$B$1&amp;"'!$A:$IZ"),183,FALSE)</f>
        <v/>
      </c>
      <c r="AJ13" s="54">
        <f>RANK(AI13,AI$5:AI$22,1)</f>
        <v/>
      </c>
      <c r="AK13" s="53">
        <f>VLOOKUP($A13,INDIRECT("'"&amp;$B$1&amp;"'!$A:$IZ"),181,FALSE)</f>
        <v/>
      </c>
      <c r="AL13" s="54">
        <f>RANK(AK13,AK$5:AK$22,1)</f>
        <v/>
      </c>
      <c r="AM13" s="53">
        <f>VLOOKUP($A13,INDIRECT("'"&amp;$B$1&amp;"'!$A:$IZ"),182,FALSE)</f>
        <v/>
      </c>
      <c r="AN13" s="54">
        <f>RANK(AM13,AM$5:AM$22,1)</f>
        <v/>
      </c>
      <c r="AO13" s="53">
        <f>VLOOKUP($A13,INDIRECT("'"&amp;$B$1&amp;"'!$A:$IZ"),163,FALSE)</f>
        <v/>
      </c>
      <c r="AP13" s="54">
        <f>RANK(AO13,AO$5:AO$22,1)</f>
        <v/>
      </c>
      <c r="AQ13" s="65">
        <f>104-(AJ13+AL13+AN13+AP13)</f>
        <v/>
      </c>
      <c r="AR13" s="47">
        <f>RANK(AQ13,AQ$5:AQ$22)</f>
        <v/>
      </c>
      <c r="AS13" s="56" t="n"/>
      <c r="AT13" s="46">
        <f>VLOOKUP($A13,INDIRECT("'"&amp;$B$1&amp;"'!$A:$IZ"),250,FALSE)</f>
        <v/>
      </c>
      <c r="AU13" s="47">
        <f>RANK(AT13,AT$5:AT$22,0)</f>
        <v/>
      </c>
      <c r="AV13" s="46">
        <f>VLOOKUP($A13,INDIRECT("'"&amp;$B$1&amp;"'!$A:$IZ"),92,FALSE)</f>
        <v/>
      </c>
      <c r="AW13" s="47">
        <f>RANK(AV13,AV$5:AV$22,0)</f>
        <v/>
      </c>
      <c r="AX13" s="46">
        <f>VLOOKUP($A13,INDIRECT("'"&amp;$B$1&amp;"'!$A:$IZ"),93,FALSE)</f>
        <v/>
      </c>
      <c r="AY13" s="47">
        <f>RANK(AX13,AX$5:AX$22,0)</f>
        <v/>
      </c>
      <c r="AZ13" s="46">
        <f>VLOOKUP($A13,INDIRECT("'"&amp;$B$1&amp;"'!$A:$IZ"),108,FALSE)</f>
        <v/>
      </c>
      <c r="BA13" s="47">
        <f>RANK(AZ13,AZ$5:AZ$22,0)</f>
        <v/>
      </c>
      <c r="BB13" s="46">
        <f>104-(AU13+AW13+AY13+BA13)</f>
        <v/>
      </c>
      <c r="BC13" s="47">
        <f>RANK(BB13,BB$5:BB$22)</f>
        <v/>
      </c>
      <c r="BD13" s="56" t="n"/>
      <c r="BE13" s="53">
        <f>VLOOKUP($A13,INDIRECT("'"&amp;$B$1&amp;"'!$A:$IZ"),80,FALSE)</f>
        <v/>
      </c>
      <c r="BF13" s="54">
        <f>RANK(BE13,BE$5:BE$22)</f>
        <v/>
      </c>
      <c r="BG13" s="53">
        <f>VLOOKUP($A13,INDIRECT("'"&amp;$B$1&amp;"'!$A:$IZ"),177,FALSE)</f>
        <v/>
      </c>
      <c r="BH13" s="54">
        <f>RANK(BG13,BG$5:BG$22,1)</f>
        <v/>
      </c>
      <c r="BI13" s="53">
        <f>VLOOKUP($A13,INDIRECT("'"&amp;$B$1&amp;"'!$A:$IZ"),79,FALSE)</f>
        <v/>
      </c>
      <c r="BJ13" s="54">
        <f>RANK(BI13,BI$5:BI$22)</f>
        <v/>
      </c>
      <c r="BK13" s="53">
        <f>VLOOKUP($A13,INDIRECT("'"&amp;$B$1&amp;"'!$A:$IZ"),176,FALSE)</f>
        <v/>
      </c>
      <c r="BL13" s="54">
        <f>RANK(BK13,BK$5:BK$22,1)</f>
        <v/>
      </c>
      <c r="BM13" s="53">
        <f>VLOOKUP($A13,INDIRECT("'"&amp;$B$1&amp;"'!$A:$IZ"),11,FALSE)</f>
        <v/>
      </c>
      <c r="BN13" s="54">
        <f>RANK(BM13,BM$5:BM$22)</f>
        <v/>
      </c>
      <c r="BO13" s="53">
        <f>VLOOKUP($A13,INDIRECT("'"&amp;$B$1&amp;"'!$A:$IZ"),222,FALSE)</f>
        <v/>
      </c>
      <c r="BP13" s="54">
        <f>RANK(BO13,BO$5:BO$22)</f>
        <v/>
      </c>
      <c r="BQ13" s="65">
        <f>106-(BF13+BH13+BN13+BP13+BJ13+BL13)</f>
        <v/>
      </c>
      <c r="BR13" s="47">
        <f>RANK(BQ13,BQ$5:BQ$22)</f>
        <v/>
      </c>
      <c r="BS13" s="56" t="n"/>
      <c r="BT13" s="57">
        <f>VLOOKUP($A13,'Ratings Season'!$A:$M,10,FALSE)</f>
        <v/>
      </c>
      <c r="BU13" s="54">
        <f>RANK(BT13,BT$5:BT$22)</f>
        <v/>
      </c>
      <c r="BV13" s="57">
        <f>VLOOKUP($A13,'Ratings Season'!$A:$M,12,FALSE)</f>
        <v/>
      </c>
      <c r="BW13" s="54">
        <f>RANK(BV13,BV$5:BV$22)</f>
        <v/>
      </c>
      <c r="BX13" s="57">
        <f>VLOOKUP($A13,'Ratings Season'!$A:$M,8,FALSE)</f>
        <v/>
      </c>
      <c r="BY13" s="58">
        <f>RANK(BX13,BX$5:BX$22)</f>
        <v/>
      </c>
      <c r="BZ13" s="72" t="n"/>
    </row>
    <row r="14" ht="25" customFormat="1" customHeight="1" s="3">
      <c r="A14" s="84" t="inlineStr">
        <is>
          <t>Hawthorn</t>
        </is>
      </c>
      <c r="B14" s="53">
        <f>VLOOKUP($A14,INDIRECT("'"&amp;$B$1&amp;"'!$A:$IZ"),222,FALSE)</f>
        <v/>
      </c>
      <c r="C14" s="54">
        <f>RANK(B14,B$5:B$22)</f>
        <v/>
      </c>
      <c r="D14" s="55">
        <f>VLOOKUP($A14,INDIRECT("'"&amp;$B$1&amp;"'!$A:$IZ"),218,FALSE)</f>
        <v/>
      </c>
      <c r="E14" s="54">
        <f>RANK(D14,D$5:D$22)</f>
        <v/>
      </c>
      <c r="F14" s="55">
        <f>VLOOKUP($A14,INDIRECT("'"&amp;$B$1&amp;"'!$A:$IZ"),49,FALSE)</f>
        <v/>
      </c>
      <c r="G14" s="54">
        <f>RANK(F14,F$5:F$22)</f>
        <v/>
      </c>
      <c r="H14" s="55">
        <f>VLOOKUP($A14,INDIRECT("'"&amp;$B$1&amp;"'!$A:$IZ"),229,FALSE)</f>
        <v/>
      </c>
      <c r="I14" s="54">
        <f>RANK(H14,H$5:H$22)</f>
        <v/>
      </c>
      <c r="J14" s="49">
        <f>104-(C14+E14+G14+I14)</f>
        <v/>
      </c>
      <c r="K14" s="47">
        <f>RANK(J14,J$5:J$22)</f>
        <v/>
      </c>
      <c r="L14" s="56" t="n"/>
      <c r="M14" s="53">
        <f>VLOOKUP($A14,INDIRECT("'"&amp;$B$1&amp;"'!$A:$IZ"),88,FALSE)</f>
        <v/>
      </c>
      <c r="N14" s="54">
        <f>RANK(M14,M$5:M$22)</f>
        <v/>
      </c>
      <c r="O14" s="53">
        <f>VLOOKUP($A14,INDIRECT("'"&amp;$B$1&amp;"'!$A:$IZ"),84,FALSE)</f>
        <v/>
      </c>
      <c r="P14" s="54">
        <f>RANK(O14,O$5:O$22)</f>
        <v/>
      </c>
      <c r="Q14" s="53">
        <f>VLOOKUP($A14,INDIRECT("'"&amp;$B$1&amp;"'!$A:$IZ"),85,FALSE)</f>
        <v/>
      </c>
      <c r="R14" s="54">
        <f>RANK(Q14,Q$5:Q$22)</f>
        <v/>
      </c>
      <c r="S14" s="55">
        <f>VLOOKUP($A14,INDIRECT("'"&amp;$B$1&amp;"'!$A:$IZ"),29,FALSE)</f>
        <v/>
      </c>
      <c r="T14" s="54">
        <f>RANK(S14,S$5:S$22)</f>
        <v/>
      </c>
      <c r="U14" s="49">
        <f>104-(N14+P14+R14+T14)</f>
        <v/>
      </c>
      <c r="V14" s="47">
        <f>RANK(U14,U$5:U$22)</f>
        <v/>
      </c>
      <c r="W14" s="56" t="n"/>
      <c r="X14" s="53">
        <f>VLOOKUP($A14,INDIRECT("'"&amp;$B$1&amp;"'!$A:$IZ"),65,FALSE)</f>
        <v/>
      </c>
      <c r="Y14" s="54">
        <f>RANK(X14,X$5:X$22)</f>
        <v/>
      </c>
      <c r="Z14" s="53">
        <f>VLOOKUP($A14,INDIRECT("'"&amp;$B$1&amp;"'!$A:$IZ"),64,FALSE)</f>
        <v/>
      </c>
      <c r="AA14" s="54">
        <f>RANK(Z14,Z$5:Z$22)</f>
        <v/>
      </c>
      <c r="AB14" s="53">
        <f>VLOOKUP($A14,INDIRECT("'"&amp;$B$1&amp;"'!$A:$IZ"),63,FALSE)</f>
        <v/>
      </c>
      <c r="AC14" s="54">
        <f>RANK(AB14,AB$5:AB$22)</f>
        <v/>
      </c>
      <c r="AD14" s="53">
        <f>VLOOKUP($A14,INDIRECT("'"&amp;$B$1&amp;"'!$A:$IZ"),71,FALSE)</f>
        <v/>
      </c>
      <c r="AE14" s="54">
        <f>RANK(AD14,AD$5:AD$22)</f>
        <v/>
      </c>
      <c r="AF14" s="65">
        <f>104-(Y14+AA14+AC14+AE14)</f>
        <v/>
      </c>
      <c r="AG14" s="47">
        <f>RANK(AF14,AF$5:AF$22)</f>
        <v/>
      </c>
      <c r="AH14" s="56" t="n"/>
      <c r="AI14" s="53">
        <f>VLOOKUP($A14,INDIRECT("'"&amp;$B$1&amp;"'!$A:$IZ"),183,FALSE)</f>
        <v/>
      </c>
      <c r="AJ14" s="54">
        <f>RANK(AI14,AI$5:AI$22,1)</f>
        <v/>
      </c>
      <c r="AK14" s="53">
        <f>VLOOKUP($A14,INDIRECT("'"&amp;$B$1&amp;"'!$A:$IZ"),181,FALSE)</f>
        <v/>
      </c>
      <c r="AL14" s="54">
        <f>RANK(AK14,AK$5:AK$22,1)</f>
        <v/>
      </c>
      <c r="AM14" s="53">
        <f>VLOOKUP($A14,INDIRECT("'"&amp;$B$1&amp;"'!$A:$IZ"),182,FALSE)</f>
        <v/>
      </c>
      <c r="AN14" s="54">
        <f>RANK(AM14,AM$5:AM$22,1)</f>
        <v/>
      </c>
      <c r="AO14" s="53">
        <f>VLOOKUP($A14,INDIRECT("'"&amp;$B$1&amp;"'!$A:$IZ"),163,FALSE)</f>
        <v/>
      </c>
      <c r="AP14" s="54">
        <f>RANK(AO14,AO$5:AO$22,1)</f>
        <v/>
      </c>
      <c r="AQ14" s="65">
        <f>104-(AJ14+AL14+AN14+AP14)</f>
        <v/>
      </c>
      <c r="AR14" s="47">
        <f>RANK(AQ14,AQ$5:AQ$22)</f>
        <v/>
      </c>
      <c r="AS14" s="56" t="n"/>
      <c r="AT14" s="46">
        <f>VLOOKUP($A14,INDIRECT("'"&amp;$B$1&amp;"'!$A:$IZ"),250,FALSE)</f>
        <v/>
      </c>
      <c r="AU14" s="47">
        <f>RANK(AT14,AT$5:AT$22,0)</f>
        <v/>
      </c>
      <c r="AV14" s="46">
        <f>VLOOKUP($A14,INDIRECT("'"&amp;$B$1&amp;"'!$A:$IZ"),92,FALSE)</f>
        <v/>
      </c>
      <c r="AW14" s="47">
        <f>RANK(AV14,AV$5:AV$22,0)</f>
        <v/>
      </c>
      <c r="AX14" s="46">
        <f>VLOOKUP($A14,INDIRECT("'"&amp;$B$1&amp;"'!$A:$IZ"),93,FALSE)</f>
        <v/>
      </c>
      <c r="AY14" s="47">
        <f>RANK(AX14,AX$5:AX$22,0)</f>
        <v/>
      </c>
      <c r="AZ14" s="46">
        <f>VLOOKUP($A14,INDIRECT("'"&amp;$B$1&amp;"'!$A:$IZ"),108,FALSE)</f>
        <v/>
      </c>
      <c r="BA14" s="47">
        <f>RANK(AZ14,AZ$5:AZ$22,0)</f>
        <v/>
      </c>
      <c r="BB14" s="46">
        <f>104-(AU14+AW14+AY14+BA14)</f>
        <v/>
      </c>
      <c r="BC14" s="47">
        <f>RANK(BB14,BB$5:BB$22)</f>
        <v/>
      </c>
      <c r="BD14" s="56" t="n"/>
      <c r="BE14" s="53">
        <f>VLOOKUP($A14,INDIRECT("'"&amp;$B$1&amp;"'!$A:$IZ"),80,FALSE)</f>
        <v/>
      </c>
      <c r="BF14" s="54">
        <f>RANK(BE14,BE$5:BE$22)</f>
        <v/>
      </c>
      <c r="BG14" s="53">
        <f>VLOOKUP($A14,INDIRECT("'"&amp;$B$1&amp;"'!$A:$IZ"),177,FALSE)</f>
        <v/>
      </c>
      <c r="BH14" s="54">
        <f>RANK(BG14,BG$5:BG$22,1)</f>
        <v/>
      </c>
      <c r="BI14" s="53">
        <f>VLOOKUP($A14,INDIRECT("'"&amp;$B$1&amp;"'!$A:$IZ"),79,FALSE)</f>
        <v/>
      </c>
      <c r="BJ14" s="54">
        <f>RANK(BI14,BI$5:BI$22)</f>
        <v/>
      </c>
      <c r="BK14" s="53">
        <f>VLOOKUP($A14,INDIRECT("'"&amp;$B$1&amp;"'!$A:$IZ"),176,FALSE)</f>
        <v/>
      </c>
      <c r="BL14" s="54">
        <f>RANK(BK14,BK$5:BK$22,1)</f>
        <v/>
      </c>
      <c r="BM14" s="53">
        <f>VLOOKUP($A14,INDIRECT("'"&amp;$B$1&amp;"'!$A:$IZ"),11,FALSE)</f>
        <v/>
      </c>
      <c r="BN14" s="54">
        <f>RANK(BM14,BM$5:BM$22)</f>
        <v/>
      </c>
      <c r="BO14" s="53">
        <f>VLOOKUP($A14,INDIRECT("'"&amp;$B$1&amp;"'!$A:$IZ"),222,FALSE)</f>
        <v/>
      </c>
      <c r="BP14" s="54">
        <f>RANK(BO14,BO$5:BO$22)</f>
        <v/>
      </c>
      <c r="BQ14" s="65">
        <f>106-(BF14+BH14+BN14+BP14+BJ14+BL14)</f>
        <v/>
      </c>
      <c r="BR14" s="47">
        <f>RANK(BQ14,BQ$5:BQ$22)</f>
        <v/>
      </c>
      <c r="BS14" s="56" t="n"/>
      <c r="BT14" s="57">
        <f>VLOOKUP($A14,'Ratings Season'!$A:$M,10,FALSE)</f>
        <v/>
      </c>
      <c r="BU14" s="54">
        <f>RANK(BT14,BT$5:BT$22)</f>
        <v/>
      </c>
      <c r="BV14" s="57">
        <f>VLOOKUP($A14,'Ratings Season'!$A:$M,12,FALSE)</f>
        <v/>
      </c>
      <c r="BW14" s="54">
        <f>RANK(BV14,BV$5:BV$22)</f>
        <v/>
      </c>
      <c r="BX14" s="57">
        <f>VLOOKUP($A14,'Ratings Season'!$A:$M,8,FALSE)</f>
        <v/>
      </c>
      <c r="BY14" s="58">
        <f>RANK(BX14,BX$5:BX$22)</f>
        <v/>
      </c>
      <c r="BZ14" s="72" t="n"/>
    </row>
    <row r="15" ht="25" customFormat="1" customHeight="1" s="3">
      <c r="A15" s="85" t="inlineStr">
        <is>
          <t>Melbourne</t>
        </is>
      </c>
      <c r="B15" s="53">
        <f>VLOOKUP($A15,INDIRECT("'"&amp;$B$1&amp;"'!$A:$IZ"),222,FALSE)</f>
        <v/>
      </c>
      <c r="C15" s="54">
        <f>RANK(B15,B$5:B$22)</f>
        <v/>
      </c>
      <c r="D15" s="55">
        <f>VLOOKUP($A15,INDIRECT("'"&amp;$B$1&amp;"'!$A:$IZ"),218,FALSE)</f>
        <v/>
      </c>
      <c r="E15" s="54">
        <f>RANK(D15,D$5:D$22)</f>
        <v/>
      </c>
      <c r="F15" s="55">
        <f>VLOOKUP($A15,INDIRECT("'"&amp;$B$1&amp;"'!$A:$IZ"),49,FALSE)</f>
        <v/>
      </c>
      <c r="G15" s="54">
        <f>RANK(F15,F$5:F$22)</f>
        <v/>
      </c>
      <c r="H15" s="55">
        <f>VLOOKUP($A15,INDIRECT("'"&amp;$B$1&amp;"'!$A:$IZ"),229,FALSE)</f>
        <v/>
      </c>
      <c r="I15" s="54">
        <f>RANK(H15,H$5:H$22)</f>
        <v/>
      </c>
      <c r="J15" s="49">
        <f>104-(C15+E15+G15+I15)</f>
        <v/>
      </c>
      <c r="K15" s="47">
        <f>RANK(J15,J$5:J$22)</f>
        <v/>
      </c>
      <c r="L15" s="56" t="n"/>
      <c r="M15" s="53">
        <f>VLOOKUP($A15,INDIRECT("'"&amp;$B$1&amp;"'!$A:$IZ"),88,FALSE)</f>
        <v/>
      </c>
      <c r="N15" s="54">
        <f>RANK(M15,M$5:M$22)</f>
        <v/>
      </c>
      <c r="O15" s="53">
        <f>VLOOKUP($A15,INDIRECT("'"&amp;$B$1&amp;"'!$A:$IZ"),84,FALSE)</f>
        <v/>
      </c>
      <c r="P15" s="54">
        <f>RANK(O15,O$5:O$22)</f>
        <v/>
      </c>
      <c r="Q15" s="53">
        <f>VLOOKUP($A15,INDIRECT("'"&amp;$B$1&amp;"'!$A:$IZ"),85,FALSE)</f>
        <v/>
      </c>
      <c r="R15" s="54">
        <f>RANK(Q15,Q$5:Q$22)</f>
        <v/>
      </c>
      <c r="S15" s="55">
        <f>VLOOKUP($A15,INDIRECT("'"&amp;$B$1&amp;"'!$A:$IZ"),29,FALSE)</f>
        <v/>
      </c>
      <c r="T15" s="54">
        <f>RANK(S15,S$5:S$22)</f>
        <v/>
      </c>
      <c r="U15" s="49">
        <f>104-(N15+P15+R15+T15)</f>
        <v/>
      </c>
      <c r="V15" s="47">
        <f>RANK(U15,U$5:U$22)</f>
        <v/>
      </c>
      <c r="W15" s="56" t="n"/>
      <c r="X15" s="53">
        <f>VLOOKUP($A15,INDIRECT("'"&amp;$B$1&amp;"'!$A:$IZ"),65,FALSE)</f>
        <v/>
      </c>
      <c r="Y15" s="54">
        <f>RANK(X15,X$5:X$22)</f>
        <v/>
      </c>
      <c r="Z15" s="53">
        <f>VLOOKUP($A15,INDIRECT("'"&amp;$B$1&amp;"'!$A:$IZ"),64,FALSE)</f>
        <v/>
      </c>
      <c r="AA15" s="54">
        <f>RANK(Z15,Z$5:Z$22)</f>
        <v/>
      </c>
      <c r="AB15" s="53">
        <f>VLOOKUP($A15,INDIRECT("'"&amp;$B$1&amp;"'!$A:$IZ"),63,FALSE)</f>
        <v/>
      </c>
      <c r="AC15" s="54">
        <f>RANK(AB15,AB$5:AB$22)</f>
        <v/>
      </c>
      <c r="AD15" s="53">
        <f>VLOOKUP($A15,INDIRECT("'"&amp;$B$1&amp;"'!$A:$IZ"),71,FALSE)</f>
        <v/>
      </c>
      <c r="AE15" s="54">
        <f>RANK(AD15,AD$5:AD$22)</f>
        <v/>
      </c>
      <c r="AF15" s="65">
        <f>104-(Y15+AA15+AC15+AE15)</f>
        <v/>
      </c>
      <c r="AG15" s="47">
        <f>RANK(AF15,AF$5:AF$22)</f>
        <v/>
      </c>
      <c r="AH15" s="56" t="n"/>
      <c r="AI15" s="53">
        <f>VLOOKUP($A15,INDIRECT("'"&amp;$B$1&amp;"'!$A:$IZ"),183,FALSE)</f>
        <v/>
      </c>
      <c r="AJ15" s="54">
        <f>RANK(AI15,AI$5:AI$22,1)</f>
        <v/>
      </c>
      <c r="AK15" s="53">
        <f>VLOOKUP($A15,INDIRECT("'"&amp;$B$1&amp;"'!$A:$IZ"),181,FALSE)</f>
        <v/>
      </c>
      <c r="AL15" s="54">
        <f>RANK(AK15,AK$5:AK$22,1)</f>
        <v/>
      </c>
      <c r="AM15" s="53">
        <f>VLOOKUP($A15,INDIRECT("'"&amp;$B$1&amp;"'!$A:$IZ"),182,FALSE)</f>
        <v/>
      </c>
      <c r="AN15" s="54">
        <f>RANK(AM15,AM$5:AM$22,1)</f>
        <v/>
      </c>
      <c r="AO15" s="53">
        <f>VLOOKUP($A15,INDIRECT("'"&amp;$B$1&amp;"'!$A:$IZ"),163,FALSE)</f>
        <v/>
      </c>
      <c r="AP15" s="54">
        <f>RANK(AO15,AO$5:AO$22,1)</f>
        <v/>
      </c>
      <c r="AQ15" s="65">
        <f>104-(AJ15+AL15+AN15+AP15)</f>
        <v/>
      </c>
      <c r="AR15" s="47">
        <f>RANK(AQ15,AQ$5:AQ$22)</f>
        <v/>
      </c>
      <c r="AS15" s="56" t="n"/>
      <c r="AT15" s="46">
        <f>VLOOKUP($A15,INDIRECT("'"&amp;$B$1&amp;"'!$A:$IZ"),250,FALSE)</f>
        <v/>
      </c>
      <c r="AU15" s="47">
        <f>RANK(AT15,AT$5:AT$22,0)</f>
        <v/>
      </c>
      <c r="AV15" s="46">
        <f>VLOOKUP($A15,INDIRECT("'"&amp;$B$1&amp;"'!$A:$IZ"),92,FALSE)</f>
        <v/>
      </c>
      <c r="AW15" s="47">
        <f>RANK(AV15,AV$5:AV$22,0)</f>
        <v/>
      </c>
      <c r="AX15" s="46">
        <f>VLOOKUP($A15,INDIRECT("'"&amp;$B$1&amp;"'!$A:$IZ"),93,FALSE)</f>
        <v/>
      </c>
      <c r="AY15" s="47">
        <f>RANK(AX15,AX$5:AX$22,0)</f>
        <v/>
      </c>
      <c r="AZ15" s="46">
        <f>VLOOKUP($A15,INDIRECT("'"&amp;$B$1&amp;"'!$A:$IZ"),108,FALSE)</f>
        <v/>
      </c>
      <c r="BA15" s="47">
        <f>RANK(AZ15,AZ$5:AZ$22,0)</f>
        <v/>
      </c>
      <c r="BB15" s="46">
        <f>104-(AU15+AW15+AY15+BA15)</f>
        <v/>
      </c>
      <c r="BC15" s="47">
        <f>RANK(BB15,BB$5:BB$22)</f>
        <v/>
      </c>
      <c r="BD15" s="56" t="n"/>
      <c r="BE15" s="53">
        <f>VLOOKUP($A15,INDIRECT("'"&amp;$B$1&amp;"'!$A:$IZ"),80,FALSE)</f>
        <v/>
      </c>
      <c r="BF15" s="54">
        <f>RANK(BE15,BE$5:BE$22)</f>
        <v/>
      </c>
      <c r="BG15" s="53">
        <f>VLOOKUP($A15,INDIRECT("'"&amp;$B$1&amp;"'!$A:$IZ"),177,FALSE)</f>
        <v/>
      </c>
      <c r="BH15" s="54">
        <f>RANK(BG15,BG$5:BG$22,1)</f>
        <v/>
      </c>
      <c r="BI15" s="53">
        <f>VLOOKUP($A15,INDIRECT("'"&amp;$B$1&amp;"'!$A:$IZ"),79,FALSE)</f>
        <v/>
      </c>
      <c r="BJ15" s="54">
        <f>RANK(BI15,BI$5:BI$22)</f>
        <v/>
      </c>
      <c r="BK15" s="53">
        <f>VLOOKUP($A15,INDIRECT("'"&amp;$B$1&amp;"'!$A:$IZ"),176,FALSE)</f>
        <v/>
      </c>
      <c r="BL15" s="54">
        <f>RANK(BK15,BK$5:BK$22,1)</f>
        <v/>
      </c>
      <c r="BM15" s="53">
        <f>VLOOKUP($A15,INDIRECT("'"&amp;$B$1&amp;"'!$A:$IZ"),11,FALSE)</f>
        <v/>
      </c>
      <c r="BN15" s="54">
        <f>RANK(BM15,BM$5:BM$22)</f>
        <v/>
      </c>
      <c r="BO15" s="53">
        <f>VLOOKUP($A15,INDIRECT("'"&amp;$B$1&amp;"'!$A:$IZ"),222,FALSE)</f>
        <v/>
      </c>
      <c r="BP15" s="54">
        <f>RANK(BO15,BO$5:BO$22)</f>
        <v/>
      </c>
      <c r="BQ15" s="65">
        <f>106-(BF15+BH15+BN15+BP15+BJ15+BL15)</f>
        <v/>
      </c>
      <c r="BR15" s="47">
        <f>RANK(BQ15,BQ$5:BQ$22)</f>
        <v/>
      </c>
      <c r="BS15" s="56" t="n"/>
      <c r="BT15" s="57">
        <f>VLOOKUP($A15,'Ratings Season'!$A:$M,10,FALSE)</f>
        <v/>
      </c>
      <c r="BU15" s="54">
        <f>RANK(BT15,BT$5:BT$22)</f>
        <v/>
      </c>
      <c r="BV15" s="57">
        <f>VLOOKUP($A15,'Ratings Season'!$A:$M,12,FALSE)</f>
        <v/>
      </c>
      <c r="BW15" s="54">
        <f>RANK(BV15,BV$5:BV$22)</f>
        <v/>
      </c>
      <c r="BX15" s="57">
        <f>VLOOKUP($A15,'Ratings Season'!$A:$M,8,FALSE)</f>
        <v/>
      </c>
      <c r="BY15" s="58">
        <f>RANK(BX15,BX$5:BX$22)</f>
        <v/>
      </c>
      <c r="BZ15" s="72" t="n"/>
    </row>
    <row r="16" ht="25" customFormat="1" customHeight="1" s="3">
      <c r="A16" s="86" t="inlineStr">
        <is>
          <t>North Melbourne</t>
        </is>
      </c>
      <c r="B16" s="53">
        <f>VLOOKUP($A16,INDIRECT("'"&amp;$B$1&amp;"'!$A:$IZ"),222,FALSE)</f>
        <v/>
      </c>
      <c r="C16" s="54">
        <f>RANK(B16,B$5:B$22)</f>
        <v/>
      </c>
      <c r="D16" s="55">
        <f>VLOOKUP($A16,INDIRECT("'"&amp;$B$1&amp;"'!$A:$IZ"),218,FALSE)</f>
        <v/>
      </c>
      <c r="E16" s="54">
        <f>RANK(D16,D$5:D$22)</f>
        <v/>
      </c>
      <c r="F16" s="55">
        <f>VLOOKUP($A16,INDIRECT("'"&amp;$B$1&amp;"'!$A:$IZ"),49,FALSE)</f>
        <v/>
      </c>
      <c r="G16" s="54">
        <f>RANK(F16,F$5:F$22)</f>
        <v/>
      </c>
      <c r="H16" s="55">
        <f>VLOOKUP($A16,INDIRECT("'"&amp;$B$1&amp;"'!$A:$IZ"),229,FALSE)</f>
        <v/>
      </c>
      <c r="I16" s="54">
        <f>RANK(H16,H$5:H$22)</f>
        <v/>
      </c>
      <c r="J16" s="49">
        <f>104-(C16+E16+G16+I16)</f>
        <v/>
      </c>
      <c r="K16" s="47">
        <f>RANK(J16,J$5:J$22)</f>
        <v/>
      </c>
      <c r="L16" s="56" t="n"/>
      <c r="M16" s="53">
        <f>VLOOKUP($A16,INDIRECT("'"&amp;$B$1&amp;"'!$A:$IZ"),88,FALSE)</f>
        <v/>
      </c>
      <c r="N16" s="54">
        <f>RANK(M16,M$5:M$22)</f>
        <v/>
      </c>
      <c r="O16" s="53">
        <f>VLOOKUP($A16,INDIRECT("'"&amp;$B$1&amp;"'!$A:$IZ"),84,FALSE)</f>
        <v/>
      </c>
      <c r="P16" s="54">
        <f>RANK(O16,O$5:O$22)</f>
        <v/>
      </c>
      <c r="Q16" s="53">
        <f>VLOOKUP($A16,INDIRECT("'"&amp;$B$1&amp;"'!$A:$IZ"),85,FALSE)</f>
        <v/>
      </c>
      <c r="R16" s="54">
        <f>RANK(Q16,Q$5:Q$22)</f>
        <v/>
      </c>
      <c r="S16" s="55">
        <f>VLOOKUP($A16,INDIRECT("'"&amp;$B$1&amp;"'!$A:$IZ"),29,FALSE)</f>
        <v/>
      </c>
      <c r="T16" s="54">
        <f>RANK(S16,S$5:S$22)</f>
        <v/>
      </c>
      <c r="U16" s="49">
        <f>104-(N16+P16+R16+T16)</f>
        <v/>
      </c>
      <c r="V16" s="47">
        <f>RANK(U16,U$5:U$22)</f>
        <v/>
      </c>
      <c r="W16" s="56" t="n"/>
      <c r="X16" s="53">
        <f>VLOOKUP($A16,INDIRECT("'"&amp;$B$1&amp;"'!$A:$IZ"),65,FALSE)</f>
        <v/>
      </c>
      <c r="Y16" s="54">
        <f>RANK(X16,X$5:X$22)</f>
        <v/>
      </c>
      <c r="Z16" s="53">
        <f>VLOOKUP($A16,INDIRECT("'"&amp;$B$1&amp;"'!$A:$IZ"),64,FALSE)</f>
        <v/>
      </c>
      <c r="AA16" s="54">
        <f>RANK(Z16,Z$5:Z$22)</f>
        <v/>
      </c>
      <c r="AB16" s="53">
        <f>VLOOKUP($A16,INDIRECT("'"&amp;$B$1&amp;"'!$A:$IZ"),63,FALSE)</f>
        <v/>
      </c>
      <c r="AC16" s="54">
        <f>RANK(AB16,AB$5:AB$22)</f>
        <v/>
      </c>
      <c r="AD16" s="53">
        <f>VLOOKUP($A16,INDIRECT("'"&amp;$B$1&amp;"'!$A:$IZ"),71,FALSE)</f>
        <v/>
      </c>
      <c r="AE16" s="54">
        <f>RANK(AD16,AD$5:AD$22)</f>
        <v/>
      </c>
      <c r="AF16" s="65">
        <f>104-(Y16+AA16+AC16+AE16)</f>
        <v/>
      </c>
      <c r="AG16" s="47">
        <f>RANK(AF16,AF$5:AF$22)</f>
        <v/>
      </c>
      <c r="AH16" s="56" t="n"/>
      <c r="AI16" s="53">
        <f>VLOOKUP($A16,INDIRECT("'"&amp;$B$1&amp;"'!$A:$IZ"),183,FALSE)</f>
        <v/>
      </c>
      <c r="AJ16" s="54">
        <f>RANK(AI16,AI$5:AI$22,1)</f>
        <v/>
      </c>
      <c r="AK16" s="53">
        <f>VLOOKUP($A16,INDIRECT("'"&amp;$B$1&amp;"'!$A:$IZ"),181,FALSE)</f>
        <v/>
      </c>
      <c r="AL16" s="54">
        <f>RANK(AK16,AK$5:AK$22,1)</f>
        <v/>
      </c>
      <c r="AM16" s="53">
        <f>VLOOKUP($A16,INDIRECT("'"&amp;$B$1&amp;"'!$A:$IZ"),182,FALSE)</f>
        <v/>
      </c>
      <c r="AN16" s="54">
        <f>RANK(AM16,AM$5:AM$22,1)</f>
        <v/>
      </c>
      <c r="AO16" s="53">
        <f>VLOOKUP($A16,INDIRECT("'"&amp;$B$1&amp;"'!$A:$IZ"),163,FALSE)</f>
        <v/>
      </c>
      <c r="AP16" s="54">
        <f>RANK(AO16,AO$5:AO$22,1)</f>
        <v/>
      </c>
      <c r="AQ16" s="65">
        <f>104-(AJ16+AL16+AN16+AP16)</f>
        <v/>
      </c>
      <c r="AR16" s="47">
        <f>RANK(AQ16,AQ$5:AQ$22)</f>
        <v/>
      </c>
      <c r="AS16" s="56" t="n"/>
      <c r="AT16" s="46">
        <f>VLOOKUP($A16,INDIRECT("'"&amp;$B$1&amp;"'!$A:$IZ"),250,FALSE)</f>
        <v/>
      </c>
      <c r="AU16" s="47">
        <f>RANK(AT16,AT$5:AT$22,0)</f>
        <v/>
      </c>
      <c r="AV16" s="46">
        <f>VLOOKUP($A16,INDIRECT("'"&amp;$B$1&amp;"'!$A:$IZ"),92,FALSE)</f>
        <v/>
      </c>
      <c r="AW16" s="47">
        <f>RANK(AV16,AV$5:AV$22,0)</f>
        <v/>
      </c>
      <c r="AX16" s="46">
        <f>VLOOKUP($A16,INDIRECT("'"&amp;$B$1&amp;"'!$A:$IZ"),93,FALSE)</f>
        <v/>
      </c>
      <c r="AY16" s="47">
        <f>RANK(AX16,AX$5:AX$22,0)</f>
        <v/>
      </c>
      <c r="AZ16" s="46">
        <f>VLOOKUP($A16,INDIRECT("'"&amp;$B$1&amp;"'!$A:$IZ"),108,FALSE)</f>
        <v/>
      </c>
      <c r="BA16" s="47">
        <f>RANK(AZ16,AZ$5:AZ$22,0)</f>
        <v/>
      </c>
      <c r="BB16" s="46">
        <f>104-(AU16+AW16+AY16+BA16)</f>
        <v/>
      </c>
      <c r="BC16" s="47">
        <f>RANK(BB16,BB$5:BB$22)</f>
        <v/>
      </c>
      <c r="BD16" s="56" t="n"/>
      <c r="BE16" s="53">
        <f>VLOOKUP($A16,INDIRECT("'"&amp;$B$1&amp;"'!$A:$IZ"),80,FALSE)</f>
        <v/>
      </c>
      <c r="BF16" s="54">
        <f>RANK(BE16,BE$5:BE$22)</f>
        <v/>
      </c>
      <c r="BG16" s="53">
        <f>VLOOKUP($A16,INDIRECT("'"&amp;$B$1&amp;"'!$A:$IZ"),177,FALSE)</f>
        <v/>
      </c>
      <c r="BH16" s="54">
        <f>RANK(BG16,BG$5:BG$22,1)</f>
        <v/>
      </c>
      <c r="BI16" s="53">
        <f>VLOOKUP($A16,INDIRECT("'"&amp;$B$1&amp;"'!$A:$IZ"),79,FALSE)</f>
        <v/>
      </c>
      <c r="BJ16" s="54">
        <f>RANK(BI16,BI$5:BI$22)</f>
        <v/>
      </c>
      <c r="BK16" s="53">
        <f>VLOOKUP($A16,INDIRECT("'"&amp;$B$1&amp;"'!$A:$IZ"),176,FALSE)</f>
        <v/>
      </c>
      <c r="BL16" s="54">
        <f>RANK(BK16,BK$5:BK$22,1)</f>
        <v/>
      </c>
      <c r="BM16" s="53">
        <f>VLOOKUP($A16,INDIRECT("'"&amp;$B$1&amp;"'!$A:$IZ"),11,FALSE)</f>
        <v/>
      </c>
      <c r="BN16" s="54">
        <f>RANK(BM16,BM$5:BM$22)</f>
        <v/>
      </c>
      <c r="BO16" s="53">
        <f>VLOOKUP($A16,INDIRECT("'"&amp;$B$1&amp;"'!$A:$IZ"),222,FALSE)</f>
        <v/>
      </c>
      <c r="BP16" s="54">
        <f>RANK(BO16,BO$5:BO$22)</f>
        <v/>
      </c>
      <c r="BQ16" s="65">
        <f>106-(BF16+BH16+BN16+BP16+BJ16+BL16)</f>
        <v/>
      </c>
      <c r="BR16" s="47">
        <f>RANK(BQ16,BQ$5:BQ$22)</f>
        <v/>
      </c>
      <c r="BS16" s="56" t="n"/>
      <c r="BT16" s="57">
        <f>VLOOKUP($A16,'Ratings Season'!$A:$M,10,FALSE)</f>
        <v/>
      </c>
      <c r="BU16" s="54">
        <f>RANK(BT16,BT$5:BT$22)</f>
        <v/>
      </c>
      <c r="BV16" s="57">
        <f>VLOOKUP($A16,'Ratings Season'!$A:$M,12,FALSE)</f>
        <v/>
      </c>
      <c r="BW16" s="54">
        <f>RANK(BV16,BV$5:BV$22)</f>
        <v/>
      </c>
      <c r="BX16" s="57">
        <f>VLOOKUP($A16,'Ratings Season'!$A:$M,8,FALSE)</f>
        <v/>
      </c>
      <c r="BY16" s="58">
        <f>RANK(BX16,BX$5:BX$22)</f>
        <v/>
      </c>
      <c r="BZ16" s="72" t="n"/>
    </row>
    <row r="17" ht="25" customFormat="1" customHeight="1" s="3">
      <c r="A17" s="87" t="inlineStr">
        <is>
          <t>Port Adelaide</t>
        </is>
      </c>
      <c r="B17" s="53">
        <f>VLOOKUP($A17,INDIRECT("'"&amp;$B$1&amp;"'!$A:$IZ"),222,FALSE)</f>
        <v/>
      </c>
      <c r="C17" s="54">
        <f>RANK(B17,B$5:B$22)</f>
        <v/>
      </c>
      <c r="D17" s="55">
        <f>VLOOKUP($A17,INDIRECT("'"&amp;$B$1&amp;"'!$A:$IZ"),218,FALSE)</f>
        <v/>
      </c>
      <c r="E17" s="54">
        <f>RANK(D17,D$5:D$22)</f>
        <v/>
      </c>
      <c r="F17" s="55">
        <f>VLOOKUP($A17,INDIRECT("'"&amp;$B$1&amp;"'!$A:$IZ"),49,FALSE)</f>
        <v/>
      </c>
      <c r="G17" s="54">
        <f>RANK(F17,F$5:F$22)</f>
        <v/>
      </c>
      <c r="H17" s="55">
        <f>VLOOKUP($A17,INDIRECT("'"&amp;$B$1&amp;"'!$A:$IZ"),229,FALSE)</f>
        <v/>
      </c>
      <c r="I17" s="54">
        <f>RANK(H17,H$5:H$22)</f>
        <v/>
      </c>
      <c r="J17" s="49">
        <f>104-(C17+E17+G17+I17)</f>
        <v/>
      </c>
      <c r="K17" s="47">
        <f>RANK(J17,J$5:J$22)</f>
        <v/>
      </c>
      <c r="L17" s="56" t="n"/>
      <c r="M17" s="53">
        <f>VLOOKUP($A17,INDIRECT("'"&amp;$B$1&amp;"'!$A:$IZ"),88,FALSE)</f>
        <v/>
      </c>
      <c r="N17" s="54">
        <f>RANK(M17,M$5:M$22)</f>
        <v/>
      </c>
      <c r="O17" s="53">
        <f>VLOOKUP($A17,INDIRECT("'"&amp;$B$1&amp;"'!$A:$IZ"),84,FALSE)</f>
        <v/>
      </c>
      <c r="P17" s="54">
        <f>RANK(O17,O$5:O$22)</f>
        <v/>
      </c>
      <c r="Q17" s="53">
        <f>VLOOKUP($A17,INDIRECT("'"&amp;$B$1&amp;"'!$A:$IZ"),85,FALSE)</f>
        <v/>
      </c>
      <c r="R17" s="54">
        <f>RANK(Q17,Q$5:Q$22)</f>
        <v/>
      </c>
      <c r="S17" s="55">
        <f>VLOOKUP($A17,INDIRECT("'"&amp;$B$1&amp;"'!$A:$IZ"),29,FALSE)</f>
        <v/>
      </c>
      <c r="T17" s="54">
        <f>RANK(S17,S$5:S$22)</f>
        <v/>
      </c>
      <c r="U17" s="49">
        <f>104-(N17+P17+R17+T17)</f>
        <v/>
      </c>
      <c r="V17" s="47">
        <f>RANK(U17,U$5:U$22)</f>
        <v/>
      </c>
      <c r="W17" s="56" t="n"/>
      <c r="X17" s="53">
        <f>VLOOKUP($A17,INDIRECT("'"&amp;$B$1&amp;"'!$A:$IZ"),65,FALSE)</f>
        <v/>
      </c>
      <c r="Y17" s="54">
        <f>RANK(X17,X$5:X$22)</f>
        <v/>
      </c>
      <c r="Z17" s="53">
        <f>VLOOKUP($A17,INDIRECT("'"&amp;$B$1&amp;"'!$A:$IZ"),64,FALSE)</f>
        <v/>
      </c>
      <c r="AA17" s="54">
        <f>RANK(Z17,Z$5:Z$22)</f>
        <v/>
      </c>
      <c r="AB17" s="53">
        <f>VLOOKUP($A17,INDIRECT("'"&amp;$B$1&amp;"'!$A:$IZ"),63,FALSE)</f>
        <v/>
      </c>
      <c r="AC17" s="54">
        <f>RANK(AB17,AB$5:AB$22)</f>
        <v/>
      </c>
      <c r="AD17" s="53">
        <f>VLOOKUP($A17,INDIRECT("'"&amp;$B$1&amp;"'!$A:$IZ"),71,FALSE)</f>
        <v/>
      </c>
      <c r="AE17" s="54">
        <f>RANK(AD17,AD$5:AD$22)</f>
        <v/>
      </c>
      <c r="AF17" s="65">
        <f>104-(Y17+AA17+AC17+AE17)</f>
        <v/>
      </c>
      <c r="AG17" s="47">
        <f>RANK(AF17,AF$5:AF$22)</f>
        <v/>
      </c>
      <c r="AH17" s="56" t="n"/>
      <c r="AI17" s="53">
        <f>VLOOKUP($A17,INDIRECT("'"&amp;$B$1&amp;"'!$A:$IZ"),183,FALSE)</f>
        <v/>
      </c>
      <c r="AJ17" s="54">
        <f>RANK(AI17,AI$5:AI$22,1)</f>
        <v/>
      </c>
      <c r="AK17" s="53">
        <f>VLOOKUP($A17,INDIRECT("'"&amp;$B$1&amp;"'!$A:$IZ"),181,FALSE)</f>
        <v/>
      </c>
      <c r="AL17" s="54">
        <f>RANK(AK17,AK$5:AK$22,1)</f>
        <v/>
      </c>
      <c r="AM17" s="53">
        <f>VLOOKUP($A17,INDIRECT("'"&amp;$B$1&amp;"'!$A:$IZ"),182,FALSE)</f>
        <v/>
      </c>
      <c r="AN17" s="54">
        <f>RANK(AM17,AM$5:AM$22,1)</f>
        <v/>
      </c>
      <c r="AO17" s="53">
        <f>VLOOKUP($A17,INDIRECT("'"&amp;$B$1&amp;"'!$A:$IZ"),163,FALSE)</f>
        <v/>
      </c>
      <c r="AP17" s="54">
        <f>RANK(AO17,AO$5:AO$22,1)</f>
        <v/>
      </c>
      <c r="AQ17" s="65">
        <f>104-(AJ17+AL17+AN17+AP17)</f>
        <v/>
      </c>
      <c r="AR17" s="47">
        <f>RANK(AQ17,AQ$5:AQ$22)</f>
        <v/>
      </c>
      <c r="AS17" s="56" t="n"/>
      <c r="AT17" s="46">
        <f>VLOOKUP($A17,INDIRECT("'"&amp;$B$1&amp;"'!$A:$IZ"),250,FALSE)</f>
        <v/>
      </c>
      <c r="AU17" s="47">
        <f>RANK(AT17,AT$5:AT$22,0)</f>
        <v/>
      </c>
      <c r="AV17" s="46">
        <f>VLOOKUP($A17,INDIRECT("'"&amp;$B$1&amp;"'!$A:$IZ"),92,FALSE)</f>
        <v/>
      </c>
      <c r="AW17" s="47">
        <f>RANK(AV17,AV$5:AV$22,0)</f>
        <v/>
      </c>
      <c r="AX17" s="46">
        <f>VLOOKUP($A17,INDIRECT("'"&amp;$B$1&amp;"'!$A:$IZ"),93,FALSE)</f>
        <v/>
      </c>
      <c r="AY17" s="47">
        <f>RANK(AX17,AX$5:AX$22,0)</f>
        <v/>
      </c>
      <c r="AZ17" s="46">
        <f>VLOOKUP($A17,INDIRECT("'"&amp;$B$1&amp;"'!$A:$IZ"),108,FALSE)</f>
        <v/>
      </c>
      <c r="BA17" s="47">
        <f>RANK(AZ17,AZ$5:AZ$22,0)</f>
        <v/>
      </c>
      <c r="BB17" s="46">
        <f>104-(AU17+AW17+AY17+BA17)</f>
        <v/>
      </c>
      <c r="BC17" s="47">
        <f>RANK(BB17,BB$5:BB$22)</f>
        <v/>
      </c>
      <c r="BD17" s="56" t="n"/>
      <c r="BE17" s="53">
        <f>VLOOKUP($A17,INDIRECT("'"&amp;$B$1&amp;"'!$A:$IZ"),80,FALSE)</f>
        <v/>
      </c>
      <c r="BF17" s="54">
        <f>RANK(BE17,BE$5:BE$22)</f>
        <v/>
      </c>
      <c r="BG17" s="53">
        <f>VLOOKUP($A17,INDIRECT("'"&amp;$B$1&amp;"'!$A:$IZ"),177,FALSE)</f>
        <v/>
      </c>
      <c r="BH17" s="54">
        <f>RANK(BG17,BG$5:BG$22,1)</f>
        <v/>
      </c>
      <c r="BI17" s="53">
        <f>VLOOKUP($A17,INDIRECT("'"&amp;$B$1&amp;"'!$A:$IZ"),79,FALSE)</f>
        <v/>
      </c>
      <c r="BJ17" s="54">
        <f>RANK(BI17,BI$5:BI$22)</f>
        <v/>
      </c>
      <c r="BK17" s="53">
        <f>VLOOKUP($A17,INDIRECT("'"&amp;$B$1&amp;"'!$A:$IZ"),176,FALSE)</f>
        <v/>
      </c>
      <c r="BL17" s="54">
        <f>RANK(BK17,BK$5:BK$22,1)</f>
        <v/>
      </c>
      <c r="BM17" s="53">
        <f>VLOOKUP($A17,INDIRECT("'"&amp;$B$1&amp;"'!$A:$IZ"),11,FALSE)</f>
        <v/>
      </c>
      <c r="BN17" s="54">
        <f>RANK(BM17,BM$5:BM$22)</f>
        <v/>
      </c>
      <c r="BO17" s="53">
        <f>VLOOKUP($A17,INDIRECT("'"&amp;$B$1&amp;"'!$A:$IZ"),222,FALSE)</f>
        <v/>
      </c>
      <c r="BP17" s="54">
        <f>RANK(BO17,BO$5:BO$22)</f>
        <v/>
      </c>
      <c r="BQ17" s="65">
        <f>106-(BF17+BH17+BN17+BP17+BJ17+BL17)</f>
        <v/>
      </c>
      <c r="BR17" s="47">
        <f>RANK(BQ17,BQ$5:BQ$22)</f>
        <v/>
      </c>
      <c r="BS17" s="56" t="n"/>
      <c r="BT17" s="57">
        <f>VLOOKUP($A17,'Ratings Season'!$A:$M,10,FALSE)</f>
        <v/>
      </c>
      <c r="BU17" s="54">
        <f>RANK(BT17,BT$5:BT$22)</f>
        <v/>
      </c>
      <c r="BV17" s="57">
        <f>VLOOKUP($A17,'Ratings Season'!$A:$M,12,FALSE)</f>
        <v/>
      </c>
      <c r="BW17" s="54">
        <f>RANK(BV17,BV$5:BV$22)</f>
        <v/>
      </c>
      <c r="BX17" s="57">
        <f>VLOOKUP($A17,'Ratings Season'!$A:$M,8,FALSE)</f>
        <v/>
      </c>
      <c r="BY17" s="58">
        <f>RANK(BX17,BX$5:BX$22)</f>
        <v/>
      </c>
      <c r="BZ17" s="72" t="n"/>
    </row>
    <row r="18" ht="25" customFormat="1" customHeight="1" s="3">
      <c r="A18" s="88" t="inlineStr">
        <is>
          <t>Richmond</t>
        </is>
      </c>
      <c r="B18" s="53">
        <f>VLOOKUP($A18,INDIRECT("'"&amp;$B$1&amp;"'!$A:$IZ"),222,FALSE)</f>
        <v/>
      </c>
      <c r="C18" s="54">
        <f>RANK(B18,B$5:B$22)</f>
        <v/>
      </c>
      <c r="D18" s="55">
        <f>VLOOKUP($A18,INDIRECT("'"&amp;$B$1&amp;"'!$A:$IZ"),218,FALSE)</f>
        <v/>
      </c>
      <c r="E18" s="54">
        <f>RANK(D18,D$5:D$22)</f>
        <v/>
      </c>
      <c r="F18" s="55">
        <f>VLOOKUP($A18,INDIRECT("'"&amp;$B$1&amp;"'!$A:$IZ"),49,FALSE)</f>
        <v/>
      </c>
      <c r="G18" s="54">
        <f>RANK(F18,F$5:F$22)</f>
        <v/>
      </c>
      <c r="H18" s="55">
        <f>VLOOKUP($A18,INDIRECT("'"&amp;$B$1&amp;"'!$A:$IZ"),229,FALSE)</f>
        <v/>
      </c>
      <c r="I18" s="54">
        <f>RANK(H18,H$5:H$22)</f>
        <v/>
      </c>
      <c r="J18" s="49">
        <f>104-(C18+E18+G18+I18)</f>
        <v/>
      </c>
      <c r="K18" s="47">
        <f>RANK(J18,J$5:J$22)</f>
        <v/>
      </c>
      <c r="L18" s="56" t="n"/>
      <c r="M18" s="53">
        <f>VLOOKUP($A18,INDIRECT("'"&amp;$B$1&amp;"'!$A:$IZ"),88,FALSE)</f>
        <v/>
      </c>
      <c r="N18" s="54">
        <f>RANK(M18,M$5:M$22)</f>
        <v/>
      </c>
      <c r="O18" s="53">
        <f>VLOOKUP($A18,INDIRECT("'"&amp;$B$1&amp;"'!$A:$IZ"),84,FALSE)</f>
        <v/>
      </c>
      <c r="P18" s="54">
        <f>RANK(O18,O$5:O$22)</f>
        <v/>
      </c>
      <c r="Q18" s="53">
        <f>VLOOKUP($A18,INDIRECT("'"&amp;$B$1&amp;"'!$A:$IZ"),85,FALSE)</f>
        <v/>
      </c>
      <c r="R18" s="54">
        <f>RANK(Q18,Q$5:Q$22)</f>
        <v/>
      </c>
      <c r="S18" s="55">
        <f>VLOOKUP($A18,INDIRECT("'"&amp;$B$1&amp;"'!$A:$IZ"),29,FALSE)</f>
        <v/>
      </c>
      <c r="T18" s="54">
        <f>RANK(S18,S$5:S$22)</f>
        <v/>
      </c>
      <c r="U18" s="49">
        <f>104-(N18+P18+R18+T18)</f>
        <v/>
      </c>
      <c r="V18" s="47">
        <f>RANK(U18,U$5:U$22)</f>
        <v/>
      </c>
      <c r="W18" s="56" t="n"/>
      <c r="X18" s="53">
        <f>VLOOKUP($A18,INDIRECT("'"&amp;$B$1&amp;"'!$A:$IZ"),65,FALSE)</f>
        <v/>
      </c>
      <c r="Y18" s="54">
        <f>RANK(X18,X$5:X$22)</f>
        <v/>
      </c>
      <c r="Z18" s="53">
        <f>VLOOKUP($A18,INDIRECT("'"&amp;$B$1&amp;"'!$A:$IZ"),64,FALSE)</f>
        <v/>
      </c>
      <c r="AA18" s="54">
        <f>RANK(Z18,Z$5:Z$22)</f>
        <v/>
      </c>
      <c r="AB18" s="53">
        <f>VLOOKUP($A18,INDIRECT("'"&amp;$B$1&amp;"'!$A:$IZ"),63,FALSE)</f>
        <v/>
      </c>
      <c r="AC18" s="54">
        <f>RANK(AB18,AB$5:AB$22)</f>
        <v/>
      </c>
      <c r="AD18" s="53">
        <f>VLOOKUP($A18,INDIRECT("'"&amp;$B$1&amp;"'!$A:$IZ"),71,FALSE)</f>
        <v/>
      </c>
      <c r="AE18" s="54">
        <f>RANK(AD18,AD$5:AD$22)</f>
        <v/>
      </c>
      <c r="AF18" s="65">
        <f>104-(Y18+AA18+AC18+AE18)</f>
        <v/>
      </c>
      <c r="AG18" s="47">
        <f>RANK(AF18,AF$5:AF$22)</f>
        <v/>
      </c>
      <c r="AH18" s="56" t="n"/>
      <c r="AI18" s="53">
        <f>VLOOKUP($A18,INDIRECT("'"&amp;$B$1&amp;"'!$A:$IZ"),183,FALSE)</f>
        <v/>
      </c>
      <c r="AJ18" s="54">
        <f>RANK(AI18,AI$5:AI$22,1)</f>
        <v/>
      </c>
      <c r="AK18" s="53">
        <f>VLOOKUP($A18,INDIRECT("'"&amp;$B$1&amp;"'!$A:$IZ"),181,FALSE)</f>
        <v/>
      </c>
      <c r="AL18" s="54">
        <f>RANK(AK18,AK$5:AK$22,1)</f>
        <v/>
      </c>
      <c r="AM18" s="53">
        <f>VLOOKUP($A18,INDIRECT("'"&amp;$B$1&amp;"'!$A:$IZ"),182,FALSE)</f>
        <v/>
      </c>
      <c r="AN18" s="54">
        <f>RANK(AM18,AM$5:AM$22,1)</f>
        <v/>
      </c>
      <c r="AO18" s="53">
        <f>VLOOKUP($A18,INDIRECT("'"&amp;$B$1&amp;"'!$A:$IZ"),163,FALSE)</f>
        <v/>
      </c>
      <c r="AP18" s="54">
        <f>RANK(AO18,AO$5:AO$22,1)</f>
        <v/>
      </c>
      <c r="AQ18" s="65">
        <f>104-(AJ18+AL18+AN18+AP18)</f>
        <v/>
      </c>
      <c r="AR18" s="47">
        <f>RANK(AQ18,AQ$5:AQ$22)</f>
        <v/>
      </c>
      <c r="AS18" s="56" t="n"/>
      <c r="AT18" s="46">
        <f>VLOOKUP($A18,INDIRECT("'"&amp;$B$1&amp;"'!$A:$IZ"),250,FALSE)</f>
        <v/>
      </c>
      <c r="AU18" s="47">
        <f>RANK(AT18,AT$5:AT$22,0)</f>
        <v/>
      </c>
      <c r="AV18" s="46">
        <f>VLOOKUP($A18,INDIRECT("'"&amp;$B$1&amp;"'!$A:$IZ"),92,FALSE)</f>
        <v/>
      </c>
      <c r="AW18" s="47">
        <f>RANK(AV18,AV$5:AV$22,0)</f>
        <v/>
      </c>
      <c r="AX18" s="46">
        <f>VLOOKUP($A18,INDIRECT("'"&amp;$B$1&amp;"'!$A:$IZ"),93,FALSE)</f>
        <v/>
      </c>
      <c r="AY18" s="47">
        <f>RANK(AX18,AX$5:AX$22,0)</f>
        <v/>
      </c>
      <c r="AZ18" s="46">
        <f>VLOOKUP($A18,INDIRECT("'"&amp;$B$1&amp;"'!$A:$IZ"),108,FALSE)</f>
        <v/>
      </c>
      <c r="BA18" s="47">
        <f>RANK(AZ18,AZ$5:AZ$22,0)</f>
        <v/>
      </c>
      <c r="BB18" s="46">
        <f>104-(AU18+AW18+AY18+BA18)</f>
        <v/>
      </c>
      <c r="BC18" s="47">
        <f>RANK(BB18,BB$5:BB$22)</f>
        <v/>
      </c>
      <c r="BD18" s="56" t="n"/>
      <c r="BE18" s="53">
        <f>VLOOKUP($A18,INDIRECT("'"&amp;$B$1&amp;"'!$A:$IZ"),80,FALSE)</f>
        <v/>
      </c>
      <c r="BF18" s="54">
        <f>RANK(BE18,BE$5:BE$22)</f>
        <v/>
      </c>
      <c r="BG18" s="53">
        <f>VLOOKUP($A18,INDIRECT("'"&amp;$B$1&amp;"'!$A:$IZ"),177,FALSE)</f>
        <v/>
      </c>
      <c r="BH18" s="54">
        <f>RANK(BG18,BG$5:BG$22,1)</f>
        <v/>
      </c>
      <c r="BI18" s="53">
        <f>VLOOKUP($A18,INDIRECT("'"&amp;$B$1&amp;"'!$A:$IZ"),79,FALSE)</f>
        <v/>
      </c>
      <c r="BJ18" s="54">
        <f>RANK(BI18,BI$5:BI$22)</f>
        <v/>
      </c>
      <c r="BK18" s="53">
        <f>VLOOKUP($A18,INDIRECT("'"&amp;$B$1&amp;"'!$A:$IZ"),176,FALSE)</f>
        <v/>
      </c>
      <c r="BL18" s="54">
        <f>RANK(BK18,BK$5:BK$22,1)</f>
        <v/>
      </c>
      <c r="BM18" s="53">
        <f>VLOOKUP($A18,INDIRECT("'"&amp;$B$1&amp;"'!$A:$IZ"),11,FALSE)</f>
        <v/>
      </c>
      <c r="BN18" s="54">
        <f>RANK(BM18,BM$5:BM$22)</f>
        <v/>
      </c>
      <c r="BO18" s="53">
        <f>VLOOKUP($A18,INDIRECT("'"&amp;$B$1&amp;"'!$A:$IZ"),222,FALSE)</f>
        <v/>
      </c>
      <c r="BP18" s="54">
        <f>RANK(BO18,BO$5:BO$22)</f>
        <v/>
      </c>
      <c r="BQ18" s="65">
        <f>106-(BF18+BH18+BN18+BP18+BJ18+BL18)</f>
        <v/>
      </c>
      <c r="BR18" s="47">
        <f>RANK(BQ18,BQ$5:BQ$22)</f>
        <v/>
      </c>
      <c r="BS18" s="56" t="n"/>
      <c r="BT18" s="57">
        <f>VLOOKUP($A18,'Ratings Season'!$A:$M,10,FALSE)</f>
        <v/>
      </c>
      <c r="BU18" s="54">
        <f>RANK(BT18,BT$5:BT$22)</f>
        <v/>
      </c>
      <c r="BV18" s="57">
        <f>VLOOKUP($A18,'Ratings Season'!$A:$M,12,FALSE)</f>
        <v/>
      </c>
      <c r="BW18" s="54">
        <f>RANK(BV18,BV$5:BV$22)</f>
        <v/>
      </c>
      <c r="BX18" s="57">
        <f>VLOOKUP($A18,'Ratings Season'!$A:$M,8,FALSE)</f>
        <v/>
      </c>
      <c r="BY18" s="58">
        <f>RANK(BX18,BX$5:BX$22)</f>
        <v/>
      </c>
      <c r="BZ18" s="72" t="n"/>
    </row>
    <row r="19" ht="25" customFormat="1" customHeight="1" s="3">
      <c r="A19" s="89" t="inlineStr">
        <is>
          <t>St Kilda</t>
        </is>
      </c>
      <c r="B19" s="53">
        <f>VLOOKUP($A19,INDIRECT("'"&amp;$B$1&amp;"'!$A:$IZ"),222,FALSE)</f>
        <v/>
      </c>
      <c r="C19" s="54">
        <f>RANK(B19,B$5:B$22)</f>
        <v/>
      </c>
      <c r="D19" s="55">
        <f>VLOOKUP($A19,INDIRECT("'"&amp;$B$1&amp;"'!$A:$IZ"),218,FALSE)</f>
        <v/>
      </c>
      <c r="E19" s="54">
        <f>RANK(D19,D$5:D$22)</f>
        <v/>
      </c>
      <c r="F19" s="55">
        <f>VLOOKUP($A19,INDIRECT("'"&amp;$B$1&amp;"'!$A:$IZ"),49,FALSE)</f>
        <v/>
      </c>
      <c r="G19" s="54">
        <f>RANK(F19,F$5:F$22)</f>
        <v/>
      </c>
      <c r="H19" s="55">
        <f>VLOOKUP($A19,INDIRECT("'"&amp;$B$1&amp;"'!$A:$IZ"),229,FALSE)</f>
        <v/>
      </c>
      <c r="I19" s="54">
        <f>RANK(H19,H$5:H$22)</f>
        <v/>
      </c>
      <c r="J19" s="49">
        <f>104-(C19+E19+G19+I19)</f>
        <v/>
      </c>
      <c r="K19" s="47">
        <f>RANK(J19,J$5:J$22)</f>
        <v/>
      </c>
      <c r="L19" s="56" t="n"/>
      <c r="M19" s="53">
        <f>VLOOKUP($A19,INDIRECT("'"&amp;$B$1&amp;"'!$A:$IZ"),88,FALSE)</f>
        <v/>
      </c>
      <c r="N19" s="54">
        <f>RANK(M19,M$5:M$22)</f>
        <v/>
      </c>
      <c r="O19" s="53">
        <f>VLOOKUP($A19,INDIRECT("'"&amp;$B$1&amp;"'!$A:$IZ"),84,FALSE)</f>
        <v/>
      </c>
      <c r="P19" s="54">
        <f>RANK(O19,O$5:O$22)</f>
        <v/>
      </c>
      <c r="Q19" s="53">
        <f>VLOOKUP($A19,INDIRECT("'"&amp;$B$1&amp;"'!$A:$IZ"),85,FALSE)</f>
        <v/>
      </c>
      <c r="R19" s="54">
        <f>RANK(Q19,Q$5:Q$22)</f>
        <v/>
      </c>
      <c r="S19" s="55">
        <f>VLOOKUP($A19,INDIRECT("'"&amp;$B$1&amp;"'!$A:$IZ"),29,FALSE)</f>
        <v/>
      </c>
      <c r="T19" s="54">
        <f>RANK(S19,S$5:S$22)</f>
        <v/>
      </c>
      <c r="U19" s="49">
        <f>104-(N19+P19+R19+T19)</f>
        <v/>
      </c>
      <c r="V19" s="47">
        <f>RANK(U19,U$5:U$22)</f>
        <v/>
      </c>
      <c r="W19" s="56" t="n"/>
      <c r="X19" s="53">
        <f>VLOOKUP($A19,INDIRECT("'"&amp;$B$1&amp;"'!$A:$IZ"),65,FALSE)</f>
        <v/>
      </c>
      <c r="Y19" s="54">
        <f>RANK(X19,X$5:X$22)</f>
        <v/>
      </c>
      <c r="Z19" s="53">
        <f>VLOOKUP($A19,INDIRECT("'"&amp;$B$1&amp;"'!$A:$IZ"),64,FALSE)</f>
        <v/>
      </c>
      <c r="AA19" s="54">
        <f>RANK(Z19,Z$5:Z$22)</f>
        <v/>
      </c>
      <c r="AB19" s="53">
        <f>VLOOKUP($A19,INDIRECT("'"&amp;$B$1&amp;"'!$A:$IZ"),63,FALSE)</f>
        <v/>
      </c>
      <c r="AC19" s="54">
        <f>RANK(AB19,AB$5:AB$22)</f>
        <v/>
      </c>
      <c r="AD19" s="53">
        <f>VLOOKUP($A19,INDIRECT("'"&amp;$B$1&amp;"'!$A:$IZ"),71,FALSE)</f>
        <v/>
      </c>
      <c r="AE19" s="54">
        <f>RANK(AD19,AD$5:AD$22)</f>
        <v/>
      </c>
      <c r="AF19" s="65">
        <f>104-(Y19+AA19+AC19+AE19)</f>
        <v/>
      </c>
      <c r="AG19" s="47">
        <f>RANK(AF19,AF$5:AF$22)</f>
        <v/>
      </c>
      <c r="AH19" s="56" t="n"/>
      <c r="AI19" s="53">
        <f>VLOOKUP($A19,INDIRECT("'"&amp;$B$1&amp;"'!$A:$IZ"),183,FALSE)</f>
        <v/>
      </c>
      <c r="AJ19" s="54">
        <f>RANK(AI19,AI$5:AI$22,1)</f>
        <v/>
      </c>
      <c r="AK19" s="53">
        <f>VLOOKUP($A19,INDIRECT("'"&amp;$B$1&amp;"'!$A:$IZ"),181,FALSE)</f>
        <v/>
      </c>
      <c r="AL19" s="54">
        <f>RANK(AK19,AK$5:AK$22,1)</f>
        <v/>
      </c>
      <c r="AM19" s="53">
        <f>VLOOKUP($A19,INDIRECT("'"&amp;$B$1&amp;"'!$A:$IZ"),182,FALSE)</f>
        <v/>
      </c>
      <c r="AN19" s="54">
        <f>RANK(AM19,AM$5:AM$22,1)</f>
        <v/>
      </c>
      <c r="AO19" s="53">
        <f>VLOOKUP($A19,INDIRECT("'"&amp;$B$1&amp;"'!$A:$IZ"),163,FALSE)</f>
        <v/>
      </c>
      <c r="AP19" s="54">
        <f>RANK(AO19,AO$5:AO$22,1)</f>
        <v/>
      </c>
      <c r="AQ19" s="65">
        <f>104-(AJ19+AL19+AN19+AP19)</f>
        <v/>
      </c>
      <c r="AR19" s="47">
        <f>RANK(AQ19,AQ$5:AQ$22)</f>
        <v/>
      </c>
      <c r="AS19" s="56" t="n"/>
      <c r="AT19" s="46">
        <f>VLOOKUP($A19,INDIRECT("'"&amp;$B$1&amp;"'!$A:$IZ"),250,FALSE)</f>
        <v/>
      </c>
      <c r="AU19" s="47">
        <f>RANK(AT19,AT$5:AT$22,0)</f>
        <v/>
      </c>
      <c r="AV19" s="46">
        <f>VLOOKUP($A19,INDIRECT("'"&amp;$B$1&amp;"'!$A:$IZ"),92,FALSE)</f>
        <v/>
      </c>
      <c r="AW19" s="47">
        <f>RANK(AV19,AV$5:AV$22,0)</f>
        <v/>
      </c>
      <c r="AX19" s="46">
        <f>VLOOKUP($A19,INDIRECT("'"&amp;$B$1&amp;"'!$A:$IZ"),93,FALSE)</f>
        <v/>
      </c>
      <c r="AY19" s="47">
        <f>RANK(AX19,AX$5:AX$22,0)</f>
        <v/>
      </c>
      <c r="AZ19" s="46">
        <f>VLOOKUP($A19,INDIRECT("'"&amp;$B$1&amp;"'!$A:$IZ"),108,FALSE)</f>
        <v/>
      </c>
      <c r="BA19" s="47">
        <f>RANK(AZ19,AZ$5:AZ$22,0)</f>
        <v/>
      </c>
      <c r="BB19" s="46">
        <f>104-(AU19+AW19+AY19+BA19)</f>
        <v/>
      </c>
      <c r="BC19" s="47">
        <f>RANK(BB19,BB$5:BB$22)</f>
        <v/>
      </c>
      <c r="BD19" s="56" t="n"/>
      <c r="BE19" s="53">
        <f>VLOOKUP($A19,INDIRECT("'"&amp;$B$1&amp;"'!$A:$IZ"),80,FALSE)</f>
        <v/>
      </c>
      <c r="BF19" s="54">
        <f>RANK(BE19,BE$5:BE$22)</f>
        <v/>
      </c>
      <c r="BG19" s="53">
        <f>VLOOKUP($A19,INDIRECT("'"&amp;$B$1&amp;"'!$A:$IZ"),177,FALSE)</f>
        <v/>
      </c>
      <c r="BH19" s="54">
        <f>RANK(BG19,BG$5:BG$22,1)</f>
        <v/>
      </c>
      <c r="BI19" s="53">
        <f>VLOOKUP($A19,INDIRECT("'"&amp;$B$1&amp;"'!$A:$IZ"),79,FALSE)</f>
        <v/>
      </c>
      <c r="BJ19" s="54">
        <f>RANK(BI19,BI$5:BI$22)</f>
        <v/>
      </c>
      <c r="BK19" s="53">
        <f>VLOOKUP($A19,INDIRECT("'"&amp;$B$1&amp;"'!$A:$IZ"),176,FALSE)</f>
        <v/>
      </c>
      <c r="BL19" s="54">
        <f>RANK(BK19,BK$5:BK$22,1)</f>
        <v/>
      </c>
      <c r="BM19" s="53">
        <f>VLOOKUP($A19,INDIRECT("'"&amp;$B$1&amp;"'!$A:$IZ"),11,FALSE)</f>
        <v/>
      </c>
      <c r="BN19" s="54">
        <f>RANK(BM19,BM$5:BM$22)</f>
        <v/>
      </c>
      <c r="BO19" s="53">
        <f>VLOOKUP($A19,INDIRECT("'"&amp;$B$1&amp;"'!$A:$IZ"),222,FALSE)</f>
        <v/>
      </c>
      <c r="BP19" s="54">
        <f>RANK(BO19,BO$5:BO$22)</f>
        <v/>
      </c>
      <c r="BQ19" s="65">
        <f>106-(BF19+BH19+BN19+BP19+BJ19+BL19)</f>
        <v/>
      </c>
      <c r="BR19" s="47">
        <f>RANK(BQ19,BQ$5:BQ$22)</f>
        <v/>
      </c>
      <c r="BS19" s="56" t="n"/>
      <c r="BT19" s="57">
        <f>VLOOKUP($A19,'Ratings Season'!$A:$M,10,FALSE)</f>
        <v/>
      </c>
      <c r="BU19" s="54">
        <f>RANK(BT19,BT$5:BT$22)</f>
        <v/>
      </c>
      <c r="BV19" s="57">
        <f>VLOOKUP($A19,'Ratings Season'!$A:$M,12,FALSE)</f>
        <v/>
      </c>
      <c r="BW19" s="54">
        <f>RANK(BV19,BV$5:BV$22)</f>
        <v/>
      </c>
      <c r="BX19" s="57">
        <f>VLOOKUP($A19,'Ratings Season'!$A:$M,8,FALSE)</f>
        <v/>
      </c>
      <c r="BY19" s="58">
        <f>RANK(BX19,BX$5:BX$22)</f>
        <v/>
      </c>
      <c r="BZ19" s="72" t="n"/>
    </row>
    <row r="20" ht="25" customFormat="1" customHeight="1" s="3">
      <c r="A20" s="90" t="inlineStr">
        <is>
          <t>Sydney</t>
        </is>
      </c>
      <c r="B20" s="53">
        <f>VLOOKUP($A20,INDIRECT("'"&amp;$B$1&amp;"'!$A:$IZ"),222,FALSE)</f>
        <v/>
      </c>
      <c r="C20" s="54">
        <f>RANK(B20,B$5:B$22)</f>
        <v/>
      </c>
      <c r="D20" s="55">
        <f>VLOOKUP($A20,INDIRECT("'"&amp;$B$1&amp;"'!$A:$IZ"),218,FALSE)</f>
        <v/>
      </c>
      <c r="E20" s="54">
        <f>RANK(D20,D$5:D$22)</f>
        <v/>
      </c>
      <c r="F20" s="55">
        <f>VLOOKUP($A20,INDIRECT("'"&amp;$B$1&amp;"'!$A:$IZ"),49,FALSE)</f>
        <v/>
      </c>
      <c r="G20" s="54">
        <f>RANK(F20,F$5:F$22)</f>
        <v/>
      </c>
      <c r="H20" s="55">
        <f>VLOOKUP($A20,INDIRECT("'"&amp;$B$1&amp;"'!$A:$IZ"),229,FALSE)</f>
        <v/>
      </c>
      <c r="I20" s="54">
        <f>RANK(H20,H$5:H$22)</f>
        <v/>
      </c>
      <c r="J20" s="49">
        <f>104-(C20+E20+G20+I20)</f>
        <v/>
      </c>
      <c r="K20" s="47">
        <f>RANK(J20,J$5:J$22)</f>
        <v/>
      </c>
      <c r="L20" s="56" t="n"/>
      <c r="M20" s="53">
        <f>VLOOKUP($A20,INDIRECT("'"&amp;$B$1&amp;"'!$A:$IZ"),88,FALSE)</f>
        <v/>
      </c>
      <c r="N20" s="54">
        <f>RANK(M20,M$5:M$22)</f>
        <v/>
      </c>
      <c r="O20" s="53">
        <f>VLOOKUP($A20,INDIRECT("'"&amp;$B$1&amp;"'!$A:$IZ"),84,FALSE)</f>
        <v/>
      </c>
      <c r="P20" s="54">
        <f>RANK(O20,O$5:O$22)</f>
        <v/>
      </c>
      <c r="Q20" s="53">
        <f>VLOOKUP($A20,INDIRECT("'"&amp;$B$1&amp;"'!$A:$IZ"),85,FALSE)</f>
        <v/>
      </c>
      <c r="R20" s="54">
        <f>RANK(Q20,Q$5:Q$22)</f>
        <v/>
      </c>
      <c r="S20" s="55">
        <f>VLOOKUP($A20,INDIRECT("'"&amp;$B$1&amp;"'!$A:$IZ"),29,FALSE)</f>
        <v/>
      </c>
      <c r="T20" s="54">
        <f>RANK(S20,S$5:S$22)</f>
        <v/>
      </c>
      <c r="U20" s="49">
        <f>104-(N20+P20+R20+T20)</f>
        <v/>
      </c>
      <c r="V20" s="47">
        <f>RANK(U20,U$5:U$22)</f>
        <v/>
      </c>
      <c r="W20" s="56" t="n"/>
      <c r="X20" s="53">
        <f>VLOOKUP($A20,INDIRECT("'"&amp;$B$1&amp;"'!$A:$IZ"),65,FALSE)</f>
        <v/>
      </c>
      <c r="Y20" s="54">
        <f>RANK(X20,X$5:X$22)</f>
        <v/>
      </c>
      <c r="Z20" s="53">
        <f>VLOOKUP($A20,INDIRECT("'"&amp;$B$1&amp;"'!$A:$IZ"),64,FALSE)</f>
        <v/>
      </c>
      <c r="AA20" s="54">
        <f>RANK(Z20,Z$5:Z$22)</f>
        <v/>
      </c>
      <c r="AB20" s="53">
        <f>VLOOKUP($A20,INDIRECT("'"&amp;$B$1&amp;"'!$A:$IZ"),63,FALSE)</f>
        <v/>
      </c>
      <c r="AC20" s="54">
        <f>RANK(AB20,AB$5:AB$22)</f>
        <v/>
      </c>
      <c r="AD20" s="53">
        <f>VLOOKUP($A20,INDIRECT("'"&amp;$B$1&amp;"'!$A:$IZ"),71,FALSE)</f>
        <v/>
      </c>
      <c r="AE20" s="54">
        <f>RANK(AD20,AD$5:AD$22)</f>
        <v/>
      </c>
      <c r="AF20" s="65">
        <f>104-(Y20+AA20+AC20+AE20)</f>
        <v/>
      </c>
      <c r="AG20" s="47">
        <f>RANK(AF20,AF$5:AF$22)</f>
        <v/>
      </c>
      <c r="AH20" s="56" t="n"/>
      <c r="AI20" s="53">
        <f>VLOOKUP($A20,INDIRECT("'"&amp;$B$1&amp;"'!$A:$IZ"),183,FALSE)</f>
        <v/>
      </c>
      <c r="AJ20" s="54">
        <f>RANK(AI20,AI$5:AI$22,1)</f>
        <v/>
      </c>
      <c r="AK20" s="53">
        <f>VLOOKUP($A20,INDIRECT("'"&amp;$B$1&amp;"'!$A:$IZ"),181,FALSE)</f>
        <v/>
      </c>
      <c r="AL20" s="54">
        <f>RANK(AK20,AK$5:AK$22,1)</f>
        <v/>
      </c>
      <c r="AM20" s="53">
        <f>VLOOKUP($A20,INDIRECT("'"&amp;$B$1&amp;"'!$A:$IZ"),182,FALSE)</f>
        <v/>
      </c>
      <c r="AN20" s="54">
        <f>RANK(AM20,AM$5:AM$22,1)</f>
        <v/>
      </c>
      <c r="AO20" s="53">
        <f>VLOOKUP($A20,INDIRECT("'"&amp;$B$1&amp;"'!$A:$IZ"),163,FALSE)</f>
        <v/>
      </c>
      <c r="AP20" s="54">
        <f>RANK(AO20,AO$5:AO$22,1)</f>
        <v/>
      </c>
      <c r="AQ20" s="65">
        <f>104-(AJ20+AL20+AN20+AP20)</f>
        <v/>
      </c>
      <c r="AR20" s="47">
        <f>RANK(AQ20,AQ$5:AQ$22)</f>
        <v/>
      </c>
      <c r="AS20" s="56" t="n"/>
      <c r="AT20" s="46">
        <f>VLOOKUP($A20,INDIRECT("'"&amp;$B$1&amp;"'!$A:$IZ"),250,FALSE)</f>
        <v/>
      </c>
      <c r="AU20" s="47">
        <f>RANK(AT20,AT$5:AT$22,0)</f>
        <v/>
      </c>
      <c r="AV20" s="46">
        <f>VLOOKUP($A20,INDIRECT("'"&amp;$B$1&amp;"'!$A:$IZ"),92,FALSE)</f>
        <v/>
      </c>
      <c r="AW20" s="47">
        <f>RANK(AV20,AV$5:AV$22,0)</f>
        <v/>
      </c>
      <c r="AX20" s="46">
        <f>VLOOKUP($A20,INDIRECT("'"&amp;$B$1&amp;"'!$A:$IZ"),93,FALSE)</f>
        <v/>
      </c>
      <c r="AY20" s="47">
        <f>RANK(AX20,AX$5:AX$22,0)</f>
        <v/>
      </c>
      <c r="AZ20" s="46">
        <f>VLOOKUP($A20,INDIRECT("'"&amp;$B$1&amp;"'!$A:$IZ"),108,FALSE)</f>
        <v/>
      </c>
      <c r="BA20" s="47">
        <f>RANK(AZ20,AZ$5:AZ$22,0)</f>
        <v/>
      </c>
      <c r="BB20" s="46">
        <f>104-(AU20+AW20+AY20+BA20)</f>
        <v/>
      </c>
      <c r="BC20" s="47">
        <f>RANK(BB20,BB$5:BB$22)</f>
        <v/>
      </c>
      <c r="BD20" s="56" t="n"/>
      <c r="BE20" s="53">
        <f>VLOOKUP($A20,INDIRECT("'"&amp;$B$1&amp;"'!$A:$IZ"),80,FALSE)</f>
        <v/>
      </c>
      <c r="BF20" s="54">
        <f>RANK(BE20,BE$5:BE$22)</f>
        <v/>
      </c>
      <c r="BG20" s="53">
        <f>VLOOKUP($A20,INDIRECT("'"&amp;$B$1&amp;"'!$A:$IZ"),177,FALSE)</f>
        <v/>
      </c>
      <c r="BH20" s="54">
        <f>RANK(BG20,BG$5:BG$22,1)</f>
        <v/>
      </c>
      <c r="BI20" s="53">
        <f>VLOOKUP($A20,INDIRECT("'"&amp;$B$1&amp;"'!$A:$IZ"),79,FALSE)</f>
        <v/>
      </c>
      <c r="BJ20" s="54">
        <f>RANK(BI20,BI$5:BI$22)</f>
        <v/>
      </c>
      <c r="BK20" s="53">
        <f>VLOOKUP($A20,INDIRECT("'"&amp;$B$1&amp;"'!$A:$IZ"),176,FALSE)</f>
        <v/>
      </c>
      <c r="BL20" s="54">
        <f>RANK(BK20,BK$5:BK$22,1)</f>
        <v/>
      </c>
      <c r="BM20" s="53">
        <f>VLOOKUP($A20,INDIRECT("'"&amp;$B$1&amp;"'!$A:$IZ"),11,FALSE)</f>
        <v/>
      </c>
      <c r="BN20" s="54">
        <f>RANK(BM20,BM$5:BM$22)</f>
        <v/>
      </c>
      <c r="BO20" s="53">
        <f>VLOOKUP($A20,INDIRECT("'"&amp;$B$1&amp;"'!$A:$IZ"),222,FALSE)</f>
        <v/>
      </c>
      <c r="BP20" s="54">
        <f>RANK(BO20,BO$5:BO$22)</f>
        <v/>
      </c>
      <c r="BQ20" s="65">
        <f>106-(BF20+BH20+BN20+BP20+BJ20+BL20)</f>
        <v/>
      </c>
      <c r="BR20" s="47">
        <f>RANK(BQ20,BQ$5:BQ$22)</f>
        <v/>
      </c>
      <c r="BS20" s="56" t="n"/>
      <c r="BT20" s="57">
        <f>VLOOKUP($A20,'Ratings Season'!$A:$M,10,FALSE)</f>
        <v/>
      </c>
      <c r="BU20" s="54">
        <f>RANK(BT20,BT$5:BT$22)</f>
        <v/>
      </c>
      <c r="BV20" s="57">
        <f>VLOOKUP($A20,'Ratings Season'!$A:$M,12,FALSE)</f>
        <v/>
      </c>
      <c r="BW20" s="54">
        <f>RANK(BV20,BV$5:BV$22)</f>
        <v/>
      </c>
      <c r="BX20" s="57">
        <f>VLOOKUP($A20,'Ratings Season'!$A:$M,8,FALSE)</f>
        <v/>
      </c>
      <c r="BY20" s="58">
        <f>RANK(BX20,BX$5:BX$22)</f>
        <v/>
      </c>
      <c r="BZ20" s="72" t="n"/>
    </row>
    <row r="21" ht="25" customFormat="1" customHeight="1" s="3">
      <c r="A21" s="91" t="inlineStr">
        <is>
          <t>West Coast</t>
        </is>
      </c>
      <c r="B21" s="53">
        <f>VLOOKUP($A21,INDIRECT("'"&amp;$B$1&amp;"'!$A:$IZ"),222,FALSE)</f>
        <v/>
      </c>
      <c r="C21" s="54">
        <f>RANK(B21,B$5:B$22)</f>
        <v/>
      </c>
      <c r="D21" s="55">
        <f>VLOOKUP($A21,INDIRECT("'"&amp;$B$1&amp;"'!$A:$IZ"),218,FALSE)</f>
        <v/>
      </c>
      <c r="E21" s="54">
        <f>RANK(D21,D$5:D$22)</f>
        <v/>
      </c>
      <c r="F21" s="55">
        <f>VLOOKUP($A21,INDIRECT("'"&amp;$B$1&amp;"'!$A:$IZ"),49,FALSE)</f>
        <v/>
      </c>
      <c r="G21" s="54">
        <f>RANK(F21,F$5:F$22)</f>
        <v/>
      </c>
      <c r="H21" s="55">
        <f>VLOOKUP($A21,INDIRECT("'"&amp;$B$1&amp;"'!$A:$IZ"),229,FALSE)</f>
        <v/>
      </c>
      <c r="I21" s="54">
        <f>RANK(H21,H$5:H$22)</f>
        <v/>
      </c>
      <c r="J21" s="49">
        <f>104-(C21+E21+G21+I21)</f>
        <v/>
      </c>
      <c r="K21" s="47">
        <f>RANK(J21,J$5:J$22)</f>
        <v/>
      </c>
      <c r="L21" s="56" t="n"/>
      <c r="M21" s="53">
        <f>VLOOKUP($A21,INDIRECT("'"&amp;$B$1&amp;"'!$A:$IZ"),88,FALSE)</f>
        <v/>
      </c>
      <c r="N21" s="54">
        <f>RANK(M21,M$5:M$22)</f>
        <v/>
      </c>
      <c r="O21" s="53">
        <f>VLOOKUP($A21,INDIRECT("'"&amp;$B$1&amp;"'!$A:$IZ"),84,FALSE)</f>
        <v/>
      </c>
      <c r="P21" s="54">
        <f>RANK(O21,O$5:O$22)</f>
        <v/>
      </c>
      <c r="Q21" s="53">
        <f>VLOOKUP($A21,INDIRECT("'"&amp;$B$1&amp;"'!$A:$IZ"),85,FALSE)</f>
        <v/>
      </c>
      <c r="R21" s="54">
        <f>RANK(Q21,Q$5:Q$22)</f>
        <v/>
      </c>
      <c r="S21" s="55">
        <f>VLOOKUP($A21,INDIRECT("'"&amp;$B$1&amp;"'!$A:$IZ"),29,FALSE)</f>
        <v/>
      </c>
      <c r="T21" s="54">
        <f>RANK(S21,S$5:S$22)</f>
        <v/>
      </c>
      <c r="U21" s="49">
        <f>104-(N21+P21+R21+T21)</f>
        <v/>
      </c>
      <c r="V21" s="47">
        <f>RANK(U21,U$5:U$22)</f>
        <v/>
      </c>
      <c r="W21" s="56" t="n"/>
      <c r="X21" s="53">
        <f>VLOOKUP($A21,INDIRECT("'"&amp;$B$1&amp;"'!$A:$IZ"),65,FALSE)</f>
        <v/>
      </c>
      <c r="Y21" s="54">
        <f>RANK(X21,X$5:X$22)</f>
        <v/>
      </c>
      <c r="Z21" s="53">
        <f>VLOOKUP($A21,INDIRECT("'"&amp;$B$1&amp;"'!$A:$IZ"),64,FALSE)</f>
        <v/>
      </c>
      <c r="AA21" s="54">
        <f>RANK(Z21,Z$5:Z$22)</f>
        <v/>
      </c>
      <c r="AB21" s="53">
        <f>VLOOKUP($A21,INDIRECT("'"&amp;$B$1&amp;"'!$A:$IZ"),63,FALSE)</f>
        <v/>
      </c>
      <c r="AC21" s="54">
        <f>RANK(AB21,AB$5:AB$22)</f>
        <v/>
      </c>
      <c r="AD21" s="53">
        <f>VLOOKUP($A21,INDIRECT("'"&amp;$B$1&amp;"'!$A:$IZ"),71,FALSE)</f>
        <v/>
      </c>
      <c r="AE21" s="54">
        <f>RANK(AD21,AD$5:AD$22)</f>
        <v/>
      </c>
      <c r="AF21" s="65">
        <f>104-(Y21+AA21+AC21+AE21)</f>
        <v/>
      </c>
      <c r="AG21" s="47">
        <f>RANK(AF21,AF$5:AF$22)</f>
        <v/>
      </c>
      <c r="AH21" s="56" t="n"/>
      <c r="AI21" s="53">
        <f>VLOOKUP($A21,INDIRECT("'"&amp;$B$1&amp;"'!$A:$IZ"),183,FALSE)</f>
        <v/>
      </c>
      <c r="AJ21" s="54">
        <f>RANK(AI21,AI$5:AI$22,1)</f>
        <v/>
      </c>
      <c r="AK21" s="53">
        <f>VLOOKUP($A21,INDIRECT("'"&amp;$B$1&amp;"'!$A:$IZ"),181,FALSE)</f>
        <v/>
      </c>
      <c r="AL21" s="54">
        <f>RANK(AK21,AK$5:AK$22,1)</f>
        <v/>
      </c>
      <c r="AM21" s="53">
        <f>VLOOKUP($A21,INDIRECT("'"&amp;$B$1&amp;"'!$A:$IZ"),182,FALSE)</f>
        <v/>
      </c>
      <c r="AN21" s="54">
        <f>RANK(AM21,AM$5:AM$22,1)</f>
        <v/>
      </c>
      <c r="AO21" s="53">
        <f>VLOOKUP($A21,INDIRECT("'"&amp;$B$1&amp;"'!$A:$IZ"),163,FALSE)</f>
        <v/>
      </c>
      <c r="AP21" s="54">
        <f>RANK(AO21,AO$5:AO$22,1)</f>
        <v/>
      </c>
      <c r="AQ21" s="65">
        <f>104-(AJ21+AL21+AN21+AP21)</f>
        <v/>
      </c>
      <c r="AR21" s="47">
        <f>RANK(AQ21,AQ$5:AQ$22)</f>
        <v/>
      </c>
      <c r="AS21" s="56" t="n"/>
      <c r="AT21" s="46">
        <f>VLOOKUP($A21,INDIRECT("'"&amp;$B$1&amp;"'!$A:$IZ"),250,FALSE)</f>
        <v/>
      </c>
      <c r="AU21" s="47">
        <f>RANK(AT21,AT$5:AT$22,0)</f>
        <v/>
      </c>
      <c r="AV21" s="46">
        <f>VLOOKUP($A21,INDIRECT("'"&amp;$B$1&amp;"'!$A:$IZ"),92,FALSE)</f>
        <v/>
      </c>
      <c r="AW21" s="47">
        <f>RANK(AV21,AV$5:AV$22,0)</f>
        <v/>
      </c>
      <c r="AX21" s="46">
        <f>VLOOKUP($A21,INDIRECT("'"&amp;$B$1&amp;"'!$A:$IZ"),93,FALSE)</f>
        <v/>
      </c>
      <c r="AY21" s="47">
        <f>RANK(AX21,AX$5:AX$22,0)</f>
        <v/>
      </c>
      <c r="AZ21" s="46">
        <f>VLOOKUP($A21,INDIRECT("'"&amp;$B$1&amp;"'!$A:$IZ"),108,FALSE)</f>
        <v/>
      </c>
      <c r="BA21" s="47">
        <f>RANK(AZ21,AZ$5:AZ$22,0)</f>
        <v/>
      </c>
      <c r="BB21" s="46">
        <f>104-(AU21+AW21+AY21+BA21)</f>
        <v/>
      </c>
      <c r="BC21" s="47">
        <f>RANK(BB21,BB$5:BB$22)</f>
        <v/>
      </c>
      <c r="BD21" s="56" t="n"/>
      <c r="BE21" s="53">
        <f>VLOOKUP($A21,INDIRECT("'"&amp;$B$1&amp;"'!$A:$IZ"),80,FALSE)</f>
        <v/>
      </c>
      <c r="BF21" s="54">
        <f>RANK(BE21,BE$5:BE$22)</f>
        <v/>
      </c>
      <c r="BG21" s="53">
        <f>VLOOKUP($A21,INDIRECT("'"&amp;$B$1&amp;"'!$A:$IZ"),177,FALSE)</f>
        <v/>
      </c>
      <c r="BH21" s="54">
        <f>RANK(BG21,BG$5:BG$22,1)</f>
        <v/>
      </c>
      <c r="BI21" s="53">
        <f>VLOOKUP($A21,INDIRECT("'"&amp;$B$1&amp;"'!$A:$IZ"),79,FALSE)</f>
        <v/>
      </c>
      <c r="BJ21" s="54">
        <f>RANK(BI21,BI$5:BI$22)</f>
        <v/>
      </c>
      <c r="BK21" s="53">
        <f>VLOOKUP($A21,INDIRECT("'"&amp;$B$1&amp;"'!$A:$IZ"),176,FALSE)</f>
        <v/>
      </c>
      <c r="BL21" s="54">
        <f>RANK(BK21,BK$5:BK$22,1)</f>
        <v/>
      </c>
      <c r="BM21" s="53">
        <f>VLOOKUP($A21,INDIRECT("'"&amp;$B$1&amp;"'!$A:$IZ"),11,FALSE)</f>
        <v/>
      </c>
      <c r="BN21" s="54">
        <f>RANK(BM21,BM$5:BM$22)</f>
        <v/>
      </c>
      <c r="BO21" s="53">
        <f>VLOOKUP($A21,INDIRECT("'"&amp;$B$1&amp;"'!$A:$IZ"),222,FALSE)</f>
        <v/>
      </c>
      <c r="BP21" s="54">
        <f>RANK(BO21,BO$5:BO$22)</f>
        <v/>
      </c>
      <c r="BQ21" s="65">
        <f>106-(BF21+BH21+BN21+BP21+BJ21+BL21)</f>
        <v/>
      </c>
      <c r="BR21" s="47">
        <f>RANK(BQ21,BQ$5:BQ$22)</f>
        <v/>
      </c>
      <c r="BS21" s="56" t="n"/>
      <c r="BT21" s="57">
        <f>VLOOKUP($A21,'Ratings Season'!$A:$M,10,FALSE)</f>
        <v/>
      </c>
      <c r="BU21" s="54">
        <f>RANK(BT21,BT$5:BT$22)</f>
        <v/>
      </c>
      <c r="BV21" s="57">
        <f>VLOOKUP($A21,'Ratings Season'!$A:$M,12,FALSE)</f>
        <v/>
      </c>
      <c r="BW21" s="54">
        <f>RANK(BV21,BV$5:BV$22)</f>
        <v/>
      </c>
      <c r="BX21" s="57">
        <f>VLOOKUP($A21,'Ratings Season'!$A:$M,8,FALSE)</f>
        <v/>
      </c>
      <c r="BY21" s="58">
        <f>RANK(BX21,BX$5:BX$22)</f>
        <v/>
      </c>
      <c r="BZ21" s="72" t="n"/>
    </row>
    <row r="22" ht="25" customFormat="1" customHeight="1" s="3" thickBot="1">
      <c r="A22" s="92" t="inlineStr">
        <is>
          <t>Western Bulldogs</t>
        </is>
      </c>
      <c r="B22" s="59">
        <f>VLOOKUP($A22,INDIRECT("'"&amp;$B$1&amp;"'!$A:$IZ"),222,FALSE)</f>
        <v/>
      </c>
      <c r="C22" s="60">
        <f>RANK(B22,B$5:B$22)</f>
        <v/>
      </c>
      <c r="D22" s="61">
        <f>VLOOKUP($A22,INDIRECT("'"&amp;$B$1&amp;"'!$A:$IZ"),218,FALSE)</f>
        <v/>
      </c>
      <c r="E22" s="60">
        <f>RANK(D22,D$5:D$22)</f>
        <v/>
      </c>
      <c r="F22" s="61">
        <f>VLOOKUP($A22,INDIRECT("'"&amp;$B$1&amp;"'!$A:$IZ"),49,FALSE)</f>
        <v/>
      </c>
      <c r="G22" s="60">
        <f>RANK(F22,F$5:F$22)</f>
        <v/>
      </c>
      <c r="H22" s="61">
        <f>VLOOKUP($A22,INDIRECT("'"&amp;$B$1&amp;"'!$A:$IZ"),229,FALSE)</f>
        <v/>
      </c>
      <c r="I22" s="60">
        <f>RANK(H22,H$5:H$22)</f>
        <v/>
      </c>
      <c r="J22" s="49">
        <f>104-(C22+E22+G22+I22)</f>
        <v/>
      </c>
      <c r="K22" s="47">
        <f>RANK(J22,J$5:J$22)</f>
        <v/>
      </c>
      <c r="L22" s="62" t="n"/>
      <c r="M22" s="59">
        <f>VLOOKUP($A22,INDIRECT("'"&amp;$B$1&amp;"'!$A:$IZ"),88,FALSE)</f>
        <v/>
      </c>
      <c r="N22" s="60">
        <f>RANK(M22,M$5:M$22)</f>
        <v/>
      </c>
      <c r="O22" s="59">
        <f>VLOOKUP($A22,INDIRECT("'"&amp;$B$1&amp;"'!$A:$IZ"),84,FALSE)</f>
        <v/>
      </c>
      <c r="P22" s="60">
        <f>RANK(O22,O$5:O$22)</f>
        <v/>
      </c>
      <c r="Q22" s="59">
        <f>VLOOKUP($A22,INDIRECT("'"&amp;$B$1&amp;"'!$A:$IZ"),85,FALSE)</f>
        <v/>
      </c>
      <c r="R22" s="60">
        <f>RANK(Q22,Q$5:Q$22)</f>
        <v/>
      </c>
      <c r="S22" s="61">
        <f>VLOOKUP($A22,INDIRECT("'"&amp;$B$1&amp;"'!$A:$IZ"),29,FALSE)</f>
        <v/>
      </c>
      <c r="T22" s="60">
        <f>RANK(S22,S$5:S$22)</f>
        <v/>
      </c>
      <c r="U22" s="49">
        <f>104-(N22+P22+R22+T22)</f>
        <v/>
      </c>
      <c r="V22" s="47">
        <f>RANK(U22,U$5:U$22)</f>
        <v/>
      </c>
      <c r="W22" s="62" t="n"/>
      <c r="X22" s="59">
        <f>VLOOKUP($A22,INDIRECT("'"&amp;$B$1&amp;"'!$A:$IZ"),65,FALSE)</f>
        <v/>
      </c>
      <c r="Y22" s="60">
        <f>RANK(X22,X$5:X$22)</f>
        <v/>
      </c>
      <c r="Z22" s="59">
        <f>VLOOKUP($A22,INDIRECT("'"&amp;$B$1&amp;"'!$A:$IZ"),64,FALSE)</f>
        <v/>
      </c>
      <c r="AA22" s="60">
        <f>RANK(Z22,Z$5:Z$22)</f>
        <v/>
      </c>
      <c r="AB22" s="59">
        <f>VLOOKUP($A22,INDIRECT("'"&amp;$B$1&amp;"'!$A:$IZ"),63,FALSE)</f>
        <v/>
      </c>
      <c r="AC22" s="60">
        <f>RANK(AB22,AB$5:AB$22)</f>
        <v/>
      </c>
      <c r="AD22" s="59">
        <f>VLOOKUP($A22,INDIRECT("'"&amp;$B$1&amp;"'!$A:$IZ"),71,FALSE)</f>
        <v/>
      </c>
      <c r="AE22" s="60">
        <f>RANK(AD22,AD$5:AD$22)</f>
        <v/>
      </c>
      <c r="AF22" s="66">
        <f>104-(Y22+AA22+AC22+AE22)</f>
        <v/>
      </c>
      <c r="AG22" s="47">
        <f>RANK(AF22,AF$5:AF$22)</f>
        <v/>
      </c>
      <c r="AH22" s="62" t="n"/>
      <c r="AI22" s="59">
        <f>VLOOKUP($A22,INDIRECT("'"&amp;$B$1&amp;"'!$A:$IZ"),183,FALSE)</f>
        <v/>
      </c>
      <c r="AJ22" s="60">
        <f>RANK(AI22,AI$5:AI$22,1)</f>
        <v/>
      </c>
      <c r="AK22" s="59">
        <f>VLOOKUP($A22,INDIRECT("'"&amp;$B$1&amp;"'!$A:$IZ"),181,FALSE)</f>
        <v/>
      </c>
      <c r="AL22" s="60">
        <f>RANK(AK22,AK$5:AK$22,1)</f>
        <v/>
      </c>
      <c r="AM22" s="59">
        <f>VLOOKUP($A22,INDIRECT("'"&amp;$B$1&amp;"'!$A:$IZ"),182,FALSE)</f>
        <v/>
      </c>
      <c r="AN22" s="60">
        <f>RANK(AM22,AM$5:AM$22,1)</f>
        <v/>
      </c>
      <c r="AO22" s="59">
        <f>VLOOKUP($A22,INDIRECT("'"&amp;$B$1&amp;"'!$A:$IZ"),163,FALSE)</f>
        <v/>
      </c>
      <c r="AP22" s="60">
        <f>RANK(AO22,AO$5:AO$22,1)</f>
        <v/>
      </c>
      <c r="AQ22" s="66">
        <f>104-(AJ22+AL22+AN22+AP22)</f>
        <v/>
      </c>
      <c r="AR22" s="47">
        <f>RANK(AQ22,AQ$5:AQ$22)</f>
        <v/>
      </c>
      <c r="AS22" s="62" t="n"/>
      <c r="AT22" s="46">
        <f>VLOOKUP($A22,INDIRECT("'"&amp;$B$1&amp;"'!$A:$IZ"),250,FALSE)</f>
        <v/>
      </c>
      <c r="AU22" s="47">
        <f>RANK(AT22,AT$5:AT$22,0)</f>
        <v/>
      </c>
      <c r="AV22" s="46">
        <f>VLOOKUP($A22,INDIRECT("'"&amp;$B$1&amp;"'!$A:$IZ"),92,FALSE)</f>
        <v/>
      </c>
      <c r="AW22" s="47">
        <f>RANK(AV22,AV$5:AV$22,0)</f>
        <v/>
      </c>
      <c r="AX22" s="46">
        <f>VLOOKUP($A22,INDIRECT("'"&amp;$B$1&amp;"'!$A:$IZ"),93,FALSE)</f>
        <v/>
      </c>
      <c r="AY22" s="47">
        <f>RANK(AX22,AX$5:AX$22,0)</f>
        <v/>
      </c>
      <c r="AZ22" s="46">
        <f>VLOOKUP($A22,INDIRECT("'"&amp;$B$1&amp;"'!$A:$IZ"),108,FALSE)</f>
        <v/>
      </c>
      <c r="BA22" s="47">
        <f>RANK(AZ22,AZ$5:AZ$22,0)</f>
        <v/>
      </c>
      <c r="BB22" s="46">
        <f>104-(AU22+AW22+AY22+BA22)</f>
        <v/>
      </c>
      <c r="BC22" s="47">
        <f>RANK(BB22,BB$5:BB$22)</f>
        <v/>
      </c>
      <c r="BD22" s="62" t="n"/>
      <c r="BE22" s="59">
        <f>VLOOKUP($A22,INDIRECT("'"&amp;$B$1&amp;"'!$A:$IZ"),80,FALSE)</f>
        <v/>
      </c>
      <c r="BF22" s="60">
        <f>RANK(BE22,BE$5:BE$22)</f>
        <v/>
      </c>
      <c r="BG22" s="59">
        <f>VLOOKUP($A22,INDIRECT("'"&amp;$B$1&amp;"'!$A:$IZ"),177,FALSE)</f>
        <v/>
      </c>
      <c r="BH22" s="60">
        <f>RANK(BG22,BG$5:BG$22,1)</f>
        <v/>
      </c>
      <c r="BI22" s="59">
        <f>VLOOKUP($A22,INDIRECT("'"&amp;$B$1&amp;"'!$A:$IZ"),79,FALSE)</f>
        <v/>
      </c>
      <c r="BJ22" s="60">
        <f>RANK(BI22,BI$5:BI$22)</f>
        <v/>
      </c>
      <c r="BK22" s="59">
        <f>VLOOKUP($A22,INDIRECT("'"&amp;$B$1&amp;"'!$A:$IZ"),176,FALSE)</f>
        <v/>
      </c>
      <c r="BL22" s="60">
        <f>RANK(BK22,BK$5:BK$22,1)</f>
        <v/>
      </c>
      <c r="BM22" s="59">
        <f>VLOOKUP($A22,INDIRECT("'"&amp;$B$1&amp;"'!$A:$IZ"),11,FALSE)</f>
        <v/>
      </c>
      <c r="BN22" s="60">
        <f>RANK(BM22,BM$5:BM$22)</f>
        <v/>
      </c>
      <c r="BO22" s="59">
        <f>VLOOKUP($A22,INDIRECT("'"&amp;$B$1&amp;"'!$A:$IZ"),222,FALSE)</f>
        <v/>
      </c>
      <c r="BP22" s="60">
        <f>RANK(BO22,BO$5:BO$22)</f>
        <v/>
      </c>
      <c r="BQ22" s="66">
        <f>106-(BF22+BH22+BN22+BP22+BJ22+BL22)</f>
        <v/>
      </c>
      <c r="BR22" s="47">
        <f>RANK(BQ22,BQ$5:BQ$22)</f>
        <v/>
      </c>
      <c r="BS22" s="62" t="n"/>
      <c r="BT22" s="63">
        <f>VLOOKUP($A22,'Ratings Season'!$A:$M,10,FALSE)</f>
        <v/>
      </c>
      <c r="BU22" s="60">
        <f>RANK(BT22,BT$5:BT$22)</f>
        <v/>
      </c>
      <c r="BV22" s="63">
        <f>VLOOKUP($A22,'Ratings Season'!$A:$M,12,FALSE)</f>
        <v/>
      </c>
      <c r="BW22" s="60">
        <f>RANK(BV22,BV$5:BV$22)</f>
        <v/>
      </c>
      <c r="BX22" s="63">
        <f>VLOOKUP($A22,'Ratings Season'!$A:$M,8,FALSE)</f>
        <v/>
      </c>
      <c r="BY22" s="64">
        <f>RANK(BX22,BX$5:BX$22)</f>
        <v/>
      </c>
      <c r="BZ22" s="72" t="n"/>
    </row>
    <row r="23">
      <c r="BZ23" s="69" t="n"/>
    </row>
    <row r="24">
      <c r="A24" s="69" t="n"/>
      <c r="B24" s="69" t="n"/>
      <c r="C24" s="69" t="n"/>
      <c r="D24" s="69" t="n"/>
      <c r="E24" s="69" t="n"/>
      <c r="F24" s="69" t="n"/>
      <c r="G24" s="69" t="n"/>
      <c r="H24" s="69" t="n"/>
      <c r="I24" s="69" t="n"/>
      <c r="J24" s="69" t="n"/>
      <c r="K24" s="69" t="n"/>
      <c r="L24" s="69" t="n"/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  <c r="Z24" s="69" t="n"/>
      <c r="AA24" s="69" t="n"/>
      <c r="AB24" s="69" t="n"/>
      <c r="AC24" s="69" t="n"/>
      <c r="AD24" s="69" t="n"/>
      <c r="AE24" s="69" t="n"/>
      <c r="AF24" s="69" t="n"/>
      <c r="AG24" s="69" t="n"/>
      <c r="AH24" s="69" t="n"/>
      <c r="AI24" s="69" t="n"/>
      <c r="AJ24" s="69" t="n"/>
      <c r="AK24" s="69" t="n"/>
      <c r="AL24" s="69" t="n"/>
      <c r="AM24" s="69" t="n"/>
      <c r="AN24" s="69" t="n"/>
      <c r="AO24" s="69" t="n"/>
      <c r="AP24" s="69" t="n"/>
      <c r="AQ24" s="69" t="n"/>
      <c r="AR24" s="69" t="n"/>
      <c r="AS24" s="69" t="n"/>
      <c r="AT24" s="69" t="n"/>
      <c r="AU24" s="69" t="n"/>
      <c r="AV24" s="69" t="n"/>
      <c r="AW24" s="69" t="n"/>
      <c r="AX24" s="69" t="n"/>
      <c r="AY24" s="69" t="n"/>
      <c r="AZ24" s="69" t="n"/>
      <c r="BA24" s="69" t="n"/>
      <c r="BB24" s="69" t="n"/>
      <c r="BC24" s="69" t="n"/>
      <c r="BD24" s="69" t="n"/>
      <c r="BE24" s="69" t="n"/>
      <c r="BF24" s="69" t="n"/>
      <c r="BG24" s="69" t="n"/>
      <c r="BH24" s="69" t="n"/>
      <c r="BI24" s="69" t="n"/>
      <c r="BJ24" s="69" t="n"/>
      <c r="BK24" s="69" t="n"/>
      <c r="BL24" s="69" t="n"/>
      <c r="BM24" s="69" t="n"/>
      <c r="BN24" s="69" t="n"/>
      <c r="BO24" s="69" t="n"/>
      <c r="BP24" s="69" t="n"/>
      <c r="BQ24" s="69" t="n"/>
      <c r="BR24" s="69" t="n"/>
      <c r="BS24" s="69" t="n"/>
      <c r="BT24" s="69" t="n"/>
      <c r="BU24" s="69" t="n"/>
      <c r="BV24" s="69" t="n"/>
      <c r="BW24" s="69" t="n"/>
      <c r="BX24" s="69" t="n"/>
      <c r="BY24" s="69" t="n"/>
    </row>
  </sheetData>
  <mergeCells count="8">
    <mergeCell ref="M3:V3"/>
    <mergeCell ref="BE3:BR3"/>
    <mergeCell ref="A3:A4"/>
    <mergeCell ref="AT3:BC3"/>
    <mergeCell ref="X3:AG3"/>
    <mergeCell ref="AI3:AR3"/>
    <mergeCell ref="B3:K3"/>
    <mergeCell ref="BT3:BY3"/>
  </mergeCells>
  <conditionalFormatting sqref="B5:B22">
    <cfRule type="dataBar" priority="122">
      <dataBar>
        <cfvo type="min"/>
        <cfvo type="max"/>
        <color rgb="FF638EC6"/>
      </dataBar>
    </cfRule>
  </conditionalFormatting>
  <conditionalFormatting sqref="D5:D22">
    <cfRule type="dataBar" priority="121">
      <dataBar>
        <cfvo type="min"/>
        <cfvo type="max"/>
        <color rgb="FF638EC6"/>
      </dataBar>
    </cfRule>
  </conditionalFormatting>
  <conditionalFormatting sqref="F5:F22">
    <cfRule type="dataBar" priority="119">
      <dataBar>
        <cfvo type="min"/>
        <cfvo type="max"/>
        <color rgb="FF638EC6"/>
      </dataBar>
    </cfRule>
    <cfRule type="dataBar" priority="120">
      <dataBar>
        <cfvo type="min"/>
        <cfvo type="max"/>
        <color rgb="FF638EC6"/>
      </dataBar>
    </cfRule>
  </conditionalFormatting>
  <conditionalFormatting sqref="H5:H22">
    <cfRule type="dataBar" priority="118">
      <dataBar>
        <cfvo type="min"/>
        <cfvo type="max"/>
        <color rgb="FF638EC6"/>
      </dataBar>
    </cfRule>
  </conditionalFormatting>
  <conditionalFormatting sqref="J5:J22">
    <cfRule type="dataBar" priority="87">
      <dataBar>
        <cfvo type="min"/>
        <cfvo type="max"/>
        <color rgb="FF638EC6"/>
      </dataBar>
    </cfRule>
  </conditionalFormatting>
  <conditionalFormatting sqref="M5:M22">
    <cfRule type="dataBar" priority="117">
      <dataBar>
        <cfvo type="min"/>
        <cfvo type="max"/>
        <color rgb="FF63C384"/>
      </dataBar>
    </cfRule>
    <cfRule type="dataBar" priority="116">
      <dataBar>
        <cfvo type="min"/>
        <cfvo type="max"/>
        <color rgb="FF63C384"/>
      </dataBar>
    </cfRule>
  </conditionalFormatting>
  <conditionalFormatting sqref="O5:O22">
    <cfRule type="dataBar" priority="115">
      <dataBar>
        <cfvo type="min"/>
        <cfvo type="max"/>
        <color rgb="FF63C384"/>
      </dataBar>
    </cfRule>
    <cfRule type="dataBar" priority="114">
      <dataBar>
        <cfvo type="min"/>
        <cfvo type="max"/>
        <color rgb="FF63C384"/>
      </dataBar>
    </cfRule>
  </conditionalFormatting>
  <conditionalFormatting sqref="Q5:Q22">
    <cfRule type="dataBar" priority="113">
      <dataBar>
        <cfvo type="min"/>
        <cfvo type="max"/>
        <color rgb="FF63C384"/>
      </dataBar>
    </cfRule>
    <cfRule type="dataBar" priority="112">
      <dataBar>
        <cfvo type="min"/>
        <cfvo type="max"/>
        <color rgb="FF63C384"/>
      </dataBar>
    </cfRule>
  </conditionalFormatting>
  <conditionalFormatting sqref="S5:S22">
    <cfRule type="dataBar" priority="111">
      <dataBar>
        <cfvo type="min"/>
        <cfvo type="max"/>
        <color rgb="FF63C384"/>
      </dataBar>
    </cfRule>
  </conditionalFormatting>
  <conditionalFormatting sqref="U5:U22">
    <cfRule type="dataBar" priority="86">
      <dataBar>
        <cfvo type="min"/>
        <cfvo type="max"/>
        <color rgb="FF63C384"/>
      </dataBar>
    </cfRule>
  </conditionalFormatting>
  <conditionalFormatting sqref="X5:X22">
    <cfRule type="dataBar" priority="110">
      <dataBar>
        <cfvo type="min"/>
        <cfvo type="max"/>
        <color rgb="FF63C384"/>
      </dataBar>
    </cfRule>
    <cfRule type="dataBar" priority="109">
      <dataBar>
        <cfvo type="min"/>
        <cfvo type="max"/>
        <color rgb="FFFFFF00"/>
      </dataBar>
    </cfRule>
  </conditionalFormatting>
  <conditionalFormatting sqref="Z5:Z22">
    <cfRule type="dataBar" priority="81">
      <dataBar>
        <cfvo type="min"/>
        <cfvo type="max"/>
        <color rgb="FF63C384"/>
      </dataBar>
    </cfRule>
    <cfRule type="dataBar" priority="80">
      <dataBar>
        <cfvo type="min"/>
        <cfvo type="max"/>
        <color rgb="FFFFFF00"/>
      </dataBar>
    </cfRule>
  </conditionalFormatting>
  <conditionalFormatting sqref="AB5:AB22">
    <cfRule type="dataBar" priority="79">
      <dataBar>
        <cfvo type="min"/>
        <cfvo type="max"/>
        <color rgb="FF63C384"/>
      </dataBar>
    </cfRule>
    <cfRule type="dataBar" priority="78">
      <dataBar>
        <cfvo type="min"/>
        <cfvo type="max"/>
        <color rgb="FFFFFF00"/>
      </dataBar>
    </cfRule>
  </conditionalFormatting>
  <conditionalFormatting sqref="AD5:AD22">
    <cfRule type="dataBar" priority="77">
      <dataBar>
        <cfvo type="min"/>
        <cfvo type="max"/>
        <color rgb="FF63C384"/>
      </dataBar>
    </cfRule>
    <cfRule type="dataBar" priority="76">
      <dataBar>
        <cfvo type="min"/>
        <cfvo type="max"/>
        <color rgb="FFFFFF00"/>
      </dataBar>
    </cfRule>
  </conditionalFormatting>
  <conditionalFormatting sqref="AF5:AF22">
    <cfRule type="dataBar" priority="75">
      <dataBar>
        <cfvo type="min"/>
        <cfvo type="max"/>
        <color rgb="FF63C384"/>
      </dataBar>
    </cfRule>
    <cfRule type="dataBar" priority="74">
      <dataBar>
        <cfvo type="min"/>
        <cfvo type="max"/>
        <color rgb="FFFFFF00"/>
      </dataBar>
    </cfRule>
  </conditionalFormatting>
  <conditionalFormatting sqref="AI5:AI22">
    <cfRule type="dataBar" priority="108">
      <dataBar>
        <cfvo type="min"/>
        <cfvo type="max"/>
        <color rgb="FF63C384"/>
      </dataBar>
    </cfRule>
    <cfRule type="dataBar" priority="107">
      <dataBar>
        <cfvo type="min"/>
        <cfvo type="max"/>
        <color rgb="FFFF555A"/>
      </dataBar>
    </cfRule>
  </conditionalFormatting>
  <conditionalFormatting sqref="AK5:AK22">
    <cfRule type="dataBar" priority="105">
      <dataBar>
        <cfvo type="min"/>
        <cfvo type="max"/>
        <color rgb="FFFF555A"/>
      </dataBar>
    </cfRule>
    <cfRule type="dataBar" priority="106">
      <dataBar>
        <cfvo type="min"/>
        <cfvo type="max"/>
        <color rgb="FF63C384"/>
      </dataBar>
    </cfRule>
  </conditionalFormatting>
  <conditionalFormatting sqref="AM5:AM22">
    <cfRule type="dataBar" priority="103">
      <dataBar>
        <cfvo type="min"/>
        <cfvo type="max"/>
        <color rgb="FFFF555A"/>
      </dataBar>
    </cfRule>
    <cfRule type="dataBar" priority="104">
      <dataBar>
        <cfvo type="min"/>
        <cfvo type="max"/>
        <color rgb="FF63C384"/>
      </dataBar>
    </cfRule>
  </conditionalFormatting>
  <conditionalFormatting sqref="AO5:AO22">
    <cfRule type="dataBar" priority="24">
      <dataBar>
        <cfvo type="min"/>
        <cfvo type="max"/>
        <color rgb="FF63C384"/>
      </dataBar>
    </cfRule>
    <cfRule type="dataBar" priority="23">
      <dataBar>
        <cfvo type="min"/>
        <cfvo type="max"/>
        <color rgb="FFFF555A"/>
      </dataBar>
    </cfRule>
  </conditionalFormatting>
  <conditionalFormatting sqref="AQ5:AQ22">
    <cfRule type="dataBar" priority="85">
      <dataBar>
        <cfvo type="min"/>
        <cfvo type="max"/>
        <color rgb="FF63C384"/>
      </dataBar>
    </cfRule>
    <cfRule type="dataBar" priority="84">
      <dataBar>
        <cfvo type="min"/>
        <cfvo type="max"/>
        <color rgb="FFFF555A"/>
      </dataBar>
    </cfRule>
  </conditionalFormatting>
  <conditionalFormatting sqref="AT5:AT22">
    <cfRule type="dataBar" priority="19">
      <dataBar>
        <cfvo type="min"/>
        <cfvo type="max"/>
        <color rgb="FFD883FF"/>
      </dataBar>
    </cfRule>
    <cfRule type="dataBar" priority="20">
      <dataBar>
        <cfvo type="min"/>
        <cfvo type="max"/>
        <color rgb="FF63C384"/>
      </dataBar>
    </cfRule>
  </conditionalFormatting>
  <conditionalFormatting sqref="AV5:AV22">
    <cfRule type="dataBar" priority="18">
      <dataBar>
        <cfvo type="min"/>
        <cfvo type="max"/>
        <color rgb="FF63C384"/>
      </dataBar>
    </cfRule>
    <cfRule type="dataBar" priority="17">
      <dataBar>
        <cfvo type="min"/>
        <cfvo type="max"/>
        <color rgb="FFD883FF"/>
      </dataBar>
    </cfRule>
  </conditionalFormatting>
  <conditionalFormatting sqref="AX5:AX22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rgb="FFD883FF"/>
      </dataBar>
    </cfRule>
  </conditionalFormatting>
  <conditionalFormatting sqref="AZ5:AZ22">
    <cfRule type="dataBar" priority="13">
      <dataBar>
        <cfvo type="min"/>
        <cfvo type="max"/>
        <color rgb="FFD883FF"/>
      </dataBar>
    </cfRule>
    <cfRule type="dataBar" priority="14">
      <dataBar>
        <cfvo type="min"/>
        <cfvo type="max"/>
        <color rgb="FF63C384"/>
      </dataBar>
    </cfRule>
  </conditionalFormatting>
  <conditionalFormatting sqref="BB5:BB22">
    <cfRule type="dataBar" priority="11">
      <dataBar>
        <cfvo type="min"/>
        <cfvo type="max"/>
        <color rgb="FFD883FF"/>
      </dataBar>
    </cfRule>
    <cfRule type="dataBar" priority="12">
      <dataBar>
        <cfvo type="min"/>
        <cfvo type="max"/>
        <color rgb="FF63C384"/>
      </dataBar>
    </cfRule>
  </conditionalFormatting>
  <conditionalFormatting sqref="BE5:BE22">
    <cfRule type="dataBar" priority="102">
      <dataBar>
        <cfvo type="min"/>
        <cfvo type="max"/>
        <color rgb="FF63C384"/>
      </dataBar>
    </cfRule>
    <cfRule type="dataBar" priority="101">
      <dataBar>
        <cfvo type="min"/>
        <cfvo type="max"/>
        <color theme="1" tint="0.499984740745262"/>
      </dataBar>
    </cfRule>
  </conditionalFormatting>
  <conditionalFormatting sqref="BG5:BG22">
    <cfRule type="dataBar" priority="99">
      <dataBar>
        <cfvo type="min"/>
        <cfvo type="max"/>
        <color theme="1" tint="0.499984740745262"/>
      </dataBar>
    </cfRule>
    <cfRule type="dataBar" priority="100">
      <dataBar>
        <cfvo type="min"/>
        <cfvo type="max"/>
        <color rgb="FF63C384"/>
      </dataBar>
    </cfRule>
  </conditionalFormatting>
  <conditionalFormatting sqref="BI5:BI22">
    <cfRule type="dataBar" priority="97">
      <dataBar>
        <cfvo type="min"/>
        <cfvo type="max"/>
        <color theme="1" tint="0.499984740745262"/>
      </dataBar>
    </cfRule>
    <cfRule type="dataBar" priority="98">
      <dataBar>
        <cfvo type="min"/>
        <cfvo type="max"/>
        <color rgb="FF63C384"/>
      </dataBar>
    </cfRule>
  </conditionalFormatting>
  <conditionalFormatting sqref="BK5:BK22">
    <cfRule type="dataBar" priority="95">
      <dataBar>
        <cfvo type="min"/>
        <cfvo type="max"/>
        <color theme="1" tint="0.499984740745262"/>
      </dataBar>
    </cfRule>
    <cfRule type="dataBar" priority="96">
      <dataBar>
        <cfvo type="min"/>
        <cfvo type="max"/>
        <color rgb="FF63C384"/>
      </dataBar>
    </cfRule>
  </conditionalFormatting>
  <conditionalFormatting sqref="BM5:BM22">
    <cfRule type="dataBar" priority="93">
      <dataBar>
        <cfvo type="min"/>
        <cfvo type="max"/>
        <color theme="1" tint="0.499984740745262"/>
      </dataBar>
    </cfRule>
    <cfRule type="dataBar" priority="94">
      <dataBar>
        <cfvo type="min"/>
        <cfvo type="max"/>
        <color rgb="FF63C384"/>
      </dataBar>
    </cfRule>
  </conditionalFormatting>
  <conditionalFormatting sqref="BO5:BO22">
    <cfRule type="dataBar" priority="91">
      <dataBar>
        <cfvo type="min"/>
        <cfvo type="max"/>
        <color theme="1" tint="0.499984740745262"/>
      </dataBar>
    </cfRule>
    <cfRule type="dataBar" priority="92">
      <dataBar>
        <cfvo type="min"/>
        <cfvo type="max"/>
        <color rgb="FF63C384"/>
      </dataBar>
    </cfRule>
  </conditionalFormatting>
  <conditionalFormatting sqref="BQ5:BQ22">
    <cfRule type="dataBar" priority="83">
      <dataBar>
        <cfvo type="min"/>
        <cfvo type="max"/>
        <color rgb="FF63C384"/>
      </dataBar>
    </cfRule>
    <cfRule type="dataBar" priority="82">
      <dataBar>
        <cfvo type="min"/>
        <cfvo type="max"/>
        <color theme="1" tint="0.499984740745262"/>
      </dataBar>
    </cfRule>
  </conditionalFormatting>
  <conditionalFormatting sqref="BT5:BT22">
    <cfRule type="dataBar" priority="90">
      <dataBar>
        <cfvo type="min"/>
        <cfvo type="max"/>
        <color theme="5"/>
      </dataBar>
    </cfRule>
  </conditionalFormatting>
  <conditionalFormatting sqref="BV5:BV22">
    <cfRule type="dataBar" priority="89">
      <dataBar>
        <cfvo type="min"/>
        <cfvo type="max"/>
        <color theme="5"/>
      </dataBar>
    </cfRule>
  </conditionalFormatting>
  <conditionalFormatting sqref="BX5:BX22">
    <cfRule type="dataBar" priority="88">
      <dataBar>
        <cfvo type="min"/>
        <cfvo type="max"/>
        <color theme="5"/>
      </dataBar>
    </cfRule>
  </conditionalFormatting>
  <dataValidations count="2">
    <dataValidation sqref="B1" showDropDown="0" showInputMessage="1" showErrorMessage="1" allowBlank="1" type="list">
      <formula1>"2025, 2024, 2023, 2022, 2021"</formula1>
    </dataValidation>
    <dataValidation sqref="AD1" showDropDown="0" showInputMessage="0" showErrorMessage="1" allowBlank="1" type="list">
      <formula1>"2025, 2024, 2023, 2022, 2021, 2020, 2019, 2018"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A1:BZ24"/>
  <sheetViews>
    <sheetView topLeftCell="A8" zoomScaleNormal="100" workbookViewId="0">
      <pane xSplit="1" topLeftCell="B1" activePane="topRight" state="frozen"/>
      <selection activeCell="A4" sqref="A4"/>
      <selection pane="topRight" activeCell="B1" sqref="B1"/>
    </sheetView>
  </sheetViews>
  <sheetFormatPr baseColWidth="10" defaultRowHeight="16"/>
  <cols>
    <col width="30.33203125" bestFit="1" customWidth="1" min="1" max="1"/>
    <col width="11.1640625" bestFit="1" customWidth="1" min="2" max="2"/>
    <col width="3.6640625" customWidth="1" min="3" max="3"/>
    <col width="3.6640625" customWidth="1" min="5" max="5"/>
    <col width="3.6640625" customWidth="1" min="7" max="7"/>
    <col width="3.6640625" customWidth="1" min="9" max="9"/>
    <col width="11" customWidth="1" min="10" max="10"/>
    <col width="3.6640625" customWidth="1" min="11" max="12"/>
    <col width="3.6640625" customWidth="1" min="14" max="14"/>
    <col width="3.6640625" customWidth="1" min="16" max="16"/>
    <col width="3.6640625" customWidth="1" min="18" max="18"/>
    <col width="3.6640625" customWidth="1" min="20" max="20"/>
    <col width="11" customWidth="1" min="21" max="21"/>
    <col width="3.6640625" customWidth="1" min="22" max="23"/>
    <col width="3.6640625" customWidth="1" min="25" max="25"/>
    <col width="3.6640625" customWidth="1" min="27" max="27"/>
    <col width="3.6640625" customWidth="1" min="29" max="29"/>
    <col width="3.6640625" customWidth="1" min="31" max="31"/>
    <col width="11" customWidth="1" min="32" max="32"/>
    <col width="3.6640625" customWidth="1" min="33" max="34"/>
    <col width="3.6640625" customWidth="1" min="36" max="36"/>
    <col width="3.6640625" customWidth="1" min="38" max="38"/>
    <col width="3.6640625" customWidth="1" min="40" max="40"/>
    <col width="3.6640625" customWidth="1" min="42" max="42"/>
    <col width="11" customWidth="1" min="43" max="43"/>
    <col width="3.6640625" customWidth="1" min="44" max="45"/>
    <col width="3.6640625" customWidth="1" min="47" max="47"/>
    <col width="3.6640625" customWidth="1" min="49" max="49"/>
    <col width="3.6640625" customWidth="1" min="51" max="51"/>
    <col width="3.6640625" customWidth="1" min="53" max="53"/>
    <col width="11" customWidth="1" min="54" max="54"/>
    <col width="3.6640625" customWidth="1" min="55" max="56"/>
    <col width="3.6640625" customWidth="1" min="58" max="58"/>
    <col width="3.6640625" customWidth="1" min="60" max="60"/>
    <col width="3.6640625" customWidth="1" min="62" max="62"/>
    <col width="3.6640625" customWidth="1" min="64" max="64"/>
    <col width="3.6640625" customWidth="1" min="66" max="66"/>
    <col width="3.6640625" customWidth="1" min="68" max="68"/>
    <col width="11" customWidth="1" min="69" max="69"/>
    <col width="3.6640625" customWidth="1" min="70" max="71"/>
    <col width="3.6640625" customWidth="1" min="73" max="73"/>
    <col width="3.6640625" customWidth="1" min="75" max="75"/>
    <col width="3.6640625" customWidth="1" min="77" max="77"/>
  </cols>
  <sheetData>
    <row r="1" ht="35" customHeight="1">
      <c r="A1" s="68" t="inlineStr">
        <is>
          <t>SEASON TOTAL</t>
        </is>
      </c>
      <c r="B1" s="154" t="n">
        <v>2023</v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  <c r="Z1" s="69" t="n"/>
      <c r="AA1" s="69" t="n"/>
      <c r="AB1" s="69" t="n"/>
      <c r="AC1" s="69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  <c r="AQ1" s="69" t="n"/>
      <c r="AR1" s="69" t="n"/>
      <c r="AS1" s="69" t="n"/>
      <c r="AT1" s="69" t="n"/>
      <c r="AU1" s="69" t="n"/>
      <c r="AV1" s="69" t="n"/>
      <c r="AW1" s="69" t="n"/>
      <c r="AX1" s="69" t="n"/>
      <c r="AY1" s="69" t="n"/>
      <c r="AZ1" s="69" t="n"/>
      <c r="BA1" s="69" t="n"/>
      <c r="BB1" s="69" t="n"/>
      <c r="BC1" s="69" t="n"/>
      <c r="BD1" s="69" t="n"/>
      <c r="BE1" s="69" t="n"/>
      <c r="BF1" s="69" t="n"/>
      <c r="BG1" s="69" t="n"/>
      <c r="BH1" s="69" t="n"/>
      <c r="BI1" s="69" t="n"/>
      <c r="BJ1" s="69" t="n"/>
      <c r="BK1" s="69" t="n"/>
      <c r="BL1" s="69" t="n"/>
      <c r="BM1" s="69" t="n"/>
      <c r="BN1" s="69" t="n"/>
      <c r="BO1" s="69" t="n"/>
      <c r="BP1" s="69" t="n"/>
      <c r="BQ1" s="69" t="n"/>
      <c r="BR1" s="69" t="n"/>
      <c r="BS1" s="69" t="n"/>
      <c r="BT1" s="69" t="n"/>
      <c r="BU1" s="69" t="n"/>
      <c r="BV1" s="69" t="n"/>
      <c r="BW1" s="69" t="n"/>
      <c r="BX1" s="69" t="n"/>
      <c r="BY1" s="69" t="n"/>
      <c r="BZ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  <c r="Z2" s="69" t="n"/>
      <c r="AA2" s="69" t="n"/>
      <c r="AB2" s="69" t="n"/>
      <c r="AC2" s="69" t="n"/>
      <c r="AD2" s="6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  <c r="AQ2" s="69" t="n"/>
      <c r="AR2" s="69" t="n"/>
      <c r="AS2" s="69" t="n"/>
      <c r="AT2" s="69" t="n"/>
      <c r="AU2" s="69" t="n"/>
      <c r="AV2" s="69" t="n"/>
      <c r="AW2" s="69" t="n"/>
      <c r="AX2" s="69" t="n"/>
      <c r="AY2" s="69" t="n"/>
      <c r="AZ2" s="69" t="n"/>
      <c r="BA2" s="69" t="n"/>
      <c r="BB2" s="69" t="n"/>
      <c r="BC2" s="69" t="n"/>
      <c r="BD2" s="69" t="n"/>
      <c r="BE2" s="69" t="n"/>
      <c r="BF2" s="69" t="n"/>
      <c r="BG2" s="69" t="n"/>
      <c r="BH2" s="69" t="n"/>
      <c r="BI2" s="69" t="n"/>
      <c r="BJ2" s="69" t="n"/>
      <c r="BK2" s="69" t="n"/>
      <c r="BL2" s="69" t="n"/>
      <c r="BM2" s="69" t="n"/>
      <c r="BN2" s="69" t="n"/>
      <c r="BO2" s="69" t="n"/>
      <c r="BP2" s="69" t="n"/>
      <c r="BQ2" s="69" t="n"/>
      <c r="BR2" s="69" t="n"/>
      <c r="BS2" s="69" t="n"/>
      <c r="BT2" s="69" t="n"/>
      <c r="BU2" s="69" t="n"/>
      <c r="BV2" s="69" t="n"/>
      <c r="BW2" s="69" t="n"/>
      <c r="BX2" s="69" t="n"/>
      <c r="BY2" s="69" t="n"/>
      <c r="BZ2" s="69" t="n"/>
    </row>
    <row r="3" ht="25" customFormat="1" customHeight="1" s="25" thickBot="1">
      <c r="A3" s="240" t="inlineStr">
        <is>
          <t>Team</t>
        </is>
      </c>
      <c r="B3" s="242" t="inlineStr">
        <is>
          <t>Ball Winning</t>
        </is>
      </c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9" t="n"/>
      <c r="M3" s="245" t="inlineStr">
        <is>
          <t>Ball Movement</t>
        </is>
      </c>
      <c r="N3" s="321" t="n"/>
      <c r="O3" s="321" t="n"/>
      <c r="P3" s="321" t="n"/>
      <c r="Q3" s="321" t="n"/>
      <c r="R3" s="321" t="n"/>
      <c r="S3" s="321" t="n"/>
      <c r="T3" s="321" t="n"/>
      <c r="U3" s="321" t="n"/>
      <c r="V3" s="321" t="n"/>
      <c r="W3" s="39" t="n"/>
      <c r="X3" s="248" t="inlineStr">
        <is>
          <t>Scoring</t>
        </is>
      </c>
      <c r="Y3" s="321" t="n"/>
      <c r="Z3" s="321" t="n"/>
      <c r="AA3" s="321" t="n"/>
      <c r="AB3" s="321" t="n"/>
      <c r="AC3" s="321" t="n"/>
      <c r="AD3" s="321" t="n"/>
      <c r="AE3" s="321" t="n"/>
      <c r="AF3" s="321" t="n"/>
      <c r="AG3" s="321" t="n"/>
      <c r="AH3" s="39" t="n"/>
      <c r="AI3" s="251" t="inlineStr">
        <is>
          <t>Defence</t>
        </is>
      </c>
      <c r="AJ3" s="321" t="n"/>
      <c r="AK3" s="321" t="n"/>
      <c r="AL3" s="321" t="n"/>
      <c r="AM3" s="321" t="n"/>
      <c r="AN3" s="321" t="n"/>
      <c r="AO3" s="321" t="n"/>
      <c r="AP3" s="321" t="n"/>
      <c r="AQ3" s="321" t="n"/>
      <c r="AR3" s="321" t="n"/>
      <c r="AS3" s="39" t="n"/>
      <c r="AT3" s="254" t="inlineStr">
        <is>
          <t>Pressure</t>
        </is>
      </c>
      <c r="AU3" s="321" t="n"/>
      <c r="AV3" s="321" t="n"/>
      <c r="AW3" s="321" t="n"/>
      <c r="AX3" s="321" t="n"/>
      <c r="AY3" s="321" t="n"/>
      <c r="AZ3" s="321" t="n"/>
      <c r="BA3" s="321" t="n"/>
      <c r="BB3" s="321" t="n"/>
      <c r="BC3" s="321" t="n"/>
      <c r="BD3" s="39" t="n"/>
      <c r="BE3" s="322" t="inlineStr">
        <is>
          <t>Health Check</t>
        </is>
      </c>
      <c r="BF3" s="321" t="n"/>
      <c r="BG3" s="321" t="n"/>
      <c r="BH3" s="321" t="n"/>
      <c r="BI3" s="321" t="n"/>
      <c r="BJ3" s="321" t="n"/>
      <c r="BK3" s="321" t="n"/>
      <c r="BL3" s="321" t="n"/>
      <c r="BM3" s="321" t="n"/>
      <c r="BN3" s="321" t="n"/>
      <c r="BO3" s="321" t="n"/>
      <c r="BP3" s="321" t="n"/>
      <c r="BQ3" s="321" t="n"/>
      <c r="BR3" s="323" t="n"/>
      <c r="BS3" s="39" t="n"/>
      <c r="BT3" s="237" t="inlineStr">
        <is>
          <t>Wheelo Ratings</t>
        </is>
      </c>
      <c r="BU3" s="321" t="n"/>
      <c r="BV3" s="321" t="n"/>
      <c r="BW3" s="321" t="n"/>
      <c r="BX3" s="321" t="n"/>
      <c r="BY3" s="324" t="n"/>
      <c r="BZ3" s="70" t="n"/>
    </row>
    <row r="4" ht="69" customFormat="1" customHeight="1" s="2" thickBot="1">
      <c r="A4" s="325" t="n"/>
      <c r="B4" s="4" t="inlineStr">
        <is>
          <t>Post Clear CP Diff</t>
        </is>
      </c>
      <c r="C4" s="5" t="inlineStr">
        <is>
          <t>Rank</t>
        </is>
      </c>
      <c r="D4" s="5" t="inlineStr">
        <is>
          <t>Ground Ball Diff</t>
        </is>
      </c>
      <c r="E4" s="5" t="inlineStr">
        <is>
          <t>Rank</t>
        </is>
      </c>
      <c r="F4" s="5" t="inlineStr">
        <is>
          <t>1st Poss to Clear %</t>
        </is>
      </c>
      <c r="G4" s="5" t="inlineStr">
        <is>
          <t>Rank</t>
        </is>
      </c>
      <c r="H4" s="5" t="inlineStr">
        <is>
          <t>Clearance Diff</t>
        </is>
      </c>
      <c r="I4" s="6" t="inlineStr">
        <is>
          <t>Rank</t>
        </is>
      </c>
      <c r="J4" s="27" t="inlineStr">
        <is>
          <t>Ball Winning Ranking</t>
        </is>
      </c>
      <c r="K4" s="38" t="inlineStr">
        <is>
          <t>Rank</t>
        </is>
      </c>
      <c r="L4" s="40" t="n"/>
      <c r="M4" s="7" t="inlineStr">
        <is>
          <t>Def Half to Score %</t>
        </is>
      </c>
      <c r="N4" s="8" t="inlineStr">
        <is>
          <t>Rank</t>
        </is>
      </c>
      <c r="O4" s="8" t="inlineStr">
        <is>
          <t>Chain to Score %</t>
        </is>
      </c>
      <c r="P4" s="8" t="inlineStr">
        <is>
          <t>Rank</t>
        </is>
      </c>
      <c r="Q4" s="8" t="inlineStr">
        <is>
          <t>D50 to F50 %</t>
        </is>
      </c>
      <c r="R4" s="8" t="inlineStr">
        <is>
          <t>Rank</t>
        </is>
      </c>
      <c r="S4" s="8" t="inlineStr">
        <is>
          <t>Kick Rating</t>
        </is>
      </c>
      <c r="T4" s="9" t="inlineStr">
        <is>
          <t>Rank</t>
        </is>
      </c>
      <c r="U4" s="30" t="inlineStr">
        <is>
          <t>Ball Movement Ranking</t>
        </is>
      </c>
      <c r="V4" s="31" t="inlineStr">
        <is>
          <t>Rank</t>
        </is>
      </c>
      <c r="W4" s="40" t="n"/>
      <c r="X4" s="41" t="inlineStr">
        <is>
          <t>Scores per I50 %</t>
        </is>
      </c>
      <c r="Y4" s="23" t="inlineStr">
        <is>
          <t>Rank</t>
        </is>
      </c>
      <c r="Z4" s="23" t="inlineStr">
        <is>
          <t>Goals Per I 50 %</t>
        </is>
      </c>
      <c r="AA4" s="23" t="inlineStr">
        <is>
          <t>Rank</t>
        </is>
      </c>
      <c r="AB4" s="23" t="inlineStr">
        <is>
          <t>Accuracy %</t>
        </is>
      </c>
      <c r="AC4" s="23" t="inlineStr">
        <is>
          <t>Rank</t>
        </is>
      </c>
      <c r="AD4" s="42" t="inlineStr">
        <is>
          <t>+/- Exp Score</t>
        </is>
      </c>
      <c r="AE4" s="43" t="inlineStr">
        <is>
          <t>Rank</t>
        </is>
      </c>
      <c r="AF4" s="44" t="inlineStr">
        <is>
          <t>Scoring Ranking</t>
        </is>
      </c>
      <c r="AG4" s="45" t="inlineStr">
        <is>
          <t>Rank</t>
        </is>
      </c>
      <c r="AH4" s="40" t="n"/>
      <c r="AI4" s="13" t="inlineStr">
        <is>
          <t>Def Half to Score Ag %</t>
        </is>
      </c>
      <c r="AJ4" s="14" t="inlineStr">
        <is>
          <t>Rank</t>
        </is>
      </c>
      <c r="AK4" s="14" t="inlineStr">
        <is>
          <t>Chain to Score Ag %</t>
        </is>
      </c>
      <c r="AL4" s="14" t="inlineStr">
        <is>
          <t>Rank</t>
        </is>
      </c>
      <c r="AM4" s="14" t="inlineStr">
        <is>
          <t>D50 to F50 Ag %</t>
        </is>
      </c>
      <c r="AN4" s="14" t="inlineStr">
        <is>
          <t>Rank</t>
        </is>
      </c>
      <c r="AO4" s="14" t="inlineStr">
        <is>
          <t>Goals per I50 Ag %</t>
        </is>
      </c>
      <c r="AP4" s="15" t="inlineStr">
        <is>
          <t>Rank</t>
        </is>
      </c>
      <c r="AQ4" s="33" t="inlineStr">
        <is>
          <t>Defence Ranking</t>
        </is>
      </c>
      <c r="AR4" s="34" t="inlineStr">
        <is>
          <t>Rank</t>
        </is>
      </c>
      <c r="AS4" s="40" t="n"/>
      <c r="AT4" s="183" t="inlineStr">
        <is>
          <t>Tackle Diff</t>
        </is>
      </c>
      <c r="AU4" s="184" t="inlineStr">
        <is>
          <t>Rank</t>
        </is>
      </c>
      <c r="AV4" s="184" t="inlineStr">
        <is>
          <t>F50 Tackles</t>
        </is>
      </c>
      <c r="AW4" s="184" t="inlineStr">
        <is>
          <t>Rank</t>
        </is>
      </c>
      <c r="AX4" s="184" t="inlineStr">
        <is>
          <t>Pressure Acts</t>
        </is>
      </c>
      <c r="AY4" s="184" t="inlineStr">
        <is>
          <t>Rank</t>
        </is>
      </c>
      <c r="AZ4" s="184" t="inlineStr">
        <is>
          <t>1%'ers</t>
        </is>
      </c>
      <c r="BA4" s="185" t="inlineStr">
        <is>
          <t>Rank</t>
        </is>
      </c>
      <c r="BB4" s="186" t="inlineStr">
        <is>
          <t>Pressure Ranking</t>
        </is>
      </c>
      <c r="BC4" s="187" t="inlineStr">
        <is>
          <t>Rank</t>
        </is>
      </c>
      <c r="BD4" s="40" t="n"/>
      <c r="BE4" s="16" t="inlineStr">
        <is>
          <t>Score from Turnover For</t>
        </is>
      </c>
      <c r="BF4" s="17" t="inlineStr">
        <is>
          <t>Rank</t>
        </is>
      </c>
      <c r="BG4" s="17" t="inlineStr">
        <is>
          <t>Scores from Turnover Ag</t>
        </is>
      </c>
      <c r="BH4" s="17" t="inlineStr">
        <is>
          <t>Rank</t>
        </is>
      </c>
      <c r="BI4" s="17" t="inlineStr">
        <is>
          <t>Scores from Stoppages For</t>
        </is>
      </c>
      <c r="BJ4" s="17" t="inlineStr">
        <is>
          <t>Rank</t>
        </is>
      </c>
      <c r="BK4" s="17" t="inlineStr">
        <is>
          <t>Scores from Stoppage Ag</t>
        </is>
      </c>
      <c r="BL4" s="17" t="inlineStr">
        <is>
          <t>Rank</t>
        </is>
      </c>
      <c r="BM4" s="17" t="inlineStr">
        <is>
          <t>Territory %</t>
        </is>
      </c>
      <c r="BN4" s="17" t="inlineStr">
        <is>
          <t>Rank</t>
        </is>
      </c>
      <c r="BO4" s="17" t="inlineStr">
        <is>
          <t>Post-Clearance CP Diff</t>
        </is>
      </c>
      <c r="BP4" s="35" t="inlineStr">
        <is>
          <t>Rank</t>
        </is>
      </c>
      <c r="BQ4" s="36" t="inlineStr">
        <is>
          <t>Health Check Ranking</t>
        </is>
      </c>
      <c r="BR4" s="37" t="inlineStr">
        <is>
          <t>Rank</t>
        </is>
      </c>
      <c r="BS4" s="40" t="n"/>
      <c r="BT4" s="41" t="inlineStr">
        <is>
          <t>Attack Rating</t>
        </is>
      </c>
      <c r="BU4" s="23" t="inlineStr">
        <is>
          <t>Rank</t>
        </is>
      </c>
      <c r="BV4" s="23" t="inlineStr">
        <is>
          <t>Defence Rating</t>
        </is>
      </c>
      <c r="BW4" s="23" t="inlineStr">
        <is>
          <t>Rank</t>
        </is>
      </c>
      <c r="BX4" s="23" t="inlineStr">
        <is>
          <t>Overall Rating</t>
        </is>
      </c>
      <c r="BY4" s="24" t="inlineStr">
        <is>
          <t>Rank</t>
        </is>
      </c>
      <c r="BZ4" s="71" t="n"/>
    </row>
    <row r="5" ht="25" customFormat="1" customHeight="1" s="3">
      <c r="A5" s="75" t="inlineStr">
        <is>
          <t>Adelaide</t>
        </is>
      </c>
      <c r="B5" s="46">
        <f>VLOOKUP($A5,INDIRECT("'"&amp;$B$1&amp;"'!$A:$IZ"),222,FALSE)</f>
        <v/>
      </c>
      <c r="C5" s="47">
        <f>RANK(B5,B$5:B$22)</f>
        <v/>
      </c>
      <c r="D5" s="48">
        <f>VLOOKUP($A5,INDIRECT("'"&amp;$B$1&amp;"'!$A:$IZ"),218,FALSE)</f>
        <v/>
      </c>
      <c r="E5" s="47">
        <f>RANK(D5,D$5:D$22)</f>
        <v/>
      </c>
      <c r="F5" s="48">
        <f>VLOOKUP($A5,INDIRECT("'"&amp;$B$1&amp;"'!$A:$IZ"),49,FALSE)</f>
        <v/>
      </c>
      <c r="G5" s="47">
        <f>RANK(F5,F$5:F$22)</f>
        <v/>
      </c>
      <c r="H5" s="48">
        <f>VLOOKUP($A5,INDIRECT("'"&amp;$B$1&amp;"'!$A:$IZ"),229,FALSE)</f>
        <v/>
      </c>
      <c r="I5" s="47">
        <f>RANK(H5,H$5:H$22)</f>
        <v/>
      </c>
      <c r="J5" s="49">
        <f>104-(C5+E5+G5+I5)</f>
        <v/>
      </c>
      <c r="K5" s="47">
        <f>RANK(J5,J$5:J$22)</f>
        <v/>
      </c>
      <c r="L5" s="50" t="n"/>
      <c r="M5" s="46">
        <f>VLOOKUP($A5,INDIRECT("'"&amp;$B$1&amp;"'!$A:$IZ"),88,FALSE)</f>
        <v/>
      </c>
      <c r="N5" s="47">
        <f>RANK(M5,M$5:M$22)</f>
        <v/>
      </c>
      <c r="O5" s="46">
        <f>VLOOKUP($A5,INDIRECT("'"&amp;$B$1&amp;"'!$A:$IZ"),84,FALSE)</f>
        <v/>
      </c>
      <c r="P5" s="47">
        <f>RANK(O5,O$5:O$22)</f>
        <v/>
      </c>
      <c r="Q5" s="46">
        <f>VLOOKUP($A5,INDIRECT("'"&amp;$B$1&amp;"'!$A:$IZ"),85,FALSE)</f>
        <v/>
      </c>
      <c r="R5" s="47">
        <f>RANK(Q5,Q$5:Q$22)</f>
        <v/>
      </c>
      <c r="S5" s="48">
        <f>VLOOKUP($A5,INDIRECT("'"&amp;$B$1&amp;"'!$A:$IZ"),29,FALSE)</f>
        <v/>
      </c>
      <c r="T5" s="47">
        <f>RANK(S5,S$5:S$22)</f>
        <v/>
      </c>
      <c r="U5" s="49">
        <f>104-(N5+P5+R5+T5)</f>
        <v/>
      </c>
      <c r="V5" s="47">
        <f>RANK(U5,U$5:U$22)</f>
        <v/>
      </c>
      <c r="W5" s="50" t="n"/>
      <c r="X5" s="46">
        <f>VLOOKUP($A5,INDIRECT("'"&amp;$B$1&amp;"'!$A:$IZ"),65,FALSE)</f>
        <v/>
      </c>
      <c r="Y5" s="47">
        <f>RANK(X5,X$5:X$22)</f>
        <v/>
      </c>
      <c r="Z5" s="46">
        <f>VLOOKUP($A5,INDIRECT("'"&amp;$B$1&amp;"'!$A:$IZ"),64,FALSE)</f>
        <v/>
      </c>
      <c r="AA5" s="47">
        <f>RANK(Z5,Z$5:Z$22)</f>
        <v/>
      </c>
      <c r="AB5" s="46">
        <f>VLOOKUP($A5,INDIRECT("'"&amp;$B$1&amp;"'!$A:$IZ"),63,FALSE)</f>
        <v/>
      </c>
      <c r="AC5" s="47">
        <f>RANK(AB5,AB$5:AB$22)</f>
        <v/>
      </c>
      <c r="AD5" s="46">
        <f>VLOOKUP($A5,INDIRECT("'"&amp;$B$1&amp;"'!$A:$IZ"),71,FALSE)</f>
        <v/>
      </c>
      <c r="AE5" s="47">
        <f>RANK(AD5,AD$5:AD$22)</f>
        <v/>
      </c>
      <c r="AF5" s="49">
        <f>104-(Y5+AA5+AC5+AE5)</f>
        <v/>
      </c>
      <c r="AG5" s="47">
        <f>RANK(AF5,AF$5:AF$22)</f>
        <v/>
      </c>
      <c r="AH5" s="50" t="n"/>
      <c r="AI5" s="46">
        <f>VLOOKUP($A5,INDIRECT("'"&amp;$B$1&amp;"'!$A:$IZ"),183,FALSE)</f>
        <v/>
      </c>
      <c r="AJ5" s="47">
        <f>RANK(AI5,AI$5:AI$22,1)</f>
        <v/>
      </c>
      <c r="AK5" s="46">
        <f>VLOOKUP($A5,INDIRECT("'"&amp;$B$1&amp;"'!$A:$IZ"),181,FALSE)</f>
        <v/>
      </c>
      <c r="AL5" s="47">
        <f>RANK(AK5,AK$5:AK$22,1)</f>
        <v/>
      </c>
      <c r="AM5" s="46">
        <f>VLOOKUP($A5,INDIRECT("'"&amp;$B$1&amp;"'!$A:$IZ"),182,FALSE)</f>
        <v/>
      </c>
      <c r="AN5" s="47">
        <f>RANK(AM5,AM$5:AM$22,1)</f>
        <v/>
      </c>
      <c r="AO5" s="46">
        <f>VLOOKUP($A5,INDIRECT("'"&amp;$B$1&amp;"'!$A:$IZ"),163,FALSE)</f>
        <v/>
      </c>
      <c r="AP5" s="47">
        <f>RANK(AO5,AO$5:AO$22,1)</f>
        <v/>
      </c>
      <c r="AQ5" s="49">
        <f>104-(AJ5+AL5+AN5+AP5)</f>
        <v/>
      </c>
      <c r="AR5" s="47">
        <f>RANK(AQ5,AQ$5:AQ$22)</f>
        <v/>
      </c>
      <c r="AS5" s="50" t="n"/>
      <c r="AT5" s="46">
        <f>VLOOKUP($A5,INDIRECT("'"&amp;$B$1&amp;"'!$A:$IZ"),250,FALSE)</f>
        <v/>
      </c>
      <c r="AU5" s="47">
        <f>RANK(AT5,AT$5:AT$22,0)</f>
        <v/>
      </c>
      <c r="AV5" s="46">
        <f>VLOOKUP($A5,INDIRECT("'"&amp;$B$1&amp;"'!$A:$IZ"),92,FALSE)</f>
        <v/>
      </c>
      <c r="AW5" s="47">
        <f>RANK(AV5,AV$5:AV$22,0)</f>
        <v/>
      </c>
      <c r="AX5" s="46">
        <f>VLOOKUP($A5,INDIRECT("'"&amp;$B$1&amp;"'!$A:$IZ"),93,FALSE)</f>
        <v/>
      </c>
      <c r="AY5" s="47">
        <f>RANK(AX5,AX$5:AX$22,0)</f>
        <v/>
      </c>
      <c r="AZ5" s="46">
        <f>VLOOKUP($A5,INDIRECT("'"&amp;$B$1&amp;"'!$A:$IZ"),108,FALSE)</f>
        <v/>
      </c>
      <c r="BA5" s="47">
        <f>RANK(AZ5,AZ$5:AZ$22,0)</f>
        <v/>
      </c>
      <c r="BB5" s="46">
        <f>104-(AU5+AW5+AY5+BA5)</f>
        <v/>
      </c>
      <c r="BC5" s="47">
        <f>RANK(BB5,BB$5:BB$22)</f>
        <v/>
      </c>
      <c r="BD5" s="50" t="n"/>
      <c r="BE5" s="46">
        <f>VLOOKUP($A5,INDIRECT("'"&amp;$B$1&amp;"'!$A:$IZ"),80,FALSE)</f>
        <v/>
      </c>
      <c r="BF5" s="47">
        <f>RANK(BE5,BE$5:BE$22)</f>
        <v/>
      </c>
      <c r="BG5" s="46">
        <f>VLOOKUP($A5,INDIRECT("'"&amp;$B$1&amp;"'!$A:$IZ"),177,FALSE)</f>
        <v/>
      </c>
      <c r="BH5" s="47">
        <f>RANK(BG5,BG$5:BG$22,1)</f>
        <v/>
      </c>
      <c r="BI5" s="46">
        <f>VLOOKUP($A5,INDIRECT("'"&amp;$B$1&amp;"'!$A:$IZ"),79,FALSE)</f>
        <v/>
      </c>
      <c r="BJ5" s="47">
        <f>RANK(BI5,BI$5:BI$22)</f>
        <v/>
      </c>
      <c r="BK5" s="46">
        <f>VLOOKUP($A5,INDIRECT("'"&amp;$B$1&amp;"'!$A:$IZ"),176,FALSE)</f>
        <v/>
      </c>
      <c r="BL5" s="47">
        <f>RANK(BK5,BK$5:BK$22,1)</f>
        <v/>
      </c>
      <c r="BM5" s="46">
        <f>VLOOKUP($A5,INDIRECT("'"&amp;$B$1&amp;"'!$A:$IZ"),11,FALSE)</f>
        <v/>
      </c>
      <c r="BN5" s="47">
        <f>RANK(BM5,BM$5:BM$22)</f>
        <v/>
      </c>
      <c r="BO5" s="46">
        <f>VLOOKUP($A5,INDIRECT("'"&amp;$B$1&amp;"'!$A:$IZ"),222,FALSE)</f>
        <v/>
      </c>
      <c r="BP5" s="47">
        <f>RANK(BO5,BO$5:BO$22)</f>
        <v/>
      </c>
      <c r="BQ5" s="49">
        <f>106-(BF5+BH5+BN5+BP5+BJ5+BL5)</f>
        <v/>
      </c>
      <c r="BR5" s="47">
        <f>RANK(BQ5,BQ$5:BQ$22)</f>
        <v/>
      </c>
      <c r="BS5" s="50" t="n"/>
      <c r="BT5" s="51">
        <f>VLOOKUP($A5,'Ratings Season'!$A:$M,10,FALSE)</f>
        <v/>
      </c>
      <c r="BU5" s="47">
        <f>RANK(BT5,BT$5:BT$22)</f>
        <v/>
      </c>
      <c r="BV5" s="51">
        <f>VLOOKUP($A5,'Ratings Season'!$A:$M,12,FALSE)</f>
        <v/>
      </c>
      <c r="BW5" s="47">
        <f>RANK(BV5,BV$5:BV$22)</f>
        <v/>
      </c>
      <c r="BX5" s="51">
        <f>VLOOKUP($A5,'Ratings Season'!$A:$M,8,FALSE)</f>
        <v/>
      </c>
      <c r="BY5" s="52">
        <f>RANK(BX5,BX$5:BX$22)</f>
        <v/>
      </c>
      <c r="BZ5" s="72" t="n"/>
    </row>
    <row r="6" ht="25" customFormat="1" customHeight="1" s="3">
      <c r="A6" s="76" t="inlineStr">
        <is>
          <t>Brisbane</t>
        </is>
      </c>
      <c r="B6" s="53">
        <f>VLOOKUP($A6,INDIRECT("'"&amp;$B$1&amp;"'!$A:$IZ"),222,FALSE)</f>
        <v/>
      </c>
      <c r="C6" s="54">
        <f>RANK(B6,B$5:B$22)</f>
        <v/>
      </c>
      <c r="D6" s="55">
        <f>VLOOKUP($A6,INDIRECT("'"&amp;$B$1&amp;"'!$A:$IZ"),218,FALSE)</f>
        <v/>
      </c>
      <c r="E6" s="54">
        <f>RANK(D6,D$5:D$22)</f>
        <v/>
      </c>
      <c r="F6" s="55">
        <f>VLOOKUP($A6,INDIRECT("'"&amp;$B$1&amp;"'!$A:$IZ"),49,FALSE)</f>
        <v/>
      </c>
      <c r="G6" s="54">
        <f>RANK(F6,F$5:F$22)</f>
        <v/>
      </c>
      <c r="H6" s="55">
        <f>VLOOKUP($A6,INDIRECT("'"&amp;$B$1&amp;"'!$A:$IZ"),229,FALSE)</f>
        <v/>
      </c>
      <c r="I6" s="54">
        <f>RANK(H6,H$5:H$22)</f>
        <v/>
      </c>
      <c r="J6" s="49">
        <f>104-(C6+E6+G6+I6)</f>
        <v/>
      </c>
      <c r="K6" s="47">
        <f>RANK(J6,J$5:J$22)</f>
        <v/>
      </c>
      <c r="L6" s="56" t="n"/>
      <c r="M6" s="53">
        <f>VLOOKUP($A6,INDIRECT("'"&amp;$B$1&amp;"'!$A:$IZ"),88,FALSE)</f>
        <v/>
      </c>
      <c r="N6" s="54">
        <f>RANK(M6,M$5:M$22)</f>
        <v/>
      </c>
      <c r="O6" s="53">
        <f>VLOOKUP($A6,INDIRECT("'"&amp;$B$1&amp;"'!$A:$IZ"),84,FALSE)</f>
        <v/>
      </c>
      <c r="P6" s="54">
        <f>RANK(O6,O$5:O$22)</f>
        <v/>
      </c>
      <c r="Q6" s="53">
        <f>VLOOKUP($A6,INDIRECT("'"&amp;$B$1&amp;"'!$A:$IZ"),85,FALSE)</f>
        <v/>
      </c>
      <c r="R6" s="54">
        <f>RANK(Q6,Q$5:Q$22)</f>
        <v/>
      </c>
      <c r="S6" s="55">
        <f>VLOOKUP($A6,INDIRECT("'"&amp;$B$1&amp;"'!$A:$IZ"),29,FALSE)</f>
        <v/>
      </c>
      <c r="T6" s="54">
        <f>RANK(S6,S$5:S$22)</f>
        <v/>
      </c>
      <c r="U6" s="49">
        <f>104-(N6+P6+R6+T6)</f>
        <v/>
      </c>
      <c r="V6" s="47">
        <f>RANK(U6,U$5:U$22)</f>
        <v/>
      </c>
      <c r="W6" s="56" t="n"/>
      <c r="X6" s="53">
        <f>VLOOKUP($A6,INDIRECT("'"&amp;$B$1&amp;"'!$A:$IZ"),65,FALSE)</f>
        <v/>
      </c>
      <c r="Y6" s="54">
        <f>RANK(X6,X$5:X$22)</f>
        <v/>
      </c>
      <c r="Z6" s="53">
        <f>VLOOKUP($A6,INDIRECT("'"&amp;$B$1&amp;"'!$A:$IZ"),64,FALSE)</f>
        <v/>
      </c>
      <c r="AA6" s="54">
        <f>RANK(Z6,Z$5:Z$22)</f>
        <v/>
      </c>
      <c r="AB6" s="53">
        <f>VLOOKUP($A6,INDIRECT("'"&amp;$B$1&amp;"'!$A:$IZ"),63,FALSE)</f>
        <v/>
      </c>
      <c r="AC6" s="54">
        <f>RANK(AB6,AB$5:AB$22)</f>
        <v/>
      </c>
      <c r="AD6" s="53">
        <f>VLOOKUP($A6,INDIRECT("'"&amp;$B$1&amp;"'!$A:$IZ"),71,FALSE)</f>
        <v/>
      </c>
      <c r="AE6" s="54">
        <f>RANK(AD6,AD$5:AD$22)</f>
        <v/>
      </c>
      <c r="AF6" s="65">
        <f>104-(Y6+AA6+AC6+AE6)</f>
        <v/>
      </c>
      <c r="AG6" s="47">
        <f>RANK(AF6,AF$5:AF$22)</f>
        <v/>
      </c>
      <c r="AH6" s="56" t="n"/>
      <c r="AI6" s="53">
        <f>VLOOKUP($A6,INDIRECT("'"&amp;$B$1&amp;"'!$A:$IZ"),183,FALSE)</f>
        <v/>
      </c>
      <c r="AJ6" s="54">
        <f>RANK(AI6,AI$5:AI$22,1)</f>
        <v/>
      </c>
      <c r="AK6" s="53">
        <f>VLOOKUP($A6,INDIRECT("'"&amp;$B$1&amp;"'!$A:$IZ"),181,FALSE)</f>
        <v/>
      </c>
      <c r="AL6" s="54">
        <f>RANK(AK6,AK$5:AK$22,1)</f>
        <v/>
      </c>
      <c r="AM6" s="53">
        <f>VLOOKUP($A6,INDIRECT("'"&amp;$B$1&amp;"'!$A:$IZ"),182,FALSE)</f>
        <v/>
      </c>
      <c r="AN6" s="54">
        <f>RANK(AM6,AM$5:AM$22,1)</f>
        <v/>
      </c>
      <c r="AO6" s="53">
        <f>VLOOKUP($A6,INDIRECT("'"&amp;$B$1&amp;"'!$A:$IZ"),163,FALSE)</f>
        <v/>
      </c>
      <c r="AP6" s="54">
        <f>RANK(AO6,AO$5:AO$22,1)</f>
        <v/>
      </c>
      <c r="AQ6" s="65">
        <f>104-(AJ6+AL6+AN6+AP6)</f>
        <v/>
      </c>
      <c r="AR6" s="47">
        <f>RANK(AQ6,AQ$5:AQ$22)</f>
        <v/>
      </c>
      <c r="AS6" s="56" t="n"/>
      <c r="AT6" s="46">
        <f>VLOOKUP($A6,INDIRECT("'"&amp;$B$1&amp;"'!$A:$IZ"),250,FALSE)</f>
        <v/>
      </c>
      <c r="AU6" s="47">
        <f>RANK(AT6,AT$5:AT$22,0)</f>
        <v/>
      </c>
      <c r="AV6" s="46">
        <f>VLOOKUP($A6,INDIRECT("'"&amp;$B$1&amp;"'!$A:$IZ"),92,FALSE)</f>
        <v/>
      </c>
      <c r="AW6" s="47">
        <f>RANK(AV6,AV$5:AV$22,0)</f>
        <v/>
      </c>
      <c r="AX6" s="46">
        <f>VLOOKUP($A6,INDIRECT("'"&amp;$B$1&amp;"'!$A:$IZ"),93,FALSE)</f>
        <v/>
      </c>
      <c r="AY6" s="47">
        <f>RANK(AX6,AX$5:AX$22,0)</f>
        <v/>
      </c>
      <c r="AZ6" s="46">
        <f>VLOOKUP($A6,INDIRECT("'"&amp;$B$1&amp;"'!$A:$IZ"),108,FALSE)</f>
        <v/>
      </c>
      <c r="BA6" s="47">
        <f>RANK(AZ6,AZ$5:AZ$22,0)</f>
        <v/>
      </c>
      <c r="BB6" s="46">
        <f>104-(AU6+AW6+AY6+BA6)</f>
        <v/>
      </c>
      <c r="BC6" s="47">
        <f>RANK(BB6,BB$5:BB$22)</f>
        <v/>
      </c>
      <c r="BD6" s="56" t="n"/>
      <c r="BE6" s="53">
        <f>VLOOKUP($A6,INDIRECT("'"&amp;$B$1&amp;"'!$A:$IZ"),80,FALSE)</f>
        <v/>
      </c>
      <c r="BF6" s="54">
        <f>RANK(BE6,BE$5:BE$22)</f>
        <v/>
      </c>
      <c r="BG6" s="53">
        <f>VLOOKUP($A6,INDIRECT("'"&amp;$B$1&amp;"'!$A:$IZ"),177,FALSE)</f>
        <v/>
      </c>
      <c r="BH6" s="54">
        <f>RANK(BG6,BG$5:BG$22,1)</f>
        <v/>
      </c>
      <c r="BI6" s="53">
        <f>VLOOKUP($A6,INDIRECT("'"&amp;$B$1&amp;"'!$A:$IZ"),79,FALSE)</f>
        <v/>
      </c>
      <c r="BJ6" s="54">
        <f>RANK(BI6,BI$5:BI$22)</f>
        <v/>
      </c>
      <c r="BK6" s="53">
        <f>VLOOKUP($A6,INDIRECT("'"&amp;$B$1&amp;"'!$A:$IZ"),176,FALSE)</f>
        <v/>
      </c>
      <c r="BL6" s="54">
        <f>RANK(BK6,BK$5:BK$22,1)</f>
        <v/>
      </c>
      <c r="BM6" s="53">
        <f>VLOOKUP($A6,INDIRECT("'"&amp;$B$1&amp;"'!$A:$IZ"),11,FALSE)</f>
        <v/>
      </c>
      <c r="BN6" s="54">
        <f>RANK(BM6,BM$5:BM$22)</f>
        <v/>
      </c>
      <c r="BO6" s="53">
        <f>VLOOKUP($A6,INDIRECT("'"&amp;$B$1&amp;"'!$A:$IZ"),222,FALSE)</f>
        <v/>
      </c>
      <c r="BP6" s="54">
        <f>RANK(BO6,BO$5:BO$22)</f>
        <v/>
      </c>
      <c r="BQ6" s="65">
        <f>106-(BF6+BH6+BN6+BP6+BJ6+BL6)</f>
        <v/>
      </c>
      <c r="BR6" s="47">
        <f>RANK(BQ6,BQ$5:BQ$22)</f>
        <v/>
      </c>
      <c r="BS6" s="56" t="n"/>
      <c r="BT6" s="57">
        <f>VLOOKUP($A6,'Ratings Season'!$A:$M,10,FALSE)</f>
        <v/>
      </c>
      <c r="BU6" s="54">
        <f>RANK(BT6,BT$5:BT$22)</f>
        <v/>
      </c>
      <c r="BV6" s="57">
        <f>VLOOKUP($A6,'Ratings Season'!$A:$M,12,FALSE)</f>
        <v/>
      </c>
      <c r="BW6" s="54">
        <f>RANK(BV6,BV$5:BV$22)</f>
        <v/>
      </c>
      <c r="BX6" s="57">
        <f>VLOOKUP($A6,'Ratings Season'!$A:$M,8,FALSE)</f>
        <v/>
      </c>
      <c r="BY6" s="58">
        <f>RANK(BX6,BX$5:BX$22)</f>
        <v/>
      </c>
      <c r="BZ6" s="72" t="n"/>
    </row>
    <row r="7" ht="25" customFormat="1" customHeight="1" s="3">
      <c r="A7" s="77" t="inlineStr">
        <is>
          <t>Carlton</t>
        </is>
      </c>
      <c r="B7" s="53">
        <f>VLOOKUP($A7,INDIRECT("'"&amp;$B$1&amp;"'!$A:$IZ"),222,FALSE)</f>
        <v/>
      </c>
      <c r="C7" s="54">
        <f>RANK(B7,B$5:B$22)</f>
        <v/>
      </c>
      <c r="D7" s="55">
        <f>VLOOKUP($A7,INDIRECT("'"&amp;$B$1&amp;"'!$A:$IZ"),218,FALSE)</f>
        <v/>
      </c>
      <c r="E7" s="54">
        <f>RANK(D7,D$5:D$22)</f>
        <v/>
      </c>
      <c r="F7" s="55">
        <f>VLOOKUP($A7,INDIRECT("'"&amp;$B$1&amp;"'!$A:$IZ"),49,FALSE)</f>
        <v/>
      </c>
      <c r="G7" s="54">
        <f>RANK(F7,F$5:F$22)</f>
        <v/>
      </c>
      <c r="H7" s="55">
        <f>VLOOKUP($A7,INDIRECT("'"&amp;$B$1&amp;"'!$A:$IZ"),229,FALSE)</f>
        <v/>
      </c>
      <c r="I7" s="54">
        <f>RANK(H7,H$5:H$22)</f>
        <v/>
      </c>
      <c r="J7" s="49">
        <f>104-(C7+E7+G7+I7)</f>
        <v/>
      </c>
      <c r="K7" s="47">
        <f>RANK(J7,J$5:J$22)</f>
        <v/>
      </c>
      <c r="L7" s="56" t="n"/>
      <c r="M7" s="53">
        <f>VLOOKUP($A7,INDIRECT("'"&amp;$B$1&amp;"'!$A:$IZ"),88,FALSE)</f>
        <v/>
      </c>
      <c r="N7" s="54">
        <f>RANK(M7,M$5:M$22)</f>
        <v/>
      </c>
      <c r="O7" s="53">
        <f>VLOOKUP($A7,INDIRECT("'"&amp;$B$1&amp;"'!$A:$IZ"),84,FALSE)</f>
        <v/>
      </c>
      <c r="P7" s="54">
        <f>RANK(O7,O$5:O$22)</f>
        <v/>
      </c>
      <c r="Q7" s="53">
        <f>VLOOKUP($A7,INDIRECT("'"&amp;$B$1&amp;"'!$A:$IZ"),85,FALSE)</f>
        <v/>
      </c>
      <c r="R7" s="54">
        <f>RANK(Q7,Q$5:Q$22)</f>
        <v/>
      </c>
      <c r="S7" s="55">
        <f>VLOOKUP($A7,INDIRECT("'"&amp;$B$1&amp;"'!$A:$IZ"),29,FALSE)</f>
        <v/>
      </c>
      <c r="T7" s="54">
        <f>RANK(S7,S$5:S$22)</f>
        <v/>
      </c>
      <c r="U7" s="49">
        <f>104-(N7+P7+R7+T7)</f>
        <v/>
      </c>
      <c r="V7" s="47">
        <f>RANK(U7,U$5:U$22)</f>
        <v/>
      </c>
      <c r="W7" s="56" t="n"/>
      <c r="X7" s="53">
        <f>VLOOKUP($A7,INDIRECT("'"&amp;$B$1&amp;"'!$A:$IZ"),65,FALSE)</f>
        <v/>
      </c>
      <c r="Y7" s="54">
        <f>RANK(X7,X$5:X$22)</f>
        <v/>
      </c>
      <c r="Z7" s="53">
        <f>VLOOKUP($A7,INDIRECT("'"&amp;$B$1&amp;"'!$A:$IZ"),64,FALSE)</f>
        <v/>
      </c>
      <c r="AA7" s="54">
        <f>RANK(Z7,Z$5:Z$22)</f>
        <v/>
      </c>
      <c r="AB7" s="53">
        <f>VLOOKUP($A7,INDIRECT("'"&amp;$B$1&amp;"'!$A:$IZ"),63,FALSE)</f>
        <v/>
      </c>
      <c r="AC7" s="54">
        <f>RANK(AB7,AB$5:AB$22)</f>
        <v/>
      </c>
      <c r="AD7" s="53">
        <f>VLOOKUP($A7,INDIRECT("'"&amp;$B$1&amp;"'!$A:$IZ"),71,FALSE)</f>
        <v/>
      </c>
      <c r="AE7" s="54">
        <f>RANK(AD7,AD$5:AD$22)</f>
        <v/>
      </c>
      <c r="AF7" s="65">
        <f>104-(Y7+AA7+AC7+AE7)</f>
        <v/>
      </c>
      <c r="AG7" s="47">
        <f>RANK(AF7,AF$5:AF$22)</f>
        <v/>
      </c>
      <c r="AH7" s="56" t="n"/>
      <c r="AI7" s="53">
        <f>VLOOKUP($A7,INDIRECT("'"&amp;$B$1&amp;"'!$A:$IZ"),183,FALSE)</f>
        <v/>
      </c>
      <c r="AJ7" s="54">
        <f>RANK(AI7,AI$5:AI$22,1)</f>
        <v/>
      </c>
      <c r="AK7" s="53">
        <f>VLOOKUP($A7,INDIRECT("'"&amp;$B$1&amp;"'!$A:$IZ"),181,FALSE)</f>
        <v/>
      </c>
      <c r="AL7" s="54">
        <f>RANK(AK7,AK$5:AK$22,1)</f>
        <v/>
      </c>
      <c r="AM7" s="53">
        <f>VLOOKUP($A7,INDIRECT("'"&amp;$B$1&amp;"'!$A:$IZ"),182,FALSE)</f>
        <v/>
      </c>
      <c r="AN7" s="54">
        <f>RANK(AM7,AM$5:AM$22,1)</f>
        <v/>
      </c>
      <c r="AO7" s="53">
        <f>VLOOKUP($A7,INDIRECT("'"&amp;$B$1&amp;"'!$A:$IZ"),163,FALSE)</f>
        <v/>
      </c>
      <c r="AP7" s="54">
        <f>RANK(AO7,AO$5:AO$22,1)</f>
        <v/>
      </c>
      <c r="AQ7" s="65">
        <f>104-(AJ7+AL7+AN7+AP7)</f>
        <v/>
      </c>
      <c r="AR7" s="47">
        <f>RANK(AQ7,AQ$5:AQ$22)</f>
        <v/>
      </c>
      <c r="AS7" s="56" t="n"/>
      <c r="AT7" s="46">
        <f>VLOOKUP($A7,INDIRECT("'"&amp;$B$1&amp;"'!$A:$IZ"),250,FALSE)</f>
        <v/>
      </c>
      <c r="AU7" s="47">
        <f>RANK(AT7,AT$5:AT$22,0)</f>
        <v/>
      </c>
      <c r="AV7" s="46">
        <f>VLOOKUP($A7,INDIRECT("'"&amp;$B$1&amp;"'!$A:$IZ"),92,FALSE)</f>
        <v/>
      </c>
      <c r="AW7" s="47">
        <f>RANK(AV7,AV$5:AV$22,0)</f>
        <v/>
      </c>
      <c r="AX7" s="46">
        <f>VLOOKUP($A7,INDIRECT("'"&amp;$B$1&amp;"'!$A:$IZ"),93,FALSE)</f>
        <v/>
      </c>
      <c r="AY7" s="47">
        <f>RANK(AX7,AX$5:AX$22,0)</f>
        <v/>
      </c>
      <c r="AZ7" s="46">
        <f>VLOOKUP($A7,INDIRECT("'"&amp;$B$1&amp;"'!$A:$IZ"),108,FALSE)</f>
        <v/>
      </c>
      <c r="BA7" s="47">
        <f>RANK(AZ7,AZ$5:AZ$22,0)</f>
        <v/>
      </c>
      <c r="BB7" s="46">
        <f>104-(AU7+AW7+AY7+BA7)</f>
        <v/>
      </c>
      <c r="BC7" s="47">
        <f>RANK(BB7,BB$5:BB$22)</f>
        <v/>
      </c>
      <c r="BD7" s="56" t="n"/>
      <c r="BE7" s="53">
        <f>VLOOKUP($A7,INDIRECT("'"&amp;$B$1&amp;"'!$A:$IZ"),80,FALSE)</f>
        <v/>
      </c>
      <c r="BF7" s="54">
        <f>RANK(BE7,BE$5:BE$22)</f>
        <v/>
      </c>
      <c r="BG7" s="53">
        <f>VLOOKUP($A7,INDIRECT("'"&amp;$B$1&amp;"'!$A:$IZ"),177,FALSE)</f>
        <v/>
      </c>
      <c r="BH7" s="54">
        <f>RANK(BG7,BG$5:BG$22,1)</f>
        <v/>
      </c>
      <c r="BI7" s="53">
        <f>VLOOKUP($A7,INDIRECT("'"&amp;$B$1&amp;"'!$A:$IZ"),79,FALSE)</f>
        <v/>
      </c>
      <c r="BJ7" s="54">
        <f>RANK(BI7,BI$5:BI$22)</f>
        <v/>
      </c>
      <c r="BK7" s="53">
        <f>VLOOKUP($A7,INDIRECT("'"&amp;$B$1&amp;"'!$A:$IZ"),176,FALSE)</f>
        <v/>
      </c>
      <c r="BL7" s="54">
        <f>RANK(BK7,BK$5:BK$22,1)</f>
        <v/>
      </c>
      <c r="BM7" s="53">
        <f>VLOOKUP($A7,INDIRECT("'"&amp;$B$1&amp;"'!$A:$IZ"),11,FALSE)</f>
        <v/>
      </c>
      <c r="BN7" s="54">
        <f>RANK(BM7,BM$5:BM$22)</f>
        <v/>
      </c>
      <c r="BO7" s="53">
        <f>VLOOKUP($A7,INDIRECT("'"&amp;$B$1&amp;"'!$A:$IZ"),222,FALSE)</f>
        <v/>
      </c>
      <c r="BP7" s="54">
        <f>RANK(BO7,BO$5:BO$22)</f>
        <v/>
      </c>
      <c r="BQ7" s="65">
        <f>106-(BF7+BH7+BN7+BP7+BJ7+BL7)</f>
        <v/>
      </c>
      <c r="BR7" s="47">
        <f>RANK(BQ7,BQ$5:BQ$22)</f>
        <v/>
      </c>
      <c r="BS7" s="56" t="n"/>
      <c r="BT7" s="57">
        <f>VLOOKUP($A7,'Ratings Season'!$A:$M,10,FALSE)</f>
        <v/>
      </c>
      <c r="BU7" s="54">
        <f>RANK(BT7,BT$5:BT$22)</f>
        <v/>
      </c>
      <c r="BV7" s="57">
        <f>VLOOKUP($A7,'Ratings Season'!$A:$M,12,FALSE)</f>
        <v/>
      </c>
      <c r="BW7" s="54">
        <f>RANK(BV7,BV$5:BV$22)</f>
        <v/>
      </c>
      <c r="BX7" s="57">
        <f>VLOOKUP($A7,'Ratings Season'!$A:$M,8,FALSE)</f>
        <v/>
      </c>
      <c r="BY7" s="58">
        <f>RANK(BX7,BX$5:BX$22)</f>
        <v/>
      </c>
      <c r="BZ7" s="72" t="n"/>
    </row>
    <row r="8" ht="25" customFormat="1" customHeight="1" s="3">
      <c r="A8" s="78" t="inlineStr">
        <is>
          <t>Collingwood</t>
        </is>
      </c>
      <c r="B8" s="53">
        <f>VLOOKUP($A8,INDIRECT("'"&amp;$B$1&amp;"'!$A:$IZ"),222,FALSE)</f>
        <v/>
      </c>
      <c r="C8" s="54">
        <f>RANK(B8,B$5:B$22)</f>
        <v/>
      </c>
      <c r="D8" s="55">
        <f>VLOOKUP($A8,INDIRECT("'"&amp;$B$1&amp;"'!$A:$IZ"),218,FALSE)</f>
        <v/>
      </c>
      <c r="E8" s="54">
        <f>RANK(D8,D$5:D$22)</f>
        <v/>
      </c>
      <c r="F8" s="55">
        <f>VLOOKUP($A8,INDIRECT("'"&amp;$B$1&amp;"'!$A:$IZ"),49,FALSE)</f>
        <v/>
      </c>
      <c r="G8" s="54">
        <f>RANK(F8,F$5:F$22)</f>
        <v/>
      </c>
      <c r="H8" s="55">
        <f>VLOOKUP($A8,INDIRECT("'"&amp;$B$1&amp;"'!$A:$IZ"),229,FALSE)</f>
        <v/>
      </c>
      <c r="I8" s="54">
        <f>RANK(H8,H$5:H$22)</f>
        <v/>
      </c>
      <c r="J8" s="49">
        <f>104-(C8+E8+G8+I8)</f>
        <v/>
      </c>
      <c r="K8" s="47">
        <f>RANK(J8,J$5:J$22)</f>
        <v/>
      </c>
      <c r="L8" s="56" t="n"/>
      <c r="M8" s="53">
        <f>VLOOKUP($A8,INDIRECT("'"&amp;$B$1&amp;"'!$A:$IZ"),88,FALSE)</f>
        <v/>
      </c>
      <c r="N8" s="54">
        <f>RANK(M8,M$5:M$22)</f>
        <v/>
      </c>
      <c r="O8" s="53">
        <f>VLOOKUP($A8,INDIRECT("'"&amp;$B$1&amp;"'!$A:$IZ"),84,FALSE)</f>
        <v/>
      </c>
      <c r="P8" s="54">
        <f>RANK(O8,O$5:O$22)</f>
        <v/>
      </c>
      <c r="Q8" s="53">
        <f>VLOOKUP($A8,INDIRECT("'"&amp;$B$1&amp;"'!$A:$IZ"),85,FALSE)</f>
        <v/>
      </c>
      <c r="R8" s="54">
        <f>RANK(Q8,Q$5:Q$22)</f>
        <v/>
      </c>
      <c r="S8" s="55">
        <f>VLOOKUP($A8,INDIRECT("'"&amp;$B$1&amp;"'!$A:$IZ"),29,FALSE)</f>
        <v/>
      </c>
      <c r="T8" s="54">
        <f>RANK(S8,S$5:S$22)</f>
        <v/>
      </c>
      <c r="U8" s="49">
        <f>104-(N8+P8+R8+T8)</f>
        <v/>
      </c>
      <c r="V8" s="47">
        <f>RANK(U8,U$5:U$22)</f>
        <v/>
      </c>
      <c r="W8" s="56" t="n"/>
      <c r="X8" s="53">
        <f>VLOOKUP($A8,INDIRECT("'"&amp;$B$1&amp;"'!$A:$IZ"),65,FALSE)</f>
        <v/>
      </c>
      <c r="Y8" s="54">
        <f>RANK(X8,X$5:X$22)</f>
        <v/>
      </c>
      <c r="Z8" s="53">
        <f>VLOOKUP($A8,INDIRECT("'"&amp;$B$1&amp;"'!$A:$IZ"),64,FALSE)</f>
        <v/>
      </c>
      <c r="AA8" s="54">
        <f>RANK(Z8,Z$5:Z$22)</f>
        <v/>
      </c>
      <c r="AB8" s="53">
        <f>VLOOKUP($A8,INDIRECT("'"&amp;$B$1&amp;"'!$A:$IZ"),63,FALSE)</f>
        <v/>
      </c>
      <c r="AC8" s="54">
        <f>RANK(AB8,AB$5:AB$22)</f>
        <v/>
      </c>
      <c r="AD8" s="53">
        <f>VLOOKUP($A8,INDIRECT("'"&amp;$B$1&amp;"'!$A:$IZ"),71,FALSE)</f>
        <v/>
      </c>
      <c r="AE8" s="54">
        <f>RANK(AD8,AD$5:AD$22)</f>
        <v/>
      </c>
      <c r="AF8" s="65">
        <f>104-(Y8+AA8+AC8+AE8)</f>
        <v/>
      </c>
      <c r="AG8" s="47">
        <f>RANK(AF8,AF$5:AF$22)</f>
        <v/>
      </c>
      <c r="AH8" s="56" t="n"/>
      <c r="AI8" s="53">
        <f>VLOOKUP($A8,INDIRECT("'"&amp;$B$1&amp;"'!$A:$IZ"),183,FALSE)</f>
        <v/>
      </c>
      <c r="AJ8" s="54">
        <f>RANK(AI8,AI$5:AI$22,1)</f>
        <v/>
      </c>
      <c r="AK8" s="53">
        <f>VLOOKUP($A8,INDIRECT("'"&amp;$B$1&amp;"'!$A:$IZ"),181,FALSE)</f>
        <v/>
      </c>
      <c r="AL8" s="54">
        <f>RANK(AK8,AK$5:AK$22,1)</f>
        <v/>
      </c>
      <c r="AM8" s="53">
        <f>VLOOKUP($A8,INDIRECT("'"&amp;$B$1&amp;"'!$A:$IZ"),182,FALSE)</f>
        <v/>
      </c>
      <c r="AN8" s="54">
        <f>RANK(AM8,AM$5:AM$22,1)</f>
        <v/>
      </c>
      <c r="AO8" s="53">
        <f>VLOOKUP($A8,INDIRECT("'"&amp;$B$1&amp;"'!$A:$IZ"),163,FALSE)</f>
        <v/>
      </c>
      <c r="AP8" s="54">
        <f>RANK(AO8,AO$5:AO$22,1)</f>
        <v/>
      </c>
      <c r="AQ8" s="65">
        <f>104-(AJ8+AL8+AN8+AP8)</f>
        <v/>
      </c>
      <c r="AR8" s="47">
        <f>RANK(AQ8,AQ$5:AQ$22)</f>
        <v/>
      </c>
      <c r="AS8" s="56" t="n"/>
      <c r="AT8" s="46">
        <f>VLOOKUP($A8,INDIRECT("'"&amp;$B$1&amp;"'!$A:$IZ"),250,FALSE)</f>
        <v/>
      </c>
      <c r="AU8" s="47">
        <f>RANK(AT8,AT$5:AT$22,0)</f>
        <v/>
      </c>
      <c r="AV8" s="46">
        <f>VLOOKUP($A8,INDIRECT("'"&amp;$B$1&amp;"'!$A:$IZ"),92,FALSE)</f>
        <v/>
      </c>
      <c r="AW8" s="47">
        <f>RANK(AV8,AV$5:AV$22,0)</f>
        <v/>
      </c>
      <c r="AX8" s="46">
        <f>VLOOKUP($A8,INDIRECT("'"&amp;$B$1&amp;"'!$A:$IZ"),93,FALSE)</f>
        <v/>
      </c>
      <c r="AY8" s="47">
        <f>RANK(AX8,AX$5:AX$22,0)</f>
        <v/>
      </c>
      <c r="AZ8" s="46">
        <f>VLOOKUP($A8,INDIRECT("'"&amp;$B$1&amp;"'!$A:$IZ"),108,FALSE)</f>
        <v/>
      </c>
      <c r="BA8" s="47">
        <f>RANK(AZ8,AZ$5:AZ$22,0)</f>
        <v/>
      </c>
      <c r="BB8" s="46">
        <f>104-(AU8+AW8+AY8+BA8)</f>
        <v/>
      </c>
      <c r="BC8" s="47">
        <f>RANK(BB8,BB$5:BB$22)</f>
        <v/>
      </c>
      <c r="BD8" s="56" t="n"/>
      <c r="BE8" s="53">
        <f>VLOOKUP($A8,INDIRECT("'"&amp;$B$1&amp;"'!$A:$IZ"),80,FALSE)</f>
        <v/>
      </c>
      <c r="BF8" s="54">
        <f>RANK(BE8,BE$5:BE$22)</f>
        <v/>
      </c>
      <c r="BG8" s="53">
        <f>VLOOKUP($A8,INDIRECT("'"&amp;$B$1&amp;"'!$A:$IZ"),177,FALSE)</f>
        <v/>
      </c>
      <c r="BH8" s="54">
        <f>RANK(BG8,BG$5:BG$22,1)</f>
        <v/>
      </c>
      <c r="BI8" s="53">
        <f>VLOOKUP($A8,INDIRECT("'"&amp;$B$1&amp;"'!$A:$IZ"),79,FALSE)</f>
        <v/>
      </c>
      <c r="BJ8" s="54">
        <f>RANK(BI8,BI$5:BI$22)</f>
        <v/>
      </c>
      <c r="BK8" s="53">
        <f>VLOOKUP($A8,INDIRECT("'"&amp;$B$1&amp;"'!$A:$IZ"),176,FALSE)</f>
        <v/>
      </c>
      <c r="BL8" s="54">
        <f>RANK(BK8,BK$5:BK$22,1)</f>
        <v/>
      </c>
      <c r="BM8" s="53">
        <f>VLOOKUP($A8,INDIRECT("'"&amp;$B$1&amp;"'!$A:$IZ"),11,FALSE)</f>
        <v/>
      </c>
      <c r="BN8" s="54">
        <f>RANK(BM8,BM$5:BM$22)</f>
        <v/>
      </c>
      <c r="BO8" s="53">
        <f>VLOOKUP($A8,INDIRECT("'"&amp;$B$1&amp;"'!$A:$IZ"),222,FALSE)</f>
        <v/>
      </c>
      <c r="BP8" s="54">
        <f>RANK(BO8,BO$5:BO$22)</f>
        <v/>
      </c>
      <c r="BQ8" s="65">
        <f>106-(BF8+BH8+BN8+BP8+BJ8+BL8)</f>
        <v/>
      </c>
      <c r="BR8" s="47">
        <f>RANK(BQ8,BQ$5:BQ$22)</f>
        <v/>
      </c>
      <c r="BS8" s="56" t="n"/>
      <c r="BT8" s="57">
        <f>VLOOKUP($A8,'Ratings Season'!$A:$M,10,FALSE)</f>
        <v/>
      </c>
      <c r="BU8" s="54">
        <f>RANK(BT8,BT$5:BT$22)</f>
        <v/>
      </c>
      <c r="BV8" s="57">
        <f>VLOOKUP($A8,'Ratings Season'!$A:$M,12,FALSE)</f>
        <v/>
      </c>
      <c r="BW8" s="54">
        <f>RANK(BV8,BV$5:BV$22)</f>
        <v/>
      </c>
      <c r="BX8" s="57">
        <f>VLOOKUP($A8,'Ratings Season'!$A:$M,8,FALSE)</f>
        <v/>
      </c>
      <c r="BY8" s="58">
        <f>RANK(BX8,BX$5:BX$22)</f>
        <v/>
      </c>
      <c r="BZ8" s="72" t="n"/>
    </row>
    <row r="9" ht="25" customFormat="1" customHeight="1" s="3">
      <c r="A9" s="79" t="inlineStr">
        <is>
          <t>Essendon</t>
        </is>
      </c>
      <c r="B9" s="53">
        <f>VLOOKUP($A9,INDIRECT("'"&amp;$B$1&amp;"'!$A:$IZ"),222,FALSE)</f>
        <v/>
      </c>
      <c r="C9" s="54">
        <f>RANK(B9,B$5:B$22)</f>
        <v/>
      </c>
      <c r="D9" s="55">
        <f>VLOOKUP($A9,INDIRECT("'"&amp;$B$1&amp;"'!$A:$IZ"),218,FALSE)</f>
        <v/>
      </c>
      <c r="E9" s="54">
        <f>RANK(D9,D$5:D$22)</f>
        <v/>
      </c>
      <c r="F9" s="55">
        <f>VLOOKUP($A9,INDIRECT("'"&amp;$B$1&amp;"'!$A:$IZ"),49,FALSE)</f>
        <v/>
      </c>
      <c r="G9" s="54">
        <f>RANK(F9,F$5:F$22)</f>
        <v/>
      </c>
      <c r="H9" s="55">
        <f>VLOOKUP($A9,INDIRECT("'"&amp;$B$1&amp;"'!$A:$IZ"),229,FALSE)</f>
        <v/>
      </c>
      <c r="I9" s="54">
        <f>RANK(H9,H$5:H$22)</f>
        <v/>
      </c>
      <c r="J9" s="49">
        <f>104-(C9+E9+G9+I9)</f>
        <v/>
      </c>
      <c r="K9" s="47">
        <f>RANK(J9,J$5:J$22)</f>
        <v/>
      </c>
      <c r="L9" s="56" t="n"/>
      <c r="M9" s="53">
        <f>VLOOKUP($A9,INDIRECT("'"&amp;$B$1&amp;"'!$A:$IZ"),88,FALSE)</f>
        <v/>
      </c>
      <c r="N9" s="54">
        <f>RANK(M9,M$5:M$22)</f>
        <v/>
      </c>
      <c r="O9" s="53">
        <f>VLOOKUP($A9,INDIRECT("'"&amp;$B$1&amp;"'!$A:$IZ"),84,FALSE)</f>
        <v/>
      </c>
      <c r="P9" s="54">
        <f>RANK(O9,O$5:O$22)</f>
        <v/>
      </c>
      <c r="Q9" s="53">
        <f>VLOOKUP($A9,INDIRECT("'"&amp;$B$1&amp;"'!$A:$IZ"),85,FALSE)</f>
        <v/>
      </c>
      <c r="R9" s="54">
        <f>RANK(Q9,Q$5:Q$22)</f>
        <v/>
      </c>
      <c r="S9" s="55">
        <f>VLOOKUP($A9,INDIRECT("'"&amp;$B$1&amp;"'!$A:$IZ"),29,FALSE)</f>
        <v/>
      </c>
      <c r="T9" s="54">
        <f>RANK(S9,S$5:S$22)</f>
        <v/>
      </c>
      <c r="U9" s="49">
        <f>104-(N9+P9+R9+T9)</f>
        <v/>
      </c>
      <c r="V9" s="47">
        <f>RANK(U9,U$5:U$22)</f>
        <v/>
      </c>
      <c r="W9" s="56" t="n"/>
      <c r="X9" s="53">
        <f>VLOOKUP($A9,INDIRECT("'"&amp;$B$1&amp;"'!$A:$IZ"),65,FALSE)</f>
        <v/>
      </c>
      <c r="Y9" s="54">
        <f>RANK(X9,X$5:X$22)</f>
        <v/>
      </c>
      <c r="Z9" s="53">
        <f>VLOOKUP($A9,INDIRECT("'"&amp;$B$1&amp;"'!$A:$IZ"),64,FALSE)</f>
        <v/>
      </c>
      <c r="AA9" s="54">
        <f>RANK(Z9,Z$5:Z$22)</f>
        <v/>
      </c>
      <c r="AB9" s="53">
        <f>VLOOKUP($A9,INDIRECT("'"&amp;$B$1&amp;"'!$A:$IZ"),63,FALSE)</f>
        <v/>
      </c>
      <c r="AC9" s="54">
        <f>RANK(AB9,AB$5:AB$22)</f>
        <v/>
      </c>
      <c r="AD9" s="53">
        <f>VLOOKUP($A9,INDIRECT("'"&amp;$B$1&amp;"'!$A:$IZ"),71,FALSE)</f>
        <v/>
      </c>
      <c r="AE9" s="54">
        <f>RANK(AD9,AD$5:AD$22)</f>
        <v/>
      </c>
      <c r="AF9" s="65">
        <f>104-(Y9+AA9+AC9+AE9)</f>
        <v/>
      </c>
      <c r="AG9" s="47">
        <f>RANK(AF9,AF$5:AF$22)</f>
        <v/>
      </c>
      <c r="AH9" s="56" t="n"/>
      <c r="AI9" s="53">
        <f>VLOOKUP($A9,INDIRECT("'"&amp;$B$1&amp;"'!$A:$IZ"),183,FALSE)</f>
        <v/>
      </c>
      <c r="AJ9" s="54">
        <f>RANK(AI9,AI$5:AI$22,1)</f>
        <v/>
      </c>
      <c r="AK9" s="53">
        <f>VLOOKUP($A9,INDIRECT("'"&amp;$B$1&amp;"'!$A:$IZ"),181,FALSE)</f>
        <v/>
      </c>
      <c r="AL9" s="54">
        <f>RANK(AK9,AK$5:AK$22,1)</f>
        <v/>
      </c>
      <c r="AM9" s="53">
        <f>VLOOKUP($A9,INDIRECT("'"&amp;$B$1&amp;"'!$A:$IZ"),182,FALSE)</f>
        <v/>
      </c>
      <c r="AN9" s="54">
        <f>RANK(AM9,AM$5:AM$22,1)</f>
        <v/>
      </c>
      <c r="AO9" s="53">
        <f>VLOOKUP($A9,INDIRECT("'"&amp;$B$1&amp;"'!$A:$IZ"),163,FALSE)</f>
        <v/>
      </c>
      <c r="AP9" s="54">
        <f>RANK(AO9,AO$5:AO$22,1)</f>
        <v/>
      </c>
      <c r="AQ9" s="65">
        <f>104-(AJ9+AL9+AN9+AP9)</f>
        <v/>
      </c>
      <c r="AR9" s="47">
        <f>RANK(AQ9,AQ$5:AQ$22)</f>
        <v/>
      </c>
      <c r="AS9" s="56" t="n"/>
      <c r="AT9" s="46">
        <f>VLOOKUP($A9,INDIRECT("'"&amp;$B$1&amp;"'!$A:$IZ"),250,FALSE)</f>
        <v/>
      </c>
      <c r="AU9" s="47">
        <f>RANK(AT9,AT$5:AT$22,0)</f>
        <v/>
      </c>
      <c r="AV9" s="46">
        <f>VLOOKUP($A9,INDIRECT("'"&amp;$B$1&amp;"'!$A:$IZ"),92,FALSE)</f>
        <v/>
      </c>
      <c r="AW9" s="47">
        <f>RANK(AV9,AV$5:AV$22,0)</f>
        <v/>
      </c>
      <c r="AX9" s="46">
        <f>VLOOKUP($A9,INDIRECT("'"&amp;$B$1&amp;"'!$A:$IZ"),93,FALSE)</f>
        <v/>
      </c>
      <c r="AY9" s="47">
        <f>RANK(AX9,AX$5:AX$22,0)</f>
        <v/>
      </c>
      <c r="AZ9" s="46">
        <f>VLOOKUP($A9,INDIRECT("'"&amp;$B$1&amp;"'!$A:$IZ"),108,FALSE)</f>
        <v/>
      </c>
      <c r="BA9" s="47">
        <f>RANK(AZ9,AZ$5:AZ$22,0)</f>
        <v/>
      </c>
      <c r="BB9" s="46">
        <f>104-(AU9+AW9+AY9+BA9)</f>
        <v/>
      </c>
      <c r="BC9" s="47">
        <f>RANK(BB9,BB$5:BB$22)</f>
        <v/>
      </c>
      <c r="BD9" s="56" t="n"/>
      <c r="BE9" s="53">
        <f>VLOOKUP($A9,INDIRECT("'"&amp;$B$1&amp;"'!$A:$IZ"),80,FALSE)</f>
        <v/>
      </c>
      <c r="BF9" s="54">
        <f>RANK(BE9,BE$5:BE$22)</f>
        <v/>
      </c>
      <c r="BG9" s="53">
        <f>VLOOKUP($A9,INDIRECT("'"&amp;$B$1&amp;"'!$A:$IZ"),177,FALSE)</f>
        <v/>
      </c>
      <c r="BH9" s="54">
        <f>RANK(BG9,BG$5:BG$22,1)</f>
        <v/>
      </c>
      <c r="BI9" s="53">
        <f>VLOOKUP($A9,INDIRECT("'"&amp;$B$1&amp;"'!$A:$IZ"),79,FALSE)</f>
        <v/>
      </c>
      <c r="BJ9" s="54">
        <f>RANK(BI9,BI$5:BI$22)</f>
        <v/>
      </c>
      <c r="BK9" s="53">
        <f>VLOOKUP($A9,INDIRECT("'"&amp;$B$1&amp;"'!$A:$IZ"),176,FALSE)</f>
        <v/>
      </c>
      <c r="BL9" s="54">
        <f>RANK(BK9,BK$5:BK$22,1)</f>
        <v/>
      </c>
      <c r="BM9" s="53">
        <f>VLOOKUP($A9,INDIRECT("'"&amp;$B$1&amp;"'!$A:$IZ"),11,FALSE)</f>
        <v/>
      </c>
      <c r="BN9" s="54">
        <f>RANK(BM9,BM$5:BM$22)</f>
        <v/>
      </c>
      <c r="BO9" s="53">
        <f>VLOOKUP($A9,INDIRECT("'"&amp;$B$1&amp;"'!$A:$IZ"),222,FALSE)</f>
        <v/>
      </c>
      <c r="BP9" s="54">
        <f>RANK(BO9,BO$5:BO$22)</f>
        <v/>
      </c>
      <c r="BQ9" s="65">
        <f>106-(BF9+BH9+BN9+BP9+BJ9+BL9)</f>
        <v/>
      </c>
      <c r="BR9" s="47">
        <f>RANK(BQ9,BQ$5:BQ$22)</f>
        <v/>
      </c>
      <c r="BS9" s="56" t="n"/>
      <c r="BT9" s="57">
        <f>VLOOKUP($A9,'Ratings Season'!$A:$M,10,FALSE)</f>
        <v/>
      </c>
      <c r="BU9" s="54">
        <f>RANK(BT9,BT$5:BT$22)</f>
        <v/>
      </c>
      <c r="BV9" s="57">
        <f>VLOOKUP($A9,'Ratings Season'!$A:$M,12,FALSE)</f>
        <v/>
      </c>
      <c r="BW9" s="54">
        <f>RANK(BV9,BV$5:BV$22)</f>
        <v/>
      </c>
      <c r="BX9" s="57">
        <f>VLOOKUP($A9,'Ratings Season'!$A:$M,8,FALSE)</f>
        <v/>
      </c>
      <c r="BY9" s="58">
        <f>RANK(BX9,BX$5:BX$22)</f>
        <v/>
      </c>
      <c r="BZ9" s="72" t="n"/>
    </row>
    <row r="10" ht="25" customFormat="1" customHeight="1" s="3">
      <c r="A10" s="80" t="inlineStr">
        <is>
          <t>Fremantle</t>
        </is>
      </c>
      <c r="B10" s="53">
        <f>VLOOKUP($A10,INDIRECT("'"&amp;$B$1&amp;"'!$A:$IZ"),222,FALSE)</f>
        <v/>
      </c>
      <c r="C10" s="54">
        <f>RANK(B10,B$5:B$22)</f>
        <v/>
      </c>
      <c r="D10" s="55">
        <f>VLOOKUP($A10,INDIRECT("'"&amp;$B$1&amp;"'!$A:$IZ"),218,FALSE)</f>
        <v/>
      </c>
      <c r="E10" s="54">
        <f>RANK(D10,D$5:D$22)</f>
        <v/>
      </c>
      <c r="F10" s="55">
        <f>VLOOKUP($A10,INDIRECT("'"&amp;$B$1&amp;"'!$A:$IZ"),49,FALSE)</f>
        <v/>
      </c>
      <c r="G10" s="54">
        <f>RANK(F10,F$5:F$22)</f>
        <v/>
      </c>
      <c r="H10" s="55">
        <f>VLOOKUP($A10,INDIRECT("'"&amp;$B$1&amp;"'!$A:$IZ"),229,FALSE)</f>
        <v/>
      </c>
      <c r="I10" s="54">
        <f>RANK(H10,H$5:H$22)</f>
        <v/>
      </c>
      <c r="J10" s="49">
        <f>104-(C10+E10+G10+I10)</f>
        <v/>
      </c>
      <c r="K10" s="47">
        <f>RANK(J10,J$5:J$22)</f>
        <v/>
      </c>
      <c r="L10" s="56" t="n"/>
      <c r="M10" s="53">
        <f>VLOOKUP($A10,INDIRECT("'"&amp;$B$1&amp;"'!$A:$IZ"),88,FALSE)</f>
        <v/>
      </c>
      <c r="N10" s="54">
        <f>RANK(M10,M$5:M$22)</f>
        <v/>
      </c>
      <c r="O10" s="53">
        <f>VLOOKUP($A10,INDIRECT("'"&amp;$B$1&amp;"'!$A:$IZ"),84,FALSE)</f>
        <v/>
      </c>
      <c r="P10" s="54">
        <f>RANK(O10,O$5:O$22)</f>
        <v/>
      </c>
      <c r="Q10" s="53">
        <f>VLOOKUP($A10,INDIRECT("'"&amp;$B$1&amp;"'!$A:$IZ"),85,FALSE)</f>
        <v/>
      </c>
      <c r="R10" s="54">
        <f>RANK(Q10,Q$5:Q$22)</f>
        <v/>
      </c>
      <c r="S10" s="55">
        <f>VLOOKUP($A10,INDIRECT("'"&amp;$B$1&amp;"'!$A:$IZ"),29,FALSE)</f>
        <v/>
      </c>
      <c r="T10" s="54">
        <f>RANK(S10,S$5:S$22)</f>
        <v/>
      </c>
      <c r="U10" s="49">
        <f>104-(N10+P10+R10+T10)</f>
        <v/>
      </c>
      <c r="V10" s="47">
        <f>RANK(U10,U$5:U$22)</f>
        <v/>
      </c>
      <c r="W10" s="56" t="n"/>
      <c r="X10" s="53">
        <f>VLOOKUP($A10,INDIRECT("'"&amp;$B$1&amp;"'!$A:$IZ"),65,FALSE)</f>
        <v/>
      </c>
      <c r="Y10" s="54">
        <f>RANK(X10,X$5:X$22)</f>
        <v/>
      </c>
      <c r="Z10" s="53">
        <f>VLOOKUP($A10,INDIRECT("'"&amp;$B$1&amp;"'!$A:$IZ"),64,FALSE)</f>
        <v/>
      </c>
      <c r="AA10" s="54">
        <f>RANK(Z10,Z$5:Z$22)</f>
        <v/>
      </c>
      <c r="AB10" s="53">
        <f>VLOOKUP($A10,INDIRECT("'"&amp;$B$1&amp;"'!$A:$IZ"),63,FALSE)</f>
        <v/>
      </c>
      <c r="AC10" s="54">
        <f>RANK(AB10,AB$5:AB$22)</f>
        <v/>
      </c>
      <c r="AD10" s="53">
        <f>VLOOKUP($A10,INDIRECT("'"&amp;$B$1&amp;"'!$A:$IZ"),71,FALSE)</f>
        <v/>
      </c>
      <c r="AE10" s="54">
        <f>RANK(AD10,AD$5:AD$22)</f>
        <v/>
      </c>
      <c r="AF10" s="65">
        <f>104-(Y10+AA10+AC10+AE10)</f>
        <v/>
      </c>
      <c r="AG10" s="47">
        <f>RANK(AF10,AF$5:AF$22)</f>
        <v/>
      </c>
      <c r="AH10" s="56" t="n"/>
      <c r="AI10" s="53">
        <f>VLOOKUP($A10,INDIRECT("'"&amp;$B$1&amp;"'!$A:$IZ"),183,FALSE)</f>
        <v/>
      </c>
      <c r="AJ10" s="54">
        <f>RANK(AI10,AI$5:AI$22,1)</f>
        <v/>
      </c>
      <c r="AK10" s="53">
        <f>VLOOKUP($A10,INDIRECT("'"&amp;$B$1&amp;"'!$A:$IZ"),181,FALSE)</f>
        <v/>
      </c>
      <c r="AL10" s="54">
        <f>RANK(AK10,AK$5:AK$22,1)</f>
        <v/>
      </c>
      <c r="AM10" s="53">
        <f>VLOOKUP($A10,INDIRECT("'"&amp;$B$1&amp;"'!$A:$IZ"),182,FALSE)</f>
        <v/>
      </c>
      <c r="AN10" s="54">
        <f>RANK(AM10,AM$5:AM$22,1)</f>
        <v/>
      </c>
      <c r="AO10" s="53">
        <f>VLOOKUP($A10,INDIRECT("'"&amp;$B$1&amp;"'!$A:$IZ"),163,FALSE)</f>
        <v/>
      </c>
      <c r="AP10" s="54">
        <f>RANK(AO10,AO$5:AO$22,1)</f>
        <v/>
      </c>
      <c r="AQ10" s="65">
        <f>104-(AJ10+AL10+AN10+AP10)</f>
        <v/>
      </c>
      <c r="AR10" s="47">
        <f>RANK(AQ10,AQ$5:AQ$22)</f>
        <v/>
      </c>
      <c r="AS10" s="56" t="n"/>
      <c r="AT10" s="46">
        <f>VLOOKUP($A10,INDIRECT("'"&amp;$B$1&amp;"'!$A:$IZ"),250,FALSE)</f>
        <v/>
      </c>
      <c r="AU10" s="47">
        <f>RANK(AT10,AT$5:AT$22,0)</f>
        <v/>
      </c>
      <c r="AV10" s="46">
        <f>VLOOKUP($A10,INDIRECT("'"&amp;$B$1&amp;"'!$A:$IZ"),92,FALSE)</f>
        <v/>
      </c>
      <c r="AW10" s="47">
        <f>RANK(AV10,AV$5:AV$22,0)</f>
        <v/>
      </c>
      <c r="AX10" s="46">
        <f>VLOOKUP($A10,INDIRECT("'"&amp;$B$1&amp;"'!$A:$IZ"),93,FALSE)</f>
        <v/>
      </c>
      <c r="AY10" s="47">
        <f>RANK(AX10,AX$5:AX$22,0)</f>
        <v/>
      </c>
      <c r="AZ10" s="46">
        <f>VLOOKUP($A10,INDIRECT("'"&amp;$B$1&amp;"'!$A:$IZ"),108,FALSE)</f>
        <v/>
      </c>
      <c r="BA10" s="47">
        <f>RANK(AZ10,AZ$5:AZ$22,0)</f>
        <v/>
      </c>
      <c r="BB10" s="46">
        <f>104-(AU10+AW10+AY10+BA10)</f>
        <v/>
      </c>
      <c r="BC10" s="47">
        <f>RANK(BB10,BB$5:BB$22)</f>
        <v/>
      </c>
      <c r="BD10" s="56" t="n"/>
      <c r="BE10" s="53">
        <f>VLOOKUP($A10,INDIRECT("'"&amp;$B$1&amp;"'!$A:$IZ"),80,FALSE)</f>
        <v/>
      </c>
      <c r="BF10" s="54">
        <f>RANK(BE10,BE$5:BE$22)</f>
        <v/>
      </c>
      <c r="BG10" s="53">
        <f>VLOOKUP($A10,INDIRECT("'"&amp;$B$1&amp;"'!$A:$IZ"),177,FALSE)</f>
        <v/>
      </c>
      <c r="BH10" s="54">
        <f>RANK(BG10,BG$5:BG$22,1)</f>
        <v/>
      </c>
      <c r="BI10" s="53">
        <f>VLOOKUP($A10,INDIRECT("'"&amp;$B$1&amp;"'!$A:$IZ"),79,FALSE)</f>
        <v/>
      </c>
      <c r="BJ10" s="54">
        <f>RANK(BI10,BI$5:BI$22)</f>
        <v/>
      </c>
      <c r="BK10" s="53">
        <f>VLOOKUP($A10,INDIRECT("'"&amp;$B$1&amp;"'!$A:$IZ"),176,FALSE)</f>
        <v/>
      </c>
      <c r="BL10" s="54">
        <f>RANK(BK10,BK$5:BK$22,1)</f>
        <v/>
      </c>
      <c r="BM10" s="53">
        <f>VLOOKUP($A10,INDIRECT("'"&amp;$B$1&amp;"'!$A:$IZ"),11,FALSE)</f>
        <v/>
      </c>
      <c r="BN10" s="54">
        <f>RANK(BM10,BM$5:BM$22)</f>
        <v/>
      </c>
      <c r="BO10" s="53">
        <f>VLOOKUP($A10,INDIRECT("'"&amp;$B$1&amp;"'!$A:$IZ"),222,FALSE)</f>
        <v/>
      </c>
      <c r="BP10" s="54">
        <f>RANK(BO10,BO$5:BO$22)</f>
        <v/>
      </c>
      <c r="BQ10" s="65">
        <f>106-(BF10+BH10+BN10+BP10+BJ10+BL10)</f>
        <v/>
      </c>
      <c r="BR10" s="47">
        <f>RANK(BQ10,BQ$5:BQ$22)</f>
        <v/>
      </c>
      <c r="BS10" s="56" t="n"/>
      <c r="BT10" s="57">
        <f>VLOOKUP($A10,'Ratings Season'!$A:$M,10,FALSE)</f>
        <v/>
      </c>
      <c r="BU10" s="54">
        <f>RANK(BT10,BT$5:BT$22)</f>
        <v/>
      </c>
      <c r="BV10" s="57">
        <f>VLOOKUP($A10,'Ratings Season'!$A:$M,12,FALSE)</f>
        <v/>
      </c>
      <c r="BW10" s="54">
        <f>RANK(BV10,BV$5:BV$22)</f>
        <v/>
      </c>
      <c r="BX10" s="57">
        <f>VLOOKUP($A10,'Ratings Season'!$A:$M,8,FALSE)</f>
        <v/>
      </c>
      <c r="BY10" s="58">
        <f>RANK(BX10,BX$5:BX$22)</f>
        <v/>
      </c>
      <c r="BZ10" s="72" t="n"/>
    </row>
    <row r="11" ht="25" customFormat="1" customHeight="1" s="3">
      <c r="A11" s="81" t="inlineStr">
        <is>
          <t>Geelong</t>
        </is>
      </c>
      <c r="B11" s="53">
        <f>VLOOKUP($A11,INDIRECT("'"&amp;$B$1&amp;"'!$A:$IZ"),222,FALSE)</f>
        <v/>
      </c>
      <c r="C11" s="54">
        <f>RANK(B11,B$5:B$22)</f>
        <v/>
      </c>
      <c r="D11" s="55">
        <f>VLOOKUP($A11,INDIRECT("'"&amp;$B$1&amp;"'!$A:$IZ"),218,FALSE)</f>
        <v/>
      </c>
      <c r="E11" s="54">
        <f>RANK(D11,D$5:D$22)</f>
        <v/>
      </c>
      <c r="F11" s="55">
        <f>VLOOKUP($A11,INDIRECT("'"&amp;$B$1&amp;"'!$A:$IZ"),49,FALSE)</f>
        <v/>
      </c>
      <c r="G11" s="54">
        <f>RANK(F11,F$5:F$22)</f>
        <v/>
      </c>
      <c r="H11" s="55">
        <f>VLOOKUP($A11,INDIRECT("'"&amp;$B$1&amp;"'!$A:$IZ"),229,FALSE)</f>
        <v/>
      </c>
      <c r="I11" s="54">
        <f>RANK(H11,H$5:H$22)</f>
        <v/>
      </c>
      <c r="J11" s="49">
        <f>104-(C11+E11+G11+I11)</f>
        <v/>
      </c>
      <c r="K11" s="47">
        <f>RANK(J11,J$5:J$22)</f>
        <v/>
      </c>
      <c r="L11" s="56" t="n"/>
      <c r="M11" s="53">
        <f>VLOOKUP($A11,INDIRECT("'"&amp;$B$1&amp;"'!$A:$IZ"),88,FALSE)</f>
        <v/>
      </c>
      <c r="N11" s="54">
        <f>RANK(M11,M$5:M$22)</f>
        <v/>
      </c>
      <c r="O11" s="53">
        <f>VLOOKUP($A11,INDIRECT("'"&amp;$B$1&amp;"'!$A:$IZ"),84,FALSE)</f>
        <v/>
      </c>
      <c r="P11" s="54">
        <f>RANK(O11,O$5:O$22)</f>
        <v/>
      </c>
      <c r="Q11" s="53">
        <f>VLOOKUP($A11,INDIRECT("'"&amp;$B$1&amp;"'!$A:$IZ"),85,FALSE)</f>
        <v/>
      </c>
      <c r="R11" s="54">
        <f>RANK(Q11,Q$5:Q$22)</f>
        <v/>
      </c>
      <c r="S11" s="55">
        <f>VLOOKUP($A11,INDIRECT("'"&amp;$B$1&amp;"'!$A:$IZ"),29,FALSE)</f>
        <v/>
      </c>
      <c r="T11" s="54">
        <f>RANK(S11,S$5:S$22)</f>
        <v/>
      </c>
      <c r="U11" s="49">
        <f>104-(N11+P11+R11+T11)</f>
        <v/>
      </c>
      <c r="V11" s="47">
        <f>RANK(U11,U$5:U$22)</f>
        <v/>
      </c>
      <c r="W11" s="56" t="n"/>
      <c r="X11" s="53">
        <f>VLOOKUP($A11,INDIRECT("'"&amp;$B$1&amp;"'!$A:$IZ"),65,FALSE)</f>
        <v/>
      </c>
      <c r="Y11" s="54">
        <f>RANK(X11,X$5:X$22)</f>
        <v/>
      </c>
      <c r="Z11" s="53">
        <f>VLOOKUP($A11,INDIRECT("'"&amp;$B$1&amp;"'!$A:$IZ"),64,FALSE)</f>
        <v/>
      </c>
      <c r="AA11" s="54">
        <f>RANK(Z11,Z$5:Z$22)</f>
        <v/>
      </c>
      <c r="AB11" s="53">
        <f>VLOOKUP($A11,INDIRECT("'"&amp;$B$1&amp;"'!$A:$IZ"),63,FALSE)</f>
        <v/>
      </c>
      <c r="AC11" s="54">
        <f>RANK(AB11,AB$5:AB$22)</f>
        <v/>
      </c>
      <c r="AD11" s="53">
        <f>VLOOKUP($A11,INDIRECT("'"&amp;$B$1&amp;"'!$A:$IZ"),71,FALSE)</f>
        <v/>
      </c>
      <c r="AE11" s="54">
        <f>RANK(AD11,AD$5:AD$22)</f>
        <v/>
      </c>
      <c r="AF11" s="65">
        <f>104-(Y11+AA11+AC11+AE11)</f>
        <v/>
      </c>
      <c r="AG11" s="47">
        <f>RANK(AF11,AF$5:AF$22)</f>
        <v/>
      </c>
      <c r="AH11" s="56" t="n"/>
      <c r="AI11" s="53">
        <f>VLOOKUP($A11,INDIRECT("'"&amp;$B$1&amp;"'!$A:$IZ"),183,FALSE)</f>
        <v/>
      </c>
      <c r="AJ11" s="54">
        <f>RANK(AI11,AI$5:AI$22,1)</f>
        <v/>
      </c>
      <c r="AK11" s="53">
        <f>VLOOKUP($A11,INDIRECT("'"&amp;$B$1&amp;"'!$A:$IZ"),181,FALSE)</f>
        <v/>
      </c>
      <c r="AL11" s="54">
        <f>RANK(AK11,AK$5:AK$22,1)</f>
        <v/>
      </c>
      <c r="AM11" s="53">
        <f>VLOOKUP($A11,INDIRECT("'"&amp;$B$1&amp;"'!$A:$IZ"),182,FALSE)</f>
        <v/>
      </c>
      <c r="AN11" s="54">
        <f>RANK(AM11,AM$5:AM$22,1)</f>
        <v/>
      </c>
      <c r="AO11" s="53">
        <f>VLOOKUP($A11,INDIRECT("'"&amp;$B$1&amp;"'!$A:$IZ"),163,FALSE)</f>
        <v/>
      </c>
      <c r="AP11" s="54">
        <f>RANK(AO11,AO$5:AO$22,1)</f>
        <v/>
      </c>
      <c r="AQ11" s="65">
        <f>104-(AJ11+AL11+AN11+AP11)</f>
        <v/>
      </c>
      <c r="AR11" s="47">
        <f>RANK(AQ11,AQ$5:AQ$22)</f>
        <v/>
      </c>
      <c r="AS11" s="56" t="n"/>
      <c r="AT11" s="46">
        <f>VLOOKUP($A11,INDIRECT("'"&amp;$B$1&amp;"'!$A:$IZ"),250,FALSE)</f>
        <v/>
      </c>
      <c r="AU11" s="47">
        <f>RANK(AT11,AT$5:AT$22,0)</f>
        <v/>
      </c>
      <c r="AV11" s="46">
        <f>VLOOKUP($A11,INDIRECT("'"&amp;$B$1&amp;"'!$A:$IZ"),92,FALSE)</f>
        <v/>
      </c>
      <c r="AW11" s="47">
        <f>RANK(AV11,AV$5:AV$22,0)</f>
        <v/>
      </c>
      <c r="AX11" s="46">
        <f>VLOOKUP($A11,INDIRECT("'"&amp;$B$1&amp;"'!$A:$IZ"),93,FALSE)</f>
        <v/>
      </c>
      <c r="AY11" s="47">
        <f>RANK(AX11,AX$5:AX$22,0)</f>
        <v/>
      </c>
      <c r="AZ11" s="46">
        <f>VLOOKUP($A11,INDIRECT("'"&amp;$B$1&amp;"'!$A:$IZ"),108,FALSE)</f>
        <v/>
      </c>
      <c r="BA11" s="47">
        <f>RANK(AZ11,AZ$5:AZ$22,0)</f>
        <v/>
      </c>
      <c r="BB11" s="46">
        <f>104-(AU11+AW11+AY11+BA11)</f>
        <v/>
      </c>
      <c r="BC11" s="47">
        <f>RANK(BB11,BB$5:BB$22)</f>
        <v/>
      </c>
      <c r="BD11" s="56" t="n"/>
      <c r="BE11" s="53">
        <f>VLOOKUP($A11,INDIRECT("'"&amp;$B$1&amp;"'!$A:$IZ"),80,FALSE)</f>
        <v/>
      </c>
      <c r="BF11" s="54">
        <f>RANK(BE11,BE$5:BE$22)</f>
        <v/>
      </c>
      <c r="BG11" s="53">
        <f>VLOOKUP($A11,INDIRECT("'"&amp;$B$1&amp;"'!$A:$IZ"),177,FALSE)</f>
        <v/>
      </c>
      <c r="BH11" s="54">
        <f>RANK(BG11,BG$5:BG$22,1)</f>
        <v/>
      </c>
      <c r="BI11" s="53">
        <f>VLOOKUP($A11,INDIRECT("'"&amp;$B$1&amp;"'!$A:$IZ"),79,FALSE)</f>
        <v/>
      </c>
      <c r="BJ11" s="54">
        <f>RANK(BI11,BI$5:BI$22)</f>
        <v/>
      </c>
      <c r="BK11" s="53">
        <f>VLOOKUP($A11,INDIRECT("'"&amp;$B$1&amp;"'!$A:$IZ"),176,FALSE)</f>
        <v/>
      </c>
      <c r="BL11" s="54">
        <f>RANK(BK11,BK$5:BK$22,1)</f>
        <v/>
      </c>
      <c r="BM11" s="53">
        <f>VLOOKUP($A11,INDIRECT("'"&amp;$B$1&amp;"'!$A:$IZ"),11,FALSE)</f>
        <v/>
      </c>
      <c r="BN11" s="54">
        <f>RANK(BM11,BM$5:BM$22)</f>
        <v/>
      </c>
      <c r="BO11" s="53">
        <f>VLOOKUP($A11,INDIRECT("'"&amp;$B$1&amp;"'!$A:$IZ"),222,FALSE)</f>
        <v/>
      </c>
      <c r="BP11" s="54">
        <f>RANK(BO11,BO$5:BO$22)</f>
        <v/>
      </c>
      <c r="BQ11" s="65">
        <f>106-(BF11+BH11+BN11+BP11+BJ11+BL11)</f>
        <v/>
      </c>
      <c r="BR11" s="47">
        <f>RANK(BQ11,BQ$5:BQ$22)</f>
        <v/>
      </c>
      <c r="BS11" s="56" t="n"/>
      <c r="BT11" s="57">
        <f>VLOOKUP($A11,'Ratings Season'!$A:$M,10,FALSE)</f>
        <v/>
      </c>
      <c r="BU11" s="54">
        <f>RANK(BT11,BT$5:BT$22)</f>
        <v/>
      </c>
      <c r="BV11" s="57">
        <f>VLOOKUP($A11,'Ratings Season'!$A:$M,12,FALSE)</f>
        <v/>
      </c>
      <c r="BW11" s="54">
        <f>RANK(BV11,BV$5:BV$22)</f>
        <v/>
      </c>
      <c r="BX11" s="57">
        <f>VLOOKUP($A11,'Ratings Season'!$A:$M,8,FALSE)</f>
        <v/>
      </c>
      <c r="BY11" s="58">
        <f>RANK(BX11,BX$5:BX$22)</f>
        <v/>
      </c>
      <c r="BZ11" s="72" t="n"/>
    </row>
    <row r="12" ht="25" customFormat="1" customHeight="1" s="3">
      <c r="A12" s="82" t="inlineStr">
        <is>
          <t>Gold Coast</t>
        </is>
      </c>
      <c r="B12" s="53">
        <f>VLOOKUP($A12,INDIRECT("'"&amp;$B$1&amp;"'!$A:$IZ"),222,FALSE)</f>
        <v/>
      </c>
      <c r="C12" s="54">
        <f>RANK(B12,B$5:B$22)</f>
        <v/>
      </c>
      <c r="D12" s="55">
        <f>VLOOKUP($A12,INDIRECT("'"&amp;$B$1&amp;"'!$A:$IZ"),218,FALSE)</f>
        <v/>
      </c>
      <c r="E12" s="54">
        <f>RANK(D12,D$5:D$22)</f>
        <v/>
      </c>
      <c r="F12" s="55">
        <f>VLOOKUP($A12,INDIRECT("'"&amp;$B$1&amp;"'!$A:$IZ"),49,FALSE)</f>
        <v/>
      </c>
      <c r="G12" s="54">
        <f>RANK(F12,F$5:F$22)</f>
        <v/>
      </c>
      <c r="H12" s="55">
        <f>VLOOKUP($A12,INDIRECT("'"&amp;$B$1&amp;"'!$A:$IZ"),229,FALSE)</f>
        <v/>
      </c>
      <c r="I12" s="54">
        <f>RANK(H12,H$5:H$22)</f>
        <v/>
      </c>
      <c r="J12" s="49">
        <f>104-(C12+E12+G12+I12)</f>
        <v/>
      </c>
      <c r="K12" s="47">
        <f>RANK(J12,J$5:J$22)</f>
        <v/>
      </c>
      <c r="L12" s="56" t="n"/>
      <c r="M12" s="53">
        <f>VLOOKUP($A12,INDIRECT("'"&amp;$B$1&amp;"'!$A:$IZ"),88,FALSE)</f>
        <v/>
      </c>
      <c r="N12" s="54">
        <f>RANK(M12,M$5:M$22)</f>
        <v/>
      </c>
      <c r="O12" s="53">
        <f>VLOOKUP($A12,INDIRECT("'"&amp;$B$1&amp;"'!$A:$IZ"),84,FALSE)</f>
        <v/>
      </c>
      <c r="P12" s="54">
        <f>RANK(O12,O$5:O$22)</f>
        <v/>
      </c>
      <c r="Q12" s="53">
        <f>VLOOKUP($A12,INDIRECT("'"&amp;$B$1&amp;"'!$A:$IZ"),85,FALSE)</f>
        <v/>
      </c>
      <c r="R12" s="54">
        <f>RANK(Q12,Q$5:Q$22)</f>
        <v/>
      </c>
      <c r="S12" s="55">
        <f>VLOOKUP($A12,INDIRECT("'"&amp;$B$1&amp;"'!$A:$IZ"),29,FALSE)</f>
        <v/>
      </c>
      <c r="T12" s="54">
        <f>RANK(S12,S$5:S$22)</f>
        <v/>
      </c>
      <c r="U12" s="49">
        <f>104-(N12+P12+R12+T12)</f>
        <v/>
      </c>
      <c r="V12" s="47">
        <f>RANK(U12,U$5:U$22)</f>
        <v/>
      </c>
      <c r="W12" s="56" t="n"/>
      <c r="X12" s="53">
        <f>VLOOKUP($A12,INDIRECT("'"&amp;$B$1&amp;"'!$A:$IZ"),65,FALSE)</f>
        <v/>
      </c>
      <c r="Y12" s="54">
        <f>RANK(X12,X$5:X$22)</f>
        <v/>
      </c>
      <c r="Z12" s="53">
        <f>VLOOKUP($A12,INDIRECT("'"&amp;$B$1&amp;"'!$A:$IZ"),64,FALSE)</f>
        <v/>
      </c>
      <c r="AA12" s="54">
        <f>RANK(Z12,Z$5:Z$22)</f>
        <v/>
      </c>
      <c r="AB12" s="53">
        <f>VLOOKUP($A12,INDIRECT("'"&amp;$B$1&amp;"'!$A:$IZ"),63,FALSE)</f>
        <v/>
      </c>
      <c r="AC12" s="54">
        <f>RANK(AB12,AB$5:AB$22)</f>
        <v/>
      </c>
      <c r="AD12" s="53">
        <f>VLOOKUP($A12,INDIRECT("'"&amp;$B$1&amp;"'!$A:$IZ"),71,FALSE)</f>
        <v/>
      </c>
      <c r="AE12" s="54">
        <f>RANK(AD12,AD$5:AD$22)</f>
        <v/>
      </c>
      <c r="AF12" s="65">
        <f>104-(Y12+AA12+AC12+AE12)</f>
        <v/>
      </c>
      <c r="AG12" s="47">
        <f>RANK(AF12,AF$5:AF$22)</f>
        <v/>
      </c>
      <c r="AH12" s="56" t="n"/>
      <c r="AI12" s="53">
        <f>VLOOKUP($A12,INDIRECT("'"&amp;$B$1&amp;"'!$A:$IZ"),183,FALSE)</f>
        <v/>
      </c>
      <c r="AJ12" s="54">
        <f>RANK(AI12,AI$5:AI$22,1)</f>
        <v/>
      </c>
      <c r="AK12" s="53">
        <f>VLOOKUP($A12,INDIRECT("'"&amp;$B$1&amp;"'!$A:$IZ"),181,FALSE)</f>
        <v/>
      </c>
      <c r="AL12" s="54">
        <f>RANK(AK12,AK$5:AK$22,1)</f>
        <v/>
      </c>
      <c r="AM12" s="53">
        <f>VLOOKUP($A12,INDIRECT("'"&amp;$B$1&amp;"'!$A:$IZ"),182,FALSE)</f>
        <v/>
      </c>
      <c r="AN12" s="54">
        <f>RANK(AM12,AM$5:AM$22,1)</f>
        <v/>
      </c>
      <c r="AO12" s="53">
        <f>VLOOKUP($A12,INDIRECT("'"&amp;$B$1&amp;"'!$A:$IZ"),163,FALSE)</f>
        <v/>
      </c>
      <c r="AP12" s="54">
        <f>RANK(AO12,AO$5:AO$22,1)</f>
        <v/>
      </c>
      <c r="AQ12" s="65">
        <f>104-(AJ12+AL12+AN12+AP12)</f>
        <v/>
      </c>
      <c r="AR12" s="47">
        <f>RANK(AQ12,AQ$5:AQ$22)</f>
        <v/>
      </c>
      <c r="AS12" s="56" t="n"/>
      <c r="AT12" s="46">
        <f>VLOOKUP($A12,INDIRECT("'"&amp;$B$1&amp;"'!$A:$IZ"),250,FALSE)</f>
        <v/>
      </c>
      <c r="AU12" s="47">
        <f>RANK(AT12,AT$5:AT$22,0)</f>
        <v/>
      </c>
      <c r="AV12" s="46">
        <f>VLOOKUP($A12,INDIRECT("'"&amp;$B$1&amp;"'!$A:$IZ"),92,FALSE)</f>
        <v/>
      </c>
      <c r="AW12" s="47">
        <f>RANK(AV12,AV$5:AV$22,0)</f>
        <v/>
      </c>
      <c r="AX12" s="46">
        <f>VLOOKUP($A12,INDIRECT("'"&amp;$B$1&amp;"'!$A:$IZ"),93,FALSE)</f>
        <v/>
      </c>
      <c r="AY12" s="47">
        <f>RANK(AX12,AX$5:AX$22,0)</f>
        <v/>
      </c>
      <c r="AZ12" s="46">
        <f>VLOOKUP($A12,INDIRECT("'"&amp;$B$1&amp;"'!$A:$IZ"),108,FALSE)</f>
        <v/>
      </c>
      <c r="BA12" s="47">
        <f>RANK(AZ12,AZ$5:AZ$22,0)</f>
        <v/>
      </c>
      <c r="BB12" s="46">
        <f>104-(AU12+AW12+AY12+BA12)</f>
        <v/>
      </c>
      <c r="BC12" s="47">
        <f>RANK(BB12,BB$5:BB$22)</f>
        <v/>
      </c>
      <c r="BD12" s="56" t="n"/>
      <c r="BE12" s="53">
        <f>VLOOKUP($A12,INDIRECT("'"&amp;$B$1&amp;"'!$A:$IZ"),80,FALSE)</f>
        <v/>
      </c>
      <c r="BF12" s="54">
        <f>RANK(BE12,BE$5:BE$22)</f>
        <v/>
      </c>
      <c r="BG12" s="53">
        <f>VLOOKUP($A12,INDIRECT("'"&amp;$B$1&amp;"'!$A:$IZ"),177,FALSE)</f>
        <v/>
      </c>
      <c r="BH12" s="54">
        <f>RANK(BG12,BG$5:BG$22,1)</f>
        <v/>
      </c>
      <c r="BI12" s="53">
        <f>VLOOKUP($A12,INDIRECT("'"&amp;$B$1&amp;"'!$A:$IZ"),79,FALSE)</f>
        <v/>
      </c>
      <c r="BJ12" s="54">
        <f>RANK(BI12,BI$5:BI$22)</f>
        <v/>
      </c>
      <c r="BK12" s="53">
        <f>VLOOKUP($A12,INDIRECT("'"&amp;$B$1&amp;"'!$A:$IZ"),176,FALSE)</f>
        <v/>
      </c>
      <c r="BL12" s="54">
        <f>RANK(BK12,BK$5:BK$22,1)</f>
        <v/>
      </c>
      <c r="BM12" s="53">
        <f>VLOOKUP($A12,INDIRECT("'"&amp;$B$1&amp;"'!$A:$IZ"),11,FALSE)</f>
        <v/>
      </c>
      <c r="BN12" s="54">
        <f>RANK(BM12,BM$5:BM$22)</f>
        <v/>
      </c>
      <c r="BO12" s="53">
        <f>VLOOKUP($A12,INDIRECT("'"&amp;$B$1&amp;"'!$A:$IZ"),222,FALSE)</f>
        <v/>
      </c>
      <c r="BP12" s="54">
        <f>RANK(BO12,BO$5:BO$22)</f>
        <v/>
      </c>
      <c r="BQ12" s="65">
        <f>106-(BF12+BH12+BN12+BP12+BJ12+BL12)</f>
        <v/>
      </c>
      <c r="BR12" s="47">
        <f>RANK(BQ12,BQ$5:BQ$22)</f>
        <v/>
      </c>
      <c r="BS12" s="56" t="n"/>
      <c r="BT12" s="57">
        <f>VLOOKUP($A12,'Ratings Season'!$A:$M,10,FALSE)</f>
        <v/>
      </c>
      <c r="BU12" s="54">
        <f>RANK(BT12,BT$5:BT$22)</f>
        <v/>
      </c>
      <c r="BV12" s="57">
        <f>VLOOKUP($A12,'Ratings Season'!$A:$M,12,FALSE)</f>
        <v/>
      </c>
      <c r="BW12" s="54">
        <f>RANK(BV12,BV$5:BV$22)</f>
        <v/>
      </c>
      <c r="BX12" s="57">
        <f>VLOOKUP($A12,'Ratings Season'!$A:$M,8,FALSE)</f>
        <v/>
      </c>
      <c r="BY12" s="58">
        <f>RANK(BX12,BX$5:BX$22)</f>
        <v/>
      </c>
      <c r="BZ12" s="72" t="n"/>
    </row>
    <row r="13" ht="25" customFormat="1" customHeight="1" s="3">
      <c r="A13" s="83" t="inlineStr">
        <is>
          <t>Greater Western Sydney</t>
        </is>
      </c>
      <c r="B13" s="53">
        <f>VLOOKUP($A13,INDIRECT("'"&amp;$B$1&amp;"'!$A:$IZ"),222,FALSE)</f>
        <v/>
      </c>
      <c r="C13" s="54">
        <f>RANK(B13,B$5:B$22)</f>
        <v/>
      </c>
      <c r="D13" s="55">
        <f>VLOOKUP($A13,INDIRECT("'"&amp;$B$1&amp;"'!$A:$IZ"),218,FALSE)</f>
        <v/>
      </c>
      <c r="E13" s="54">
        <f>RANK(D13,D$5:D$22)</f>
        <v/>
      </c>
      <c r="F13" s="55">
        <f>VLOOKUP($A13,INDIRECT("'"&amp;$B$1&amp;"'!$A:$IZ"),49,FALSE)</f>
        <v/>
      </c>
      <c r="G13" s="54">
        <f>RANK(F13,F$5:F$22)</f>
        <v/>
      </c>
      <c r="H13" s="55">
        <f>VLOOKUP($A13,INDIRECT("'"&amp;$B$1&amp;"'!$A:$IZ"),229,FALSE)</f>
        <v/>
      </c>
      <c r="I13" s="54">
        <f>RANK(H13,H$5:H$22)</f>
        <v/>
      </c>
      <c r="J13" s="49">
        <f>104-(C13+E13+G13+I13)</f>
        <v/>
      </c>
      <c r="K13" s="47">
        <f>RANK(J13,J$5:J$22)</f>
        <v/>
      </c>
      <c r="L13" s="56" t="n"/>
      <c r="M13" s="53">
        <f>VLOOKUP($A13,INDIRECT("'"&amp;$B$1&amp;"'!$A:$IZ"),88,FALSE)</f>
        <v/>
      </c>
      <c r="N13" s="54">
        <f>RANK(M13,M$5:M$22)</f>
        <v/>
      </c>
      <c r="O13" s="53">
        <f>VLOOKUP($A13,INDIRECT("'"&amp;$B$1&amp;"'!$A:$IZ"),84,FALSE)</f>
        <v/>
      </c>
      <c r="P13" s="54">
        <f>RANK(O13,O$5:O$22)</f>
        <v/>
      </c>
      <c r="Q13" s="53">
        <f>VLOOKUP($A13,INDIRECT("'"&amp;$B$1&amp;"'!$A:$IZ"),85,FALSE)</f>
        <v/>
      </c>
      <c r="R13" s="54">
        <f>RANK(Q13,Q$5:Q$22)</f>
        <v/>
      </c>
      <c r="S13" s="55">
        <f>VLOOKUP($A13,INDIRECT("'"&amp;$B$1&amp;"'!$A:$IZ"),29,FALSE)</f>
        <v/>
      </c>
      <c r="T13" s="54">
        <f>RANK(S13,S$5:S$22)</f>
        <v/>
      </c>
      <c r="U13" s="49">
        <f>104-(N13+P13+R13+T13)</f>
        <v/>
      </c>
      <c r="V13" s="47">
        <f>RANK(U13,U$5:U$22)</f>
        <v/>
      </c>
      <c r="W13" s="56" t="n"/>
      <c r="X13" s="53">
        <f>VLOOKUP($A13,INDIRECT("'"&amp;$B$1&amp;"'!$A:$IZ"),65,FALSE)</f>
        <v/>
      </c>
      <c r="Y13" s="54">
        <f>RANK(X13,X$5:X$22)</f>
        <v/>
      </c>
      <c r="Z13" s="53">
        <f>VLOOKUP($A13,INDIRECT("'"&amp;$B$1&amp;"'!$A:$IZ"),64,FALSE)</f>
        <v/>
      </c>
      <c r="AA13" s="54">
        <f>RANK(Z13,Z$5:Z$22)</f>
        <v/>
      </c>
      <c r="AB13" s="53">
        <f>VLOOKUP($A13,INDIRECT("'"&amp;$B$1&amp;"'!$A:$IZ"),63,FALSE)</f>
        <v/>
      </c>
      <c r="AC13" s="54">
        <f>RANK(AB13,AB$5:AB$22)</f>
        <v/>
      </c>
      <c r="AD13" s="53">
        <f>VLOOKUP($A13,INDIRECT("'"&amp;$B$1&amp;"'!$A:$IZ"),71,FALSE)</f>
        <v/>
      </c>
      <c r="AE13" s="54">
        <f>RANK(AD13,AD$5:AD$22)</f>
        <v/>
      </c>
      <c r="AF13" s="65">
        <f>104-(Y13+AA13+AC13+AE13)</f>
        <v/>
      </c>
      <c r="AG13" s="47">
        <f>RANK(AF13,AF$5:AF$22)</f>
        <v/>
      </c>
      <c r="AH13" s="56" t="n"/>
      <c r="AI13" s="53">
        <f>VLOOKUP($A13,INDIRECT("'"&amp;$B$1&amp;"'!$A:$IZ"),183,FALSE)</f>
        <v/>
      </c>
      <c r="AJ13" s="54">
        <f>RANK(AI13,AI$5:AI$22,1)</f>
        <v/>
      </c>
      <c r="AK13" s="53">
        <f>VLOOKUP($A13,INDIRECT("'"&amp;$B$1&amp;"'!$A:$IZ"),181,FALSE)</f>
        <v/>
      </c>
      <c r="AL13" s="54">
        <f>RANK(AK13,AK$5:AK$22,1)</f>
        <v/>
      </c>
      <c r="AM13" s="53">
        <f>VLOOKUP($A13,INDIRECT("'"&amp;$B$1&amp;"'!$A:$IZ"),182,FALSE)</f>
        <v/>
      </c>
      <c r="AN13" s="54">
        <f>RANK(AM13,AM$5:AM$22,1)</f>
        <v/>
      </c>
      <c r="AO13" s="53">
        <f>VLOOKUP($A13,INDIRECT("'"&amp;$B$1&amp;"'!$A:$IZ"),163,FALSE)</f>
        <v/>
      </c>
      <c r="AP13" s="54">
        <f>RANK(AO13,AO$5:AO$22,1)</f>
        <v/>
      </c>
      <c r="AQ13" s="65">
        <f>104-(AJ13+AL13+AN13+AP13)</f>
        <v/>
      </c>
      <c r="AR13" s="47">
        <f>RANK(AQ13,AQ$5:AQ$22)</f>
        <v/>
      </c>
      <c r="AS13" s="56" t="n"/>
      <c r="AT13" s="46">
        <f>VLOOKUP($A13,INDIRECT("'"&amp;$B$1&amp;"'!$A:$IZ"),250,FALSE)</f>
        <v/>
      </c>
      <c r="AU13" s="47">
        <f>RANK(AT13,AT$5:AT$22,0)</f>
        <v/>
      </c>
      <c r="AV13" s="46">
        <f>VLOOKUP($A13,INDIRECT("'"&amp;$B$1&amp;"'!$A:$IZ"),92,FALSE)</f>
        <v/>
      </c>
      <c r="AW13" s="47">
        <f>RANK(AV13,AV$5:AV$22,0)</f>
        <v/>
      </c>
      <c r="AX13" s="46">
        <f>VLOOKUP($A13,INDIRECT("'"&amp;$B$1&amp;"'!$A:$IZ"),93,FALSE)</f>
        <v/>
      </c>
      <c r="AY13" s="47">
        <f>RANK(AX13,AX$5:AX$22,0)</f>
        <v/>
      </c>
      <c r="AZ13" s="46">
        <f>VLOOKUP($A13,INDIRECT("'"&amp;$B$1&amp;"'!$A:$IZ"),108,FALSE)</f>
        <v/>
      </c>
      <c r="BA13" s="47">
        <f>RANK(AZ13,AZ$5:AZ$22,0)</f>
        <v/>
      </c>
      <c r="BB13" s="46">
        <f>104-(AU13+AW13+AY13+BA13)</f>
        <v/>
      </c>
      <c r="BC13" s="47">
        <f>RANK(BB13,BB$5:BB$22)</f>
        <v/>
      </c>
      <c r="BD13" s="56" t="n"/>
      <c r="BE13" s="53">
        <f>VLOOKUP($A13,INDIRECT("'"&amp;$B$1&amp;"'!$A:$IZ"),80,FALSE)</f>
        <v/>
      </c>
      <c r="BF13" s="54">
        <f>RANK(BE13,BE$5:BE$22)</f>
        <v/>
      </c>
      <c r="BG13" s="53">
        <f>VLOOKUP($A13,INDIRECT("'"&amp;$B$1&amp;"'!$A:$IZ"),177,FALSE)</f>
        <v/>
      </c>
      <c r="BH13" s="54">
        <f>RANK(BG13,BG$5:BG$22,1)</f>
        <v/>
      </c>
      <c r="BI13" s="53">
        <f>VLOOKUP($A13,INDIRECT("'"&amp;$B$1&amp;"'!$A:$IZ"),79,FALSE)</f>
        <v/>
      </c>
      <c r="BJ13" s="54">
        <f>RANK(BI13,BI$5:BI$22)</f>
        <v/>
      </c>
      <c r="BK13" s="53">
        <f>VLOOKUP($A13,INDIRECT("'"&amp;$B$1&amp;"'!$A:$IZ"),176,FALSE)</f>
        <v/>
      </c>
      <c r="BL13" s="54">
        <f>RANK(BK13,BK$5:BK$22,1)</f>
        <v/>
      </c>
      <c r="BM13" s="53">
        <f>VLOOKUP($A13,INDIRECT("'"&amp;$B$1&amp;"'!$A:$IZ"),11,FALSE)</f>
        <v/>
      </c>
      <c r="BN13" s="54">
        <f>RANK(BM13,BM$5:BM$22)</f>
        <v/>
      </c>
      <c r="BO13" s="53">
        <f>VLOOKUP($A13,INDIRECT("'"&amp;$B$1&amp;"'!$A:$IZ"),222,FALSE)</f>
        <v/>
      </c>
      <c r="BP13" s="54">
        <f>RANK(BO13,BO$5:BO$22)</f>
        <v/>
      </c>
      <c r="BQ13" s="65">
        <f>106-(BF13+BH13+BN13+BP13+BJ13+BL13)</f>
        <v/>
      </c>
      <c r="BR13" s="47">
        <f>RANK(BQ13,BQ$5:BQ$22)</f>
        <v/>
      </c>
      <c r="BS13" s="56" t="n"/>
      <c r="BT13" s="57">
        <f>VLOOKUP($A13,'Ratings Season'!$A:$M,10,FALSE)</f>
        <v/>
      </c>
      <c r="BU13" s="54">
        <f>RANK(BT13,BT$5:BT$22)</f>
        <v/>
      </c>
      <c r="BV13" s="57">
        <f>VLOOKUP($A13,'Ratings Season'!$A:$M,12,FALSE)</f>
        <v/>
      </c>
      <c r="BW13" s="54">
        <f>RANK(BV13,BV$5:BV$22)</f>
        <v/>
      </c>
      <c r="BX13" s="57">
        <f>VLOOKUP($A13,'Ratings Season'!$A:$M,8,FALSE)</f>
        <v/>
      </c>
      <c r="BY13" s="58">
        <f>RANK(BX13,BX$5:BX$22)</f>
        <v/>
      </c>
      <c r="BZ13" s="72" t="n"/>
    </row>
    <row r="14" ht="25" customFormat="1" customHeight="1" s="3">
      <c r="A14" s="84" t="inlineStr">
        <is>
          <t>Hawthorn</t>
        </is>
      </c>
      <c r="B14" s="53">
        <f>VLOOKUP($A14,INDIRECT("'"&amp;$B$1&amp;"'!$A:$IZ"),222,FALSE)</f>
        <v/>
      </c>
      <c r="C14" s="54">
        <f>RANK(B14,B$5:B$22)</f>
        <v/>
      </c>
      <c r="D14" s="55">
        <f>VLOOKUP($A14,INDIRECT("'"&amp;$B$1&amp;"'!$A:$IZ"),218,FALSE)</f>
        <v/>
      </c>
      <c r="E14" s="54">
        <f>RANK(D14,D$5:D$22)</f>
        <v/>
      </c>
      <c r="F14" s="55">
        <f>VLOOKUP($A14,INDIRECT("'"&amp;$B$1&amp;"'!$A:$IZ"),49,FALSE)</f>
        <v/>
      </c>
      <c r="G14" s="54">
        <f>RANK(F14,F$5:F$22)</f>
        <v/>
      </c>
      <c r="H14" s="55">
        <f>VLOOKUP($A14,INDIRECT("'"&amp;$B$1&amp;"'!$A:$IZ"),229,FALSE)</f>
        <v/>
      </c>
      <c r="I14" s="54">
        <f>RANK(H14,H$5:H$22)</f>
        <v/>
      </c>
      <c r="J14" s="49">
        <f>104-(C14+E14+G14+I14)</f>
        <v/>
      </c>
      <c r="K14" s="47">
        <f>RANK(J14,J$5:J$22)</f>
        <v/>
      </c>
      <c r="L14" s="56" t="n"/>
      <c r="M14" s="53">
        <f>VLOOKUP($A14,INDIRECT("'"&amp;$B$1&amp;"'!$A:$IZ"),88,FALSE)</f>
        <v/>
      </c>
      <c r="N14" s="54">
        <f>RANK(M14,M$5:M$22)</f>
        <v/>
      </c>
      <c r="O14" s="53">
        <f>VLOOKUP($A14,INDIRECT("'"&amp;$B$1&amp;"'!$A:$IZ"),84,FALSE)</f>
        <v/>
      </c>
      <c r="P14" s="54">
        <f>RANK(O14,O$5:O$22)</f>
        <v/>
      </c>
      <c r="Q14" s="53">
        <f>VLOOKUP($A14,INDIRECT("'"&amp;$B$1&amp;"'!$A:$IZ"),85,FALSE)</f>
        <v/>
      </c>
      <c r="R14" s="54">
        <f>RANK(Q14,Q$5:Q$22)</f>
        <v/>
      </c>
      <c r="S14" s="55">
        <f>VLOOKUP($A14,INDIRECT("'"&amp;$B$1&amp;"'!$A:$IZ"),29,FALSE)</f>
        <v/>
      </c>
      <c r="T14" s="54">
        <f>RANK(S14,S$5:S$22)</f>
        <v/>
      </c>
      <c r="U14" s="49">
        <f>104-(N14+P14+R14+T14)</f>
        <v/>
      </c>
      <c r="V14" s="47">
        <f>RANK(U14,U$5:U$22)</f>
        <v/>
      </c>
      <c r="W14" s="56" t="n"/>
      <c r="X14" s="53">
        <f>VLOOKUP($A14,INDIRECT("'"&amp;$B$1&amp;"'!$A:$IZ"),65,FALSE)</f>
        <v/>
      </c>
      <c r="Y14" s="54">
        <f>RANK(X14,X$5:X$22)</f>
        <v/>
      </c>
      <c r="Z14" s="53">
        <f>VLOOKUP($A14,INDIRECT("'"&amp;$B$1&amp;"'!$A:$IZ"),64,FALSE)</f>
        <v/>
      </c>
      <c r="AA14" s="54">
        <f>RANK(Z14,Z$5:Z$22)</f>
        <v/>
      </c>
      <c r="AB14" s="53">
        <f>VLOOKUP($A14,INDIRECT("'"&amp;$B$1&amp;"'!$A:$IZ"),63,FALSE)</f>
        <v/>
      </c>
      <c r="AC14" s="54">
        <f>RANK(AB14,AB$5:AB$22)</f>
        <v/>
      </c>
      <c r="AD14" s="53">
        <f>VLOOKUP($A14,INDIRECT("'"&amp;$B$1&amp;"'!$A:$IZ"),71,FALSE)</f>
        <v/>
      </c>
      <c r="AE14" s="54">
        <f>RANK(AD14,AD$5:AD$22)</f>
        <v/>
      </c>
      <c r="AF14" s="65">
        <f>104-(Y14+AA14+AC14+AE14)</f>
        <v/>
      </c>
      <c r="AG14" s="47">
        <f>RANK(AF14,AF$5:AF$22)</f>
        <v/>
      </c>
      <c r="AH14" s="56" t="n"/>
      <c r="AI14" s="53">
        <f>VLOOKUP($A14,INDIRECT("'"&amp;$B$1&amp;"'!$A:$IZ"),183,FALSE)</f>
        <v/>
      </c>
      <c r="AJ14" s="54">
        <f>RANK(AI14,AI$5:AI$22,1)</f>
        <v/>
      </c>
      <c r="AK14" s="53">
        <f>VLOOKUP($A14,INDIRECT("'"&amp;$B$1&amp;"'!$A:$IZ"),181,FALSE)</f>
        <v/>
      </c>
      <c r="AL14" s="54">
        <f>RANK(AK14,AK$5:AK$22,1)</f>
        <v/>
      </c>
      <c r="AM14" s="53">
        <f>VLOOKUP($A14,INDIRECT("'"&amp;$B$1&amp;"'!$A:$IZ"),182,FALSE)</f>
        <v/>
      </c>
      <c r="AN14" s="54">
        <f>RANK(AM14,AM$5:AM$22,1)</f>
        <v/>
      </c>
      <c r="AO14" s="53">
        <f>VLOOKUP($A14,INDIRECT("'"&amp;$B$1&amp;"'!$A:$IZ"),163,FALSE)</f>
        <v/>
      </c>
      <c r="AP14" s="54">
        <f>RANK(AO14,AO$5:AO$22,1)</f>
        <v/>
      </c>
      <c r="AQ14" s="65">
        <f>104-(AJ14+AL14+AN14+AP14)</f>
        <v/>
      </c>
      <c r="AR14" s="47">
        <f>RANK(AQ14,AQ$5:AQ$22)</f>
        <v/>
      </c>
      <c r="AS14" s="56" t="n"/>
      <c r="AT14" s="46">
        <f>VLOOKUP($A14,INDIRECT("'"&amp;$B$1&amp;"'!$A:$IZ"),250,FALSE)</f>
        <v/>
      </c>
      <c r="AU14" s="47">
        <f>RANK(AT14,AT$5:AT$22,0)</f>
        <v/>
      </c>
      <c r="AV14" s="46">
        <f>VLOOKUP($A14,INDIRECT("'"&amp;$B$1&amp;"'!$A:$IZ"),92,FALSE)</f>
        <v/>
      </c>
      <c r="AW14" s="47">
        <f>RANK(AV14,AV$5:AV$22,0)</f>
        <v/>
      </c>
      <c r="AX14" s="46">
        <f>VLOOKUP($A14,INDIRECT("'"&amp;$B$1&amp;"'!$A:$IZ"),93,FALSE)</f>
        <v/>
      </c>
      <c r="AY14" s="47">
        <f>RANK(AX14,AX$5:AX$22,0)</f>
        <v/>
      </c>
      <c r="AZ14" s="46">
        <f>VLOOKUP($A14,INDIRECT("'"&amp;$B$1&amp;"'!$A:$IZ"),108,FALSE)</f>
        <v/>
      </c>
      <c r="BA14" s="47">
        <f>RANK(AZ14,AZ$5:AZ$22,0)</f>
        <v/>
      </c>
      <c r="BB14" s="46">
        <f>104-(AU14+AW14+AY14+BA14)</f>
        <v/>
      </c>
      <c r="BC14" s="47">
        <f>RANK(BB14,BB$5:BB$22)</f>
        <v/>
      </c>
      <c r="BD14" s="56" t="n"/>
      <c r="BE14" s="53">
        <f>VLOOKUP($A14,INDIRECT("'"&amp;$B$1&amp;"'!$A:$IZ"),80,FALSE)</f>
        <v/>
      </c>
      <c r="BF14" s="54">
        <f>RANK(BE14,BE$5:BE$22)</f>
        <v/>
      </c>
      <c r="BG14" s="53">
        <f>VLOOKUP($A14,INDIRECT("'"&amp;$B$1&amp;"'!$A:$IZ"),177,FALSE)</f>
        <v/>
      </c>
      <c r="BH14" s="54">
        <f>RANK(BG14,BG$5:BG$22,1)</f>
        <v/>
      </c>
      <c r="BI14" s="53">
        <f>VLOOKUP($A14,INDIRECT("'"&amp;$B$1&amp;"'!$A:$IZ"),79,FALSE)</f>
        <v/>
      </c>
      <c r="BJ14" s="54">
        <f>RANK(BI14,BI$5:BI$22)</f>
        <v/>
      </c>
      <c r="BK14" s="53">
        <f>VLOOKUP($A14,INDIRECT("'"&amp;$B$1&amp;"'!$A:$IZ"),176,FALSE)</f>
        <v/>
      </c>
      <c r="BL14" s="54">
        <f>RANK(BK14,BK$5:BK$22,1)</f>
        <v/>
      </c>
      <c r="BM14" s="53">
        <f>VLOOKUP($A14,INDIRECT("'"&amp;$B$1&amp;"'!$A:$IZ"),11,FALSE)</f>
        <v/>
      </c>
      <c r="BN14" s="54">
        <f>RANK(BM14,BM$5:BM$22)</f>
        <v/>
      </c>
      <c r="BO14" s="53">
        <f>VLOOKUP($A14,INDIRECT("'"&amp;$B$1&amp;"'!$A:$IZ"),222,FALSE)</f>
        <v/>
      </c>
      <c r="BP14" s="54">
        <f>RANK(BO14,BO$5:BO$22)</f>
        <v/>
      </c>
      <c r="BQ14" s="65">
        <f>106-(BF14+BH14+BN14+BP14+BJ14+BL14)</f>
        <v/>
      </c>
      <c r="BR14" s="47">
        <f>RANK(BQ14,BQ$5:BQ$22)</f>
        <v/>
      </c>
      <c r="BS14" s="56" t="n"/>
      <c r="BT14" s="57">
        <f>VLOOKUP($A14,'Ratings Season'!$A:$M,10,FALSE)</f>
        <v/>
      </c>
      <c r="BU14" s="54">
        <f>RANK(BT14,BT$5:BT$22)</f>
        <v/>
      </c>
      <c r="BV14" s="57">
        <f>VLOOKUP($A14,'Ratings Season'!$A:$M,12,FALSE)</f>
        <v/>
      </c>
      <c r="BW14" s="54">
        <f>RANK(BV14,BV$5:BV$22)</f>
        <v/>
      </c>
      <c r="BX14" s="57">
        <f>VLOOKUP($A14,'Ratings Season'!$A:$M,8,FALSE)</f>
        <v/>
      </c>
      <c r="BY14" s="58">
        <f>RANK(BX14,BX$5:BX$22)</f>
        <v/>
      </c>
      <c r="BZ14" s="72" t="n"/>
    </row>
    <row r="15" ht="25" customFormat="1" customHeight="1" s="3">
      <c r="A15" s="85" t="inlineStr">
        <is>
          <t>Melbourne</t>
        </is>
      </c>
      <c r="B15" s="53">
        <f>VLOOKUP($A15,INDIRECT("'"&amp;$B$1&amp;"'!$A:$IZ"),222,FALSE)</f>
        <v/>
      </c>
      <c r="C15" s="54">
        <f>RANK(B15,B$5:B$22)</f>
        <v/>
      </c>
      <c r="D15" s="55">
        <f>VLOOKUP($A15,INDIRECT("'"&amp;$B$1&amp;"'!$A:$IZ"),218,FALSE)</f>
        <v/>
      </c>
      <c r="E15" s="54">
        <f>RANK(D15,D$5:D$22)</f>
        <v/>
      </c>
      <c r="F15" s="55">
        <f>VLOOKUP($A15,INDIRECT("'"&amp;$B$1&amp;"'!$A:$IZ"),49,FALSE)</f>
        <v/>
      </c>
      <c r="G15" s="54">
        <f>RANK(F15,F$5:F$22)</f>
        <v/>
      </c>
      <c r="H15" s="55">
        <f>VLOOKUP($A15,INDIRECT("'"&amp;$B$1&amp;"'!$A:$IZ"),229,FALSE)</f>
        <v/>
      </c>
      <c r="I15" s="54">
        <f>RANK(H15,H$5:H$22)</f>
        <v/>
      </c>
      <c r="J15" s="49">
        <f>104-(C15+E15+G15+I15)</f>
        <v/>
      </c>
      <c r="K15" s="47">
        <f>RANK(J15,J$5:J$22)</f>
        <v/>
      </c>
      <c r="L15" s="56" t="n"/>
      <c r="M15" s="53">
        <f>VLOOKUP($A15,INDIRECT("'"&amp;$B$1&amp;"'!$A:$IZ"),88,FALSE)</f>
        <v/>
      </c>
      <c r="N15" s="54">
        <f>RANK(M15,M$5:M$22)</f>
        <v/>
      </c>
      <c r="O15" s="53">
        <f>VLOOKUP($A15,INDIRECT("'"&amp;$B$1&amp;"'!$A:$IZ"),84,FALSE)</f>
        <v/>
      </c>
      <c r="P15" s="54">
        <f>RANK(O15,O$5:O$22)</f>
        <v/>
      </c>
      <c r="Q15" s="53">
        <f>VLOOKUP($A15,INDIRECT("'"&amp;$B$1&amp;"'!$A:$IZ"),85,FALSE)</f>
        <v/>
      </c>
      <c r="R15" s="54">
        <f>RANK(Q15,Q$5:Q$22)</f>
        <v/>
      </c>
      <c r="S15" s="55">
        <f>VLOOKUP($A15,INDIRECT("'"&amp;$B$1&amp;"'!$A:$IZ"),29,FALSE)</f>
        <v/>
      </c>
      <c r="T15" s="54">
        <f>RANK(S15,S$5:S$22)</f>
        <v/>
      </c>
      <c r="U15" s="49">
        <f>104-(N15+P15+R15+T15)</f>
        <v/>
      </c>
      <c r="V15" s="47">
        <f>RANK(U15,U$5:U$22)</f>
        <v/>
      </c>
      <c r="W15" s="56" t="n"/>
      <c r="X15" s="53">
        <f>VLOOKUP($A15,INDIRECT("'"&amp;$B$1&amp;"'!$A:$IZ"),65,FALSE)</f>
        <v/>
      </c>
      <c r="Y15" s="54">
        <f>RANK(X15,X$5:X$22)</f>
        <v/>
      </c>
      <c r="Z15" s="53">
        <f>VLOOKUP($A15,INDIRECT("'"&amp;$B$1&amp;"'!$A:$IZ"),64,FALSE)</f>
        <v/>
      </c>
      <c r="AA15" s="54">
        <f>RANK(Z15,Z$5:Z$22)</f>
        <v/>
      </c>
      <c r="AB15" s="53">
        <f>VLOOKUP($A15,INDIRECT("'"&amp;$B$1&amp;"'!$A:$IZ"),63,FALSE)</f>
        <v/>
      </c>
      <c r="AC15" s="54">
        <f>RANK(AB15,AB$5:AB$22)</f>
        <v/>
      </c>
      <c r="AD15" s="53">
        <f>VLOOKUP($A15,INDIRECT("'"&amp;$B$1&amp;"'!$A:$IZ"),71,FALSE)</f>
        <v/>
      </c>
      <c r="AE15" s="54">
        <f>RANK(AD15,AD$5:AD$22)</f>
        <v/>
      </c>
      <c r="AF15" s="65">
        <f>104-(Y15+AA15+AC15+AE15)</f>
        <v/>
      </c>
      <c r="AG15" s="47">
        <f>RANK(AF15,AF$5:AF$22)</f>
        <v/>
      </c>
      <c r="AH15" s="56" t="n"/>
      <c r="AI15" s="53">
        <f>VLOOKUP($A15,INDIRECT("'"&amp;$B$1&amp;"'!$A:$IZ"),183,FALSE)</f>
        <v/>
      </c>
      <c r="AJ15" s="54">
        <f>RANK(AI15,AI$5:AI$22,1)</f>
        <v/>
      </c>
      <c r="AK15" s="53">
        <f>VLOOKUP($A15,INDIRECT("'"&amp;$B$1&amp;"'!$A:$IZ"),181,FALSE)</f>
        <v/>
      </c>
      <c r="AL15" s="54">
        <f>RANK(AK15,AK$5:AK$22,1)</f>
        <v/>
      </c>
      <c r="AM15" s="53">
        <f>VLOOKUP($A15,INDIRECT("'"&amp;$B$1&amp;"'!$A:$IZ"),182,FALSE)</f>
        <v/>
      </c>
      <c r="AN15" s="54">
        <f>RANK(AM15,AM$5:AM$22,1)</f>
        <v/>
      </c>
      <c r="AO15" s="53">
        <f>VLOOKUP($A15,INDIRECT("'"&amp;$B$1&amp;"'!$A:$IZ"),163,FALSE)</f>
        <v/>
      </c>
      <c r="AP15" s="54">
        <f>RANK(AO15,AO$5:AO$22,1)</f>
        <v/>
      </c>
      <c r="AQ15" s="65">
        <f>104-(AJ15+AL15+AN15+AP15)</f>
        <v/>
      </c>
      <c r="AR15" s="47">
        <f>RANK(AQ15,AQ$5:AQ$22)</f>
        <v/>
      </c>
      <c r="AS15" s="56" t="n"/>
      <c r="AT15" s="46">
        <f>VLOOKUP($A15,INDIRECT("'"&amp;$B$1&amp;"'!$A:$IZ"),250,FALSE)</f>
        <v/>
      </c>
      <c r="AU15" s="47">
        <f>RANK(AT15,AT$5:AT$22,0)</f>
        <v/>
      </c>
      <c r="AV15" s="46">
        <f>VLOOKUP($A15,INDIRECT("'"&amp;$B$1&amp;"'!$A:$IZ"),92,FALSE)</f>
        <v/>
      </c>
      <c r="AW15" s="47">
        <f>RANK(AV15,AV$5:AV$22,0)</f>
        <v/>
      </c>
      <c r="AX15" s="46">
        <f>VLOOKUP($A15,INDIRECT("'"&amp;$B$1&amp;"'!$A:$IZ"),93,FALSE)</f>
        <v/>
      </c>
      <c r="AY15" s="47">
        <f>RANK(AX15,AX$5:AX$22,0)</f>
        <v/>
      </c>
      <c r="AZ15" s="46">
        <f>VLOOKUP($A15,INDIRECT("'"&amp;$B$1&amp;"'!$A:$IZ"),108,FALSE)</f>
        <v/>
      </c>
      <c r="BA15" s="47">
        <f>RANK(AZ15,AZ$5:AZ$22,0)</f>
        <v/>
      </c>
      <c r="BB15" s="46">
        <f>104-(AU15+AW15+AY15+BA15)</f>
        <v/>
      </c>
      <c r="BC15" s="47">
        <f>RANK(BB15,BB$5:BB$22)</f>
        <v/>
      </c>
      <c r="BD15" s="56" t="n"/>
      <c r="BE15" s="53">
        <f>VLOOKUP($A15,INDIRECT("'"&amp;$B$1&amp;"'!$A:$IZ"),80,FALSE)</f>
        <v/>
      </c>
      <c r="BF15" s="54">
        <f>RANK(BE15,BE$5:BE$22)</f>
        <v/>
      </c>
      <c r="BG15" s="53">
        <f>VLOOKUP($A15,INDIRECT("'"&amp;$B$1&amp;"'!$A:$IZ"),177,FALSE)</f>
        <v/>
      </c>
      <c r="BH15" s="54">
        <f>RANK(BG15,BG$5:BG$22,1)</f>
        <v/>
      </c>
      <c r="BI15" s="53">
        <f>VLOOKUP($A15,INDIRECT("'"&amp;$B$1&amp;"'!$A:$IZ"),79,FALSE)</f>
        <v/>
      </c>
      <c r="BJ15" s="54">
        <f>RANK(BI15,BI$5:BI$22)</f>
        <v/>
      </c>
      <c r="BK15" s="53">
        <f>VLOOKUP($A15,INDIRECT("'"&amp;$B$1&amp;"'!$A:$IZ"),176,FALSE)</f>
        <v/>
      </c>
      <c r="BL15" s="54">
        <f>RANK(BK15,BK$5:BK$22,1)</f>
        <v/>
      </c>
      <c r="BM15" s="53">
        <f>VLOOKUP($A15,INDIRECT("'"&amp;$B$1&amp;"'!$A:$IZ"),11,FALSE)</f>
        <v/>
      </c>
      <c r="BN15" s="54">
        <f>RANK(BM15,BM$5:BM$22)</f>
        <v/>
      </c>
      <c r="BO15" s="53">
        <f>VLOOKUP($A15,INDIRECT("'"&amp;$B$1&amp;"'!$A:$IZ"),222,FALSE)</f>
        <v/>
      </c>
      <c r="BP15" s="54">
        <f>RANK(BO15,BO$5:BO$22)</f>
        <v/>
      </c>
      <c r="BQ15" s="65">
        <f>106-(BF15+BH15+BN15+BP15+BJ15+BL15)</f>
        <v/>
      </c>
      <c r="BR15" s="47">
        <f>RANK(BQ15,BQ$5:BQ$22)</f>
        <v/>
      </c>
      <c r="BS15" s="56" t="n"/>
      <c r="BT15" s="57">
        <f>VLOOKUP($A15,'Ratings Season'!$A:$M,10,FALSE)</f>
        <v/>
      </c>
      <c r="BU15" s="54">
        <f>RANK(BT15,BT$5:BT$22)</f>
        <v/>
      </c>
      <c r="BV15" s="57">
        <f>VLOOKUP($A15,'Ratings Season'!$A:$M,12,FALSE)</f>
        <v/>
      </c>
      <c r="BW15" s="54">
        <f>RANK(BV15,BV$5:BV$22)</f>
        <v/>
      </c>
      <c r="BX15" s="57">
        <f>VLOOKUP($A15,'Ratings Season'!$A:$M,8,FALSE)</f>
        <v/>
      </c>
      <c r="BY15" s="58">
        <f>RANK(BX15,BX$5:BX$22)</f>
        <v/>
      </c>
      <c r="BZ15" s="72" t="n"/>
    </row>
    <row r="16" ht="25" customFormat="1" customHeight="1" s="3">
      <c r="A16" s="86" t="inlineStr">
        <is>
          <t>North Melbourne</t>
        </is>
      </c>
      <c r="B16" s="53">
        <f>VLOOKUP($A16,INDIRECT("'"&amp;$B$1&amp;"'!$A:$IZ"),222,FALSE)</f>
        <v/>
      </c>
      <c r="C16" s="54">
        <f>RANK(B16,B$5:B$22)</f>
        <v/>
      </c>
      <c r="D16" s="55">
        <f>VLOOKUP($A16,INDIRECT("'"&amp;$B$1&amp;"'!$A:$IZ"),218,FALSE)</f>
        <v/>
      </c>
      <c r="E16" s="54">
        <f>RANK(D16,D$5:D$22)</f>
        <v/>
      </c>
      <c r="F16" s="55">
        <f>VLOOKUP($A16,INDIRECT("'"&amp;$B$1&amp;"'!$A:$IZ"),49,FALSE)</f>
        <v/>
      </c>
      <c r="G16" s="54">
        <f>RANK(F16,F$5:F$22)</f>
        <v/>
      </c>
      <c r="H16" s="55">
        <f>VLOOKUP($A16,INDIRECT("'"&amp;$B$1&amp;"'!$A:$IZ"),229,FALSE)</f>
        <v/>
      </c>
      <c r="I16" s="54">
        <f>RANK(H16,H$5:H$22)</f>
        <v/>
      </c>
      <c r="J16" s="49">
        <f>104-(C16+E16+G16+I16)</f>
        <v/>
      </c>
      <c r="K16" s="47">
        <f>RANK(J16,J$5:J$22)</f>
        <v/>
      </c>
      <c r="L16" s="56" t="n"/>
      <c r="M16" s="53">
        <f>VLOOKUP($A16,INDIRECT("'"&amp;$B$1&amp;"'!$A:$IZ"),88,FALSE)</f>
        <v/>
      </c>
      <c r="N16" s="54">
        <f>RANK(M16,M$5:M$22)</f>
        <v/>
      </c>
      <c r="O16" s="53">
        <f>VLOOKUP($A16,INDIRECT("'"&amp;$B$1&amp;"'!$A:$IZ"),84,FALSE)</f>
        <v/>
      </c>
      <c r="P16" s="54">
        <f>RANK(O16,O$5:O$22)</f>
        <v/>
      </c>
      <c r="Q16" s="53">
        <f>VLOOKUP($A16,INDIRECT("'"&amp;$B$1&amp;"'!$A:$IZ"),85,FALSE)</f>
        <v/>
      </c>
      <c r="R16" s="54">
        <f>RANK(Q16,Q$5:Q$22)</f>
        <v/>
      </c>
      <c r="S16" s="55">
        <f>VLOOKUP($A16,INDIRECT("'"&amp;$B$1&amp;"'!$A:$IZ"),29,FALSE)</f>
        <v/>
      </c>
      <c r="T16" s="54">
        <f>RANK(S16,S$5:S$22)</f>
        <v/>
      </c>
      <c r="U16" s="49">
        <f>104-(N16+P16+R16+T16)</f>
        <v/>
      </c>
      <c r="V16" s="47">
        <f>RANK(U16,U$5:U$22)</f>
        <v/>
      </c>
      <c r="W16" s="56" t="n"/>
      <c r="X16" s="53">
        <f>VLOOKUP($A16,INDIRECT("'"&amp;$B$1&amp;"'!$A:$IZ"),65,FALSE)</f>
        <v/>
      </c>
      <c r="Y16" s="54">
        <f>RANK(X16,X$5:X$22)</f>
        <v/>
      </c>
      <c r="Z16" s="53">
        <f>VLOOKUP($A16,INDIRECT("'"&amp;$B$1&amp;"'!$A:$IZ"),64,FALSE)</f>
        <v/>
      </c>
      <c r="AA16" s="54">
        <f>RANK(Z16,Z$5:Z$22)</f>
        <v/>
      </c>
      <c r="AB16" s="53">
        <f>VLOOKUP($A16,INDIRECT("'"&amp;$B$1&amp;"'!$A:$IZ"),63,FALSE)</f>
        <v/>
      </c>
      <c r="AC16" s="54">
        <f>RANK(AB16,AB$5:AB$22)</f>
        <v/>
      </c>
      <c r="AD16" s="53">
        <f>VLOOKUP($A16,INDIRECT("'"&amp;$B$1&amp;"'!$A:$IZ"),71,FALSE)</f>
        <v/>
      </c>
      <c r="AE16" s="54">
        <f>RANK(AD16,AD$5:AD$22)</f>
        <v/>
      </c>
      <c r="AF16" s="65">
        <f>104-(Y16+AA16+AC16+AE16)</f>
        <v/>
      </c>
      <c r="AG16" s="47">
        <f>RANK(AF16,AF$5:AF$22)</f>
        <v/>
      </c>
      <c r="AH16" s="56" t="n"/>
      <c r="AI16" s="53">
        <f>VLOOKUP($A16,INDIRECT("'"&amp;$B$1&amp;"'!$A:$IZ"),183,FALSE)</f>
        <v/>
      </c>
      <c r="AJ16" s="54">
        <f>RANK(AI16,AI$5:AI$22,1)</f>
        <v/>
      </c>
      <c r="AK16" s="53">
        <f>VLOOKUP($A16,INDIRECT("'"&amp;$B$1&amp;"'!$A:$IZ"),181,FALSE)</f>
        <v/>
      </c>
      <c r="AL16" s="54">
        <f>RANK(AK16,AK$5:AK$22,1)</f>
        <v/>
      </c>
      <c r="AM16" s="53">
        <f>VLOOKUP($A16,INDIRECT("'"&amp;$B$1&amp;"'!$A:$IZ"),182,FALSE)</f>
        <v/>
      </c>
      <c r="AN16" s="54">
        <f>RANK(AM16,AM$5:AM$22,1)</f>
        <v/>
      </c>
      <c r="AO16" s="53">
        <f>VLOOKUP($A16,INDIRECT("'"&amp;$B$1&amp;"'!$A:$IZ"),163,FALSE)</f>
        <v/>
      </c>
      <c r="AP16" s="54">
        <f>RANK(AO16,AO$5:AO$22,1)</f>
        <v/>
      </c>
      <c r="AQ16" s="65">
        <f>104-(AJ16+AL16+AN16+AP16)</f>
        <v/>
      </c>
      <c r="AR16" s="47">
        <f>RANK(AQ16,AQ$5:AQ$22)</f>
        <v/>
      </c>
      <c r="AS16" s="56" t="n"/>
      <c r="AT16" s="46">
        <f>VLOOKUP($A16,INDIRECT("'"&amp;$B$1&amp;"'!$A:$IZ"),250,FALSE)</f>
        <v/>
      </c>
      <c r="AU16" s="47">
        <f>RANK(AT16,AT$5:AT$22,0)</f>
        <v/>
      </c>
      <c r="AV16" s="46">
        <f>VLOOKUP($A16,INDIRECT("'"&amp;$B$1&amp;"'!$A:$IZ"),92,FALSE)</f>
        <v/>
      </c>
      <c r="AW16" s="47">
        <f>RANK(AV16,AV$5:AV$22,0)</f>
        <v/>
      </c>
      <c r="AX16" s="46">
        <f>VLOOKUP($A16,INDIRECT("'"&amp;$B$1&amp;"'!$A:$IZ"),93,FALSE)</f>
        <v/>
      </c>
      <c r="AY16" s="47">
        <f>RANK(AX16,AX$5:AX$22,0)</f>
        <v/>
      </c>
      <c r="AZ16" s="46">
        <f>VLOOKUP($A16,INDIRECT("'"&amp;$B$1&amp;"'!$A:$IZ"),108,FALSE)</f>
        <v/>
      </c>
      <c r="BA16" s="47">
        <f>RANK(AZ16,AZ$5:AZ$22,0)</f>
        <v/>
      </c>
      <c r="BB16" s="46">
        <f>104-(AU16+AW16+AY16+BA16)</f>
        <v/>
      </c>
      <c r="BC16" s="47">
        <f>RANK(BB16,BB$5:BB$22)</f>
        <v/>
      </c>
      <c r="BD16" s="56" t="n"/>
      <c r="BE16" s="53">
        <f>VLOOKUP($A16,INDIRECT("'"&amp;$B$1&amp;"'!$A:$IZ"),80,FALSE)</f>
        <v/>
      </c>
      <c r="BF16" s="54">
        <f>RANK(BE16,BE$5:BE$22)</f>
        <v/>
      </c>
      <c r="BG16" s="53">
        <f>VLOOKUP($A16,INDIRECT("'"&amp;$B$1&amp;"'!$A:$IZ"),177,FALSE)</f>
        <v/>
      </c>
      <c r="BH16" s="54">
        <f>RANK(BG16,BG$5:BG$22,1)</f>
        <v/>
      </c>
      <c r="BI16" s="53">
        <f>VLOOKUP($A16,INDIRECT("'"&amp;$B$1&amp;"'!$A:$IZ"),79,FALSE)</f>
        <v/>
      </c>
      <c r="BJ16" s="54">
        <f>RANK(BI16,BI$5:BI$22)</f>
        <v/>
      </c>
      <c r="BK16" s="53">
        <f>VLOOKUP($A16,INDIRECT("'"&amp;$B$1&amp;"'!$A:$IZ"),176,FALSE)</f>
        <v/>
      </c>
      <c r="BL16" s="54">
        <f>RANK(BK16,BK$5:BK$22,1)</f>
        <v/>
      </c>
      <c r="BM16" s="53">
        <f>VLOOKUP($A16,INDIRECT("'"&amp;$B$1&amp;"'!$A:$IZ"),11,FALSE)</f>
        <v/>
      </c>
      <c r="BN16" s="54">
        <f>RANK(BM16,BM$5:BM$22)</f>
        <v/>
      </c>
      <c r="BO16" s="53">
        <f>VLOOKUP($A16,INDIRECT("'"&amp;$B$1&amp;"'!$A:$IZ"),222,FALSE)</f>
        <v/>
      </c>
      <c r="BP16" s="54">
        <f>RANK(BO16,BO$5:BO$22)</f>
        <v/>
      </c>
      <c r="BQ16" s="65">
        <f>106-(BF16+BH16+BN16+BP16+BJ16+BL16)</f>
        <v/>
      </c>
      <c r="BR16" s="47">
        <f>RANK(BQ16,BQ$5:BQ$22)</f>
        <v/>
      </c>
      <c r="BS16" s="56" t="n"/>
      <c r="BT16" s="57">
        <f>VLOOKUP($A16,'Ratings Season'!$A:$M,10,FALSE)</f>
        <v/>
      </c>
      <c r="BU16" s="54">
        <f>RANK(BT16,BT$5:BT$22)</f>
        <v/>
      </c>
      <c r="BV16" s="57">
        <f>VLOOKUP($A16,'Ratings Season'!$A:$M,12,FALSE)</f>
        <v/>
      </c>
      <c r="BW16" s="54">
        <f>RANK(BV16,BV$5:BV$22)</f>
        <v/>
      </c>
      <c r="BX16" s="57">
        <f>VLOOKUP($A16,'Ratings Season'!$A:$M,8,FALSE)</f>
        <v/>
      </c>
      <c r="BY16" s="58">
        <f>RANK(BX16,BX$5:BX$22)</f>
        <v/>
      </c>
      <c r="BZ16" s="72" t="n"/>
    </row>
    <row r="17" ht="25" customFormat="1" customHeight="1" s="3">
      <c r="A17" s="87" t="inlineStr">
        <is>
          <t>Port Adelaide</t>
        </is>
      </c>
      <c r="B17" s="53">
        <f>VLOOKUP($A17,INDIRECT("'"&amp;$B$1&amp;"'!$A:$IZ"),222,FALSE)</f>
        <v/>
      </c>
      <c r="C17" s="54">
        <f>RANK(B17,B$5:B$22)</f>
        <v/>
      </c>
      <c r="D17" s="55">
        <f>VLOOKUP($A17,INDIRECT("'"&amp;$B$1&amp;"'!$A:$IZ"),218,FALSE)</f>
        <v/>
      </c>
      <c r="E17" s="54">
        <f>RANK(D17,D$5:D$22)</f>
        <v/>
      </c>
      <c r="F17" s="55">
        <f>VLOOKUP($A17,INDIRECT("'"&amp;$B$1&amp;"'!$A:$IZ"),49,FALSE)</f>
        <v/>
      </c>
      <c r="G17" s="54">
        <f>RANK(F17,F$5:F$22)</f>
        <v/>
      </c>
      <c r="H17" s="55">
        <f>VLOOKUP($A17,INDIRECT("'"&amp;$B$1&amp;"'!$A:$IZ"),229,FALSE)</f>
        <v/>
      </c>
      <c r="I17" s="54">
        <f>RANK(H17,H$5:H$22)</f>
        <v/>
      </c>
      <c r="J17" s="49">
        <f>104-(C17+E17+G17+I17)</f>
        <v/>
      </c>
      <c r="K17" s="47">
        <f>RANK(J17,J$5:J$22)</f>
        <v/>
      </c>
      <c r="L17" s="56" t="n"/>
      <c r="M17" s="53">
        <f>VLOOKUP($A17,INDIRECT("'"&amp;$B$1&amp;"'!$A:$IZ"),88,FALSE)</f>
        <v/>
      </c>
      <c r="N17" s="54">
        <f>RANK(M17,M$5:M$22)</f>
        <v/>
      </c>
      <c r="O17" s="53">
        <f>VLOOKUP($A17,INDIRECT("'"&amp;$B$1&amp;"'!$A:$IZ"),84,FALSE)</f>
        <v/>
      </c>
      <c r="P17" s="54">
        <f>RANK(O17,O$5:O$22)</f>
        <v/>
      </c>
      <c r="Q17" s="53">
        <f>VLOOKUP($A17,INDIRECT("'"&amp;$B$1&amp;"'!$A:$IZ"),85,FALSE)</f>
        <v/>
      </c>
      <c r="R17" s="54">
        <f>RANK(Q17,Q$5:Q$22)</f>
        <v/>
      </c>
      <c r="S17" s="55">
        <f>VLOOKUP($A17,INDIRECT("'"&amp;$B$1&amp;"'!$A:$IZ"),29,FALSE)</f>
        <v/>
      </c>
      <c r="T17" s="54">
        <f>RANK(S17,S$5:S$22)</f>
        <v/>
      </c>
      <c r="U17" s="49">
        <f>104-(N17+P17+R17+T17)</f>
        <v/>
      </c>
      <c r="V17" s="47">
        <f>RANK(U17,U$5:U$22)</f>
        <v/>
      </c>
      <c r="W17" s="56" t="n"/>
      <c r="X17" s="53">
        <f>VLOOKUP($A17,INDIRECT("'"&amp;$B$1&amp;"'!$A:$IZ"),65,FALSE)</f>
        <v/>
      </c>
      <c r="Y17" s="54">
        <f>RANK(X17,X$5:X$22)</f>
        <v/>
      </c>
      <c r="Z17" s="53">
        <f>VLOOKUP($A17,INDIRECT("'"&amp;$B$1&amp;"'!$A:$IZ"),64,FALSE)</f>
        <v/>
      </c>
      <c r="AA17" s="54">
        <f>RANK(Z17,Z$5:Z$22)</f>
        <v/>
      </c>
      <c r="AB17" s="53">
        <f>VLOOKUP($A17,INDIRECT("'"&amp;$B$1&amp;"'!$A:$IZ"),63,FALSE)</f>
        <v/>
      </c>
      <c r="AC17" s="54">
        <f>RANK(AB17,AB$5:AB$22)</f>
        <v/>
      </c>
      <c r="AD17" s="53">
        <f>VLOOKUP($A17,INDIRECT("'"&amp;$B$1&amp;"'!$A:$IZ"),71,FALSE)</f>
        <v/>
      </c>
      <c r="AE17" s="54">
        <f>RANK(AD17,AD$5:AD$22)</f>
        <v/>
      </c>
      <c r="AF17" s="65">
        <f>104-(Y17+AA17+AC17+AE17)</f>
        <v/>
      </c>
      <c r="AG17" s="47">
        <f>RANK(AF17,AF$5:AF$22)</f>
        <v/>
      </c>
      <c r="AH17" s="56" t="n"/>
      <c r="AI17" s="53">
        <f>VLOOKUP($A17,INDIRECT("'"&amp;$B$1&amp;"'!$A:$IZ"),183,FALSE)</f>
        <v/>
      </c>
      <c r="AJ17" s="54">
        <f>RANK(AI17,AI$5:AI$22,1)</f>
        <v/>
      </c>
      <c r="AK17" s="53">
        <f>VLOOKUP($A17,INDIRECT("'"&amp;$B$1&amp;"'!$A:$IZ"),181,FALSE)</f>
        <v/>
      </c>
      <c r="AL17" s="54">
        <f>RANK(AK17,AK$5:AK$22,1)</f>
        <v/>
      </c>
      <c r="AM17" s="53">
        <f>VLOOKUP($A17,INDIRECT("'"&amp;$B$1&amp;"'!$A:$IZ"),182,FALSE)</f>
        <v/>
      </c>
      <c r="AN17" s="54">
        <f>RANK(AM17,AM$5:AM$22,1)</f>
        <v/>
      </c>
      <c r="AO17" s="53">
        <f>VLOOKUP($A17,INDIRECT("'"&amp;$B$1&amp;"'!$A:$IZ"),163,FALSE)</f>
        <v/>
      </c>
      <c r="AP17" s="54">
        <f>RANK(AO17,AO$5:AO$22,1)</f>
        <v/>
      </c>
      <c r="AQ17" s="65">
        <f>104-(AJ17+AL17+AN17+AP17)</f>
        <v/>
      </c>
      <c r="AR17" s="47">
        <f>RANK(AQ17,AQ$5:AQ$22)</f>
        <v/>
      </c>
      <c r="AS17" s="56" t="n"/>
      <c r="AT17" s="46">
        <f>VLOOKUP($A17,INDIRECT("'"&amp;$B$1&amp;"'!$A:$IZ"),250,FALSE)</f>
        <v/>
      </c>
      <c r="AU17" s="47">
        <f>RANK(AT17,AT$5:AT$22,0)</f>
        <v/>
      </c>
      <c r="AV17" s="46">
        <f>VLOOKUP($A17,INDIRECT("'"&amp;$B$1&amp;"'!$A:$IZ"),92,FALSE)</f>
        <v/>
      </c>
      <c r="AW17" s="47">
        <f>RANK(AV17,AV$5:AV$22,0)</f>
        <v/>
      </c>
      <c r="AX17" s="46">
        <f>VLOOKUP($A17,INDIRECT("'"&amp;$B$1&amp;"'!$A:$IZ"),93,FALSE)</f>
        <v/>
      </c>
      <c r="AY17" s="47">
        <f>RANK(AX17,AX$5:AX$22,0)</f>
        <v/>
      </c>
      <c r="AZ17" s="46">
        <f>VLOOKUP($A17,INDIRECT("'"&amp;$B$1&amp;"'!$A:$IZ"),108,FALSE)</f>
        <v/>
      </c>
      <c r="BA17" s="47">
        <f>RANK(AZ17,AZ$5:AZ$22,0)</f>
        <v/>
      </c>
      <c r="BB17" s="46">
        <f>104-(AU17+AW17+AY17+BA17)</f>
        <v/>
      </c>
      <c r="BC17" s="47">
        <f>RANK(BB17,BB$5:BB$22)</f>
        <v/>
      </c>
      <c r="BD17" s="56" t="n"/>
      <c r="BE17" s="53">
        <f>VLOOKUP($A17,INDIRECT("'"&amp;$B$1&amp;"'!$A:$IZ"),80,FALSE)</f>
        <v/>
      </c>
      <c r="BF17" s="54">
        <f>RANK(BE17,BE$5:BE$22)</f>
        <v/>
      </c>
      <c r="BG17" s="53">
        <f>VLOOKUP($A17,INDIRECT("'"&amp;$B$1&amp;"'!$A:$IZ"),177,FALSE)</f>
        <v/>
      </c>
      <c r="BH17" s="54">
        <f>RANK(BG17,BG$5:BG$22,1)</f>
        <v/>
      </c>
      <c r="BI17" s="53">
        <f>VLOOKUP($A17,INDIRECT("'"&amp;$B$1&amp;"'!$A:$IZ"),79,FALSE)</f>
        <v/>
      </c>
      <c r="BJ17" s="54">
        <f>RANK(BI17,BI$5:BI$22)</f>
        <v/>
      </c>
      <c r="BK17" s="53">
        <f>VLOOKUP($A17,INDIRECT("'"&amp;$B$1&amp;"'!$A:$IZ"),176,FALSE)</f>
        <v/>
      </c>
      <c r="BL17" s="54">
        <f>RANK(BK17,BK$5:BK$22,1)</f>
        <v/>
      </c>
      <c r="BM17" s="53">
        <f>VLOOKUP($A17,INDIRECT("'"&amp;$B$1&amp;"'!$A:$IZ"),11,FALSE)</f>
        <v/>
      </c>
      <c r="BN17" s="54">
        <f>RANK(BM17,BM$5:BM$22)</f>
        <v/>
      </c>
      <c r="BO17" s="53">
        <f>VLOOKUP($A17,INDIRECT("'"&amp;$B$1&amp;"'!$A:$IZ"),222,FALSE)</f>
        <v/>
      </c>
      <c r="BP17" s="54">
        <f>RANK(BO17,BO$5:BO$22)</f>
        <v/>
      </c>
      <c r="BQ17" s="65">
        <f>106-(BF17+BH17+BN17+BP17+BJ17+BL17)</f>
        <v/>
      </c>
      <c r="BR17" s="47">
        <f>RANK(BQ17,BQ$5:BQ$22)</f>
        <v/>
      </c>
      <c r="BS17" s="56" t="n"/>
      <c r="BT17" s="57">
        <f>VLOOKUP($A17,'Ratings Season'!$A:$M,10,FALSE)</f>
        <v/>
      </c>
      <c r="BU17" s="54">
        <f>RANK(BT17,BT$5:BT$22)</f>
        <v/>
      </c>
      <c r="BV17" s="57">
        <f>VLOOKUP($A17,'Ratings Season'!$A:$M,12,FALSE)</f>
        <v/>
      </c>
      <c r="BW17" s="54">
        <f>RANK(BV17,BV$5:BV$22)</f>
        <v/>
      </c>
      <c r="BX17" s="57">
        <f>VLOOKUP($A17,'Ratings Season'!$A:$M,8,FALSE)</f>
        <v/>
      </c>
      <c r="BY17" s="58">
        <f>RANK(BX17,BX$5:BX$22)</f>
        <v/>
      </c>
      <c r="BZ17" s="72" t="n"/>
    </row>
    <row r="18" ht="25" customFormat="1" customHeight="1" s="3">
      <c r="A18" s="88" t="inlineStr">
        <is>
          <t>Richmond</t>
        </is>
      </c>
      <c r="B18" s="53">
        <f>VLOOKUP($A18,INDIRECT("'"&amp;$B$1&amp;"'!$A:$IZ"),222,FALSE)</f>
        <v/>
      </c>
      <c r="C18" s="54">
        <f>RANK(B18,B$5:B$22)</f>
        <v/>
      </c>
      <c r="D18" s="55">
        <f>VLOOKUP($A18,INDIRECT("'"&amp;$B$1&amp;"'!$A:$IZ"),218,FALSE)</f>
        <v/>
      </c>
      <c r="E18" s="54">
        <f>RANK(D18,D$5:D$22)</f>
        <v/>
      </c>
      <c r="F18" s="55">
        <f>VLOOKUP($A18,INDIRECT("'"&amp;$B$1&amp;"'!$A:$IZ"),49,FALSE)</f>
        <v/>
      </c>
      <c r="G18" s="54">
        <f>RANK(F18,F$5:F$22)</f>
        <v/>
      </c>
      <c r="H18" s="55">
        <f>VLOOKUP($A18,INDIRECT("'"&amp;$B$1&amp;"'!$A:$IZ"),229,FALSE)</f>
        <v/>
      </c>
      <c r="I18" s="54">
        <f>RANK(H18,H$5:H$22)</f>
        <v/>
      </c>
      <c r="J18" s="49">
        <f>104-(C18+E18+G18+I18)</f>
        <v/>
      </c>
      <c r="K18" s="47">
        <f>RANK(J18,J$5:J$22)</f>
        <v/>
      </c>
      <c r="L18" s="56" t="n"/>
      <c r="M18" s="53">
        <f>VLOOKUP($A18,INDIRECT("'"&amp;$B$1&amp;"'!$A:$IZ"),88,FALSE)</f>
        <v/>
      </c>
      <c r="N18" s="54">
        <f>RANK(M18,M$5:M$22)</f>
        <v/>
      </c>
      <c r="O18" s="53">
        <f>VLOOKUP($A18,INDIRECT("'"&amp;$B$1&amp;"'!$A:$IZ"),84,FALSE)</f>
        <v/>
      </c>
      <c r="P18" s="54">
        <f>RANK(O18,O$5:O$22)</f>
        <v/>
      </c>
      <c r="Q18" s="53">
        <f>VLOOKUP($A18,INDIRECT("'"&amp;$B$1&amp;"'!$A:$IZ"),85,FALSE)</f>
        <v/>
      </c>
      <c r="R18" s="54">
        <f>RANK(Q18,Q$5:Q$22)</f>
        <v/>
      </c>
      <c r="S18" s="55">
        <f>VLOOKUP($A18,INDIRECT("'"&amp;$B$1&amp;"'!$A:$IZ"),29,FALSE)</f>
        <v/>
      </c>
      <c r="T18" s="54">
        <f>RANK(S18,S$5:S$22)</f>
        <v/>
      </c>
      <c r="U18" s="49">
        <f>104-(N18+P18+R18+T18)</f>
        <v/>
      </c>
      <c r="V18" s="47">
        <f>RANK(U18,U$5:U$22)</f>
        <v/>
      </c>
      <c r="W18" s="56" t="n"/>
      <c r="X18" s="53">
        <f>VLOOKUP($A18,INDIRECT("'"&amp;$B$1&amp;"'!$A:$IZ"),65,FALSE)</f>
        <v/>
      </c>
      <c r="Y18" s="54">
        <f>RANK(X18,X$5:X$22)</f>
        <v/>
      </c>
      <c r="Z18" s="53">
        <f>VLOOKUP($A18,INDIRECT("'"&amp;$B$1&amp;"'!$A:$IZ"),64,FALSE)</f>
        <v/>
      </c>
      <c r="AA18" s="54">
        <f>RANK(Z18,Z$5:Z$22)</f>
        <v/>
      </c>
      <c r="AB18" s="53">
        <f>VLOOKUP($A18,INDIRECT("'"&amp;$B$1&amp;"'!$A:$IZ"),63,FALSE)</f>
        <v/>
      </c>
      <c r="AC18" s="54">
        <f>RANK(AB18,AB$5:AB$22)</f>
        <v/>
      </c>
      <c r="AD18" s="53">
        <f>VLOOKUP($A18,INDIRECT("'"&amp;$B$1&amp;"'!$A:$IZ"),71,FALSE)</f>
        <v/>
      </c>
      <c r="AE18" s="54">
        <f>RANK(AD18,AD$5:AD$22)</f>
        <v/>
      </c>
      <c r="AF18" s="65">
        <f>104-(Y18+AA18+AC18+AE18)</f>
        <v/>
      </c>
      <c r="AG18" s="47">
        <f>RANK(AF18,AF$5:AF$22)</f>
        <v/>
      </c>
      <c r="AH18" s="56" t="n"/>
      <c r="AI18" s="53">
        <f>VLOOKUP($A18,INDIRECT("'"&amp;$B$1&amp;"'!$A:$IZ"),183,FALSE)</f>
        <v/>
      </c>
      <c r="AJ18" s="54">
        <f>RANK(AI18,AI$5:AI$22,1)</f>
        <v/>
      </c>
      <c r="AK18" s="53">
        <f>VLOOKUP($A18,INDIRECT("'"&amp;$B$1&amp;"'!$A:$IZ"),181,FALSE)</f>
        <v/>
      </c>
      <c r="AL18" s="54">
        <f>RANK(AK18,AK$5:AK$22,1)</f>
        <v/>
      </c>
      <c r="AM18" s="53">
        <f>VLOOKUP($A18,INDIRECT("'"&amp;$B$1&amp;"'!$A:$IZ"),182,FALSE)</f>
        <v/>
      </c>
      <c r="AN18" s="54">
        <f>RANK(AM18,AM$5:AM$22,1)</f>
        <v/>
      </c>
      <c r="AO18" s="53">
        <f>VLOOKUP($A18,INDIRECT("'"&amp;$B$1&amp;"'!$A:$IZ"),163,FALSE)</f>
        <v/>
      </c>
      <c r="AP18" s="54">
        <f>RANK(AO18,AO$5:AO$22,1)</f>
        <v/>
      </c>
      <c r="AQ18" s="65">
        <f>104-(AJ18+AL18+AN18+AP18)</f>
        <v/>
      </c>
      <c r="AR18" s="47">
        <f>RANK(AQ18,AQ$5:AQ$22)</f>
        <v/>
      </c>
      <c r="AS18" s="56" t="n"/>
      <c r="AT18" s="46">
        <f>VLOOKUP($A18,INDIRECT("'"&amp;$B$1&amp;"'!$A:$IZ"),250,FALSE)</f>
        <v/>
      </c>
      <c r="AU18" s="47">
        <f>RANK(AT18,AT$5:AT$22,0)</f>
        <v/>
      </c>
      <c r="AV18" s="46">
        <f>VLOOKUP($A18,INDIRECT("'"&amp;$B$1&amp;"'!$A:$IZ"),92,FALSE)</f>
        <v/>
      </c>
      <c r="AW18" s="47">
        <f>RANK(AV18,AV$5:AV$22,0)</f>
        <v/>
      </c>
      <c r="AX18" s="46">
        <f>VLOOKUP($A18,INDIRECT("'"&amp;$B$1&amp;"'!$A:$IZ"),93,FALSE)</f>
        <v/>
      </c>
      <c r="AY18" s="47">
        <f>RANK(AX18,AX$5:AX$22,0)</f>
        <v/>
      </c>
      <c r="AZ18" s="46">
        <f>VLOOKUP($A18,INDIRECT("'"&amp;$B$1&amp;"'!$A:$IZ"),108,FALSE)</f>
        <v/>
      </c>
      <c r="BA18" s="47">
        <f>RANK(AZ18,AZ$5:AZ$22,0)</f>
        <v/>
      </c>
      <c r="BB18" s="46">
        <f>104-(AU18+AW18+AY18+BA18)</f>
        <v/>
      </c>
      <c r="BC18" s="47">
        <f>RANK(BB18,BB$5:BB$22)</f>
        <v/>
      </c>
      <c r="BD18" s="56" t="n"/>
      <c r="BE18" s="53">
        <f>VLOOKUP($A18,INDIRECT("'"&amp;$B$1&amp;"'!$A:$IZ"),80,FALSE)</f>
        <v/>
      </c>
      <c r="BF18" s="54">
        <f>RANK(BE18,BE$5:BE$22)</f>
        <v/>
      </c>
      <c r="BG18" s="53">
        <f>VLOOKUP($A18,INDIRECT("'"&amp;$B$1&amp;"'!$A:$IZ"),177,FALSE)</f>
        <v/>
      </c>
      <c r="BH18" s="54">
        <f>RANK(BG18,BG$5:BG$22,1)</f>
        <v/>
      </c>
      <c r="BI18" s="53">
        <f>VLOOKUP($A18,INDIRECT("'"&amp;$B$1&amp;"'!$A:$IZ"),79,FALSE)</f>
        <v/>
      </c>
      <c r="BJ18" s="54">
        <f>RANK(BI18,BI$5:BI$22)</f>
        <v/>
      </c>
      <c r="BK18" s="53">
        <f>VLOOKUP($A18,INDIRECT("'"&amp;$B$1&amp;"'!$A:$IZ"),176,FALSE)</f>
        <v/>
      </c>
      <c r="BL18" s="54">
        <f>RANK(BK18,BK$5:BK$22,1)</f>
        <v/>
      </c>
      <c r="BM18" s="53">
        <f>VLOOKUP($A18,INDIRECT("'"&amp;$B$1&amp;"'!$A:$IZ"),11,FALSE)</f>
        <v/>
      </c>
      <c r="BN18" s="54">
        <f>RANK(BM18,BM$5:BM$22)</f>
        <v/>
      </c>
      <c r="BO18" s="53">
        <f>VLOOKUP($A18,INDIRECT("'"&amp;$B$1&amp;"'!$A:$IZ"),222,FALSE)</f>
        <v/>
      </c>
      <c r="BP18" s="54">
        <f>RANK(BO18,BO$5:BO$22)</f>
        <v/>
      </c>
      <c r="BQ18" s="65">
        <f>106-(BF18+BH18+BN18+BP18+BJ18+BL18)</f>
        <v/>
      </c>
      <c r="BR18" s="47">
        <f>RANK(BQ18,BQ$5:BQ$22)</f>
        <v/>
      </c>
      <c r="BS18" s="56" t="n"/>
      <c r="BT18" s="57">
        <f>VLOOKUP($A18,'Ratings Season'!$A:$M,10,FALSE)</f>
        <v/>
      </c>
      <c r="BU18" s="54">
        <f>RANK(BT18,BT$5:BT$22)</f>
        <v/>
      </c>
      <c r="BV18" s="57">
        <f>VLOOKUP($A18,'Ratings Season'!$A:$M,12,FALSE)</f>
        <v/>
      </c>
      <c r="BW18" s="54">
        <f>RANK(BV18,BV$5:BV$22)</f>
        <v/>
      </c>
      <c r="BX18" s="57">
        <f>VLOOKUP($A18,'Ratings Season'!$A:$M,8,FALSE)</f>
        <v/>
      </c>
      <c r="BY18" s="58">
        <f>RANK(BX18,BX$5:BX$22)</f>
        <v/>
      </c>
      <c r="BZ18" s="72" t="n"/>
    </row>
    <row r="19" ht="25" customFormat="1" customHeight="1" s="3">
      <c r="A19" s="89" t="inlineStr">
        <is>
          <t>St Kilda</t>
        </is>
      </c>
      <c r="B19" s="53">
        <f>VLOOKUP($A19,INDIRECT("'"&amp;$B$1&amp;"'!$A:$IZ"),222,FALSE)</f>
        <v/>
      </c>
      <c r="C19" s="54">
        <f>RANK(B19,B$5:B$22)</f>
        <v/>
      </c>
      <c r="D19" s="55">
        <f>VLOOKUP($A19,INDIRECT("'"&amp;$B$1&amp;"'!$A:$IZ"),218,FALSE)</f>
        <v/>
      </c>
      <c r="E19" s="54">
        <f>RANK(D19,D$5:D$22)</f>
        <v/>
      </c>
      <c r="F19" s="55">
        <f>VLOOKUP($A19,INDIRECT("'"&amp;$B$1&amp;"'!$A:$IZ"),49,FALSE)</f>
        <v/>
      </c>
      <c r="G19" s="54">
        <f>RANK(F19,F$5:F$22)</f>
        <v/>
      </c>
      <c r="H19" s="55">
        <f>VLOOKUP($A19,INDIRECT("'"&amp;$B$1&amp;"'!$A:$IZ"),229,FALSE)</f>
        <v/>
      </c>
      <c r="I19" s="54">
        <f>RANK(H19,H$5:H$22)</f>
        <v/>
      </c>
      <c r="J19" s="49">
        <f>104-(C19+E19+G19+I19)</f>
        <v/>
      </c>
      <c r="K19" s="47">
        <f>RANK(J19,J$5:J$22)</f>
        <v/>
      </c>
      <c r="L19" s="56" t="n"/>
      <c r="M19" s="53">
        <f>VLOOKUP($A19,INDIRECT("'"&amp;$B$1&amp;"'!$A:$IZ"),88,FALSE)</f>
        <v/>
      </c>
      <c r="N19" s="54">
        <f>RANK(M19,M$5:M$22)</f>
        <v/>
      </c>
      <c r="O19" s="53">
        <f>VLOOKUP($A19,INDIRECT("'"&amp;$B$1&amp;"'!$A:$IZ"),84,FALSE)</f>
        <v/>
      </c>
      <c r="P19" s="54">
        <f>RANK(O19,O$5:O$22)</f>
        <v/>
      </c>
      <c r="Q19" s="53">
        <f>VLOOKUP($A19,INDIRECT("'"&amp;$B$1&amp;"'!$A:$IZ"),85,FALSE)</f>
        <v/>
      </c>
      <c r="R19" s="54">
        <f>RANK(Q19,Q$5:Q$22)</f>
        <v/>
      </c>
      <c r="S19" s="55">
        <f>VLOOKUP($A19,INDIRECT("'"&amp;$B$1&amp;"'!$A:$IZ"),29,FALSE)</f>
        <v/>
      </c>
      <c r="T19" s="54">
        <f>RANK(S19,S$5:S$22)</f>
        <v/>
      </c>
      <c r="U19" s="49">
        <f>104-(N19+P19+R19+T19)</f>
        <v/>
      </c>
      <c r="V19" s="47">
        <f>RANK(U19,U$5:U$22)</f>
        <v/>
      </c>
      <c r="W19" s="56" t="n"/>
      <c r="X19" s="53">
        <f>VLOOKUP($A19,INDIRECT("'"&amp;$B$1&amp;"'!$A:$IZ"),65,FALSE)</f>
        <v/>
      </c>
      <c r="Y19" s="54">
        <f>RANK(X19,X$5:X$22)</f>
        <v/>
      </c>
      <c r="Z19" s="53">
        <f>VLOOKUP($A19,INDIRECT("'"&amp;$B$1&amp;"'!$A:$IZ"),64,FALSE)</f>
        <v/>
      </c>
      <c r="AA19" s="54">
        <f>RANK(Z19,Z$5:Z$22)</f>
        <v/>
      </c>
      <c r="AB19" s="53">
        <f>VLOOKUP($A19,INDIRECT("'"&amp;$B$1&amp;"'!$A:$IZ"),63,FALSE)</f>
        <v/>
      </c>
      <c r="AC19" s="54">
        <f>RANK(AB19,AB$5:AB$22)</f>
        <v/>
      </c>
      <c r="AD19" s="53">
        <f>VLOOKUP($A19,INDIRECT("'"&amp;$B$1&amp;"'!$A:$IZ"),71,FALSE)</f>
        <v/>
      </c>
      <c r="AE19" s="54">
        <f>RANK(AD19,AD$5:AD$22)</f>
        <v/>
      </c>
      <c r="AF19" s="65">
        <f>104-(Y19+AA19+AC19+AE19)</f>
        <v/>
      </c>
      <c r="AG19" s="47">
        <f>RANK(AF19,AF$5:AF$22)</f>
        <v/>
      </c>
      <c r="AH19" s="56" t="n"/>
      <c r="AI19" s="53">
        <f>VLOOKUP($A19,INDIRECT("'"&amp;$B$1&amp;"'!$A:$IZ"),183,FALSE)</f>
        <v/>
      </c>
      <c r="AJ19" s="54">
        <f>RANK(AI19,AI$5:AI$22,1)</f>
        <v/>
      </c>
      <c r="AK19" s="53">
        <f>VLOOKUP($A19,INDIRECT("'"&amp;$B$1&amp;"'!$A:$IZ"),181,FALSE)</f>
        <v/>
      </c>
      <c r="AL19" s="54">
        <f>RANK(AK19,AK$5:AK$22,1)</f>
        <v/>
      </c>
      <c r="AM19" s="53">
        <f>VLOOKUP($A19,INDIRECT("'"&amp;$B$1&amp;"'!$A:$IZ"),182,FALSE)</f>
        <v/>
      </c>
      <c r="AN19" s="54">
        <f>RANK(AM19,AM$5:AM$22,1)</f>
        <v/>
      </c>
      <c r="AO19" s="53">
        <f>VLOOKUP($A19,INDIRECT("'"&amp;$B$1&amp;"'!$A:$IZ"),163,FALSE)</f>
        <v/>
      </c>
      <c r="AP19" s="54">
        <f>RANK(AO19,AO$5:AO$22,1)</f>
        <v/>
      </c>
      <c r="AQ19" s="65">
        <f>104-(AJ19+AL19+AN19+AP19)</f>
        <v/>
      </c>
      <c r="AR19" s="47">
        <f>RANK(AQ19,AQ$5:AQ$22)</f>
        <v/>
      </c>
      <c r="AS19" s="56" t="n"/>
      <c r="AT19" s="46">
        <f>VLOOKUP($A19,INDIRECT("'"&amp;$B$1&amp;"'!$A:$IZ"),250,FALSE)</f>
        <v/>
      </c>
      <c r="AU19" s="47">
        <f>RANK(AT19,AT$5:AT$22,0)</f>
        <v/>
      </c>
      <c r="AV19" s="46">
        <f>VLOOKUP($A19,INDIRECT("'"&amp;$B$1&amp;"'!$A:$IZ"),92,FALSE)</f>
        <v/>
      </c>
      <c r="AW19" s="47">
        <f>RANK(AV19,AV$5:AV$22,0)</f>
        <v/>
      </c>
      <c r="AX19" s="46">
        <f>VLOOKUP($A19,INDIRECT("'"&amp;$B$1&amp;"'!$A:$IZ"),93,FALSE)</f>
        <v/>
      </c>
      <c r="AY19" s="47">
        <f>RANK(AX19,AX$5:AX$22,0)</f>
        <v/>
      </c>
      <c r="AZ19" s="46">
        <f>VLOOKUP($A19,INDIRECT("'"&amp;$B$1&amp;"'!$A:$IZ"),108,FALSE)</f>
        <v/>
      </c>
      <c r="BA19" s="47">
        <f>RANK(AZ19,AZ$5:AZ$22,0)</f>
        <v/>
      </c>
      <c r="BB19" s="46">
        <f>104-(AU19+AW19+AY19+BA19)</f>
        <v/>
      </c>
      <c r="BC19" s="47">
        <f>RANK(BB19,BB$5:BB$22)</f>
        <v/>
      </c>
      <c r="BD19" s="56" t="n"/>
      <c r="BE19" s="53">
        <f>VLOOKUP($A19,INDIRECT("'"&amp;$B$1&amp;"'!$A:$IZ"),80,FALSE)</f>
        <v/>
      </c>
      <c r="BF19" s="54">
        <f>RANK(BE19,BE$5:BE$22)</f>
        <v/>
      </c>
      <c r="BG19" s="53">
        <f>VLOOKUP($A19,INDIRECT("'"&amp;$B$1&amp;"'!$A:$IZ"),177,FALSE)</f>
        <v/>
      </c>
      <c r="BH19" s="54">
        <f>RANK(BG19,BG$5:BG$22,1)</f>
        <v/>
      </c>
      <c r="BI19" s="53">
        <f>VLOOKUP($A19,INDIRECT("'"&amp;$B$1&amp;"'!$A:$IZ"),79,FALSE)</f>
        <v/>
      </c>
      <c r="BJ19" s="54">
        <f>RANK(BI19,BI$5:BI$22)</f>
        <v/>
      </c>
      <c r="BK19" s="53">
        <f>VLOOKUP($A19,INDIRECT("'"&amp;$B$1&amp;"'!$A:$IZ"),176,FALSE)</f>
        <v/>
      </c>
      <c r="BL19" s="54">
        <f>RANK(BK19,BK$5:BK$22,1)</f>
        <v/>
      </c>
      <c r="BM19" s="53">
        <f>VLOOKUP($A19,INDIRECT("'"&amp;$B$1&amp;"'!$A:$IZ"),11,FALSE)</f>
        <v/>
      </c>
      <c r="BN19" s="54">
        <f>RANK(BM19,BM$5:BM$22)</f>
        <v/>
      </c>
      <c r="BO19" s="53">
        <f>VLOOKUP($A19,INDIRECT("'"&amp;$B$1&amp;"'!$A:$IZ"),222,FALSE)</f>
        <v/>
      </c>
      <c r="BP19" s="54">
        <f>RANK(BO19,BO$5:BO$22)</f>
        <v/>
      </c>
      <c r="BQ19" s="65">
        <f>106-(BF19+BH19+BN19+BP19+BJ19+BL19)</f>
        <v/>
      </c>
      <c r="BR19" s="47">
        <f>RANK(BQ19,BQ$5:BQ$22)</f>
        <v/>
      </c>
      <c r="BS19" s="56" t="n"/>
      <c r="BT19" s="57">
        <f>VLOOKUP($A19,'Ratings Season'!$A:$M,10,FALSE)</f>
        <v/>
      </c>
      <c r="BU19" s="54">
        <f>RANK(BT19,BT$5:BT$22)</f>
        <v/>
      </c>
      <c r="BV19" s="57">
        <f>VLOOKUP($A19,'Ratings Season'!$A:$M,12,FALSE)</f>
        <v/>
      </c>
      <c r="BW19" s="54">
        <f>RANK(BV19,BV$5:BV$22)</f>
        <v/>
      </c>
      <c r="BX19" s="57">
        <f>VLOOKUP($A19,'Ratings Season'!$A:$M,8,FALSE)</f>
        <v/>
      </c>
      <c r="BY19" s="58">
        <f>RANK(BX19,BX$5:BX$22)</f>
        <v/>
      </c>
      <c r="BZ19" s="72" t="n"/>
    </row>
    <row r="20" ht="25" customFormat="1" customHeight="1" s="3">
      <c r="A20" s="90" t="inlineStr">
        <is>
          <t>Sydney</t>
        </is>
      </c>
      <c r="B20" s="53">
        <f>VLOOKUP($A20,INDIRECT("'"&amp;$B$1&amp;"'!$A:$IZ"),222,FALSE)</f>
        <v/>
      </c>
      <c r="C20" s="54">
        <f>RANK(B20,B$5:B$22)</f>
        <v/>
      </c>
      <c r="D20" s="55">
        <f>VLOOKUP($A20,INDIRECT("'"&amp;$B$1&amp;"'!$A:$IZ"),218,FALSE)</f>
        <v/>
      </c>
      <c r="E20" s="54">
        <f>RANK(D20,D$5:D$22)</f>
        <v/>
      </c>
      <c r="F20" s="55">
        <f>VLOOKUP($A20,INDIRECT("'"&amp;$B$1&amp;"'!$A:$IZ"),49,FALSE)</f>
        <v/>
      </c>
      <c r="G20" s="54">
        <f>RANK(F20,F$5:F$22)</f>
        <v/>
      </c>
      <c r="H20" s="55">
        <f>VLOOKUP($A20,INDIRECT("'"&amp;$B$1&amp;"'!$A:$IZ"),229,FALSE)</f>
        <v/>
      </c>
      <c r="I20" s="54">
        <f>RANK(H20,H$5:H$22)</f>
        <v/>
      </c>
      <c r="J20" s="49">
        <f>104-(C20+E20+G20+I20)</f>
        <v/>
      </c>
      <c r="K20" s="47">
        <f>RANK(J20,J$5:J$22)</f>
        <v/>
      </c>
      <c r="L20" s="56" t="n"/>
      <c r="M20" s="53">
        <f>VLOOKUP($A20,INDIRECT("'"&amp;$B$1&amp;"'!$A:$IZ"),88,FALSE)</f>
        <v/>
      </c>
      <c r="N20" s="54">
        <f>RANK(M20,M$5:M$22)</f>
        <v/>
      </c>
      <c r="O20" s="53">
        <f>VLOOKUP($A20,INDIRECT("'"&amp;$B$1&amp;"'!$A:$IZ"),84,FALSE)</f>
        <v/>
      </c>
      <c r="P20" s="54">
        <f>RANK(O20,O$5:O$22)</f>
        <v/>
      </c>
      <c r="Q20" s="53">
        <f>VLOOKUP($A20,INDIRECT("'"&amp;$B$1&amp;"'!$A:$IZ"),85,FALSE)</f>
        <v/>
      </c>
      <c r="R20" s="54">
        <f>RANK(Q20,Q$5:Q$22)</f>
        <v/>
      </c>
      <c r="S20" s="55">
        <f>VLOOKUP($A20,INDIRECT("'"&amp;$B$1&amp;"'!$A:$IZ"),29,FALSE)</f>
        <v/>
      </c>
      <c r="T20" s="54">
        <f>RANK(S20,S$5:S$22)</f>
        <v/>
      </c>
      <c r="U20" s="49">
        <f>104-(N20+P20+R20+T20)</f>
        <v/>
      </c>
      <c r="V20" s="47">
        <f>RANK(U20,U$5:U$22)</f>
        <v/>
      </c>
      <c r="W20" s="56" t="n"/>
      <c r="X20" s="53">
        <f>VLOOKUP($A20,INDIRECT("'"&amp;$B$1&amp;"'!$A:$IZ"),65,FALSE)</f>
        <v/>
      </c>
      <c r="Y20" s="54">
        <f>RANK(X20,X$5:X$22)</f>
        <v/>
      </c>
      <c r="Z20" s="53">
        <f>VLOOKUP($A20,INDIRECT("'"&amp;$B$1&amp;"'!$A:$IZ"),64,FALSE)</f>
        <v/>
      </c>
      <c r="AA20" s="54">
        <f>RANK(Z20,Z$5:Z$22)</f>
        <v/>
      </c>
      <c r="AB20" s="53">
        <f>VLOOKUP($A20,INDIRECT("'"&amp;$B$1&amp;"'!$A:$IZ"),63,FALSE)</f>
        <v/>
      </c>
      <c r="AC20" s="54">
        <f>RANK(AB20,AB$5:AB$22)</f>
        <v/>
      </c>
      <c r="AD20" s="53">
        <f>VLOOKUP($A20,INDIRECT("'"&amp;$B$1&amp;"'!$A:$IZ"),71,FALSE)</f>
        <v/>
      </c>
      <c r="AE20" s="54">
        <f>RANK(AD20,AD$5:AD$22)</f>
        <v/>
      </c>
      <c r="AF20" s="65">
        <f>104-(Y20+AA20+AC20+AE20)</f>
        <v/>
      </c>
      <c r="AG20" s="47">
        <f>RANK(AF20,AF$5:AF$22)</f>
        <v/>
      </c>
      <c r="AH20" s="56" t="n"/>
      <c r="AI20" s="53">
        <f>VLOOKUP($A20,INDIRECT("'"&amp;$B$1&amp;"'!$A:$IZ"),183,FALSE)</f>
        <v/>
      </c>
      <c r="AJ20" s="54">
        <f>RANK(AI20,AI$5:AI$22,1)</f>
        <v/>
      </c>
      <c r="AK20" s="53">
        <f>VLOOKUP($A20,INDIRECT("'"&amp;$B$1&amp;"'!$A:$IZ"),181,FALSE)</f>
        <v/>
      </c>
      <c r="AL20" s="54">
        <f>RANK(AK20,AK$5:AK$22,1)</f>
        <v/>
      </c>
      <c r="AM20" s="53">
        <f>VLOOKUP($A20,INDIRECT("'"&amp;$B$1&amp;"'!$A:$IZ"),182,FALSE)</f>
        <v/>
      </c>
      <c r="AN20" s="54">
        <f>RANK(AM20,AM$5:AM$22,1)</f>
        <v/>
      </c>
      <c r="AO20" s="53">
        <f>VLOOKUP($A20,INDIRECT("'"&amp;$B$1&amp;"'!$A:$IZ"),163,FALSE)</f>
        <v/>
      </c>
      <c r="AP20" s="54">
        <f>RANK(AO20,AO$5:AO$22,1)</f>
        <v/>
      </c>
      <c r="AQ20" s="65">
        <f>104-(AJ20+AL20+AN20+AP20)</f>
        <v/>
      </c>
      <c r="AR20" s="47">
        <f>RANK(AQ20,AQ$5:AQ$22)</f>
        <v/>
      </c>
      <c r="AS20" s="56" t="n"/>
      <c r="AT20" s="46">
        <f>VLOOKUP($A20,INDIRECT("'"&amp;$B$1&amp;"'!$A:$IZ"),250,FALSE)</f>
        <v/>
      </c>
      <c r="AU20" s="47">
        <f>RANK(AT20,AT$5:AT$22,0)</f>
        <v/>
      </c>
      <c r="AV20" s="46">
        <f>VLOOKUP($A20,INDIRECT("'"&amp;$B$1&amp;"'!$A:$IZ"),92,FALSE)</f>
        <v/>
      </c>
      <c r="AW20" s="47">
        <f>RANK(AV20,AV$5:AV$22,0)</f>
        <v/>
      </c>
      <c r="AX20" s="46">
        <f>VLOOKUP($A20,INDIRECT("'"&amp;$B$1&amp;"'!$A:$IZ"),93,FALSE)</f>
        <v/>
      </c>
      <c r="AY20" s="47">
        <f>RANK(AX20,AX$5:AX$22,0)</f>
        <v/>
      </c>
      <c r="AZ20" s="46">
        <f>VLOOKUP($A20,INDIRECT("'"&amp;$B$1&amp;"'!$A:$IZ"),108,FALSE)</f>
        <v/>
      </c>
      <c r="BA20" s="47">
        <f>RANK(AZ20,AZ$5:AZ$22,0)</f>
        <v/>
      </c>
      <c r="BB20" s="46">
        <f>104-(AU20+AW20+AY20+BA20)</f>
        <v/>
      </c>
      <c r="BC20" s="47">
        <f>RANK(BB20,BB$5:BB$22)</f>
        <v/>
      </c>
      <c r="BD20" s="56" t="n"/>
      <c r="BE20" s="53">
        <f>VLOOKUP($A20,INDIRECT("'"&amp;$B$1&amp;"'!$A:$IZ"),80,FALSE)</f>
        <v/>
      </c>
      <c r="BF20" s="54">
        <f>RANK(BE20,BE$5:BE$22)</f>
        <v/>
      </c>
      <c r="BG20" s="53">
        <f>VLOOKUP($A20,INDIRECT("'"&amp;$B$1&amp;"'!$A:$IZ"),177,FALSE)</f>
        <v/>
      </c>
      <c r="BH20" s="54">
        <f>RANK(BG20,BG$5:BG$22,1)</f>
        <v/>
      </c>
      <c r="BI20" s="53">
        <f>VLOOKUP($A20,INDIRECT("'"&amp;$B$1&amp;"'!$A:$IZ"),79,FALSE)</f>
        <v/>
      </c>
      <c r="BJ20" s="54">
        <f>RANK(BI20,BI$5:BI$22)</f>
        <v/>
      </c>
      <c r="BK20" s="53">
        <f>VLOOKUP($A20,INDIRECT("'"&amp;$B$1&amp;"'!$A:$IZ"),176,FALSE)</f>
        <v/>
      </c>
      <c r="BL20" s="54">
        <f>RANK(BK20,BK$5:BK$22,1)</f>
        <v/>
      </c>
      <c r="BM20" s="53">
        <f>VLOOKUP($A20,INDIRECT("'"&amp;$B$1&amp;"'!$A:$IZ"),11,FALSE)</f>
        <v/>
      </c>
      <c r="BN20" s="54">
        <f>RANK(BM20,BM$5:BM$22)</f>
        <v/>
      </c>
      <c r="BO20" s="53">
        <f>VLOOKUP($A20,INDIRECT("'"&amp;$B$1&amp;"'!$A:$IZ"),222,FALSE)</f>
        <v/>
      </c>
      <c r="BP20" s="54">
        <f>RANK(BO20,BO$5:BO$22)</f>
        <v/>
      </c>
      <c r="BQ20" s="65">
        <f>106-(BF20+BH20+BN20+BP20+BJ20+BL20)</f>
        <v/>
      </c>
      <c r="BR20" s="47">
        <f>RANK(BQ20,BQ$5:BQ$22)</f>
        <v/>
      </c>
      <c r="BS20" s="56" t="n"/>
      <c r="BT20" s="57">
        <f>VLOOKUP($A20,'Ratings Season'!$A:$M,10,FALSE)</f>
        <v/>
      </c>
      <c r="BU20" s="54">
        <f>RANK(BT20,BT$5:BT$22)</f>
        <v/>
      </c>
      <c r="BV20" s="57">
        <f>VLOOKUP($A20,'Ratings Season'!$A:$M,12,FALSE)</f>
        <v/>
      </c>
      <c r="BW20" s="54">
        <f>RANK(BV20,BV$5:BV$22)</f>
        <v/>
      </c>
      <c r="BX20" s="57">
        <f>VLOOKUP($A20,'Ratings Season'!$A:$M,8,FALSE)</f>
        <v/>
      </c>
      <c r="BY20" s="58">
        <f>RANK(BX20,BX$5:BX$22)</f>
        <v/>
      </c>
      <c r="BZ20" s="72" t="n"/>
    </row>
    <row r="21" ht="25" customFormat="1" customHeight="1" s="3">
      <c r="A21" s="91" t="inlineStr">
        <is>
          <t>West Coast</t>
        </is>
      </c>
      <c r="B21" s="53">
        <f>VLOOKUP($A21,INDIRECT("'"&amp;$B$1&amp;"'!$A:$IZ"),222,FALSE)</f>
        <v/>
      </c>
      <c r="C21" s="54">
        <f>RANK(B21,B$5:B$22)</f>
        <v/>
      </c>
      <c r="D21" s="55">
        <f>VLOOKUP($A21,INDIRECT("'"&amp;$B$1&amp;"'!$A:$IZ"),218,FALSE)</f>
        <v/>
      </c>
      <c r="E21" s="54">
        <f>RANK(D21,D$5:D$22)</f>
        <v/>
      </c>
      <c r="F21" s="55">
        <f>VLOOKUP($A21,INDIRECT("'"&amp;$B$1&amp;"'!$A:$IZ"),49,FALSE)</f>
        <v/>
      </c>
      <c r="G21" s="54">
        <f>RANK(F21,F$5:F$22)</f>
        <v/>
      </c>
      <c r="H21" s="55">
        <f>VLOOKUP($A21,INDIRECT("'"&amp;$B$1&amp;"'!$A:$IZ"),229,FALSE)</f>
        <v/>
      </c>
      <c r="I21" s="54">
        <f>RANK(H21,H$5:H$22)</f>
        <v/>
      </c>
      <c r="J21" s="49">
        <f>104-(C21+E21+G21+I21)</f>
        <v/>
      </c>
      <c r="K21" s="47">
        <f>RANK(J21,J$5:J$22)</f>
        <v/>
      </c>
      <c r="L21" s="56" t="n"/>
      <c r="M21" s="53">
        <f>VLOOKUP($A21,INDIRECT("'"&amp;$B$1&amp;"'!$A:$IZ"),88,FALSE)</f>
        <v/>
      </c>
      <c r="N21" s="54">
        <f>RANK(M21,M$5:M$22)</f>
        <v/>
      </c>
      <c r="O21" s="53">
        <f>VLOOKUP($A21,INDIRECT("'"&amp;$B$1&amp;"'!$A:$IZ"),84,FALSE)</f>
        <v/>
      </c>
      <c r="P21" s="54">
        <f>RANK(O21,O$5:O$22)</f>
        <v/>
      </c>
      <c r="Q21" s="53">
        <f>VLOOKUP($A21,INDIRECT("'"&amp;$B$1&amp;"'!$A:$IZ"),85,FALSE)</f>
        <v/>
      </c>
      <c r="R21" s="54">
        <f>RANK(Q21,Q$5:Q$22)</f>
        <v/>
      </c>
      <c r="S21" s="55">
        <f>VLOOKUP($A21,INDIRECT("'"&amp;$B$1&amp;"'!$A:$IZ"),29,FALSE)</f>
        <v/>
      </c>
      <c r="T21" s="54">
        <f>RANK(S21,S$5:S$22)</f>
        <v/>
      </c>
      <c r="U21" s="49">
        <f>104-(N21+P21+R21+T21)</f>
        <v/>
      </c>
      <c r="V21" s="47">
        <f>RANK(U21,U$5:U$22)</f>
        <v/>
      </c>
      <c r="W21" s="56" t="n"/>
      <c r="X21" s="53">
        <f>VLOOKUP($A21,INDIRECT("'"&amp;$B$1&amp;"'!$A:$IZ"),65,FALSE)</f>
        <v/>
      </c>
      <c r="Y21" s="54">
        <f>RANK(X21,X$5:X$22)</f>
        <v/>
      </c>
      <c r="Z21" s="53">
        <f>VLOOKUP($A21,INDIRECT("'"&amp;$B$1&amp;"'!$A:$IZ"),64,FALSE)</f>
        <v/>
      </c>
      <c r="AA21" s="54">
        <f>RANK(Z21,Z$5:Z$22)</f>
        <v/>
      </c>
      <c r="AB21" s="53">
        <f>VLOOKUP($A21,INDIRECT("'"&amp;$B$1&amp;"'!$A:$IZ"),63,FALSE)</f>
        <v/>
      </c>
      <c r="AC21" s="54">
        <f>RANK(AB21,AB$5:AB$22)</f>
        <v/>
      </c>
      <c r="AD21" s="53">
        <f>VLOOKUP($A21,INDIRECT("'"&amp;$B$1&amp;"'!$A:$IZ"),71,FALSE)</f>
        <v/>
      </c>
      <c r="AE21" s="54">
        <f>RANK(AD21,AD$5:AD$22)</f>
        <v/>
      </c>
      <c r="AF21" s="65">
        <f>104-(Y21+AA21+AC21+AE21)</f>
        <v/>
      </c>
      <c r="AG21" s="47">
        <f>RANK(AF21,AF$5:AF$22)</f>
        <v/>
      </c>
      <c r="AH21" s="56" t="n"/>
      <c r="AI21" s="53">
        <f>VLOOKUP($A21,INDIRECT("'"&amp;$B$1&amp;"'!$A:$IZ"),183,FALSE)</f>
        <v/>
      </c>
      <c r="AJ21" s="54">
        <f>RANK(AI21,AI$5:AI$22,1)</f>
        <v/>
      </c>
      <c r="AK21" s="53">
        <f>VLOOKUP($A21,INDIRECT("'"&amp;$B$1&amp;"'!$A:$IZ"),181,FALSE)</f>
        <v/>
      </c>
      <c r="AL21" s="54">
        <f>RANK(AK21,AK$5:AK$22,1)</f>
        <v/>
      </c>
      <c r="AM21" s="53">
        <f>VLOOKUP($A21,INDIRECT("'"&amp;$B$1&amp;"'!$A:$IZ"),182,FALSE)</f>
        <v/>
      </c>
      <c r="AN21" s="54">
        <f>RANK(AM21,AM$5:AM$22,1)</f>
        <v/>
      </c>
      <c r="AO21" s="53">
        <f>VLOOKUP($A21,INDIRECT("'"&amp;$B$1&amp;"'!$A:$IZ"),163,FALSE)</f>
        <v/>
      </c>
      <c r="AP21" s="54">
        <f>RANK(AO21,AO$5:AO$22,1)</f>
        <v/>
      </c>
      <c r="AQ21" s="65">
        <f>104-(AJ21+AL21+AN21+AP21)</f>
        <v/>
      </c>
      <c r="AR21" s="47">
        <f>RANK(AQ21,AQ$5:AQ$22)</f>
        <v/>
      </c>
      <c r="AS21" s="56" t="n"/>
      <c r="AT21" s="46">
        <f>VLOOKUP($A21,INDIRECT("'"&amp;$B$1&amp;"'!$A:$IZ"),250,FALSE)</f>
        <v/>
      </c>
      <c r="AU21" s="47">
        <f>RANK(AT21,AT$5:AT$22,0)</f>
        <v/>
      </c>
      <c r="AV21" s="46">
        <f>VLOOKUP($A21,INDIRECT("'"&amp;$B$1&amp;"'!$A:$IZ"),92,FALSE)</f>
        <v/>
      </c>
      <c r="AW21" s="47">
        <f>RANK(AV21,AV$5:AV$22,0)</f>
        <v/>
      </c>
      <c r="AX21" s="46">
        <f>VLOOKUP($A21,INDIRECT("'"&amp;$B$1&amp;"'!$A:$IZ"),93,FALSE)</f>
        <v/>
      </c>
      <c r="AY21" s="47">
        <f>RANK(AX21,AX$5:AX$22,0)</f>
        <v/>
      </c>
      <c r="AZ21" s="46">
        <f>VLOOKUP($A21,INDIRECT("'"&amp;$B$1&amp;"'!$A:$IZ"),108,FALSE)</f>
        <v/>
      </c>
      <c r="BA21" s="47">
        <f>RANK(AZ21,AZ$5:AZ$22,0)</f>
        <v/>
      </c>
      <c r="BB21" s="46">
        <f>104-(AU21+AW21+AY21+BA21)</f>
        <v/>
      </c>
      <c r="BC21" s="47">
        <f>RANK(BB21,BB$5:BB$22)</f>
        <v/>
      </c>
      <c r="BD21" s="56" t="n"/>
      <c r="BE21" s="53">
        <f>VLOOKUP($A21,INDIRECT("'"&amp;$B$1&amp;"'!$A:$IZ"),80,FALSE)</f>
        <v/>
      </c>
      <c r="BF21" s="54">
        <f>RANK(BE21,BE$5:BE$22)</f>
        <v/>
      </c>
      <c r="BG21" s="53">
        <f>VLOOKUP($A21,INDIRECT("'"&amp;$B$1&amp;"'!$A:$IZ"),177,FALSE)</f>
        <v/>
      </c>
      <c r="BH21" s="54">
        <f>RANK(BG21,BG$5:BG$22,1)</f>
        <v/>
      </c>
      <c r="BI21" s="53">
        <f>VLOOKUP($A21,INDIRECT("'"&amp;$B$1&amp;"'!$A:$IZ"),79,FALSE)</f>
        <v/>
      </c>
      <c r="BJ21" s="54">
        <f>RANK(BI21,BI$5:BI$22)</f>
        <v/>
      </c>
      <c r="BK21" s="53">
        <f>VLOOKUP($A21,INDIRECT("'"&amp;$B$1&amp;"'!$A:$IZ"),176,FALSE)</f>
        <v/>
      </c>
      <c r="BL21" s="54">
        <f>RANK(BK21,BK$5:BK$22,1)</f>
        <v/>
      </c>
      <c r="BM21" s="53">
        <f>VLOOKUP($A21,INDIRECT("'"&amp;$B$1&amp;"'!$A:$IZ"),11,FALSE)</f>
        <v/>
      </c>
      <c r="BN21" s="54">
        <f>RANK(BM21,BM$5:BM$22)</f>
        <v/>
      </c>
      <c r="BO21" s="53">
        <f>VLOOKUP($A21,INDIRECT("'"&amp;$B$1&amp;"'!$A:$IZ"),222,FALSE)</f>
        <v/>
      </c>
      <c r="BP21" s="54">
        <f>RANK(BO21,BO$5:BO$22)</f>
        <v/>
      </c>
      <c r="BQ21" s="65">
        <f>106-(BF21+BH21+BN21+BP21+BJ21+BL21)</f>
        <v/>
      </c>
      <c r="BR21" s="47">
        <f>RANK(BQ21,BQ$5:BQ$22)</f>
        <v/>
      </c>
      <c r="BS21" s="56" t="n"/>
      <c r="BT21" s="57">
        <f>VLOOKUP($A21,'Ratings Season'!$A:$M,10,FALSE)</f>
        <v/>
      </c>
      <c r="BU21" s="54">
        <f>RANK(BT21,BT$5:BT$22)</f>
        <v/>
      </c>
      <c r="BV21" s="57">
        <f>VLOOKUP($A21,'Ratings Season'!$A:$M,12,FALSE)</f>
        <v/>
      </c>
      <c r="BW21" s="54">
        <f>RANK(BV21,BV$5:BV$22)</f>
        <v/>
      </c>
      <c r="BX21" s="57">
        <f>VLOOKUP($A21,'Ratings Season'!$A:$M,8,FALSE)</f>
        <v/>
      </c>
      <c r="BY21" s="58">
        <f>RANK(BX21,BX$5:BX$22)</f>
        <v/>
      </c>
      <c r="BZ21" s="72" t="n"/>
    </row>
    <row r="22" ht="25" customFormat="1" customHeight="1" s="3" thickBot="1">
      <c r="A22" s="92" t="inlineStr">
        <is>
          <t>Western Bulldogs</t>
        </is>
      </c>
      <c r="B22" s="59">
        <f>VLOOKUP($A22,INDIRECT("'"&amp;$B$1&amp;"'!$A:$IZ"),222,FALSE)</f>
        <v/>
      </c>
      <c r="C22" s="60">
        <f>RANK(B22,B$5:B$22)</f>
        <v/>
      </c>
      <c r="D22" s="61">
        <f>VLOOKUP($A22,INDIRECT("'"&amp;$B$1&amp;"'!$A:$IZ"),218,FALSE)</f>
        <v/>
      </c>
      <c r="E22" s="60">
        <f>RANK(D22,D$5:D$22)</f>
        <v/>
      </c>
      <c r="F22" s="61">
        <f>VLOOKUP($A22,INDIRECT("'"&amp;$B$1&amp;"'!$A:$IZ"),49,FALSE)</f>
        <v/>
      </c>
      <c r="G22" s="60">
        <f>RANK(F22,F$5:F$22)</f>
        <v/>
      </c>
      <c r="H22" s="61">
        <f>VLOOKUP($A22,INDIRECT("'"&amp;$B$1&amp;"'!$A:$IZ"),229,FALSE)</f>
        <v/>
      </c>
      <c r="I22" s="60">
        <f>RANK(H22,H$5:H$22)</f>
        <v/>
      </c>
      <c r="J22" s="49">
        <f>104-(C22+E22+G22+I22)</f>
        <v/>
      </c>
      <c r="K22" s="47">
        <f>RANK(J22,J$5:J$22)</f>
        <v/>
      </c>
      <c r="L22" s="62" t="n"/>
      <c r="M22" s="59">
        <f>VLOOKUP($A22,INDIRECT("'"&amp;$B$1&amp;"'!$A:$IZ"),88,FALSE)</f>
        <v/>
      </c>
      <c r="N22" s="60">
        <f>RANK(M22,M$5:M$22)</f>
        <v/>
      </c>
      <c r="O22" s="59">
        <f>VLOOKUP($A22,INDIRECT("'"&amp;$B$1&amp;"'!$A:$IZ"),84,FALSE)</f>
        <v/>
      </c>
      <c r="P22" s="60">
        <f>RANK(O22,O$5:O$22)</f>
        <v/>
      </c>
      <c r="Q22" s="59">
        <f>VLOOKUP($A22,INDIRECT("'"&amp;$B$1&amp;"'!$A:$IZ"),85,FALSE)</f>
        <v/>
      </c>
      <c r="R22" s="60">
        <f>RANK(Q22,Q$5:Q$22)</f>
        <v/>
      </c>
      <c r="S22" s="61">
        <f>VLOOKUP($A22,INDIRECT("'"&amp;$B$1&amp;"'!$A:$IZ"),29,FALSE)</f>
        <v/>
      </c>
      <c r="T22" s="60">
        <f>RANK(S22,S$5:S$22)</f>
        <v/>
      </c>
      <c r="U22" s="49">
        <f>104-(N22+P22+R22+T22)</f>
        <v/>
      </c>
      <c r="V22" s="47">
        <f>RANK(U22,U$5:U$22)</f>
        <v/>
      </c>
      <c r="W22" s="62" t="n"/>
      <c r="X22" s="59">
        <f>VLOOKUP($A22,INDIRECT("'"&amp;$B$1&amp;"'!$A:$IZ"),65,FALSE)</f>
        <v/>
      </c>
      <c r="Y22" s="60">
        <f>RANK(X22,X$5:X$22)</f>
        <v/>
      </c>
      <c r="Z22" s="59">
        <f>VLOOKUP($A22,INDIRECT("'"&amp;$B$1&amp;"'!$A:$IZ"),64,FALSE)</f>
        <v/>
      </c>
      <c r="AA22" s="60">
        <f>RANK(Z22,Z$5:Z$22)</f>
        <v/>
      </c>
      <c r="AB22" s="59">
        <f>VLOOKUP($A22,INDIRECT("'"&amp;$B$1&amp;"'!$A:$IZ"),63,FALSE)</f>
        <v/>
      </c>
      <c r="AC22" s="60">
        <f>RANK(AB22,AB$5:AB$22)</f>
        <v/>
      </c>
      <c r="AD22" s="59">
        <f>VLOOKUP($A22,INDIRECT("'"&amp;$B$1&amp;"'!$A:$IZ"),71,FALSE)</f>
        <v/>
      </c>
      <c r="AE22" s="60">
        <f>RANK(AD22,AD$5:AD$22)</f>
        <v/>
      </c>
      <c r="AF22" s="66">
        <f>104-(Y22+AA22+AC22+AE22)</f>
        <v/>
      </c>
      <c r="AG22" s="47">
        <f>RANK(AF22,AF$5:AF$22)</f>
        <v/>
      </c>
      <c r="AH22" s="62" t="n"/>
      <c r="AI22" s="59">
        <f>VLOOKUP($A22,INDIRECT("'"&amp;$B$1&amp;"'!$A:$IZ"),183,FALSE)</f>
        <v/>
      </c>
      <c r="AJ22" s="60">
        <f>RANK(AI22,AI$5:AI$22,1)</f>
        <v/>
      </c>
      <c r="AK22" s="59">
        <f>VLOOKUP($A22,INDIRECT("'"&amp;$B$1&amp;"'!$A:$IZ"),181,FALSE)</f>
        <v/>
      </c>
      <c r="AL22" s="60">
        <f>RANK(AK22,AK$5:AK$22,1)</f>
        <v/>
      </c>
      <c r="AM22" s="59">
        <f>VLOOKUP($A22,INDIRECT("'"&amp;$B$1&amp;"'!$A:$IZ"),182,FALSE)</f>
        <v/>
      </c>
      <c r="AN22" s="60">
        <f>RANK(AM22,AM$5:AM$22,1)</f>
        <v/>
      </c>
      <c r="AO22" s="59">
        <f>VLOOKUP($A22,INDIRECT("'"&amp;$B$1&amp;"'!$A:$IZ"),163,FALSE)</f>
        <v/>
      </c>
      <c r="AP22" s="60">
        <f>RANK(AO22,AO$5:AO$22,1)</f>
        <v/>
      </c>
      <c r="AQ22" s="66">
        <f>104-(AJ22+AL22+AN22+AP22)</f>
        <v/>
      </c>
      <c r="AR22" s="47">
        <f>RANK(AQ22,AQ$5:AQ$22)</f>
        <v/>
      </c>
      <c r="AS22" s="62" t="n"/>
      <c r="AT22" s="46">
        <f>VLOOKUP($A22,INDIRECT("'"&amp;$B$1&amp;"'!$A:$IZ"),250,FALSE)</f>
        <v/>
      </c>
      <c r="AU22" s="47">
        <f>RANK(AT22,AT$5:AT$22,0)</f>
        <v/>
      </c>
      <c r="AV22" s="46">
        <f>VLOOKUP($A22,INDIRECT("'"&amp;$B$1&amp;"'!$A:$IZ"),92,FALSE)</f>
        <v/>
      </c>
      <c r="AW22" s="47">
        <f>RANK(AV22,AV$5:AV$22,0)</f>
        <v/>
      </c>
      <c r="AX22" s="46">
        <f>VLOOKUP($A22,INDIRECT("'"&amp;$B$1&amp;"'!$A:$IZ"),93,FALSE)</f>
        <v/>
      </c>
      <c r="AY22" s="47">
        <f>RANK(AX22,AX$5:AX$22,0)</f>
        <v/>
      </c>
      <c r="AZ22" s="46">
        <f>VLOOKUP($A22,INDIRECT("'"&amp;$B$1&amp;"'!$A:$IZ"),108,FALSE)</f>
        <v/>
      </c>
      <c r="BA22" s="47">
        <f>RANK(AZ22,AZ$5:AZ$22,0)</f>
        <v/>
      </c>
      <c r="BB22" s="46">
        <f>104-(AU22+AW22+AY22+BA22)</f>
        <v/>
      </c>
      <c r="BC22" s="47">
        <f>RANK(BB22,BB$5:BB$22)</f>
        <v/>
      </c>
      <c r="BD22" s="62" t="n"/>
      <c r="BE22" s="59">
        <f>VLOOKUP($A22,INDIRECT("'"&amp;$B$1&amp;"'!$A:$IZ"),80,FALSE)</f>
        <v/>
      </c>
      <c r="BF22" s="60">
        <f>RANK(BE22,BE$5:BE$22)</f>
        <v/>
      </c>
      <c r="BG22" s="59">
        <f>VLOOKUP($A22,INDIRECT("'"&amp;$B$1&amp;"'!$A:$IZ"),177,FALSE)</f>
        <v/>
      </c>
      <c r="BH22" s="60">
        <f>RANK(BG22,BG$5:BG$22,1)</f>
        <v/>
      </c>
      <c r="BI22" s="59">
        <f>VLOOKUP($A22,INDIRECT("'"&amp;$B$1&amp;"'!$A:$IZ"),79,FALSE)</f>
        <v/>
      </c>
      <c r="BJ22" s="60">
        <f>RANK(BI22,BI$5:BI$22)</f>
        <v/>
      </c>
      <c r="BK22" s="59">
        <f>VLOOKUP($A22,INDIRECT("'"&amp;$B$1&amp;"'!$A:$IZ"),176,FALSE)</f>
        <v/>
      </c>
      <c r="BL22" s="60">
        <f>RANK(BK22,BK$5:BK$22,1)</f>
        <v/>
      </c>
      <c r="BM22" s="59">
        <f>VLOOKUP($A22,INDIRECT("'"&amp;$B$1&amp;"'!$A:$IZ"),11,FALSE)</f>
        <v/>
      </c>
      <c r="BN22" s="60">
        <f>RANK(BM22,BM$5:BM$22)</f>
        <v/>
      </c>
      <c r="BO22" s="59">
        <f>VLOOKUP($A22,INDIRECT("'"&amp;$B$1&amp;"'!$A:$IZ"),222,FALSE)</f>
        <v/>
      </c>
      <c r="BP22" s="60">
        <f>RANK(BO22,BO$5:BO$22)</f>
        <v/>
      </c>
      <c r="BQ22" s="66">
        <f>106-(BF22+BH22+BN22+BP22+BJ22+BL22)</f>
        <v/>
      </c>
      <c r="BR22" s="47">
        <f>RANK(BQ22,BQ$5:BQ$22)</f>
        <v/>
      </c>
      <c r="BS22" s="62" t="n"/>
      <c r="BT22" s="63">
        <f>VLOOKUP($A22,'Ratings Season'!$A:$M,10,FALSE)</f>
        <v/>
      </c>
      <c r="BU22" s="60">
        <f>RANK(BT22,BT$5:BT$22)</f>
        <v/>
      </c>
      <c r="BV22" s="63">
        <f>VLOOKUP($A22,'Ratings Season'!$A:$M,12,FALSE)</f>
        <v/>
      </c>
      <c r="BW22" s="60">
        <f>RANK(BV22,BV$5:BV$22)</f>
        <v/>
      </c>
      <c r="BX22" s="63">
        <f>VLOOKUP($A22,'Ratings Season'!$A:$M,8,FALSE)</f>
        <v/>
      </c>
      <c r="BY22" s="64">
        <f>RANK(BX22,BX$5:BX$22)</f>
        <v/>
      </c>
      <c r="BZ22" s="72" t="n"/>
    </row>
    <row r="23">
      <c r="BZ23" s="69" t="n"/>
    </row>
    <row r="24">
      <c r="A24" s="69" t="n"/>
      <c r="B24" s="69" t="n"/>
      <c r="C24" s="69" t="n"/>
      <c r="D24" s="69" t="n"/>
      <c r="E24" s="69" t="n"/>
      <c r="F24" s="69" t="n"/>
      <c r="G24" s="69" t="n"/>
      <c r="H24" s="69" t="n"/>
      <c r="I24" s="69" t="n"/>
      <c r="J24" s="69" t="n"/>
      <c r="K24" s="69" t="n"/>
      <c r="L24" s="69" t="n"/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  <c r="Z24" s="69" t="n"/>
      <c r="AA24" s="69" t="n"/>
      <c r="AB24" s="69" t="n"/>
      <c r="AC24" s="69" t="n"/>
      <c r="AD24" s="69" t="n"/>
      <c r="AE24" s="69" t="n"/>
      <c r="AF24" s="69" t="n"/>
      <c r="AG24" s="69" t="n"/>
      <c r="AH24" s="69" t="n"/>
      <c r="AI24" s="69" t="n"/>
      <c r="AJ24" s="69" t="n"/>
      <c r="AK24" s="69" t="n"/>
      <c r="AL24" s="69" t="n"/>
      <c r="AM24" s="69" t="n"/>
      <c r="AN24" s="69" t="n"/>
      <c r="AO24" s="69" t="n"/>
      <c r="AP24" s="69" t="n"/>
      <c r="AQ24" s="69" t="n"/>
      <c r="AR24" s="69" t="n"/>
      <c r="AS24" s="69" t="n"/>
      <c r="AT24" s="69" t="n"/>
      <c r="AU24" s="69" t="n"/>
      <c r="AV24" s="69" t="n"/>
      <c r="AW24" s="69" t="n"/>
      <c r="AX24" s="69" t="n"/>
      <c r="AY24" s="69" t="n"/>
      <c r="AZ24" s="69" t="n"/>
      <c r="BA24" s="69" t="n"/>
      <c r="BB24" s="69" t="n"/>
      <c r="BC24" s="69" t="n"/>
      <c r="BD24" s="69" t="n"/>
      <c r="BE24" s="69" t="n"/>
      <c r="BF24" s="69" t="n"/>
      <c r="BG24" s="69" t="n"/>
      <c r="BH24" s="69" t="n"/>
      <c r="BI24" s="69" t="n"/>
      <c r="BJ24" s="69" t="n"/>
      <c r="BK24" s="69" t="n"/>
      <c r="BL24" s="69" t="n"/>
      <c r="BM24" s="69" t="n"/>
      <c r="BN24" s="69" t="n"/>
      <c r="BO24" s="69" t="n"/>
      <c r="BP24" s="69" t="n"/>
      <c r="BQ24" s="69" t="n"/>
      <c r="BR24" s="69" t="n"/>
      <c r="BS24" s="69" t="n"/>
      <c r="BT24" s="69" t="n"/>
      <c r="BU24" s="69" t="n"/>
      <c r="BV24" s="69" t="n"/>
      <c r="BW24" s="69" t="n"/>
      <c r="BX24" s="69" t="n"/>
      <c r="BY24" s="69" t="n"/>
    </row>
  </sheetData>
  <mergeCells count="8">
    <mergeCell ref="M3:V3"/>
    <mergeCell ref="BE3:BR3"/>
    <mergeCell ref="A3:A4"/>
    <mergeCell ref="AT3:BC3"/>
    <mergeCell ref="X3:AG3"/>
    <mergeCell ref="AI3:AR3"/>
    <mergeCell ref="B3:K3"/>
    <mergeCell ref="BT3:BY3"/>
  </mergeCells>
  <conditionalFormatting sqref="B5:B22">
    <cfRule type="dataBar" priority="61">
      <dataBar>
        <cfvo type="min"/>
        <cfvo type="max"/>
        <color rgb="FF638EC6"/>
      </dataBar>
    </cfRule>
  </conditionalFormatting>
  <conditionalFormatting sqref="D5:D22">
    <cfRule type="dataBar" priority="60">
      <dataBar>
        <cfvo type="min"/>
        <cfvo type="max"/>
        <color rgb="FF638EC6"/>
      </dataBar>
    </cfRule>
  </conditionalFormatting>
  <conditionalFormatting sqref="F5:F22">
    <cfRule type="dataBar" priority="58">
      <dataBar>
        <cfvo type="min"/>
        <cfvo type="max"/>
        <color rgb="FF638EC6"/>
      </dataBar>
    </cfRule>
    <cfRule type="dataBar" priority="59">
      <dataBar>
        <cfvo type="min"/>
        <cfvo type="max"/>
        <color rgb="FF638EC6"/>
      </dataBar>
    </cfRule>
  </conditionalFormatting>
  <conditionalFormatting sqref="H5:H22">
    <cfRule type="dataBar" priority="57">
      <dataBar>
        <cfvo type="min"/>
        <cfvo type="max"/>
        <color rgb="FF638EC6"/>
      </dataBar>
    </cfRule>
  </conditionalFormatting>
  <conditionalFormatting sqref="J5:J22">
    <cfRule type="dataBar" priority="26">
      <dataBar>
        <cfvo type="min"/>
        <cfvo type="max"/>
        <color rgb="FF638EC6"/>
      </dataBar>
    </cfRule>
  </conditionalFormatting>
  <conditionalFormatting sqref="M5:M22">
    <cfRule type="dataBar" priority="56">
      <dataBar>
        <cfvo type="min"/>
        <cfvo type="max"/>
        <color rgb="FF63C384"/>
      </dataBar>
    </cfRule>
    <cfRule type="dataBar" priority="55">
      <dataBar>
        <cfvo type="min"/>
        <cfvo type="max"/>
        <color rgb="FF63C384"/>
      </dataBar>
    </cfRule>
  </conditionalFormatting>
  <conditionalFormatting sqref="O5:O22">
    <cfRule type="dataBar" priority="54">
      <dataBar>
        <cfvo type="min"/>
        <cfvo type="max"/>
        <color rgb="FF63C384"/>
      </dataBar>
    </cfRule>
    <cfRule type="dataBar" priority="53">
      <dataBar>
        <cfvo type="min"/>
        <cfvo type="max"/>
        <color rgb="FF63C384"/>
      </dataBar>
    </cfRule>
  </conditionalFormatting>
  <conditionalFormatting sqref="Q5:Q22">
    <cfRule type="dataBar" priority="52">
      <dataBar>
        <cfvo type="min"/>
        <cfvo type="max"/>
        <color rgb="FF63C384"/>
      </dataBar>
    </cfRule>
    <cfRule type="dataBar" priority="51">
      <dataBar>
        <cfvo type="min"/>
        <cfvo type="max"/>
        <color rgb="FF63C384"/>
      </dataBar>
    </cfRule>
  </conditionalFormatting>
  <conditionalFormatting sqref="S5:S22">
    <cfRule type="dataBar" priority="50">
      <dataBar>
        <cfvo type="min"/>
        <cfvo type="max"/>
        <color rgb="FF63C384"/>
      </dataBar>
    </cfRule>
  </conditionalFormatting>
  <conditionalFormatting sqref="U5:U22">
    <cfRule type="dataBar" priority="25">
      <dataBar>
        <cfvo type="min"/>
        <cfvo type="max"/>
        <color rgb="FF63C384"/>
      </dataBar>
    </cfRule>
  </conditionalFormatting>
  <conditionalFormatting sqref="X5:X22">
    <cfRule type="dataBar" priority="49">
      <dataBar>
        <cfvo type="min"/>
        <cfvo type="max"/>
        <color rgb="FF63C384"/>
      </dataBar>
    </cfRule>
    <cfRule type="dataBar" priority="48">
      <dataBar>
        <cfvo type="min"/>
        <cfvo type="max"/>
        <color rgb="FFFFFF00"/>
      </dataBar>
    </cfRule>
  </conditionalFormatting>
  <conditionalFormatting sqref="Z5:Z22">
    <cfRule type="dataBar" priority="20">
      <dataBar>
        <cfvo type="min"/>
        <cfvo type="max"/>
        <color rgb="FF63C384"/>
      </dataBar>
    </cfRule>
    <cfRule type="dataBar" priority="19">
      <dataBar>
        <cfvo type="min"/>
        <cfvo type="max"/>
        <color rgb="FFFFFF00"/>
      </dataBar>
    </cfRule>
  </conditionalFormatting>
  <conditionalFormatting sqref="AB5:AB22">
    <cfRule type="dataBar" priority="18">
      <dataBar>
        <cfvo type="min"/>
        <cfvo type="max"/>
        <color rgb="FF63C384"/>
      </dataBar>
    </cfRule>
    <cfRule type="dataBar" priority="17">
      <dataBar>
        <cfvo type="min"/>
        <cfvo type="max"/>
        <color rgb="FFFFFF00"/>
      </dataBar>
    </cfRule>
  </conditionalFormatting>
  <conditionalFormatting sqref="AD5:AD22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rgb="FFFFFF00"/>
      </dataBar>
    </cfRule>
  </conditionalFormatting>
  <conditionalFormatting sqref="AF5:AF22">
    <cfRule type="dataBar" priority="14">
      <dataBar>
        <cfvo type="min"/>
        <cfvo type="max"/>
        <color rgb="FF63C384"/>
      </dataBar>
    </cfRule>
    <cfRule type="dataBar" priority="13">
      <dataBar>
        <cfvo type="min"/>
        <cfvo type="max"/>
        <color rgb="FFFFFF00"/>
      </dataBar>
    </cfRule>
  </conditionalFormatting>
  <conditionalFormatting sqref="AI5:AI22">
    <cfRule type="dataBar" priority="47">
      <dataBar>
        <cfvo type="min"/>
        <cfvo type="max"/>
        <color rgb="FF63C384"/>
      </dataBar>
    </cfRule>
    <cfRule type="dataBar" priority="46">
      <dataBar>
        <cfvo type="min"/>
        <cfvo type="max"/>
        <color rgb="FFFF555A"/>
      </dataBar>
    </cfRule>
  </conditionalFormatting>
  <conditionalFormatting sqref="AK5:AK22">
    <cfRule type="dataBar" priority="44">
      <dataBar>
        <cfvo type="min"/>
        <cfvo type="max"/>
        <color rgb="FFFF555A"/>
      </dataBar>
    </cfRule>
    <cfRule type="dataBar" priority="45">
      <dataBar>
        <cfvo type="min"/>
        <cfvo type="max"/>
        <color rgb="FF63C384"/>
      </dataBar>
    </cfRule>
  </conditionalFormatting>
  <conditionalFormatting sqref="AM5:AM22">
    <cfRule type="dataBar" priority="42">
      <dataBar>
        <cfvo type="min"/>
        <cfvo type="max"/>
        <color rgb="FFFF555A"/>
      </dataBar>
    </cfRule>
    <cfRule type="dataBar" priority="43">
      <dataBar>
        <cfvo type="min"/>
        <cfvo type="max"/>
        <color rgb="FF63C384"/>
      </dataBar>
    </cfRule>
  </conditionalFormatting>
  <conditionalFormatting sqref="AO5:AO22">
    <cfRule type="dataBar" priority="12">
      <dataBar>
        <cfvo type="min"/>
        <cfvo type="max"/>
        <color rgb="FF63C384"/>
      </dataBar>
    </cfRule>
    <cfRule type="dataBar" priority="11">
      <dataBar>
        <cfvo type="min"/>
        <cfvo type="max"/>
        <color rgb="FFFF555A"/>
      </dataBar>
    </cfRule>
  </conditionalFormatting>
  <conditionalFormatting sqref="AQ5:AQ22">
    <cfRule type="dataBar" priority="24">
      <dataBar>
        <cfvo type="min"/>
        <cfvo type="max"/>
        <color rgb="FF63C384"/>
      </dataBar>
    </cfRule>
    <cfRule type="dataBar" priority="23">
      <dataBar>
        <cfvo type="min"/>
        <cfvo type="max"/>
        <color rgb="FFFF555A"/>
      </dataBar>
    </cfRule>
  </conditionalFormatting>
  <conditionalFormatting sqref="AT5:AT22">
    <cfRule type="dataBar" priority="9">
      <dataBar>
        <cfvo type="min"/>
        <cfvo type="max"/>
        <color rgb="FFD883FF"/>
      </dataBar>
    </cfRule>
    <cfRule type="dataBar" priority="10">
      <dataBar>
        <cfvo type="min"/>
        <cfvo type="max"/>
        <color rgb="FF63C384"/>
      </dataBar>
    </cfRule>
  </conditionalFormatting>
  <conditionalFormatting sqref="AV5:AV22">
    <cfRule type="dataBar" priority="8">
      <dataBar>
        <cfvo type="min"/>
        <cfvo type="max"/>
        <color rgb="FF63C384"/>
      </dataBar>
    </cfRule>
    <cfRule type="dataBar" priority="7">
      <dataBar>
        <cfvo type="min"/>
        <cfvo type="max"/>
        <color rgb="FFD883FF"/>
      </dataBar>
    </cfRule>
  </conditionalFormatting>
  <conditionalFormatting sqref="AX5:AX22">
    <cfRule type="dataBar" priority="6">
      <dataBar>
        <cfvo type="min"/>
        <cfvo type="max"/>
        <color rgb="FF63C384"/>
      </dataBar>
    </cfRule>
    <cfRule type="dataBar" priority="5">
      <dataBar>
        <cfvo type="min"/>
        <cfvo type="max"/>
        <color rgb="FFD883FF"/>
      </dataBar>
    </cfRule>
  </conditionalFormatting>
  <conditionalFormatting sqref="AZ5:AZ22">
    <cfRule type="dataBar" priority="3">
      <dataBar>
        <cfvo type="min"/>
        <cfvo type="max"/>
        <color rgb="FFD883FF"/>
      </dataBar>
    </cfRule>
    <cfRule type="dataBar" priority="4">
      <dataBar>
        <cfvo type="min"/>
        <cfvo type="max"/>
        <color rgb="FF63C384"/>
      </dataBar>
    </cfRule>
  </conditionalFormatting>
  <conditionalFormatting sqref="BB5:BB22">
    <cfRule type="dataBar" priority="1">
      <dataBar>
        <cfvo type="min"/>
        <cfvo type="max"/>
        <color rgb="FFD883FF"/>
      </dataBar>
    </cfRule>
    <cfRule type="dataBar" priority="2">
      <dataBar>
        <cfvo type="min"/>
        <cfvo type="max"/>
        <color rgb="FF63C384"/>
      </dataBar>
    </cfRule>
  </conditionalFormatting>
  <conditionalFormatting sqref="BE5:BE22">
    <cfRule type="dataBar" priority="41">
      <dataBar>
        <cfvo type="min"/>
        <cfvo type="max"/>
        <color rgb="FF63C384"/>
      </dataBar>
    </cfRule>
    <cfRule type="dataBar" priority="40">
      <dataBar>
        <cfvo type="min"/>
        <cfvo type="max"/>
        <color theme="1" tint="0.499984740745262"/>
      </dataBar>
    </cfRule>
  </conditionalFormatting>
  <conditionalFormatting sqref="BG5:BG22">
    <cfRule type="dataBar" priority="38">
      <dataBar>
        <cfvo type="min"/>
        <cfvo type="max"/>
        <color theme="1" tint="0.499984740745262"/>
      </dataBar>
    </cfRule>
    <cfRule type="dataBar" priority="39">
      <dataBar>
        <cfvo type="min"/>
        <cfvo type="max"/>
        <color rgb="FF63C384"/>
      </dataBar>
    </cfRule>
  </conditionalFormatting>
  <conditionalFormatting sqref="BI5:BI22">
    <cfRule type="dataBar" priority="36">
      <dataBar>
        <cfvo type="min"/>
        <cfvo type="max"/>
        <color theme="1" tint="0.499984740745262"/>
      </dataBar>
    </cfRule>
    <cfRule type="dataBar" priority="37">
      <dataBar>
        <cfvo type="min"/>
        <cfvo type="max"/>
        <color rgb="FF63C384"/>
      </dataBar>
    </cfRule>
  </conditionalFormatting>
  <conditionalFormatting sqref="BK5:BK22">
    <cfRule type="dataBar" priority="34">
      <dataBar>
        <cfvo type="min"/>
        <cfvo type="max"/>
        <color theme="1" tint="0.499984740745262"/>
      </dataBar>
    </cfRule>
    <cfRule type="dataBar" priority="35">
      <dataBar>
        <cfvo type="min"/>
        <cfvo type="max"/>
        <color rgb="FF63C384"/>
      </dataBar>
    </cfRule>
  </conditionalFormatting>
  <conditionalFormatting sqref="BM5:BM22">
    <cfRule type="dataBar" priority="32">
      <dataBar>
        <cfvo type="min"/>
        <cfvo type="max"/>
        <color theme="1" tint="0.499984740745262"/>
      </dataBar>
    </cfRule>
    <cfRule type="dataBar" priority="33">
      <dataBar>
        <cfvo type="min"/>
        <cfvo type="max"/>
        <color rgb="FF63C384"/>
      </dataBar>
    </cfRule>
  </conditionalFormatting>
  <conditionalFormatting sqref="BO5:BO22">
    <cfRule type="dataBar" priority="30">
      <dataBar>
        <cfvo type="min"/>
        <cfvo type="max"/>
        <color theme="1" tint="0.499984740745262"/>
      </dataBar>
    </cfRule>
    <cfRule type="dataBar" priority="31">
      <dataBar>
        <cfvo type="min"/>
        <cfvo type="max"/>
        <color rgb="FF63C384"/>
      </dataBar>
    </cfRule>
  </conditionalFormatting>
  <conditionalFormatting sqref="BQ5:BQ22">
    <cfRule type="dataBar" priority="22">
      <dataBar>
        <cfvo type="min"/>
        <cfvo type="max"/>
        <color rgb="FF63C384"/>
      </dataBar>
    </cfRule>
    <cfRule type="dataBar" priority="21">
      <dataBar>
        <cfvo type="min"/>
        <cfvo type="max"/>
        <color theme="1" tint="0.499984740745262"/>
      </dataBar>
    </cfRule>
  </conditionalFormatting>
  <conditionalFormatting sqref="BT5:BT22">
    <cfRule type="dataBar" priority="29">
      <dataBar>
        <cfvo type="min"/>
        <cfvo type="max"/>
        <color theme="5"/>
      </dataBar>
    </cfRule>
  </conditionalFormatting>
  <conditionalFormatting sqref="BV5:BV22">
    <cfRule type="dataBar" priority="28">
      <dataBar>
        <cfvo type="min"/>
        <cfvo type="max"/>
        <color theme="5"/>
      </dataBar>
    </cfRule>
  </conditionalFormatting>
  <conditionalFormatting sqref="BX5:BX22">
    <cfRule type="dataBar" priority="27">
      <dataBar>
        <cfvo type="min"/>
        <cfvo type="max"/>
        <color theme="5"/>
      </dataBar>
    </cfRule>
  </conditionalFormatting>
  <dataValidations count="2">
    <dataValidation sqref="AD1" showDropDown="0" showInputMessage="0" showErrorMessage="1" allowBlank="1" type="list">
      <formula1>"2025, 2024, 2023, 2022, 2021, 2020, 2019, 2018"</formula1>
    </dataValidation>
    <dataValidation sqref="B1" showDropDown="0" showInputMessage="1" showErrorMessage="1" allowBlank="1" type="list">
      <formula1>"2025, 2024, 2023, 2022, 2021"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FF00"/>
    <outlinePr summaryBelow="1" summaryRight="1"/>
    <pageSetUpPr/>
  </sheetPr>
  <dimension ref="A1:BZ24"/>
  <sheetViews>
    <sheetView zoomScaleNormal="100" workbookViewId="0">
      <pane xSplit="1" topLeftCell="B1" activePane="topRight" state="frozen"/>
      <selection activeCell="A4" sqref="A4"/>
      <selection pane="topRight" activeCell="B1" sqref="B1"/>
    </sheetView>
  </sheetViews>
  <sheetFormatPr baseColWidth="10" defaultRowHeight="16"/>
  <cols>
    <col width="30.33203125" bestFit="1" customWidth="1" min="1" max="1"/>
    <col width="11.1640625" bestFit="1" customWidth="1" min="2" max="2"/>
    <col width="3.6640625" customWidth="1" min="3" max="3"/>
    <col width="3.6640625" customWidth="1" min="5" max="5"/>
    <col width="3.6640625" customWidth="1" min="7" max="7"/>
    <col width="3.6640625" customWidth="1" min="9" max="9"/>
    <col width="11" customWidth="1" min="10" max="10"/>
    <col width="3.6640625" customWidth="1" min="11" max="12"/>
    <col width="3.6640625" customWidth="1" min="14" max="14"/>
    <col width="3.6640625" customWidth="1" min="16" max="16"/>
    <col width="3.6640625" customWidth="1" min="18" max="18"/>
    <col width="3.6640625" customWidth="1" min="20" max="20"/>
    <col width="11" customWidth="1" min="21" max="21"/>
    <col width="3.6640625" customWidth="1" min="22" max="23"/>
    <col width="3.6640625" customWidth="1" min="25" max="25"/>
    <col width="3.6640625" customWidth="1" min="27" max="27"/>
    <col width="3.6640625" customWidth="1" min="29" max="29"/>
    <col width="3.6640625" customWidth="1" min="31" max="31"/>
    <col width="11" customWidth="1" min="32" max="32"/>
    <col width="3.6640625" customWidth="1" min="33" max="34"/>
    <col width="3.6640625" customWidth="1" min="36" max="36"/>
    <col width="3.6640625" customWidth="1" min="38" max="38"/>
    <col width="3.6640625" customWidth="1" min="40" max="40"/>
    <col width="3.6640625" customWidth="1" min="42" max="42"/>
    <col width="11" customWidth="1" min="43" max="43"/>
    <col width="3.6640625" customWidth="1" min="44" max="45"/>
    <col width="3.6640625" customWidth="1" min="47" max="47"/>
    <col width="3.6640625" customWidth="1" min="49" max="49"/>
    <col width="3.6640625" customWidth="1" min="51" max="51"/>
    <col width="3.6640625" customWidth="1" min="53" max="53"/>
    <col width="11" customWidth="1" min="54" max="54"/>
    <col width="3.6640625" customWidth="1" min="55" max="56"/>
    <col width="3.6640625" customWidth="1" min="58" max="58"/>
    <col width="3.6640625" customWidth="1" min="60" max="60"/>
    <col width="3.6640625" customWidth="1" min="62" max="62"/>
    <col width="3.6640625" customWidth="1" min="64" max="64"/>
    <col width="3.6640625" customWidth="1" min="66" max="66"/>
    <col width="3.6640625" customWidth="1" min="68" max="68"/>
    <col width="11" customWidth="1" min="69" max="69"/>
    <col width="3.6640625" customWidth="1" min="70" max="71"/>
    <col width="3.6640625" customWidth="1" min="73" max="73"/>
    <col width="3.6640625" customWidth="1" min="75" max="75"/>
    <col width="3.6640625" customWidth="1" min="77" max="77"/>
  </cols>
  <sheetData>
    <row r="1" ht="35" customHeight="1">
      <c r="A1" s="68" t="inlineStr">
        <is>
          <t>SEASON TOTAL</t>
        </is>
      </c>
      <c r="B1" s="154" t="n">
        <v>2022</v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  <c r="Z1" s="69" t="n"/>
      <c r="AA1" s="69" t="n"/>
      <c r="AB1" s="69" t="n"/>
      <c r="AC1" s="69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  <c r="AQ1" s="69" t="n"/>
      <c r="AR1" s="69" t="n"/>
      <c r="AS1" s="69" t="n"/>
      <c r="AT1" s="69" t="n"/>
      <c r="AU1" s="69" t="n"/>
      <c r="AV1" s="69" t="n"/>
      <c r="AW1" s="69" t="n"/>
      <c r="AX1" s="69" t="n"/>
      <c r="AY1" s="69" t="n"/>
      <c r="AZ1" s="69" t="n"/>
      <c r="BA1" s="69" t="n"/>
      <c r="BB1" s="69" t="n"/>
      <c r="BC1" s="69" t="n"/>
      <c r="BD1" s="69" t="n"/>
      <c r="BE1" s="69" t="n"/>
      <c r="BF1" s="69" t="n"/>
      <c r="BG1" s="69" t="n"/>
      <c r="BH1" s="69" t="n"/>
      <c r="BI1" s="69" t="n"/>
      <c r="BJ1" s="69" t="n"/>
      <c r="BK1" s="69" t="n"/>
      <c r="BL1" s="69" t="n"/>
      <c r="BM1" s="69" t="n"/>
      <c r="BN1" s="69" t="n"/>
      <c r="BO1" s="69" t="n"/>
      <c r="BP1" s="69" t="n"/>
      <c r="BQ1" s="69" t="n"/>
      <c r="BR1" s="69" t="n"/>
      <c r="BS1" s="69" t="n"/>
      <c r="BT1" s="69" t="n"/>
      <c r="BU1" s="69" t="n"/>
      <c r="BV1" s="69" t="n"/>
      <c r="BW1" s="69" t="n"/>
      <c r="BX1" s="69" t="n"/>
      <c r="BY1" s="69" t="n"/>
      <c r="BZ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  <c r="Z2" s="69" t="n"/>
      <c r="AA2" s="69" t="n"/>
      <c r="AB2" s="69" t="n"/>
      <c r="AC2" s="69" t="n"/>
      <c r="AD2" s="6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  <c r="AQ2" s="69" t="n"/>
      <c r="AR2" s="69" t="n"/>
      <c r="AS2" s="69" t="n"/>
      <c r="AT2" s="69" t="n"/>
      <c r="AU2" s="69" t="n"/>
      <c r="AV2" s="69" t="n"/>
      <c r="AW2" s="69" t="n"/>
      <c r="AX2" s="69" t="n"/>
      <c r="AY2" s="69" t="n"/>
      <c r="AZ2" s="69" t="n"/>
      <c r="BA2" s="69" t="n"/>
      <c r="BB2" s="69" t="n"/>
      <c r="BC2" s="69" t="n"/>
      <c r="BD2" s="69" t="n"/>
      <c r="BE2" s="69" t="n"/>
      <c r="BF2" s="69" t="n"/>
      <c r="BG2" s="69" t="n"/>
      <c r="BH2" s="69" t="n"/>
      <c r="BI2" s="69" t="n"/>
      <c r="BJ2" s="69" t="n"/>
      <c r="BK2" s="69" t="n"/>
      <c r="BL2" s="69" t="n"/>
      <c r="BM2" s="69" t="n"/>
      <c r="BN2" s="69" t="n"/>
      <c r="BO2" s="69" t="n"/>
      <c r="BP2" s="69" t="n"/>
      <c r="BQ2" s="69" t="n"/>
      <c r="BR2" s="69" t="n"/>
      <c r="BS2" s="69" t="n"/>
      <c r="BT2" s="69" t="n"/>
      <c r="BU2" s="69" t="n"/>
      <c r="BV2" s="69" t="n"/>
      <c r="BW2" s="69" t="n"/>
      <c r="BX2" s="69" t="n"/>
      <c r="BY2" s="69" t="n"/>
      <c r="BZ2" s="69" t="n"/>
    </row>
    <row r="3" ht="25" customFormat="1" customHeight="1" s="25" thickBot="1">
      <c r="A3" s="240" t="inlineStr">
        <is>
          <t>Team</t>
        </is>
      </c>
      <c r="B3" s="242" t="inlineStr">
        <is>
          <t>Ball Winning</t>
        </is>
      </c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9" t="n"/>
      <c r="M3" s="245" t="inlineStr">
        <is>
          <t>Ball Movement</t>
        </is>
      </c>
      <c r="N3" s="321" t="n"/>
      <c r="O3" s="321" t="n"/>
      <c r="P3" s="321" t="n"/>
      <c r="Q3" s="321" t="n"/>
      <c r="R3" s="321" t="n"/>
      <c r="S3" s="321" t="n"/>
      <c r="T3" s="321" t="n"/>
      <c r="U3" s="321" t="n"/>
      <c r="V3" s="321" t="n"/>
      <c r="W3" s="39" t="n"/>
      <c r="X3" s="248" t="inlineStr">
        <is>
          <t>Scoring</t>
        </is>
      </c>
      <c r="Y3" s="321" t="n"/>
      <c r="Z3" s="321" t="n"/>
      <c r="AA3" s="321" t="n"/>
      <c r="AB3" s="321" t="n"/>
      <c r="AC3" s="321" t="n"/>
      <c r="AD3" s="321" t="n"/>
      <c r="AE3" s="321" t="n"/>
      <c r="AF3" s="321" t="n"/>
      <c r="AG3" s="321" t="n"/>
      <c r="AH3" s="39" t="n"/>
      <c r="AI3" s="251" t="inlineStr">
        <is>
          <t>Defence</t>
        </is>
      </c>
      <c r="AJ3" s="321" t="n"/>
      <c r="AK3" s="321" t="n"/>
      <c r="AL3" s="321" t="n"/>
      <c r="AM3" s="321" t="n"/>
      <c r="AN3" s="321" t="n"/>
      <c r="AO3" s="321" t="n"/>
      <c r="AP3" s="321" t="n"/>
      <c r="AQ3" s="321" t="n"/>
      <c r="AR3" s="321" t="n"/>
      <c r="AS3" s="39" t="n"/>
      <c r="AT3" s="254" t="inlineStr">
        <is>
          <t>Pressure</t>
        </is>
      </c>
      <c r="AU3" s="321" t="n"/>
      <c r="AV3" s="321" t="n"/>
      <c r="AW3" s="321" t="n"/>
      <c r="AX3" s="321" t="n"/>
      <c r="AY3" s="321" t="n"/>
      <c r="AZ3" s="321" t="n"/>
      <c r="BA3" s="321" t="n"/>
      <c r="BB3" s="321" t="n"/>
      <c r="BC3" s="321" t="n"/>
      <c r="BD3" s="39" t="n"/>
      <c r="BE3" s="322" t="inlineStr">
        <is>
          <t>Health Check</t>
        </is>
      </c>
      <c r="BF3" s="321" t="n"/>
      <c r="BG3" s="321" t="n"/>
      <c r="BH3" s="321" t="n"/>
      <c r="BI3" s="321" t="n"/>
      <c r="BJ3" s="321" t="n"/>
      <c r="BK3" s="321" t="n"/>
      <c r="BL3" s="321" t="n"/>
      <c r="BM3" s="321" t="n"/>
      <c r="BN3" s="321" t="n"/>
      <c r="BO3" s="321" t="n"/>
      <c r="BP3" s="321" t="n"/>
      <c r="BQ3" s="321" t="n"/>
      <c r="BR3" s="323" t="n"/>
      <c r="BS3" s="39" t="n"/>
      <c r="BT3" s="237" t="inlineStr">
        <is>
          <t>Wheelo Ratings</t>
        </is>
      </c>
      <c r="BU3" s="321" t="n"/>
      <c r="BV3" s="321" t="n"/>
      <c r="BW3" s="321" t="n"/>
      <c r="BX3" s="321" t="n"/>
      <c r="BY3" s="324" t="n"/>
      <c r="BZ3" s="70" t="n"/>
    </row>
    <row r="4" ht="69" customFormat="1" customHeight="1" s="2" thickBot="1">
      <c r="A4" s="325" t="n"/>
      <c r="B4" s="4" t="inlineStr">
        <is>
          <t>Post Clear CP Diff</t>
        </is>
      </c>
      <c r="C4" s="5" t="inlineStr">
        <is>
          <t>Rank</t>
        </is>
      </c>
      <c r="D4" s="5" t="inlineStr">
        <is>
          <t>Ground Ball Diff</t>
        </is>
      </c>
      <c r="E4" s="5" t="inlineStr">
        <is>
          <t>Rank</t>
        </is>
      </c>
      <c r="F4" s="5" t="inlineStr">
        <is>
          <t>1st Poss to Clear %</t>
        </is>
      </c>
      <c r="G4" s="5" t="inlineStr">
        <is>
          <t>Rank</t>
        </is>
      </c>
      <c r="H4" s="5" t="inlineStr">
        <is>
          <t>Clearance Diff</t>
        </is>
      </c>
      <c r="I4" s="6" t="inlineStr">
        <is>
          <t>Rank</t>
        </is>
      </c>
      <c r="J4" s="27" t="inlineStr">
        <is>
          <t>Ball Winning Ranking</t>
        </is>
      </c>
      <c r="K4" s="38" t="inlineStr">
        <is>
          <t>Rank</t>
        </is>
      </c>
      <c r="L4" s="40" t="n"/>
      <c r="M4" s="7" t="inlineStr">
        <is>
          <t>Def Half to Score %</t>
        </is>
      </c>
      <c r="N4" s="8" t="inlineStr">
        <is>
          <t>Rank</t>
        </is>
      </c>
      <c r="O4" s="8" t="inlineStr">
        <is>
          <t>Chain to Score %</t>
        </is>
      </c>
      <c r="P4" s="8" t="inlineStr">
        <is>
          <t>Rank</t>
        </is>
      </c>
      <c r="Q4" s="8" t="inlineStr">
        <is>
          <t>D50 to F50 %</t>
        </is>
      </c>
      <c r="R4" s="8" t="inlineStr">
        <is>
          <t>Rank</t>
        </is>
      </c>
      <c r="S4" s="8" t="inlineStr">
        <is>
          <t>Kick Rating</t>
        </is>
      </c>
      <c r="T4" s="9" t="inlineStr">
        <is>
          <t>Rank</t>
        </is>
      </c>
      <c r="U4" s="30" t="inlineStr">
        <is>
          <t>Ball Movement Ranking</t>
        </is>
      </c>
      <c r="V4" s="31" t="inlineStr">
        <is>
          <t>Rank</t>
        </is>
      </c>
      <c r="W4" s="40" t="n"/>
      <c r="X4" s="41" t="inlineStr">
        <is>
          <t>Scores per I50 %</t>
        </is>
      </c>
      <c r="Y4" s="23" t="inlineStr">
        <is>
          <t>Rank</t>
        </is>
      </c>
      <c r="Z4" s="23" t="inlineStr">
        <is>
          <t>Goals Per I 50 %</t>
        </is>
      </c>
      <c r="AA4" s="23" t="inlineStr">
        <is>
          <t>Rank</t>
        </is>
      </c>
      <c r="AB4" s="23" t="inlineStr">
        <is>
          <t>Accuracy %</t>
        </is>
      </c>
      <c r="AC4" s="23" t="inlineStr">
        <is>
          <t>Rank</t>
        </is>
      </c>
      <c r="AD4" s="42" t="inlineStr">
        <is>
          <t>+/- Exp Score</t>
        </is>
      </c>
      <c r="AE4" s="43" t="inlineStr">
        <is>
          <t>Rank</t>
        </is>
      </c>
      <c r="AF4" s="44" t="inlineStr">
        <is>
          <t>Scoring Ranking</t>
        </is>
      </c>
      <c r="AG4" s="45" t="inlineStr">
        <is>
          <t>Rank</t>
        </is>
      </c>
      <c r="AH4" s="40" t="n"/>
      <c r="AI4" s="13" t="inlineStr">
        <is>
          <t>Def Half to Score Ag %</t>
        </is>
      </c>
      <c r="AJ4" s="14" t="inlineStr">
        <is>
          <t>Rank</t>
        </is>
      </c>
      <c r="AK4" s="14" t="inlineStr">
        <is>
          <t>Chain to Score Ag %</t>
        </is>
      </c>
      <c r="AL4" s="14" t="inlineStr">
        <is>
          <t>Rank</t>
        </is>
      </c>
      <c r="AM4" s="14" t="inlineStr">
        <is>
          <t>D50 to F50 Ag %</t>
        </is>
      </c>
      <c r="AN4" s="14" t="inlineStr">
        <is>
          <t>Rank</t>
        </is>
      </c>
      <c r="AO4" s="14" t="inlineStr">
        <is>
          <t>Goals per I50 Ag %</t>
        </is>
      </c>
      <c r="AP4" s="15" t="inlineStr">
        <is>
          <t>Rank</t>
        </is>
      </c>
      <c r="AQ4" s="33" t="inlineStr">
        <is>
          <t>Defence Ranking</t>
        </is>
      </c>
      <c r="AR4" s="34" t="inlineStr">
        <is>
          <t>Rank</t>
        </is>
      </c>
      <c r="AS4" s="40" t="n"/>
      <c r="AT4" s="183" t="inlineStr">
        <is>
          <t>Tackle Diff</t>
        </is>
      </c>
      <c r="AU4" s="184" t="inlineStr">
        <is>
          <t>Rank</t>
        </is>
      </c>
      <c r="AV4" s="184" t="inlineStr">
        <is>
          <t>F50 Tackles</t>
        </is>
      </c>
      <c r="AW4" s="184" t="inlineStr">
        <is>
          <t>Rank</t>
        </is>
      </c>
      <c r="AX4" s="184" t="inlineStr">
        <is>
          <t>Pressure Acts</t>
        </is>
      </c>
      <c r="AY4" s="184" t="inlineStr">
        <is>
          <t>Rank</t>
        </is>
      </c>
      <c r="AZ4" s="184" t="inlineStr">
        <is>
          <t>1%'ers</t>
        </is>
      </c>
      <c r="BA4" s="185" t="inlineStr">
        <is>
          <t>Rank</t>
        </is>
      </c>
      <c r="BB4" s="186" t="inlineStr">
        <is>
          <t>Pressure Ranking</t>
        </is>
      </c>
      <c r="BC4" s="187" t="inlineStr">
        <is>
          <t>Rank</t>
        </is>
      </c>
      <c r="BD4" s="40" t="n"/>
      <c r="BE4" s="16" t="inlineStr">
        <is>
          <t>Score from Turnover For</t>
        </is>
      </c>
      <c r="BF4" s="17" t="inlineStr">
        <is>
          <t>Rank</t>
        </is>
      </c>
      <c r="BG4" s="17" t="inlineStr">
        <is>
          <t>Scores from Turnover Ag</t>
        </is>
      </c>
      <c r="BH4" s="17" t="inlineStr">
        <is>
          <t>Rank</t>
        </is>
      </c>
      <c r="BI4" s="17" t="inlineStr">
        <is>
          <t>Scores from Stoppages For</t>
        </is>
      </c>
      <c r="BJ4" s="17" t="inlineStr">
        <is>
          <t>Rank</t>
        </is>
      </c>
      <c r="BK4" s="17" t="inlineStr">
        <is>
          <t>Scores from Stoppage Ag</t>
        </is>
      </c>
      <c r="BL4" s="17" t="inlineStr">
        <is>
          <t>Rank</t>
        </is>
      </c>
      <c r="BM4" s="17" t="inlineStr">
        <is>
          <t>Territory %</t>
        </is>
      </c>
      <c r="BN4" s="17" t="inlineStr">
        <is>
          <t>Rank</t>
        </is>
      </c>
      <c r="BO4" s="17" t="inlineStr">
        <is>
          <t>Post-Clearance CP Diff</t>
        </is>
      </c>
      <c r="BP4" s="35" t="inlineStr">
        <is>
          <t>Rank</t>
        </is>
      </c>
      <c r="BQ4" s="36" t="inlineStr">
        <is>
          <t>Health Check Ranking</t>
        </is>
      </c>
      <c r="BR4" s="37" t="inlineStr">
        <is>
          <t>Rank</t>
        </is>
      </c>
      <c r="BS4" s="40" t="n"/>
      <c r="BT4" s="41" t="inlineStr">
        <is>
          <t>Attack Rating</t>
        </is>
      </c>
      <c r="BU4" s="23" t="inlineStr">
        <is>
          <t>Rank</t>
        </is>
      </c>
      <c r="BV4" s="23" t="inlineStr">
        <is>
          <t>Defence Rating</t>
        </is>
      </c>
      <c r="BW4" s="23" t="inlineStr">
        <is>
          <t>Rank</t>
        </is>
      </c>
      <c r="BX4" s="23" t="inlineStr">
        <is>
          <t>Overall Rating</t>
        </is>
      </c>
      <c r="BY4" s="24" t="inlineStr">
        <is>
          <t>Rank</t>
        </is>
      </c>
      <c r="BZ4" s="71" t="n"/>
    </row>
    <row r="5" ht="25" customFormat="1" customHeight="1" s="3">
      <c r="A5" s="75" t="inlineStr">
        <is>
          <t>Adelaide</t>
        </is>
      </c>
      <c r="B5" s="46">
        <f>VLOOKUP($A5,INDIRECT("'"&amp;$B$1&amp;"'!$A:$IZ"),222,FALSE)</f>
        <v/>
      </c>
      <c r="C5" s="47">
        <f>RANK(B5,B$5:B$22)</f>
        <v/>
      </c>
      <c r="D5" s="48">
        <f>VLOOKUP($A5,INDIRECT("'"&amp;$B$1&amp;"'!$A:$IZ"),218,FALSE)</f>
        <v/>
      </c>
      <c r="E5" s="47">
        <f>RANK(D5,D$5:D$22)</f>
        <v/>
      </c>
      <c r="F5" s="48">
        <f>VLOOKUP($A5,INDIRECT("'"&amp;$B$1&amp;"'!$A:$IZ"),49,FALSE)</f>
        <v/>
      </c>
      <c r="G5" s="47">
        <f>RANK(F5,F$5:F$22)</f>
        <v/>
      </c>
      <c r="H5" s="48">
        <f>VLOOKUP($A5,INDIRECT("'"&amp;$B$1&amp;"'!$A:$IZ"),229,FALSE)</f>
        <v/>
      </c>
      <c r="I5" s="47">
        <f>RANK(H5,H$5:H$22)</f>
        <v/>
      </c>
      <c r="J5" s="49">
        <f>104-(C5+E5+G5+I5)</f>
        <v/>
      </c>
      <c r="K5" s="47">
        <f>RANK(J5,J$5:J$22)</f>
        <v/>
      </c>
      <c r="L5" s="50" t="n"/>
      <c r="M5" s="46">
        <f>VLOOKUP($A5,INDIRECT("'"&amp;$B$1&amp;"'!$A:$IZ"),88,FALSE)</f>
        <v/>
      </c>
      <c r="N5" s="47">
        <f>RANK(M5,M$5:M$22)</f>
        <v/>
      </c>
      <c r="O5" s="46">
        <f>VLOOKUP($A5,INDIRECT("'"&amp;$B$1&amp;"'!$A:$IZ"),84,FALSE)</f>
        <v/>
      </c>
      <c r="P5" s="47">
        <f>RANK(O5,O$5:O$22)</f>
        <v/>
      </c>
      <c r="Q5" s="46">
        <f>VLOOKUP($A5,INDIRECT("'"&amp;$B$1&amp;"'!$A:$IZ"),85,FALSE)</f>
        <v/>
      </c>
      <c r="R5" s="47">
        <f>RANK(Q5,Q$5:Q$22)</f>
        <v/>
      </c>
      <c r="S5" s="48">
        <f>VLOOKUP($A5,INDIRECT("'"&amp;$B$1&amp;"'!$A:$IZ"),29,FALSE)</f>
        <v/>
      </c>
      <c r="T5" s="47">
        <f>RANK(S5,S$5:S$22)</f>
        <v/>
      </c>
      <c r="U5" s="49">
        <f>104-(N5+P5+R5+T5)</f>
        <v/>
      </c>
      <c r="V5" s="47">
        <f>RANK(U5,U$5:U$22)</f>
        <v/>
      </c>
      <c r="W5" s="50" t="n"/>
      <c r="X5" s="46">
        <f>VLOOKUP($A5,INDIRECT("'"&amp;$B$1&amp;"'!$A:$IZ"),65,FALSE)</f>
        <v/>
      </c>
      <c r="Y5" s="47">
        <f>RANK(X5,X$5:X$22)</f>
        <v/>
      </c>
      <c r="Z5" s="46">
        <f>VLOOKUP($A5,INDIRECT("'"&amp;$B$1&amp;"'!$A:$IZ"),64,FALSE)</f>
        <v/>
      </c>
      <c r="AA5" s="47">
        <f>RANK(Z5,Z$5:Z$22)</f>
        <v/>
      </c>
      <c r="AB5" s="46">
        <f>VLOOKUP($A5,INDIRECT("'"&amp;$B$1&amp;"'!$A:$IZ"),63,FALSE)</f>
        <v/>
      </c>
      <c r="AC5" s="47">
        <f>RANK(AB5,AB$5:AB$22)</f>
        <v/>
      </c>
      <c r="AD5" s="46">
        <f>VLOOKUP($A5,INDIRECT("'"&amp;$B$1&amp;"'!$A:$IZ"),71,FALSE)</f>
        <v/>
      </c>
      <c r="AE5" s="47">
        <f>RANK(AD5,AD$5:AD$22)</f>
        <v/>
      </c>
      <c r="AF5" s="49">
        <f>104-(Y5+AA5+AC5+AE5)</f>
        <v/>
      </c>
      <c r="AG5" s="47">
        <f>RANK(AF5,AF$5:AF$22)</f>
        <v/>
      </c>
      <c r="AH5" s="50" t="n"/>
      <c r="AI5" s="46">
        <f>VLOOKUP($A5,INDIRECT("'"&amp;$B$1&amp;"'!$A:$IZ"),183,FALSE)</f>
        <v/>
      </c>
      <c r="AJ5" s="47">
        <f>RANK(AI5,AI$5:AI$22,1)</f>
        <v/>
      </c>
      <c r="AK5" s="46">
        <f>VLOOKUP($A5,INDIRECT("'"&amp;$B$1&amp;"'!$A:$IZ"),181,FALSE)</f>
        <v/>
      </c>
      <c r="AL5" s="47">
        <f>RANK(AK5,AK$5:AK$22,1)</f>
        <v/>
      </c>
      <c r="AM5" s="46">
        <f>VLOOKUP($A5,INDIRECT("'"&amp;$B$1&amp;"'!$A:$IZ"),182,FALSE)</f>
        <v/>
      </c>
      <c r="AN5" s="47">
        <f>RANK(AM5,AM$5:AM$22,1)</f>
        <v/>
      </c>
      <c r="AO5" s="46">
        <f>VLOOKUP($A5,INDIRECT("'"&amp;$B$1&amp;"'!$A:$IZ"),163,FALSE)</f>
        <v/>
      </c>
      <c r="AP5" s="47">
        <f>RANK(AO5,AO$5:AO$22,1)</f>
        <v/>
      </c>
      <c r="AQ5" s="49">
        <f>104-(AJ5+AL5+AN5+AP5)</f>
        <v/>
      </c>
      <c r="AR5" s="47">
        <f>RANK(AQ5,AQ$5:AQ$22)</f>
        <v/>
      </c>
      <c r="AS5" s="50" t="n"/>
      <c r="AT5" s="46">
        <f>VLOOKUP($A5,INDIRECT("'"&amp;$B$1&amp;"'!$A:$IZ"),250,FALSE)</f>
        <v/>
      </c>
      <c r="AU5" s="47">
        <f>RANK(AT5,AT$5:AT$22,0)</f>
        <v/>
      </c>
      <c r="AV5" s="46">
        <f>VLOOKUP($A5,INDIRECT("'"&amp;$B$1&amp;"'!$A:$IZ"),92,FALSE)</f>
        <v/>
      </c>
      <c r="AW5" s="47">
        <f>RANK(AV5,AV$5:AV$22,0)</f>
        <v/>
      </c>
      <c r="AX5" s="46">
        <f>VLOOKUP($A5,INDIRECT("'"&amp;$B$1&amp;"'!$A:$IZ"),93,FALSE)</f>
        <v/>
      </c>
      <c r="AY5" s="47">
        <f>RANK(AX5,AX$5:AX$22,0)</f>
        <v/>
      </c>
      <c r="AZ5" s="46">
        <f>VLOOKUP($A5,INDIRECT("'"&amp;$B$1&amp;"'!$A:$IZ"),108,FALSE)</f>
        <v/>
      </c>
      <c r="BA5" s="47">
        <f>RANK(AZ5,AZ$5:AZ$22,0)</f>
        <v/>
      </c>
      <c r="BB5" s="46">
        <f>104-(AU5+AW5+AY5+BA5)</f>
        <v/>
      </c>
      <c r="BC5" s="47">
        <f>RANK(BB5,BB$5:BB$22)</f>
        <v/>
      </c>
      <c r="BD5" s="50" t="n"/>
      <c r="BE5" s="46">
        <f>VLOOKUP($A5,INDIRECT("'"&amp;$B$1&amp;"'!$A:$IZ"),80,FALSE)</f>
        <v/>
      </c>
      <c r="BF5" s="47">
        <f>RANK(BE5,BE$5:BE$22)</f>
        <v/>
      </c>
      <c r="BG5" s="46">
        <f>VLOOKUP($A5,INDIRECT("'"&amp;$B$1&amp;"'!$A:$IZ"),177,FALSE)</f>
        <v/>
      </c>
      <c r="BH5" s="47">
        <f>RANK(BG5,BG$5:BG$22,1)</f>
        <v/>
      </c>
      <c r="BI5" s="46">
        <f>VLOOKUP($A5,INDIRECT("'"&amp;$B$1&amp;"'!$A:$IZ"),79,FALSE)</f>
        <v/>
      </c>
      <c r="BJ5" s="47">
        <f>RANK(BI5,BI$5:BI$22)</f>
        <v/>
      </c>
      <c r="BK5" s="46">
        <f>VLOOKUP($A5,INDIRECT("'"&amp;$B$1&amp;"'!$A:$IZ"),176,FALSE)</f>
        <v/>
      </c>
      <c r="BL5" s="47">
        <f>RANK(BK5,BK$5:BK$22,1)</f>
        <v/>
      </c>
      <c r="BM5" s="46">
        <f>VLOOKUP($A5,INDIRECT("'"&amp;$B$1&amp;"'!$A:$IZ"),11,FALSE)</f>
        <v/>
      </c>
      <c r="BN5" s="47">
        <f>RANK(BM5,BM$5:BM$22)</f>
        <v/>
      </c>
      <c r="BO5" s="46">
        <f>VLOOKUP($A5,INDIRECT("'"&amp;$B$1&amp;"'!$A:$IZ"),222,FALSE)</f>
        <v/>
      </c>
      <c r="BP5" s="47">
        <f>RANK(BO5,BO$5:BO$22)</f>
        <v/>
      </c>
      <c r="BQ5" s="49">
        <f>106-(BF5+BH5+BN5+BP5+BJ5+BL5)</f>
        <v/>
      </c>
      <c r="BR5" s="47">
        <f>RANK(BQ5,BQ$5:BQ$22)</f>
        <v/>
      </c>
      <c r="BS5" s="50" t="n"/>
      <c r="BT5" s="51">
        <f>VLOOKUP($A5,'Ratings Season'!$A:$M,10,FALSE)</f>
        <v/>
      </c>
      <c r="BU5" s="47">
        <f>RANK(BT5,BT$5:BT$22)</f>
        <v/>
      </c>
      <c r="BV5" s="51">
        <f>VLOOKUP($A5,'Ratings Season'!$A:$M,12,FALSE)</f>
        <v/>
      </c>
      <c r="BW5" s="47">
        <f>RANK(BV5,BV$5:BV$22)</f>
        <v/>
      </c>
      <c r="BX5" s="51">
        <f>VLOOKUP($A5,'Ratings Season'!$A:$M,8,FALSE)</f>
        <v/>
      </c>
      <c r="BY5" s="52">
        <f>RANK(BX5,BX$5:BX$22)</f>
        <v/>
      </c>
      <c r="BZ5" s="72" t="n"/>
    </row>
    <row r="6" ht="25" customFormat="1" customHeight="1" s="3">
      <c r="A6" s="76" t="inlineStr">
        <is>
          <t>Brisbane</t>
        </is>
      </c>
      <c r="B6" s="53">
        <f>VLOOKUP($A6,INDIRECT("'"&amp;$B$1&amp;"'!$A:$IZ"),222,FALSE)</f>
        <v/>
      </c>
      <c r="C6" s="54">
        <f>RANK(B6,B$5:B$22)</f>
        <v/>
      </c>
      <c r="D6" s="55">
        <f>VLOOKUP($A6,INDIRECT("'"&amp;$B$1&amp;"'!$A:$IZ"),218,FALSE)</f>
        <v/>
      </c>
      <c r="E6" s="54">
        <f>RANK(D6,D$5:D$22)</f>
        <v/>
      </c>
      <c r="F6" s="55">
        <f>VLOOKUP($A6,INDIRECT("'"&amp;$B$1&amp;"'!$A:$IZ"),49,FALSE)</f>
        <v/>
      </c>
      <c r="G6" s="54">
        <f>RANK(F6,F$5:F$22)</f>
        <v/>
      </c>
      <c r="H6" s="55">
        <f>VLOOKUP($A6,INDIRECT("'"&amp;$B$1&amp;"'!$A:$IZ"),229,FALSE)</f>
        <v/>
      </c>
      <c r="I6" s="54">
        <f>RANK(H6,H$5:H$22)</f>
        <v/>
      </c>
      <c r="J6" s="49">
        <f>104-(C6+E6+G6+I6)</f>
        <v/>
      </c>
      <c r="K6" s="47">
        <f>RANK(J6,J$5:J$22)</f>
        <v/>
      </c>
      <c r="L6" s="56" t="n"/>
      <c r="M6" s="53">
        <f>VLOOKUP($A6,INDIRECT("'"&amp;$B$1&amp;"'!$A:$IZ"),88,FALSE)</f>
        <v/>
      </c>
      <c r="N6" s="54">
        <f>RANK(M6,M$5:M$22)</f>
        <v/>
      </c>
      <c r="O6" s="53">
        <f>VLOOKUP($A6,INDIRECT("'"&amp;$B$1&amp;"'!$A:$IZ"),84,FALSE)</f>
        <v/>
      </c>
      <c r="P6" s="54">
        <f>RANK(O6,O$5:O$22)</f>
        <v/>
      </c>
      <c r="Q6" s="53">
        <f>VLOOKUP($A6,INDIRECT("'"&amp;$B$1&amp;"'!$A:$IZ"),85,FALSE)</f>
        <v/>
      </c>
      <c r="R6" s="54">
        <f>RANK(Q6,Q$5:Q$22)</f>
        <v/>
      </c>
      <c r="S6" s="55">
        <f>VLOOKUP($A6,INDIRECT("'"&amp;$B$1&amp;"'!$A:$IZ"),29,FALSE)</f>
        <v/>
      </c>
      <c r="T6" s="54">
        <f>RANK(S6,S$5:S$22)</f>
        <v/>
      </c>
      <c r="U6" s="49">
        <f>104-(N6+P6+R6+T6)</f>
        <v/>
      </c>
      <c r="V6" s="47">
        <f>RANK(U6,U$5:U$22)</f>
        <v/>
      </c>
      <c r="W6" s="56" t="n"/>
      <c r="X6" s="53">
        <f>VLOOKUP($A6,INDIRECT("'"&amp;$B$1&amp;"'!$A:$IZ"),65,FALSE)</f>
        <v/>
      </c>
      <c r="Y6" s="54">
        <f>RANK(X6,X$5:X$22)</f>
        <v/>
      </c>
      <c r="Z6" s="53">
        <f>VLOOKUP($A6,INDIRECT("'"&amp;$B$1&amp;"'!$A:$IZ"),64,FALSE)</f>
        <v/>
      </c>
      <c r="AA6" s="54">
        <f>RANK(Z6,Z$5:Z$22)</f>
        <v/>
      </c>
      <c r="AB6" s="53">
        <f>VLOOKUP($A6,INDIRECT("'"&amp;$B$1&amp;"'!$A:$IZ"),63,FALSE)</f>
        <v/>
      </c>
      <c r="AC6" s="54">
        <f>RANK(AB6,AB$5:AB$22)</f>
        <v/>
      </c>
      <c r="AD6" s="53">
        <f>VLOOKUP($A6,INDIRECT("'"&amp;$B$1&amp;"'!$A:$IZ"),71,FALSE)</f>
        <v/>
      </c>
      <c r="AE6" s="54">
        <f>RANK(AD6,AD$5:AD$22)</f>
        <v/>
      </c>
      <c r="AF6" s="65">
        <f>104-(Y6+AA6+AC6+AE6)</f>
        <v/>
      </c>
      <c r="AG6" s="47">
        <f>RANK(AF6,AF$5:AF$22)</f>
        <v/>
      </c>
      <c r="AH6" s="56" t="n"/>
      <c r="AI6" s="53">
        <f>VLOOKUP($A6,INDIRECT("'"&amp;$B$1&amp;"'!$A:$IZ"),183,FALSE)</f>
        <v/>
      </c>
      <c r="AJ6" s="54">
        <f>RANK(AI6,AI$5:AI$22,1)</f>
        <v/>
      </c>
      <c r="AK6" s="53">
        <f>VLOOKUP($A6,INDIRECT("'"&amp;$B$1&amp;"'!$A:$IZ"),181,FALSE)</f>
        <v/>
      </c>
      <c r="AL6" s="54">
        <f>RANK(AK6,AK$5:AK$22,1)</f>
        <v/>
      </c>
      <c r="AM6" s="53">
        <f>VLOOKUP($A6,INDIRECT("'"&amp;$B$1&amp;"'!$A:$IZ"),182,FALSE)</f>
        <v/>
      </c>
      <c r="AN6" s="54">
        <f>RANK(AM6,AM$5:AM$22,1)</f>
        <v/>
      </c>
      <c r="AO6" s="53">
        <f>VLOOKUP($A6,INDIRECT("'"&amp;$B$1&amp;"'!$A:$IZ"),163,FALSE)</f>
        <v/>
      </c>
      <c r="AP6" s="54">
        <f>RANK(AO6,AO$5:AO$22,1)</f>
        <v/>
      </c>
      <c r="AQ6" s="65">
        <f>104-(AJ6+AL6+AN6+AP6)</f>
        <v/>
      </c>
      <c r="AR6" s="47">
        <f>RANK(AQ6,AQ$5:AQ$22)</f>
        <v/>
      </c>
      <c r="AS6" s="56" t="n"/>
      <c r="AT6" s="46">
        <f>VLOOKUP($A6,INDIRECT("'"&amp;$B$1&amp;"'!$A:$IZ"),250,FALSE)</f>
        <v/>
      </c>
      <c r="AU6" s="47">
        <f>RANK(AT6,AT$5:AT$22,0)</f>
        <v/>
      </c>
      <c r="AV6" s="46">
        <f>VLOOKUP($A6,INDIRECT("'"&amp;$B$1&amp;"'!$A:$IZ"),92,FALSE)</f>
        <v/>
      </c>
      <c r="AW6" s="47">
        <f>RANK(AV6,AV$5:AV$22,0)</f>
        <v/>
      </c>
      <c r="AX6" s="46">
        <f>VLOOKUP($A6,INDIRECT("'"&amp;$B$1&amp;"'!$A:$IZ"),93,FALSE)</f>
        <v/>
      </c>
      <c r="AY6" s="47">
        <f>RANK(AX6,AX$5:AX$22,0)</f>
        <v/>
      </c>
      <c r="AZ6" s="46">
        <f>VLOOKUP($A6,INDIRECT("'"&amp;$B$1&amp;"'!$A:$IZ"),108,FALSE)</f>
        <v/>
      </c>
      <c r="BA6" s="47">
        <f>RANK(AZ6,AZ$5:AZ$22,0)</f>
        <v/>
      </c>
      <c r="BB6" s="46">
        <f>104-(AU6+AW6+AY6+BA6)</f>
        <v/>
      </c>
      <c r="BC6" s="47">
        <f>RANK(BB6,BB$5:BB$22)</f>
        <v/>
      </c>
      <c r="BD6" s="56" t="n"/>
      <c r="BE6" s="53">
        <f>VLOOKUP($A6,INDIRECT("'"&amp;$B$1&amp;"'!$A:$IZ"),80,FALSE)</f>
        <v/>
      </c>
      <c r="BF6" s="54">
        <f>RANK(BE6,BE$5:BE$22)</f>
        <v/>
      </c>
      <c r="BG6" s="53">
        <f>VLOOKUP($A6,INDIRECT("'"&amp;$B$1&amp;"'!$A:$IZ"),177,FALSE)</f>
        <v/>
      </c>
      <c r="BH6" s="54">
        <f>RANK(BG6,BG$5:BG$22,1)</f>
        <v/>
      </c>
      <c r="BI6" s="53">
        <f>VLOOKUP($A6,INDIRECT("'"&amp;$B$1&amp;"'!$A:$IZ"),79,FALSE)</f>
        <v/>
      </c>
      <c r="BJ6" s="54">
        <f>RANK(BI6,BI$5:BI$22)</f>
        <v/>
      </c>
      <c r="BK6" s="53">
        <f>VLOOKUP($A6,INDIRECT("'"&amp;$B$1&amp;"'!$A:$IZ"),176,FALSE)</f>
        <v/>
      </c>
      <c r="BL6" s="54">
        <f>RANK(BK6,BK$5:BK$22,1)</f>
        <v/>
      </c>
      <c r="BM6" s="53">
        <f>VLOOKUP($A6,INDIRECT("'"&amp;$B$1&amp;"'!$A:$IZ"),11,FALSE)</f>
        <v/>
      </c>
      <c r="BN6" s="54">
        <f>RANK(BM6,BM$5:BM$22)</f>
        <v/>
      </c>
      <c r="BO6" s="53">
        <f>VLOOKUP($A6,INDIRECT("'"&amp;$B$1&amp;"'!$A:$IZ"),222,FALSE)</f>
        <v/>
      </c>
      <c r="BP6" s="54">
        <f>RANK(BO6,BO$5:BO$22)</f>
        <v/>
      </c>
      <c r="BQ6" s="65">
        <f>106-(BF6+BH6+BN6+BP6+BJ6+BL6)</f>
        <v/>
      </c>
      <c r="BR6" s="47">
        <f>RANK(BQ6,BQ$5:BQ$22)</f>
        <v/>
      </c>
      <c r="BS6" s="56" t="n"/>
      <c r="BT6" s="57">
        <f>VLOOKUP($A6,'Ratings Season'!$A:$M,10,FALSE)</f>
        <v/>
      </c>
      <c r="BU6" s="54">
        <f>RANK(BT6,BT$5:BT$22)</f>
        <v/>
      </c>
      <c r="BV6" s="57">
        <f>VLOOKUP($A6,'Ratings Season'!$A:$M,12,FALSE)</f>
        <v/>
      </c>
      <c r="BW6" s="54">
        <f>RANK(BV6,BV$5:BV$22)</f>
        <v/>
      </c>
      <c r="BX6" s="57">
        <f>VLOOKUP($A6,'Ratings Season'!$A:$M,8,FALSE)</f>
        <v/>
      </c>
      <c r="BY6" s="58">
        <f>RANK(BX6,BX$5:BX$22)</f>
        <v/>
      </c>
      <c r="BZ6" s="72" t="n"/>
    </row>
    <row r="7" ht="25" customFormat="1" customHeight="1" s="3">
      <c r="A7" s="77" t="inlineStr">
        <is>
          <t>Carlton</t>
        </is>
      </c>
      <c r="B7" s="53">
        <f>VLOOKUP($A7,INDIRECT("'"&amp;$B$1&amp;"'!$A:$IZ"),222,FALSE)</f>
        <v/>
      </c>
      <c r="C7" s="54">
        <f>RANK(B7,B$5:B$22)</f>
        <v/>
      </c>
      <c r="D7" s="55">
        <f>VLOOKUP($A7,INDIRECT("'"&amp;$B$1&amp;"'!$A:$IZ"),218,FALSE)</f>
        <v/>
      </c>
      <c r="E7" s="54">
        <f>RANK(D7,D$5:D$22)</f>
        <v/>
      </c>
      <c r="F7" s="55">
        <f>VLOOKUP($A7,INDIRECT("'"&amp;$B$1&amp;"'!$A:$IZ"),49,FALSE)</f>
        <v/>
      </c>
      <c r="G7" s="54">
        <f>RANK(F7,F$5:F$22)</f>
        <v/>
      </c>
      <c r="H7" s="55">
        <f>VLOOKUP($A7,INDIRECT("'"&amp;$B$1&amp;"'!$A:$IZ"),229,FALSE)</f>
        <v/>
      </c>
      <c r="I7" s="54">
        <f>RANK(H7,H$5:H$22)</f>
        <v/>
      </c>
      <c r="J7" s="49">
        <f>104-(C7+E7+G7+I7)</f>
        <v/>
      </c>
      <c r="K7" s="47">
        <f>RANK(J7,J$5:J$22)</f>
        <v/>
      </c>
      <c r="L7" s="56" t="n"/>
      <c r="M7" s="53">
        <f>VLOOKUP($A7,INDIRECT("'"&amp;$B$1&amp;"'!$A:$IZ"),88,FALSE)</f>
        <v/>
      </c>
      <c r="N7" s="54">
        <f>RANK(M7,M$5:M$22)</f>
        <v/>
      </c>
      <c r="O7" s="53">
        <f>VLOOKUP($A7,INDIRECT("'"&amp;$B$1&amp;"'!$A:$IZ"),84,FALSE)</f>
        <v/>
      </c>
      <c r="P7" s="54">
        <f>RANK(O7,O$5:O$22)</f>
        <v/>
      </c>
      <c r="Q7" s="53">
        <f>VLOOKUP($A7,INDIRECT("'"&amp;$B$1&amp;"'!$A:$IZ"),85,FALSE)</f>
        <v/>
      </c>
      <c r="R7" s="54">
        <f>RANK(Q7,Q$5:Q$22)</f>
        <v/>
      </c>
      <c r="S7" s="55">
        <f>VLOOKUP($A7,INDIRECT("'"&amp;$B$1&amp;"'!$A:$IZ"),29,FALSE)</f>
        <v/>
      </c>
      <c r="T7" s="54">
        <f>RANK(S7,S$5:S$22)</f>
        <v/>
      </c>
      <c r="U7" s="49">
        <f>104-(N7+P7+R7+T7)</f>
        <v/>
      </c>
      <c r="V7" s="47">
        <f>RANK(U7,U$5:U$22)</f>
        <v/>
      </c>
      <c r="W7" s="56" t="n"/>
      <c r="X7" s="53">
        <f>VLOOKUP($A7,INDIRECT("'"&amp;$B$1&amp;"'!$A:$IZ"),65,FALSE)</f>
        <v/>
      </c>
      <c r="Y7" s="54">
        <f>RANK(X7,X$5:X$22)</f>
        <v/>
      </c>
      <c r="Z7" s="53">
        <f>VLOOKUP($A7,INDIRECT("'"&amp;$B$1&amp;"'!$A:$IZ"),64,FALSE)</f>
        <v/>
      </c>
      <c r="AA7" s="54">
        <f>RANK(Z7,Z$5:Z$22)</f>
        <v/>
      </c>
      <c r="AB7" s="53">
        <f>VLOOKUP($A7,INDIRECT("'"&amp;$B$1&amp;"'!$A:$IZ"),63,FALSE)</f>
        <v/>
      </c>
      <c r="AC7" s="54">
        <f>RANK(AB7,AB$5:AB$22)</f>
        <v/>
      </c>
      <c r="AD7" s="53">
        <f>VLOOKUP($A7,INDIRECT("'"&amp;$B$1&amp;"'!$A:$IZ"),71,FALSE)</f>
        <v/>
      </c>
      <c r="AE7" s="54">
        <f>RANK(AD7,AD$5:AD$22)</f>
        <v/>
      </c>
      <c r="AF7" s="65">
        <f>104-(Y7+AA7+AC7+AE7)</f>
        <v/>
      </c>
      <c r="AG7" s="47">
        <f>RANK(AF7,AF$5:AF$22)</f>
        <v/>
      </c>
      <c r="AH7" s="56" t="n"/>
      <c r="AI7" s="53">
        <f>VLOOKUP($A7,INDIRECT("'"&amp;$B$1&amp;"'!$A:$IZ"),183,FALSE)</f>
        <v/>
      </c>
      <c r="AJ7" s="54">
        <f>RANK(AI7,AI$5:AI$22,1)</f>
        <v/>
      </c>
      <c r="AK7" s="53">
        <f>VLOOKUP($A7,INDIRECT("'"&amp;$B$1&amp;"'!$A:$IZ"),181,FALSE)</f>
        <v/>
      </c>
      <c r="AL7" s="54">
        <f>RANK(AK7,AK$5:AK$22,1)</f>
        <v/>
      </c>
      <c r="AM7" s="53">
        <f>VLOOKUP($A7,INDIRECT("'"&amp;$B$1&amp;"'!$A:$IZ"),182,FALSE)</f>
        <v/>
      </c>
      <c r="AN7" s="54">
        <f>RANK(AM7,AM$5:AM$22,1)</f>
        <v/>
      </c>
      <c r="AO7" s="53">
        <f>VLOOKUP($A7,INDIRECT("'"&amp;$B$1&amp;"'!$A:$IZ"),163,FALSE)</f>
        <v/>
      </c>
      <c r="AP7" s="54">
        <f>RANK(AO7,AO$5:AO$22,1)</f>
        <v/>
      </c>
      <c r="AQ7" s="65">
        <f>104-(AJ7+AL7+AN7+AP7)</f>
        <v/>
      </c>
      <c r="AR7" s="47">
        <f>RANK(AQ7,AQ$5:AQ$22)</f>
        <v/>
      </c>
      <c r="AS7" s="56" t="n"/>
      <c r="AT7" s="46">
        <f>VLOOKUP($A7,INDIRECT("'"&amp;$B$1&amp;"'!$A:$IZ"),250,FALSE)</f>
        <v/>
      </c>
      <c r="AU7" s="47">
        <f>RANK(AT7,AT$5:AT$22,0)</f>
        <v/>
      </c>
      <c r="AV7" s="46">
        <f>VLOOKUP($A7,INDIRECT("'"&amp;$B$1&amp;"'!$A:$IZ"),92,FALSE)</f>
        <v/>
      </c>
      <c r="AW7" s="47">
        <f>RANK(AV7,AV$5:AV$22,0)</f>
        <v/>
      </c>
      <c r="AX7" s="46">
        <f>VLOOKUP($A7,INDIRECT("'"&amp;$B$1&amp;"'!$A:$IZ"),93,FALSE)</f>
        <v/>
      </c>
      <c r="AY7" s="47">
        <f>RANK(AX7,AX$5:AX$22,0)</f>
        <v/>
      </c>
      <c r="AZ7" s="46">
        <f>VLOOKUP($A7,INDIRECT("'"&amp;$B$1&amp;"'!$A:$IZ"),108,FALSE)</f>
        <v/>
      </c>
      <c r="BA7" s="47">
        <f>RANK(AZ7,AZ$5:AZ$22,0)</f>
        <v/>
      </c>
      <c r="BB7" s="46">
        <f>104-(AU7+AW7+AY7+BA7)</f>
        <v/>
      </c>
      <c r="BC7" s="47">
        <f>RANK(BB7,BB$5:BB$22)</f>
        <v/>
      </c>
      <c r="BD7" s="56" t="n"/>
      <c r="BE7" s="53">
        <f>VLOOKUP($A7,INDIRECT("'"&amp;$B$1&amp;"'!$A:$IZ"),80,FALSE)</f>
        <v/>
      </c>
      <c r="BF7" s="54">
        <f>RANK(BE7,BE$5:BE$22)</f>
        <v/>
      </c>
      <c r="BG7" s="53">
        <f>VLOOKUP($A7,INDIRECT("'"&amp;$B$1&amp;"'!$A:$IZ"),177,FALSE)</f>
        <v/>
      </c>
      <c r="BH7" s="54">
        <f>RANK(BG7,BG$5:BG$22,1)</f>
        <v/>
      </c>
      <c r="BI7" s="53">
        <f>VLOOKUP($A7,INDIRECT("'"&amp;$B$1&amp;"'!$A:$IZ"),79,FALSE)</f>
        <v/>
      </c>
      <c r="BJ7" s="54">
        <f>RANK(BI7,BI$5:BI$22)</f>
        <v/>
      </c>
      <c r="BK7" s="53">
        <f>VLOOKUP($A7,INDIRECT("'"&amp;$B$1&amp;"'!$A:$IZ"),176,FALSE)</f>
        <v/>
      </c>
      <c r="BL7" s="54">
        <f>RANK(BK7,BK$5:BK$22,1)</f>
        <v/>
      </c>
      <c r="BM7" s="53">
        <f>VLOOKUP($A7,INDIRECT("'"&amp;$B$1&amp;"'!$A:$IZ"),11,FALSE)</f>
        <v/>
      </c>
      <c r="BN7" s="54">
        <f>RANK(BM7,BM$5:BM$22)</f>
        <v/>
      </c>
      <c r="BO7" s="53">
        <f>VLOOKUP($A7,INDIRECT("'"&amp;$B$1&amp;"'!$A:$IZ"),222,FALSE)</f>
        <v/>
      </c>
      <c r="BP7" s="54">
        <f>RANK(BO7,BO$5:BO$22)</f>
        <v/>
      </c>
      <c r="BQ7" s="65">
        <f>106-(BF7+BH7+BN7+BP7+BJ7+BL7)</f>
        <v/>
      </c>
      <c r="BR7" s="47">
        <f>RANK(BQ7,BQ$5:BQ$22)</f>
        <v/>
      </c>
      <c r="BS7" s="56" t="n"/>
      <c r="BT7" s="57">
        <f>VLOOKUP($A7,'Ratings Season'!$A:$M,10,FALSE)</f>
        <v/>
      </c>
      <c r="BU7" s="54">
        <f>RANK(BT7,BT$5:BT$22)</f>
        <v/>
      </c>
      <c r="BV7" s="57">
        <f>VLOOKUP($A7,'Ratings Season'!$A:$M,12,FALSE)</f>
        <v/>
      </c>
      <c r="BW7" s="54">
        <f>RANK(BV7,BV$5:BV$22)</f>
        <v/>
      </c>
      <c r="BX7" s="57">
        <f>VLOOKUP($A7,'Ratings Season'!$A:$M,8,FALSE)</f>
        <v/>
      </c>
      <c r="BY7" s="58">
        <f>RANK(BX7,BX$5:BX$22)</f>
        <v/>
      </c>
      <c r="BZ7" s="72" t="n"/>
    </row>
    <row r="8" ht="25" customFormat="1" customHeight="1" s="3">
      <c r="A8" s="78" t="inlineStr">
        <is>
          <t>Collingwood</t>
        </is>
      </c>
      <c r="B8" s="53">
        <f>VLOOKUP($A8,INDIRECT("'"&amp;$B$1&amp;"'!$A:$IZ"),222,FALSE)</f>
        <v/>
      </c>
      <c r="C8" s="54">
        <f>RANK(B8,B$5:B$22)</f>
        <v/>
      </c>
      <c r="D8" s="55">
        <f>VLOOKUP($A8,INDIRECT("'"&amp;$B$1&amp;"'!$A:$IZ"),218,FALSE)</f>
        <v/>
      </c>
      <c r="E8" s="54">
        <f>RANK(D8,D$5:D$22)</f>
        <v/>
      </c>
      <c r="F8" s="55">
        <f>VLOOKUP($A8,INDIRECT("'"&amp;$B$1&amp;"'!$A:$IZ"),49,FALSE)</f>
        <v/>
      </c>
      <c r="G8" s="54">
        <f>RANK(F8,F$5:F$22)</f>
        <v/>
      </c>
      <c r="H8" s="55">
        <f>VLOOKUP($A8,INDIRECT("'"&amp;$B$1&amp;"'!$A:$IZ"),229,FALSE)</f>
        <v/>
      </c>
      <c r="I8" s="54">
        <f>RANK(H8,H$5:H$22)</f>
        <v/>
      </c>
      <c r="J8" s="49">
        <f>104-(C8+E8+G8+I8)</f>
        <v/>
      </c>
      <c r="K8" s="47">
        <f>RANK(J8,J$5:J$22)</f>
        <v/>
      </c>
      <c r="L8" s="56" t="n"/>
      <c r="M8" s="53">
        <f>VLOOKUP($A8,INDIRECT("'"&amp;$B$1&amp;"'!$A:$IZ"),88,FALSE)</f>
        <v/>
      </c>
      <c r="N8" s="54">
        <f>RANK(M8,M$5:M$22)</f>
        <v/>
      </c>
      <c r="O8" s="53">
        <f>VLOOKUP($A8,INDIRECT("'"&amp;$B$1&amp;"'!$A:$IZ"),84,FALSE)</f>
        <v/>
      </c>
      <c r="P8" s="54">
        <f>RANK(O8,O$5:O$22)</f>
        <v/>
      </c>
      <c r="Q8" s="53">
        <f>VLOOKUP($A8,INDIRECT("'"&amp;$B$1&amp;"'!$A:$IZ"),85,FALSE)</f>
        <v/>
      </c>
      <c r="R8" s="54">
        <f>RANK(Q8,Q$5:Q$22)</f>
        <v/>
      </c>
      <c r="S8" s="55">
        <f>VLOOKUP($A8,INDIRECT("'"&amp;$B$1&amp;"'!$A:$IZ"),29,FALSE)</f>
        <v/>
      </c>
      <c r="T8" s="54">
        <f>RANK(S8,S$5:S$22)</f>
        <v/>
      </c>
      <c r="U8" s="49">
        <f>104-(N8+P8+R8+T8)</f>
        <v/>
      </c>
      <c r="V8" s="47">
        <f>RANK(U8,U$5:U$22)</f>
        <v/>
      </c>
      <c r="W8" s="56" t="n"/>
      <c r="X8" s="53">
        <f>VLOOKUP($A8,INDIRECT("'"&amp;$B$1&amp;"'!$A:$IZ"),65,FALSE)</f>
        <v/>
      </c>
      <c r="Y8" s="54">
        <f>RANK(X8,X$5:X$22)</f>
        <v/>
      </c>
      <c r="Z8" s="53">
        <f>VLOOKUP($A8,INDIRECT("'"&amp;$B$1&amp;"'!$A:$IZ"),64,FALSE)</f>
        <v/>
      </c>
      <c r="AA8" s="54">
        <f>RANK(Z8,Z$5:Z$22)</f>
        <v/>
      </c>
      <c r="AB8" s="53">
        <f>VLOOKUP($A8,INDIRECT("'"&amp;$B$1&amp;"'!$A:$IZ"),63,FALSE)</f>
        <v/>
      </c>
      <c r="AC8" s="54">
        <f>RANK(AB8,AB$5:AB$22)</f>
        <v/>
      </c>
      <c r="AD8" s="53">
        <f>VLOOKUP($A8,INDIRECT("'"&amp;$B$1&amp;"'!$A:$IZ"),71,FALSE)</f>
        <v/>
      </c>
      <c r="AE8" s="54">
        <f>RANK(AD8,AD$5:AD$22)</f>
        <v/>
      </c>
      <c r="AF8" s="65">
        <f>104-(Y8+AA8+AC8+AE8)</f>
        <v/>
      </c>
      <c r="AG8" s="47">
        <f>RANK(AF8,AF$5:AF$22)</f>
        <v/>
      </c>
      <c r="AH8" s="56" t="n"/>
      <c r="AI8" s="53">
        <f>VLOOKUP($A8,INDIRECT("'"&amp;$B$1&amp;"'!$A:$IZ"),183,FALSE)</f>
        <v/>
      </c>
      <c r="AJ8" s="54">
        <f>RANK(AI8,AI$5:AI$22,1)</f>
        <v/>
      </c>
      <c r="AK8" s="53">
        <f>VLOOKUP($A8,INDIRECT("'"&amp;$B$1&amp;"'!$A:$IZ"),181,FALSE)</f>
        <v/>
      </c>
      <c r="AL8" s="54">
        <f>RANK(AK8,AK$5:AK$22,1)</f>
        <v/>
      </c>
      <c r="AM8" s="53">
        <f>VLOOKUP($A8,INDIRECT("'"&amp;$B$1&amp;"'!$A:$IZ"),182,FALSE)</f>
        <v/>
      </c>
      <c r="AN8" s="54">
        <f>RANK(AM8,AM$5:AM$22,1)</f>
        <v/>
      </c>
      <c r="AO8" s="53">
        <f>VLOOKUP($A8,INDIRECT("'"&amp;$B$1&amp;"'!$A:$IZ"),163,FALSE)</f>
        <v/>
      </c>
      <c r="AP8" s="54">
        <f>RANK(AO8,AO$5:AO$22,1)</f>
        <v/>
      </c>
      <c r="AQ8" s="65">
        <f>104-(AJ8+AL8+AN8+AP8)</f>
        <v/>
      </c>
      <c r="AR8" s="47">
        <f>RANK(AQ8,AQ$5:AQ$22)</f>
        <v/>
      </c>
      <c r="AS8" s="56" t="n"/>
      <c r="AT8" s="46">
        <f>VLOOKUP($A8,INDIRECT("'"&amp;$B$1&amp;"'!$A:$IZ"),250,FALSE)</f>
        <v/>
      </c>
      <c r="AU8" s="47">
        <f>RANK(AT8,AT$5:AT$22,0)</f>
        <v/>
      </c>
      <c r="AV8" s="46">
        <f>VLOOKUP($A8,INDIRECT("'"&amp;$B$1&amp;"'!$A:$IZ"),92,FALSE)</f>
        <v/>
      </c>
      <c r="AW8" s="47">
        <f>RANK(AV8,AV$5:AV$22,0)</f>
        <v/>
      </c>
      <c r="AX8" s="46">
        <f>VLOOKUP($A8,INDIRECT("'"&amp;$B$1&amp;"'!$A:$IZ"),93,FALSE)</f>
        <v/>
      </c>
      <c r="AY8" s="47">
        <f>RANK(AX8,AX$5:AX$22,0)</f>
        <v/>
      </c>
      <c r="AZ8" s="46">
        <f>VLOOKUP($A8,INDIRECT("'"&amp;$B$1&amp;"'!$A:$IZ"),108,FALSE)</f>
        <v/>
      </c>
      <c r="BA8" s="47">
        <f>RANK(AZ8,AZ$5:AZ$22,0)</f>
        <v/>
      </c>
      <c r="BB8" s="46">
        <f>104-(AU8+AW8+AY8+BA8)</f>
        <v/>
      </c>
      <c r="BC8" s="47">
        <f>RANK(BB8,BB$5:BB$22)</f>
        <v/>
      </c>
      <c r="BD8" s="56" t="n"/>
      <c r="BE8" s="53">
        <f>VLOOKUP($A8,INDIRECT("'"&amp;$B$1&amp;"'!$A:$IZ"),80,FALSE)</f>
        <v/>
      </c>
      <c r="BF8" s="54">
        <f>RANK(BE8,BE$5:BE$22)</f>
        <v/>
      </c>
      <c r="BG8" s="53">
        <f>VLOOKUP($A8,INDIRECT("'"&amp;$B$1&amp;"'!$A:$IZ"),177,FALSE)</f>
        <v/>
      </c>
      <c r="BH8" s="54">
        <f>RANK(BG8,BG$5:BG$22,1)</f>
        <v/>
      </c>
      <c r="BI8" s="53">
        <f>VLOOKUP($A8,INDIRECT("'"&amp;$B$1&amp;"'!$A:$IZ"),79,FALSE)</f>
        <v/>
      </c>
      <c r="BJ8" s="54">
        <f>RANK(BI8,BI$5:BI$22)</f>
        <v/>
      </c>
      <c r="BK8" s="53">
        <f>VLOOKUP($A8,INDIRECT("'"&amp;$B$1&amp;"'!$A:$IZ"),176,FALSE)</f>
        <v/>
      </c>
      <c r="BL8" s="54">
        <f>RANK(BK8,BK$5:BK$22,1)</f>
        <v/>
      </c>
      <c r="BM8" s="53">
        <f>VLOOKUP($A8,INDIRECT("'"&amp;$B$1&amp;"'!$A:$IZ"),11,FALSE)</f>
        <v/>
      </c>
      <c r="BN8" s="54">
        <f>RANK(BM8,BM$5:BM$22)</f>
        <v/>
      </c>
      <c r="BO8" s="53">
        <f>VLOOKUP($A8,INDIRECT("'"&amp;$B$1&amp;"'!$A:$IZ"),222,FALSE)</f>
        <v/>
      </c>
      <c r="BP8" s="54">
        <f>RANK(BO8,BO$5:BO$22)</f>
        <v/>
      </c>
      <c r="BQ8" s="65">
        <f>106-(BF8+BH8+BN8+BP8+BJ8+BL8)</f>
        <v/>
      </c>
      <c r="BR8" s="47">
        <f>RANK(BQ8,BQ$5:BQ$22)</f>
        <v/>
      </c>
      <c r="BS8" s="56" t="n"/>
      <c r="BT8" s="57">
        <f>VLOOKUP($A8,'Ratings Season'!$A:$M,10,FALSE)</f>
        <v/>
      </c>
      <c r="BU8" s="54">
        <f>RANK(BT8,BT$5:BT$22)</f>
        <v/>
      </c>
      <c r="BV8" s="57">
        <f>VLOOKUP($A8,'Ratings Season'!$A:$M,12,FALSE)</f>
        <v/>
      </c>
      <c r="BW8" s="54">
        <f>RANK(BV8,BV$5:BV$22)</f>
        <v/>
      </c>
      <c r="BX8" s="57">
        <f>VLOOKUP($A8,'Ratings Season'!$A:$M,8,FALSE)</f>
        <v/>
      </c>
      <c r="BY8" s="58">
        <f>RANK(BX8,BX$5:BX$22)</f>
        <v/>
      </c>
      <c r="BZ8" s="72" t="n"/>
    </row>
    <row r="9" ht="25" customFormat="1" customHeight="1" s="3">
      <c r="A9" s="79" t="inlineStr">
        <is>
          <t>Essendon</t>
        </is>
      </c>
      <c r="B9" s="53">
        <f>VLOOKUP($A9,INDIRECT("'"&amp;$B$1&amp;"'!$A:$IZ"),222,FALSE)</f>
        <v/>
      </c>
      <c r="C9" s="54">
        <f>RANK(B9,B$5:B$22)</f>
        <v/>
      </c>
      <c r="D9" s="55">
        <f>VLOOKUP($A9,INDIRECT("'"&amp;$B$1&amp;"'!$A:$IZ"),218,FALSE)</f>
        <v/>
      </c>
      <c r="E9" s="54">
        <f>RANK(D9,D$5:D$22)</f>
        <v/>
      </c>
      <c r="F9" s="55">
        <f>VLOOKUP($A9,INDIRECT("'"&amp;$B$1&amp;"'!$A:$IZ"),49,FALSE)</f>
        <v/>
      </c>
      <c r="G9" s="54">
        <f>RANK(F9,F$5:F$22)</f>
        <v/>
      </c>
      <c r="H9" s="55">
        <f>VLOOKUP($A9,INDIRECT("'"&amp;$B$1&amp;"'!$A:$IZ"),229,FALSE)</f>
        <v/>
      </c>
      <c r="I9" s="54">
        <f>RANK(H9,H$5:H$22)</f>
        <v/>
      </c>
      <c r="J9" s="49">
        <f>104-(C9+E9+G9+I9)</f>
        <v/>
      </c>
      <c r="K9" s="47">
        <f>RANK(J9,J$5:J$22)</f>
        <v/>
      </c>
      <c r="L9" s="56" t="n"/>
      <c r="M9" s="53">
        <f>VLOOKUP($A9,INDIRECT("'"&amp;$B$1&amp;"'!$A:$IZ"),88,FALSE)</f>
        <v/>
      </c>
      <c r="N9" s="54">
        <f>RANK(M9,M$5:M$22)</f>
        <v/>
      </c>
      <c r="O9" s="53">
        <f>VLOOKUP($A9,INDIRECT("'"&amp;$B$1&amp;"'!$A:$IZ"),84,FALSE)</f>
        <v/>
      </c>
      <c r="P9" s="54">
        <f>RANK(O9,O$5:O$22)</f>
        <v/>
      </c>
      <c r="Q9" s="53">
        <f>VLOOKUP($A9,INDIRECT("'"&amp;$B$1&amp;"'!$A:$IZ"),85,FALSE)</f>
        <v/>
      </c>
      <c r="R9" s="54">
        <f>RANK(Q9,Q$5:Q$22)</f>
        <v/>
      </c>
      <c r="S9" s="55">
        <f>VLOOKUP($A9,INDIRECT("'"&amp;$B$1&amp;"'!$A:$IZ"),29,FALSE)</f>
        <v/>
      </c>
      <c r="T9" s="54">
        <f>RANK(S9,S$5:S$22)</f>
        <v/>
      </c>
      <c r="U9" s="49">
        <f>104-(N9+P9+R9+T9)</f>
        <v/>
      </c>
      <c r="V9" s="47">
        <f>RANK(U9,U$5:U$22)</f>
        <v/>
      </c>
      <c r="W9" s="56" t="n"/>
      <c r="X9" s="53">
        <f>VLOOKUP($A9,INDIRECT("'"&amp;$B$1&amp;"'!$A:$IZ"),65,FALSE)</f>
        <v/>
      </c>
      <c r="Y9" s="54">
        <f>RANK(X9,X$5:X$22)</f>
        <v/>
      </c>
      <c r="Z9" s="53">
        <f>VLOOKUP($A9,INDIRECT("'"&amp;$B$1&amp;"'!$A:$IZ"),64,FALSE)</f>
        <v/>
      </c>
      <c r="AA9" s="54">
        <f>RANK(Z9,Z$5:Z$22)</f>
        <v/>
      </c>
      <c r="AB9" s="53">
        <f>VLOOKUP($A9,INDIRECT("'"&amp;$B$1&amp;"'!$A:$IZ"),63,FALSE)</f>
        <v/>
      </c>
      <c r="AC9" s="54">
        <f>RANK(AB9,AB$5:AB$22)</f>
        <v/>
      </c>
      <c r="AD9" s="53">
        <f>VLOOKUP($A9,INDIRECT("'"&amp;$B$1&amp;"'!$A:$IZ"),71,FALSE)</f>
        <v/>
      </c>
      <c r="AE9" s="54">
        <f>RANK(AD9,AD$5:AD$22)</f>
        <v/>
      </c>
      <c r="AF9" s="65">
        <f>104-(Y9+AA9+AC9+AE9)</f>
        <v/>
      </c>
      <c r="AG9" s="47">
        <f>RANK(AF9,AF$5:AF$22)</f>
        <v/>
      </c>
      <c r="AH9" s="56" t="n"/>
      <c r="AI9" s="53">
        <f>VLOOKUP($A9,INDIRECT("'"&amp;$B$1&amp;"'!$A:$IZ"),183,FALSE)</f>
        <v/>
      </c>
      <c r="AJ9" s="54">
        <f>RANK(AI9,AI$5:AI$22,1)</f>
        <v/>
      </c>
      <c r="AK9" s="53">
        <f>VLOOKUP($A9,INDIRECT("'"&amp;$B$1&amp;"'!$A:$IZ"),181,FALSE)</f>
        <v/>
      </c>
      <c r="AL9" s="54">
        <f>RANK(AK9,AK$5:AK$22,1)</f>
        <v/>
      </c>
      <c r="AM9" s="53">
        <f>VLOOKUP($A9,INDIRECT("'"&amp;$B$1&amp;"'!$A:$IZ"),182,FALSE)</f>
        <v/>
      </c>
      <c r="AN9" s="54">
        <f>RANK(AM9,AM$5:AM$22,1)</f>
        <v/>
      </c>
      <c r="AO9" s="53">
        <f>VLOOKUP($A9,INDIRECT("'"&amp;$B$1&amp;"'!$A:$IZ"),163,FALSE)</f>
        <v/>
      </c>
      <c r="AP9" s="54">
        <f>RANK(AO9,AO$5:AO$22,1)</f>
        <v/>
      </c>
      <c r="AQ9" s="65">
        <f>104-(AJ9+AL9+AN9+AP9)</f>
        <v/>
      </c>
      <c r="AR9" s="47">
        <f>RANK(AQ9,AQ$5:AQ$22)</f>
        <v/>
      </c>
      <c r="AS9" s="56" t="n"/>
      <c r="AT9" s="46">
        <f>VLOOKUP($A9,INDIRECT("'"&amp;$B$1&amp;"'!$A:$IZ"),250,FALSE)</f>
        <v/>
      </c>
      <c r="AU9" s="47">
        <f>RANK(AT9,AT$5:AT$22,0)</f>
        <v/>
      </c>
      <c r="AV9" s="46">
        <f>VLOOKUP($A9,INDIRECT("'"&amp;$B$1&amp;"'!$A:$IZ"),92,FALSE)</f>
        <v/>
      </c>
      <c r="AW9" s="47">
        <f>RANK(AV9,AV$5:AV$22,0)</f>
        <v/>
      </c>
      <c r="AX9" s="46">
        <f>VLOOKUP($A9,INDIRECT("'"&amp;$B$1&amp;"'!$A:$IZ"),93,FALSE)</f>
        <v/>
      </c>
      <c r="AY9" s="47">
        <f>RANK(AX9,AX$5:AX$22,0)</f>
        <v/>
      </c>
      <c r="AZ9" s="46">
        <f>VLOOKUP($A9,INDIRECT("'"&amp;$B$1&amp;"'!$A:$IZ"),108,FALSE)</f>
        <v/>
      </c>
      <c r="BA9" s="47">
        <f>RANK(AZ9,AZ$5:AZ$22,0)</f>
        <v/>
      </c>
      <c r="BB9" s="46">
        <f>104-(AU9+AW9+AY9+BA9)</f>
        <v/>
      </c>
      <c r="BC9" s="47">
        <f>RANK(BB9,BB$5:BB$22)</f>
        <v/>
      </c>
      <c r="BD9" s="56" t="n"/>
      <c r="BE9" s="53">
        <f>VLOOKUP($A9,INDIRECT("'"&amp;$B$1&amp;"'!$A:$IZ"),80,FALSE)</f>
        <v/>
      </c>
      <c r="BF9" s="54">
        <f>RANK(BE9,BE$5:BE$22)</f>
        <v/>
      </c>
      <c r="BG9" s="53">
        <f>VLOOKUP($A9,INDIRECT("'"&amp;$B$1&amp;"'!$A:$IZ"),177,FALSE)</f>
        <v/>
      </c>
      <c r="BH9" s="54">
        <f>RANK(BG9,BG$5:BG$22,1)</f>
        <v/>
      </c>
      <c r="BI9" s="53">
        <f>VLOOKUP($A9,INDIRECT("'"&amp;$B$1&amp;"'!$A:$IZ"),79,FALSE)</f>
        <v/>
      </c>
      <c r="BJ9" s="54">
        <f>RANK(BI9,BI$5:BI$22)</f>
        <v/>
      </c>
      <c r="BK9" s="53">
        <f>VLOOKUP($A9,INDIRECT("'"&amp;$B$1&amp;"'!$A:$IZ"),176,FALSE)</f>
        <v/>
      </c>
      <c r="BL9" s="54">
        <f>RANK(BK9,BK$5:BK$22,1)</f>
        <v/>
      </c>
      <c r="BM9" s="53">
        <f>VLOOKUP($A9,INDIRECT("'"&amp;$B$1&amp;"'!$A:$IZ"),11,FALSE)</f>
        <v/>
      </c>
      <c r="BN9" s="54">
        <f>RANK(BM9,BM$5:BM$22)</f>
        <v/>
      </c>
      <c r="BO9" s="53">
        <f>VLOOKUP($A9,INDIRECT("'"&amp;$B$1&amp;"'!$A:$IZ"),222,FALSE)</f>
        <v/>
      </c>
      <c r="BP9" s="54">
        <f>RANK(BO9,BO$5:BO$22)</f>
        <v/>
      </c>
      <c r="BQ9" s="65">
        <f>106-(BF9+BH9+BN9+BP9+BJ9+BL9)</f>
        <v/>
      </c>
      <c r="BR9" s="47">
        <f>RANK(BQ9,BQ$5:BQ$22)</f>
        <v/>
      </c>
      <c r="BS9" s="56" t="n"/>
      <c r="BT9" s="57">
        <f>VLOOKUP($A9,'Ratings Season'!$A:$M,10,FALSE)</f>
        <v/>
      </c>
      <c r="BU9" s="54">
        <f>RANK(BT9,BT$5:BT$22)</f>
        <v/>
      </c>
      <c r="BV9" s="57">
        <f>VLOOKUP($A9,'Ratings Season'!$A:$M,12,FALSE)</f>
        <v/>
      </c>
      <c r="BW9" s="54">
        <f>RANK(BV9,BV$5:BV$22)</f>
        <v/>
      </c>
      <c r="BX9" s="57">
        <f>VLOOKUP($A9,'Ratings Season'!$A:$M,8,FALSE)</f>
        <v/>
      </c>
      <c r="BY9" s="58">
        <f>RANK(BX9,BX$5:BX$22)</f>
        <v/>
      </c>
      <c r="BZ9" s="72" t="n"/>
    </row>
    <row r="10" ht="25" customFormat="1" customHeight="1" s="3">
      <c r="A10" s="80" t="inlineStr">
        <is>
          <t>Fremantle</t>
        </is>
      </c>
      <c r="B10" s="53">
        <f>VLOOKUP($A10,INDIRECT("'"&amp;$B$1&amp;"'!$A:$IZ"),222,FALSE)</f>
        <v/>
      </c>
      <c r="C10" s="54">
        <f>RANK(B10,B$5:B$22)</f>
        <v/>
      </c>
      <c r="D10" s="55">
        <f>VLOOKUP($A10,INDIRECT("'"&amp;$B$1&amp;"'!$A:$IZ"),218,FALSE)</f>
        <v/>
      </c>
      <c r="E10" s="54">
        <f>RANK(D10,D$5:D$22)</f>
        <v/>
      </c>
      <c r="F10" s="55">
        <f>VLOOKUP($A10,INDIRECT("'"&amp;$B$1&amp;"'!$A:$IZ"),49,FALSE)</f>
        <v/>
      </c>
      <c r="G10" s="54">
        <f>RANK(F10,F$5:F$22)</f>
        <v/>
      </c>
      <c r="H10" s="55">
        <f>VLOOKUP($A10,INDIRECT("'"&amp;$B$1&amp;"'!$A:$IZ"),229,FALSE)</f>
        <v/>
      </c>
      <c r="I10" s="54">
        <f>RANK(H10,H$5:H$22)</f>
        <v/>
      </c>
      <c r="J10" s="49">
        <f>104-(C10+E10+G10+I10)</f>
        <v/>
      </c>
      <c r="K10" s="47">
        <f>RANK(J10,J$5:J$22)</f>
        <v/>
      </c>
      <c r="L10" s="56" t="n"/>
      <c r="M10" s="53">
        <f>VLOOKUP($A10,INDIRECT("'"&amp;$B$1&amp;"'!$A:$IZ"),88,FALSE)</f>
        <v/>
      </c>
      <c r="N10" s="54">
        <f>RANK(M10,M$5:M$22)</f>
        <v/>
      </c>
      <c r="O10" s="53">
        <f>VLOOKUP($A10,INDIRECT("'"&amp;$B$1&amp;"'!$A:$IZ"),84,FALSE)</f>
        <v/>
      </c>
      <c r="P10" s="54">
        <f>RANK(O10,O$5:O$22)</f>
        <v/>
      </c>
      <c r="Q10" s="53">
        <f>VLOOKUP($A10,INDIRECT("'"&amp;$B$1&amp;"'!$A:$IZ"),85,FALSE)</f>
        <v/>
      </c>
      <c r="R10" s="54">
        <f>RANK(Q10,Q$5:Q$22)</f>
        <v/>
      </c>
      <c r="S10" s="55">
        <f>VLOOKUP($A10,INDIRECT("'"&amp;$B$1&amp;"'!$A:$IZ"),29,FALSE)</f>
        <v/>
      </c>
      <c r="T10" s="54">
        <f>RANK(S10,S$5:S$22)</f>
        <v/>
      </c>
      <c r="U10" s="49">
        <f>104-(N10+P10+R10+T10)</f>
        <v/>
      </c>
      <c r="V10" s="47">
        <f>RANK(U10,U$5:U$22)</f>
        <v/>
      </c>
      <c r="W10" s="56" t="n"/>
      <c r="X10" s="53">
        <f>VLOOKUP($A10,INDIRECT("'"&amp;$B$1&amp;"'!$A:$IZ"),65,FALSE)</f>
        <v/>
      </c>
      <c r="Y10" s="54">
        <f>RANK(X10,X$5:X$22)</f>
        <v/>
      </c>
      <c r="Z10" s="53">
        <f>VLOOKUP($A10,INDIRECT("'"&amp;$B$1&amp;"'!$A:$IZ"),64,FALSE)</f>
        <v/>
      </c>
      <c r="AA10" s="54">
        <f>RANK(Z10,Z$5:Z$22)</f>
        <v/>
      </c>
      <c r="AB10" s="53">
        <f>VLOOKUP($A10,INDIRECT("'"&amp;$B$1&amp;"'!$A:$IZ"),63,FALSE)</f>
        <v/>
      </c>
      <c r="AC10" s="54">
        <f>RANK(AB10,AB$5:AB$22)</f>
        <v/>
      </c>
      <c r="AD10" s="53">
        <f>VLOOKUP($A10,INDIRECT("'"&amp;$B$1&amp;"'!$A:$IZ"),71,FALSE)</f>
        <v/>
      </c>
      <c r="AE10" s="54">
        <f>RANK(AD10,AD$5:AD$22)</f>
        <v/>
      </c>
      <c r="AF10" s="65">
        <f>104-(Y10+AA10+AC10+AE10)</f>
        <v/>
      </c>
      <c r="AG10" s="47">
        <f>RANK(AF10,AF$5:AF$22)</f>
        <v/>
      </c>
      <c r="AH10" s="56" t="n"/>
      <c r="AI10" s="53">
        <f>VLOOKUP($A10,INDIRECT("'"&amp;$B$1&amp;"'!$A:$IZ"),183,FALSE)</f>
        <v/>
      </c>
      <c r="AJ10" s="54">
        <f>RANK(AI10,AI$5:AI$22,1)</f>
        <v/>
      </c>
      <c r="AK10" s="53">
        <f>VLOOKUP($A10,INDIRECT("'"&amp;$B$1&amp;"'!$A:$IZ"),181,FALSE)</f>
        <v/>
      </c>
      <c r="AL10" s="54">
        <f>RANK(AK10,AK$5:AK$22,1)</f>
        <v/>
      </c>
      <c r="AM10" s="53">
        <f>VLOOKUP($A10,INDIRECT("'"&amp;$B$1&amp;"'!$A:$IZ"),182,FALSE)</f>
        <v/>
      </c>
      <c r="AN10" s="54">
        <f>RANK(AM10,AM$5:AM$22,1)</f>
        <v/>
      </c>
      <c r="AO10" s="53">
        <f>VLOOKUP($A10,INDIRECT("'"&amp;$B$1&amp;"'!$A:$IZ"),163,FALSE)</f>
        <v/>
      </c>
      <c r="AP10" s="54">
        <f>RANK(AO10,AO$5:AO$22,1)</f>
        <v/>
      </c>
      <c r="AQ10" s="65">
        <f>104-(AJ10+AL10+AN10+AP10)</f>
        <v/>
      </c>
      <c r="AR10" s="47">
        <f>RANK(AQ10,AQ$5:AQ$22)</f>
        <v/>
      </c>
      <c r="AS10" s="56" t="n"/>
      <c r="AT10" s="46">
        <f>VLOOKUP($A10,INDIRECT("'"&amp;$B$1&amp;"'!$A:$IZ"),250,FALSE)</f>
        <v/>
      </c>
      <c r="AU10" s="47">
        <f>RANK(AT10,AT$5:AT$22,0)</f>
        <v/>
      </c>
      <c r="AV10" s="46">
        <f>VLOOKUP($A10,INDIRECT("'"&amp;$B$1&amp;"'!$A:$IZ"),92,FALSE)</f>
        <v/>
      </c>
      <c r="AW10" s="47">
        <f>RANK(AV10,AV$5:AV$22,0)</f>
        <v/>
      </c>
      <c r="AX10" s="46">
        <f>VLOOKUP($A10,INDIRECT("'"&amp;$B$1&amp;"'!$A:$IZ"),93,FALSE)</f>
        <v/>
      </c>
      <c r="AY10" s="47">
        <f>RANK(AX10,AX$5:AX$22,0)</f>
        <v/>
      </c>
      <c r="AZ10" s="46">
        <f>VLOOKUP($A10,INDIRECT("'"&amp;$B$1&amp;"'!$A:$IZ"),108,FALSE)</f>
        <v/>
      </c>
      <c r="BA10" s="47">
        <f>RANK(AZ10,AZ$5:AZ$22,0)</f>
        <v/>
      </c>
      <c r="BB10" s="46">
        <f>104-(AU10+AW10+AY10+BA10)</f>
        <v/>
      </c>
      <c r="BC10" s="47">
        <f>RANK(BB10,BB$5:BB$22)</f>
        <v/>
      </c>
      <c r="BD10" s="56" t="n"/>
      <c r="BE10" s="53">
        <f>VLOOKUP($A10,INDIRECT("'"&amp;$B$1&amp;"'!$A:$IZ"),80,FALSE)</f>
        <v/>
      </c>
      <c r="BF10" s="54">
        <f>RANK(BE10,BE$5:BE$22)</f>
        <v/>
      </c>
      <c r="BG10" s="53">
        <f>VLOOKUP($A10,INDIRECT("'"&amp;$B$1&amp;"'!$A:$IZ"),177,FALSE)</f>
        <v/>
      </c>
      <c r="BH10" s="54">
        <f>RANK(BG10,BG$5:BG$22,1)</f>
        <v/>
      </c>
      <c r="BI10" s="53">
        <f>VLOOKUP($A10,INDIRECT("'"&amp;$B$1&amp;"'!$A:$IZ"),79,FALSE)</f>
        <v/>
      </c>
      <c r="BJ10" s="54">
        <f>RANK(BI10,BI$5:BI$22)</f>
        <v/>
      </c>
      <c r="BK10" s="53">
        <f>VLOOKUP($A10,INDIRECT("'"&amp;$B$1&amp;"'!$A:$IZ"),176,FALSE)</f>
        <v/>
      </c>
      <c r="BL10" s="54">
        <f>RANK(BK10,BK$5:BK$22,1)</f>
        <v/>
      </c>
      <c r="BM10" s="53">
        <f>VLOOKUP($A10,INDIRECT("'"&amp;$B$1&amp;"'!$A:$IZ"),11,FALSE)</f>
        <v/>
      </c>
      <c r="BN10" s="54">
        <f>RANK(BM10,BM$5:BM$22)</f>
        <v/>
      </c>
      <c r="BO10" s="53">
        <f>VLOOKUP($A10,INDIRECT("'"&amp;$B$1&amp;"'!$A:$IZ"),222,FALSE)</f>
        <v/>
      </c>
      <c r="BP10" s="54">
        <f>RANK(BO10,BO$5:BO$22)</f>
        <v/>
      </c>
      <c r="BQ10" s="65">
        <f>106-(BF10+BH10+BN10+BP10+BJ10+BL10)</f>
        <v/>
      </c>
      <c r="BR10" s="47">
        <f>RANK(BQ10,BQ$5:BQ$22)</f>
        <v/>
      </c>
      <c r="BS10" s="56" t="n"/>
      <c r="BT10" s="57">
        <f>VLOOKUP($A10,'Ratings Season'!$A:$M,10,FALSE)</f>
        <v/>
      </c>
      <c r="BU10" s="54">
        <f>RANK(BT10,BT$5:BT$22)</f>
        <v/>
      </c>
      <c r="BV10" s="57">
        <f>VLOOKUP($A10,'Ratings Season'!$A:$M,12,FALSE)</f>
        <v/>
      </c>
      <c r="BW10" s="54">
        <f>RANK(BV10,BV$5:BV$22)</f>
        <v/>
      </c>
      <c r="BX10" s="57">
        <f>VLOOKUP($A10,'Ratings Season'!$A:$M,8,FALSE)</f>
        <v/>
      </c>
      <c r="BY10" s="58">
        <f>RANK(BX10,BX$5:BX$22)</f>
        <v/>
      </c>
      <c r="BZ10" s="72" t="n"/>
    </row>
    <row r="11" ht="25" customFormat="1" customHeight="1" s="3">
      <c r="A11" s="81" t="inlineStr">
        <is>
          <t>Geelong</t>
        </is>
      </c>
      <c r="B11" s="53">
        <f>VLOOKUP($A11,INDIRECT("'"&amp;$B$1&amp;"'!$A:$IZ"),222,FALSE)</f>
        <v/>
      </c>
      <c r="C11" s="54">
        <f>RANK(B11,B$5:B$22)</f>
        <v/>
      </c>
      <c r="D11" s="55">
        <f>VLOOKUP($A11,INDIRECT("'"&amp;$B$1&amp;"'!$A:$IZ"),218,FALSE)</f>
        <v/>
      </c>
      <c r="E11" s="54">
        <f>RANK(D11,D$5:D$22)</f>
        <v/>
      </c>
      <c r="F11" s="55">
        <f>VLOOKUP($A11,INDIRECT("'"&amp;$B$1&amp;"'!$A:$IZ"),49,FALSE)</f>
        <v/>
      </c>
      <c r="G11" s="54">
        <f>RANK(F11,F$5:F$22)</f>
        <v/>
      </c>
      <c r="H11" s="55">
        <f>VLOOKUP($A11,INDIRECT("'"&amp;$B$1&amp;"'!$A:$IZ"),229,FALSE)</f>
        <v/>
      </c>
      <c r="I11" s="54">
        <f>RANK(H11,H$5:H$22)</f>
        <v/>
      </c>
      <c r="J11" s="49">
        <f>104-(C11+E11+G11+I11)</f>
        <v/>
      </c>
      <c r="K11" s="47">
        <f>RANK(J11,J$5:J$22)</f>
        <v/>
      </c>
      <c r="L11" s="56" t="n"/>
      <c r="M11" s="53">
        <f>VLOOKUP($A11,INDIRECT("'"&amp;$B$1&amp;"'!$A:$IZ"),88,FALSE)</f>
        <v/>
      </c>
      <c r="N11" s="54">
        <f>RANK(M11,M$5:M$22)</f>
        <v/>
      </c>
      <c r="O11" s="53">
        <f>VLOOKUP($A11,INDIRECT("'"&amp;$B$1&amp;"'!$A:$IZ"),84,FALSE)</f>
        <v/>
      </c>
      <c r="P11" s="54">
        <f>RANK(O11,O$5:O$22)</f>
        <v/>
      </c>
      <c r="Q11" s="53">
        <f>VLOOKUP($A11,INDIRECT("'"&amp;$B$1&amp;"'!$A:$IZ"),85,FALSE)</f>
        <v/>
      </c>
      <c r="R11" s="54">
        <f>RANK(Q11,Q$5:Q$22)</f>
        <v/>
      </c>
      <c r="S11" s="55">
        <f>VLOOKUP($A11,INDIRECT("'"&amp;$B$1&amp;"'!$A:$IZ"),29,FALSE)</f>
        <v/>
      </c>
      <c r="T11" s="54">
        <f>RANK(S11,S$5:S$22)</f>
        <v/>
      </c>
      <c r="U11" s="49">
        <f>104-(N11+P11+R11+T11)</f>
        <v/>
      </c>
      <c r="V11" s="47">
        <f>RANK(U11,U$5:U$22)</f>
        <v/>
      </c>
      <c r="W11" s="56" t="n"/>
      <c r="X11" s="53">
        <f>VLOOKUP($A11,INDIRECT("'"&amp;$B$1&amp;"'!$A:$IZ"),65,FALSE)</f>
        <v/>
      </c>
      <c r="Y11" s="54">
        <f>RANK(X11,X$5:X$22)</f>
        <v/>
      </c>
      <c r="Z11" s="53">
        <f>VLOOKUP($A11,INDIRECT("'"&amp;$B$1&amp;"'!$A:$IZ"),64,FALSE)</f>
        <v/>
      </c>
      <c r="AA11" s="54">
        <f>RANK(Z11,Z$5:Z$22)</f>
        <v/>
      </c>
      <c r="AB11" s="53">
        <f>VLOOKUP($A11,INDIRECT("'"&amp;$B$1&amp;"'!$A:$IZ"),63,FALSE)</f>
        <v/>
      </c>
      <c r="AC11" s="54">
        <f>RANK(AB11,AB$5:AB$22)</f>
        <v/>
      </c>
      <c r="AD11" s="53">
        <f>VLOOKUP($A11,INDIRECT("'"&amp;$B$1&amp;"'!$A:$IZ"),71,FALSE)</f>
        <v/>
      </c>
      <c r="AE11" s="54">
        <f>RANK(AD11,AD$5:AD$22)</f>
        <v/>
      </c>
      <c r="AF11" s="65">
        <f>104-(Y11+AA11+AC11+AE11)</f>
        <v/>
      </c>
      <c r="AG11" s="47">
        <f>RANK(AF11,AF$5:AF$22)</f>
        <v/>
      </c>
      <c r="AH11" s="56" t="n"/>
      <c r="AI11" s="53">
        <f>VLOOKUP($A11,INDIRECT("'"&amp;$B$1&amp;"'!$A:$IZ"),183,FALSE)</f>
        <v/>
      </c>
      <c r="AJ11" s="54">
        <f>RANK(AI11,AI$5:AI$22,1)</f>
        <v/>
      </c>
      <c r="AK11" s="53">
        <f>VLOOKUP($A11,INDIRECT("'"&amp;$B$1&amp;"'!$A:$IZ"),181,FALSE)</f>
        <v/>
      </c>
      <c r="AL11" s="54">
        <f>RANK(AK11,AK$5:AK$22,1)</f>
        <v/>
      </c>
      <c r="AM11" s="53">
        <f>VLOOKUP($A11,INDIRECT("'"&amp;$B$1&amp;"'!$A:$IZ"),182,FALSE)</f>
        <v/>
      </c>
      <c r="AN11" s="54">
        <f>RANK(AM11,AM$5:AM$22,1)</f>
        <v/>
      </c>
      <c r="AO11" s="53">
        <f>VLOOKUP($A11,INDIRECT("'"&amp;$B$1&amp;"'!$A:$IZ"),163,FALSE)</f>
        <v/>
      </c>
      <c r="AP11" s="54">
        <f>RANK(AO11,AO$5:AO$22,1)</f>
        <v/>
      </c>
      <c r="AQ11" s="65">
        <f>104-(AJ11+AL11+AN11+AP11)</f>
        <v/>
      </c>
      <c r="AR11" s="47">
        <f>RANK(AQ11,AQ$5:AQ$22)</f>
        <v/>
      </c>
      <c r="AS11" s="56" t="n"/>
      <c r="AT11" s="46">
        <f>VLOOKUP($A11,INDIRECT("'"&amp;$B$1&amp;"'!$A:$IZ"),250,FALSE)</f>
        <v/>
      </c>
      <c r="AU11" s="47">
        <f>RANK(AT11,AT$5:AT$22,0)</f>
        <v/>
      </c>
      <c r="AV11" s="46">
        <f>VLOOKUP($A11,INDIRECT("'"&amp;$B$1&amp;"'!$A:$IZ"),92,FALSE)</f>
        <v/>
      </c>
      <c r="AW11" s="47">
        <f>RANK(AV11,AV$5:AV$22,0)</f>
        <v/>
      </c>
      <c r="AX11" s="46">
        <f>VLOOKUP($A11,INDIRECT("'"&amp;$B$1&amp;"'!$A:$IZ"),93,FALSE)</f>
        <v/>
      </c>
      <c r="AY11" s="47">
        <f>RANK(AX11,AX$5:AX$22,0)</f>
        <v/>
      </c>
      <c r="AZ11" s="46">
        <f>VLOOKUP($A11,INDIRECT("'"&amp;$B$1&amp;"'!$A:$IZ"),108,FALSE)</f>
        <v/>
      </c>
      <c r="BA11" s="47">
        <f>RANK(AZ11,AZ$5:AZ$22,0)</f>
        <v/>
      </c>
      <c r="BB11" s="46">
        <f>104-(AU11+AW11+AY11+BA11)</f>
        <v/>
      </c>
      <c r="BC11" s="47">
        <f>RANK(BB11,BB$5:BB$22)</f>
        <v/>
      </c>
      <c r="BD11" s="56" t="n"/>
      <c r="BE11" s="53">
        <f>VLOOKUP($A11,INDIRECT("'"&amp;$B$1&amp;"'!$A:$IZ"),80,FALSE)</f>
        <v/>
      </c>
      <c r="BF11" s="54">
        <f>RANK(BE11,BE$5:BE$22)</f>
        <v/>
      </c>
      <c r="BG11" s="53">
        <f>VLOOKUP($A11,INDIRECT("'"&amp;$B$1&amp;"'!$A:$IZ"),177,FALSE)</f>
        <v/>
      </c>
      <c r="BH11" s="54">
        <f>RANK(BG11,BG$5:BG$22,1)</f>
        <v/>
      </c>
      <c r="BI11" s="53">
        <f>VLOOKUP($A11,INDIRECT("'"&amp;$B$1&amp;"'!$A:$IZ"),79,FALSE)</f>
        <v/>
      </c>
      <c r="BJ11" s="54">
        <f>RANK(BI11,BI$5:BI$22)</f>
        <v/>
      </c>
      <c r="BK11" s="53">
        <f>VLOOKUP($A11,INDIRECT("'"&amp;$B$1&amp;"'!$A:$IZ"),176,FALSE)</f>
        <v/>
      </c>
      <c r="BL11" s="54">
        <f>RANK(BK11,BK$5:BK$22,1)</f>
        <v/>
      </c>
      <c r="BM11" s="53">
        <f>VLOOKUP($A11,INDIRECT("'"&amp;$B$1&amp;"'!$A:$IZ"),11,FALSE)</f>
        <v/>
      </c>
      <c r="BN11" s="54">
        <f>RANK(BM11,BM$5:BM$22)</f>
        <v/>
      </c>
      <c r="BO11" s="53">
        <f>VLOOKUP($A11,INDIRECT("'"&amp;$B$1&amp;"'!$A:$IZ"),222,FALSE)</f>
        <v/>
      </c>
      <c r="BP11" s="54">
        <f>RANK(BO11,BO$5:BO$22)</f>
        <v/>
      </c>
      <c r="BQ11" s="65">
        <f>106-(BF11+BH11+BN11+BP11+BJ11+BL11)</f>
        <v/>
      </c>
      <c r="BR11" s="47">
        <f>RANK(BQ11,BQ$5:BQ$22)</f>
        <v/>
      </c>
      <c r="BS11" s="56" t="n"/>
      <c r="BT11" s="57">
        <f>VLOOKUP($A11,'Ratings Season'!$A:$M,10,FALSE)</f>
        <v/>
      </c>
      <c r="BU11" s="54">
        <f>RANK(BT11,BT$5:BT$22)</f>
        <v/>
      </c>
      <c r="BV11" s="57">
        <f>VLOOKUP($A11,'Ratings Season'!$A:$M,12,FALSE)</f>
        <v/>
      </c>
      <c r="BW11" s="54">
        <f>RANK(BV11,BV$5:BV$22)</f>
        <v/>
      </c>
      <c r="BX11" s="57">
        <f>VLOOKUP($A11,'Ratings Season'!$A:$M,8,FALSE)</f>
        <v/>
      </c>
      <c r="BY11" s="58">
        <f>RANK(BX11,BX$5:BX$22)</f>
        <v/>
      </c>
      <c r="BZ11" s="72" t="n"/>
    </row>
    <row r="12" ht="25" customFormat="1" customHeight="1" s="3">
      <c r="A12" s="82" t="inlineStr">
        <is>
          <t>Gold Coast</t>
        </is>
      </c>
      <c r="B12" s="53">
        <f>VLOOKUP($A12,INDIRECT("'"&amp;$B$1&amp;"'!$A:$IZ"),222,FALSE)</f>
        <v/>
      </c>
      <c r="C12" s="54">
        <f>RANK(B12,B$5:B$22)</f>
        <v/>
      </c>
      <c r="D12" s="55">
        <f>VLOOKUP($A12,INDIRECT("'"&amp;$B$1&amp;"'!$A:$IZ"),218,FALSE)</f>
        <v/>
      </c>
      <c r="E12" s="54">
        <f>RANK(D12,D$5:D$22)</f>
        <v/>
      </c>
      <c r="F12" s="55">
        <f>VLOOKUP($A12,INDIRECT("'"&amp;$B$1&amp;"'!$A:$IZ"),49,FALSE)</f>
        <v/>
      </c>
      <c r="G12" s="54">
        <f>RANK(F12,F$5:F$22)</f>
        <v/>
      </c>
      <c r="H12" s="55">
        <f>VLOOKUP($A12,INDIRECT("'"&amp;$B$1&amp;"'!$A:$IZ"),229,FALSE)</f>
        <v/>
      </c>
      <c r="I12" s="54">
        <f>RANK(H12,H$5:H$22)</f>
        <v/>
      </c>
      <c r="J12" s="49">
        <f>104-(C12+E12+G12+I12)</f>
        <v/>
      </c>
      <c r="K12" s="47">
        <f>RANK(J12,J$5:J$22)</f>
        <v/>
      </c>
      <c r="L12" s="56" t="n"/>
      <c r="M12" s="53">
        <f>VLOOKUP($A12,INDIRECT("'"&amp;$B$1&amp;"'!$A:$IZ"),88,FALSE)</f>
        <v/>
      </c>
      <c r="N12" s="54">
        <f>RANK(M12,M$5:M$22)</f>
        <v/>
      </c>
      <c r="O12" s="53">
        <f>VLOOKUP($A12,INDIRECT("'"&amp;$B$1&amp;"'!$A:$IZ"),84,FALSE)</f>
        <v/>
      </c>
      <c r="P12" s="54">
        <f>RANK(O12,O$5:O$22)</f>
        <v/>
      </c>
      <c r="Q12" s="53">
        <f>VLOOKUP($A12,INDIRECT("'"&amp;$B$1&amp;"'!$A:$IZ"),85,FALSE)</f>
        <v/>
      </c>
      <c r="R12" s="54">
        <f>RANK(Q12,Q$5:Q$22)</f>
        <v/>
      </c>
      <c r="S12" s="55">
        <f>VLOOKUP($A12,INDIRECT("'"&amp;$B$1&amp;"'!$A:$IZ"),29,FALSE)</f>
        <v/>
      </c>
      <c r="T12" s="54">
        <f>RANK(S12,S$5:S$22)</f>
        <v/>
      </c>
      <c r="U12" s="49">
        <f>104-(N12+P12+R12+T12)</f>
        <v/>
      </c>
      <c r="V12" s="47">
        <f>RANK(U12,U$5:U$22)</f>
        <v/>
      </c>
      <c r="W12" s="56" t="n"/>
      <c r="X12" s="53">
        <f>VLOOKUP($A12,INDIRECT("'"&amp;$B$1&amp;"'!$A:$IZ"),65,FALSE)</f>
        <v/>
      </c>
      <c r="Y12" s="54">
        <f>RANK(X12,X$5:X$22)</f>
        <v/>
      </c>
      <c r="Z12" s="53">
        <f>VLOOKUP($A12,INDIRECT("'"&amp;$B$1&amp;"'!$A:$IZ"),64,FALSE)</f>
        <v/>
      </c>
      <c r="AA12" s="54">
        <f>RANK(Z12,Z$5:Z$22)</f>
        <v/>
      </c>
      <c r="AB12" s="53">
        <f>VLOOKUP($A12,INDIRECT("'"&amp;$B$1&amp;"'!$A:$IZ"),63,FALSE)</f>
        <v/>
      </c>
      <c r="AC12" s="54">
        <f>RANK(AB12,AB$5:AB$22)</f>
        <v/>
      </c>
      <c r="AD12" s="53">
        <f>VLOOKUP($A12,INDIRECT("'"&amp;$B$1&amp;"'!$A:$IZ"),71,FALSE)</f>
        <v/>
      </c>
      <c r="AE12" s="54">
        <f>RANK(AD12,AD$5:AD$22)</f>
        <v/>
      </c>
      <c r="AF12" s="65">
        <f>104-(Y12+AA12+AC12+AE12)</f>
        <v/>
      </c>
      <c r="AG12" s="47">
        <f>RANK(AF12,AF$5:AF$22)</f>
        <v/>
      </c>
      <c r="AH12" s="56" t="n"/>
      <c r="AI12" s="53">
        <f>VLOOKUP($A12,INDIRECT("'"&amp;$B$1&amp;"'!$A:$IZ"),183,FALSE)</f>
        <v/>
      </c>
      <c r="AJ12" s="54">
        <f>RANK(AI12,AI$5:AI$22,1)</f>
        <v/>
      </c>
      <c r="AK12" s="53">
        <f>VLOOKUP($A12,INDIRECT("'"&amp;$B$1&amp;"'!$A:$IZ"),181,FALSE)</f>
        <v/>
      </c>
      <c r="AL12" s="54">
        <f>RANK(AK12,AK$5:AK$22,1)</f>
        <v/>
      </c>
      <c r="AM12" s="53">
        <f>VLOOKUP($A12,INDIRECT("'"&amp;$B$1&amp;"'!$A:$IZ"),182,FALSE)</f>
        <v/>
      </c>
      <c r="AN12" s="54">
        <f>RANK(AM12,AM$5:AM$22,1)</f>
        <v/>
      </c>
      <c r="AO12" s="53">
        <f>VLOOKUP($A12,INDIRECT("'"&amp;$B$1&amp;"'!$A:$IZ"),163,FALSE)</f>
        <v/>
      </c>
      <c r="AP12" s="54">
        <f>RANK(AO12,AO$5:AO$22,1)</f>
        <v/>
      </c>
      <c r="AQ12" s="65">
        <f>104-(AJ12+AL12+AN12+AP12)</f>
        <v/>
      </c>
      <c r="AR12" s="47">
        <f>RANK(AQ12,AQ$5:AQ$22)</f>
        <v/>
      </c>
      <c r="AS12" s="56" t="n"/>
      <c r="AT12" s="46">
        <f>VLOOKUP($A12,INDIRECT("'"&amp;$B$1&amp;"'!$A:$IZ"),250,FALSE)</f>
        <v/>
      </c>
      <c r="AU12" s="47">
        <f>RANK(AT12,AT$5:AT$22,0)</f>
        <v/>
      </c>
      <c r="AV12" s="46">
        <f>VLOOKUP($A12,INDIRECT("'"&amp;$B$1&amp;"'!$A:$IZ"),92,FALSE)</f>
        <v/>
      </c>
      <c r="AW12" s="47">
        <f>RANK(AV12,AV$5:AV$22,0)</f>
        <v/>
      </c>
      <c r="AX12" s="46">
        <f>VLOOKUP($A12,INDIRECT("'"&amp;$B$1&amp;"'!$A:$IZ"),93,FALSE)</f>
        <v/>
      </c>
      <c r="AY12" s="47">
        <f>RANK(AX12,AX$5:AX$22,0)</f>
        <v/>
      </c>
      <c r="AZ12" s="46">
        <f>VLOOKUP($A12,INDIRECT("'"&amp;$B$1&amp;"'!$A:$IZ"),108,FALSE)</f>
        <v/>
      </c>
      <c r="BA12" s="47">
        <f>RANK(AZ12,AZ$5:AZ$22,0)</f>
        <v/>
      </c>
      <c r="BB12" s="46">
        <f>104-(AU12+AW12+AY12+BA12)</f>
        <v/>
      </c>
      <c r="BC12" s="47">
        <f>RANK(BB12,BB$5:BB$22)</f>
        <v/>
      </c>
      <c r="BD12" s="56" t="n"/>
      <c r="BE12" s="53">
        <f>VLOOKUP($A12,INDIRECT("'"&amp;$B$1&amp;"'!$A:$IZ"),80,FALSE)</f>
        <v/>
      </c>
      <c r="BF12" s="54">
        <f>RANK(BE12,BE$5:BE$22)</f>
        <v/>
      </c>
      <c r="BG12" s="53">
        <f>VLOOKUP($A12,INDIRECT("'"&amp;$B$1&amp;"'!$A:$IZ"),177,FALSE)</f>
        <v/>
      </c>
      <c r="BH12" s="54">
        <f>RANK(BG12,BG$5:BG$22,1)</f>
        <v/>
      </c>
      <c r="BI12" s="53">
        <f>VLOOKUP($A12,INDIRECT("'"&amp;$B$1&amp;"'!$A:$IZ"),79,FALSE)</f>
        <v/>
      </c>
      <c r="BJ12" s="54">
        <f>RANK(BI12,BI$5:BI$22)</f>
        <v/>
      </c>
      <c r="BK12" s="53">
        <f>VLOOKUP($A12,INDIRECT("'"&amp;$B$1&amp;"'!$A:$IZ"),176,FALSE)</f>
        <v/>
      </c>
      <c r="BL12" s="54">
        <f>RANK(BK12,BK$5:BK$22,1)</f>
        <v/>
      </c>
      <c r="BM12" s="53">
        <f>VLOOKUP($A12,INDIRECT("'"&amp;$B$1&amp;"'!$A:$IZ"),11,FALSE)</f>
        <v/>
      </c>
      <c r="BN12" s="54">
        <f>RANK(BM12,BM$5:BM$22)</f>
        <v/>
      </c>
      <c r="BO12" s="53">
        <f>VLOOKUP($A12,INDIRECT("'"&amp;$B$1&amp;"'!$A:$IZ"),222,FALSE)</f>
        <v/>
      </c>
      <c r="BP12" s="54">
        <f>RANK(BO12,BO$5:BO$22)</f>
        <v/>
      </c>
      <c r="BQ12" s="65">
        <f>106-(BF12+BH12+BN12+BP12+BJ12+BL12)</f>
        <v/>
      </c>
      <c r="BR12" s="47">
        <f>RANK(BQ12,BQ$5:BQ$22)</f>
        <v/>
      </c>
      <c r="BS12" s="56" t="n"/>
      <c r="BT12" s="57">
        <f>VLOOKUP($A12,'Ratings Season'!$A:$M,10,FALSE)</f>
        <v/>
      </c>
      <c r="BU12" s="54">
        <f>RANK(BT12,BT$5:BT$22)</f>
        <v/>
      </c>
      <c r="BV12" s="57">
        <f>VLOOKUP($A12,'Ratings Season'!$A:$M,12,FALSE)</f>
        <v/>
      </c>
      <c r="BW12" s="54">
        <f>RANK(BV12,BV$5:BV$22)</f>
        <v/>
      </c>
      <c r="BX12" s="57">
        <f>VLOOKUP($A12,'Ratings Season'!$A:$M,8,FALSE)</f>
        <v/>
      </c>
      <c r="BY12" s="58">
        <f>RANK(BX12,BX$5:BX$22)</f>
        <v/>
      </c>
      <c r="BZ12" s="72" t="n"/>
    </row>
    <row r="13" ht="25" customFormat="1" customHeight="1" s="3">
      <c r="A13" s="83" t="inlineStr">
        <is>
          <t>Greater Western Sydney</t>
        </is>
      </c>
      <c r="B13" s="53">
        <f>VLOOKUP($A13,INDIRECT("'"&amp;$B$1&amp;"'!$A:$IZ"),222,FALSE)</f>
        <v/>
      </c>
      <c r="C13" s="54">
        <f>RANK(B13,B$5:B$22)</f>
        <v/>
      </c>
      <c r="D13" s="55">
        <f>VLOOKUP($A13,INDIRECT("'"&amp;$B$1&amp;"'!$A:$IZ"),218,FALSE)</f>
        <v/>
      </c>
      <c r="E13" s="54">
        <f>RANK(D13,D$5:D$22)</f>
        <v/>
      </c>
      <c r="F13" s="55">
        <f>VLOOKUP($A13,INDIRECT("'"&amp;$B$1&amp;"'!$A:$IZ"),49,FALSE)</f>
        <v/>
      </c>
      <c r="G13" s="54">
        <f>RANK(F13,F$5:F$22)</f>
        <v/>
      </c>
      <c r="H13" s="55">
        <f>VLOOKUP($A13,INDIRECT("'"&amp;$B$1&amp;"'!$A:$IZ"),229,FALSE)</f>
        <v/>
      </c>
      <c r="I13" s="54">
        <f>RANK(H13,H$5:H$22)</f>
        <v/>
      </c>
      <c r="J13" s="49">
        <f>104-(C13+E13+G13+I13)</f>
        <v/>
      </c>
      <c r="K13" s="47">
        <f>RANK(J13,J$5:J$22)</f>
        <v/>
      </c>
      <c r="L13" s="56" t="n"/>
      <c r="M13" s="53">
        <f>VLOOKUP($A13,INDIRECT("'"&amp;$B$1&amp;"'!$A:$IZ"),88,FALSE)</f>
        <v/>
      </c>
      <c r="N13" s="54">
        <f>RANK(M13,M$5:M$22)</f>
        <v/>
      </c>
      <c r="O13" s="53">
        <f>VLOOKUP($A13,INDIRECT("'"&amp;$B$1&amp;"'!$A:$IZ"),84,FALSE)</f>
        <v/>
      </c>
      <c r="P13" s="54">
        <f>RANK(O13,O$5:O$22)</f>
        <v/>
      </c>
      <c r="Q13" s="53">
        <f>VLOOKUP($A13,INDIRECT("'"&amp;$B$1&amp;"'!$A:$IZ"),85,FALSE)</f>
        <v/>
      </c>
      <c r="R13" s="54">
        <f>RANK(Q13,Q$5:Q$22)</f>
        <v/>
      </c>
      <c r="S13" s="55">
        <f>VLOOKUP($A13,INDIRECT("'"&amp;$B$1&amp;"'!$A:$IZ"),29,FALSE)</f>
        <v/>
      </c>
      <c r="T13" s="54">
        <f>RANK(S13,S$5:S$22)</f>
        <v/>
      </c>
      <c r="U13" s="49">
        <f>104-(N13+P13+R13+T13)</f>
        <v/>
      </c>
      <c r="V13" s="47">
        <f>RANK(U13,U$5:U$22)</f>
        <v/>
      </c>
      <c r="W13" s="56" t="n"/>
      <c r="X13" s="53">
        <f>VLOOKUP($A13,INDIRECT("'"&amp;$B$1&amp;"'!$A:$IZ"),65,FALSE)</f>
        <v/>
      </c>
      <c r="Y13" s="54">
        <f>RANK(X13,X$5:X$22)</f>
        <v/>
      </c>
      <c r="Z13" s="53">
        <f>VLOOKUP($A13,INDIRECT("'"&amp;$B$1&amp;"'!$A:$IZ"),64,FALSE)</f>
        <v/>
      </c>
      <c r="AA13" s="54">
        <f>RANK(Z13,Z$5:Z$22)</f>
        <v/>
      </c>
      <c r="AB13" s="53">
        <f>VLOOKUP($A13,INDIRECT("'"&amp;$B$1&amp;"'!$A:$IZ"),63,FALSE)</f>
        <v/>
      </c>
      <c r="AC13" s="54">
        <f>RANK(AB13,AB$5:AB$22)</f>
        <v/>
      </c>
      <c r="AD13" s="53">
        <f>VLOOKUP($A13,INDIRECT("'"&amp;$B$1&amp;"'!$A:$IZ"),71,FALSE)</f>
        <v/>
      </c>
      <c r="AE13" s="54">
        <f>RANK(AD13,AD$5:AD$22)</f>
        <v/>
      </c>
      <c r="AF13" s="65">
        <f>104-(Y13+AA13+AC13+AE13)</f>
        <v/>
      </c>
      <c r="AG13" s="47">
        <f>RANK(AF13,AF$5:AF$22)</f>
        <v/>
      </c>
      <c r="AH13" s="56" t="n"/>
      <c r="AI13" s="53">
        <f>VLOOKUP($A13,INDIRECT("'"&amp;$B$1&amp;"'!$A:$IZ"),183,FALSE)</f>
        <v/>
      </c>
      <c r="AJ13" s="54">
        <f>RANK(AI13,AI$5:AI$22,1)</f>
        <v/>
      </c>
      <c r="AK13" s="53">
        <f>VLOOKUP($A13,INDIRECT("'"&amp;$B$1&amp;"'!$A:$IZ"),181,FALSE)</f>
        <v/>
      </c>
      <c r="AL13" s="54">
        <f>RANK(AK13,AK$5:AK$22,1)</f>
        <v/>
      </c>
      <c r="AM13" s="53">
        <f>VLOOKUP($A13,INDIRECT("'"&amp;$B$1&amp;"'!$A:$IZ"),182,FALSE)</f>
        <v/>
      </c>
      <c r="AN13" s="54">
        <f>RANK(AM13,AM$5:AM$22,1)</f>
        <v/>
      </c>
      <c r="AO13" s="53">
        <f>VLOOKUP($A13,INDIRECT("'"&amp;$B$1&amp;"'!$A:$IZ"),163,FALSE)</f>
        <v/>
      </c>
      <c r="AP13" s="54">
        <f>RANK(AO13,AO$5:AO$22,1)</f>
        <v/>
      </c>
      <c r="AQ13" s="65">
        <f>104-(AJ13+AL13+AN13+AP13)</f>
        <v/>
      </c>
      <c r="AR13" s="47">
        <f>RANK(AQ13,AQ$5:AQ$22)</f>
        <v/>
      </c>
      <c r="AS13" s="56" t="n"/>
      <c r="AT13" s="46">
        <f>VLOOKUP($A13,INDIRECT("'"&amp;$B$1&amp;"'!$A:$IZ"),250,FALSE)</f>
        <v/>
      </c>
      <c r="AU13" s="47">
        <f>RANK(AT13,AT$5:AT$22,0)</f>
        <v/>
      </c>
      <c r="AV13" s="46">
        <f>VLOOKUP($A13,INDIRECT("'"&amp;$B$1&amp;"'!$A:$IZ"),92,FALSE)</f>
        <v/>
      </c>
      <c r="AW13" s="47">
        <f>RANK(AV13,AV$5:AV$22,0)</f>
        <v/>
      </c>
      <c r="AX13" s="46">
        <f>VLOOKUP($A13,INDIRECT("'"&amp;$B$1&amp;"'!$A:$IZ"),93,FALSE)</f>
        <v/>
      </c>
      <c r="AY13" s="47">
        <f>RANK(AX13,AX$5:AX$22,0)</f>
        <v/>
      </c>
      <c r="AZ13" s="46">
        <f>VLOOKUP($A13,INDIRECT("'"&amp;$B$1&amp;"'!$A:$IZ"),108,FALSE)</f>
        <v/>
      </c>
      <c r="BA13" s="47">
        <f>RANK(AZ13,AZ$5:AZ$22,0)</f>
        <v/>
      </c>
      <c r="BB13" s="46">
        <f>104-(AU13+AW13+AY13+BA13)</f>
        <v/>
      </c>
      <c r="BC13" s="47">
        <f>RANK(BB13,BB$5:BB$22)</f>
        <v/>
      </c>
      <c r="BD13" s="56" t="n"/>
      <c r="BE13" s="53">
        <f>VLOOKUP($A13,INDIRECT("'"&amp;$B$1&amp;"'!$A:$IZ"),80,FALSE)</f>
        <v/>
      </c>
      <c r="BF13" s="54">
        <f>RANK(BE13,BE$5:BE$22)</f>
        <v/>
      </c>
      <c r="BG13" s="53">
        <f>VLOOKUP($A13,INDIRECT("'"&amp;$B$1&amp;"'!$A:$IZ"),177,FALSE)</f>
        <v/>
      </c>
      <c r="BH13" s="54">
        <f>RANK(BG13,BG$5:BG$22,1)</f>
        <v/>
      </c>
      <c r="BI13" s="53">
        <f>VLOOKUP($A13,INDIRECT("'"&amp;$B$1&amp;"'!$A:$IZ"),79,FALSE)</f>
        <v/>
      </c>
      <c r="BJ13" s="54">
        <f>RANK(BI13,BI$5:BI$22)</f>
        <v/>
      </c>
      <c r="BK13" s="53">
        <f>VLOOKUP($A13,INDIRECT("'"&amp;$B$1&amp;"'!$A:$IZ"),176,FALSE)</f>
        <v/>
      </c>
      <c r="BL13" s="54">
        <f>RANK(BK13,BK$5:BK$22,1)</f>
        <v/>
      </c>
      <c r="BM13" s="53">
        <f>VLOOKUP($A13,INDIRECT("'"&amp;$B$1&amp;"'!$A:$IZ"),11,FALSE)</f>
        <v/>
      </c>
      <c r="BN13" s="54">
        <f>RANK(BM13,BM$5:BM$22)</f>
        <v/>
      </c>
      <c r="BO13" s="53">
        <f>VLOOKUP($A13,INDIRECT("'"&amp;$B$1&amp;"'!$A:$IZ"),222,FALSE)</f>
        <v/>
      </c>
      <c r="BP13" s="54">
        <f>RANK(BO13,BO$5:BO$22)</f>
        <v/>
      </c>
      <c r="BQ13" s="65">
        <f>106-(BF13+BH13+BN13+BP13+BJ13+BL13)</f>
        <v/>
      </c>
      <c r="BR13" s="47">
        <f>RANK(BQ13,BQ$5:BQ$22)</f>
        <v/>
      </c>
      <c r="BS13" s="56" t="n"/>
      <c r="BT13" s="57">
        <f>VLOOKUP($A13,'Ratings Season'!$A:$M,10,FALSE)</f>
        <v/>
      </c>
      <c r="BU13" s="54">
        <f>RANK(BT13,BT$5:BT$22)</f>
        <v/>
      </c>
      <c r="BV13" s="57">
        <f>VLOOKUP($A13,'Ratings Season'!$A:$M,12,FALSE)</f>
        <v/>
      </c>
      <c r="BW13" s="54">
        <f>RANK(BV13,BV$5:BV$22)</f>
        <v/>
      </c>
      <c r="BX13" s="57">
        <f>VLOOKUP($A13,'Ratings Season'!$A:$M,8,FALSE)</f>
        <v/>
      </c>
      <c r="BY13" s="58">
        <f>RANK(BX13,BX$5:BX$22)</f>
        <v/>
      </c>
      <c r="BZ13" s="72" t="n"/>
    </row>
    <row r="14" ht="25" customFormat="1" customHeight="1" s="3">
      <c r="A14" s="84" t="inlineStr">
        <is>
          <t>Hawthorn</t>
        </is>
      </c>
      <c r="B14" s="53">
        <f>VLOOKUP($A14,INDIRECT("'"&amp;$B$1&amp;"'!$A:$IZ"),222,FALSE)</f>
        <v/>
      </c>
      <c r="C14" s="54">
        <f>RANK(B14,B$5:B$22)</f>
        <v/>
      </c>
      <c r="D14" s="55">
        <f>VLOOKUP($A14,INDIRECT("'"&amp;$B$1&amp;"'!$A:$IZ"),218,FALSE)</f>
        <v/>
      </c>
      <c r="E14" s="54">
        <f>RANK(D14,D$5:D$22)</f>
        <v/>
      </c>
      <c r="F14" s="55">
        <f>VLOOKUP($A14,INDIRECT("'"&amp;$B$1&amp;"'!$A:$IZ"),49,FALSE)</f>
        <v/>
      </c>
      <c r="G14" s="54">
        <f>RANK(F14,F$5:F$22)</f>
        <v/>
      </c>
      <c r="H14" s="55">
        <f>VLOOKUP($A14,INDIRECT("'"&amp;$B$1&amp;"'!$A:$IZ"),229,FALSE)</f>
        <v/>
      </c>
      <c r="I14" s="54">
        <f>RANK(H14,H$5:H$22)</f>
        <v/>
      </c>
      <c r="J14" s="49">
        <f>104-(C14+E14+G14+I14)</f>
        <v/>
      </c>
      <c r="K14" s="47">
        <f>RANK(J14,J$5:J$22)</f>
        <v/>
      </c>
      <c r="L14" s="56" t="n"/>
      <c r="M14" s="53">
        <f>VLOOKUP($A14,INDIRECT("'"&amp;$B$1&amp;"'!$A:$IZ"),88,FALSE)</f>
        <v/>
      </c>
      <c r="N14" s="54">
        <f>RANK(M14,M$5:M$22)</f>
        <v/>
      </c>
      <c r="O14" s="53">
        <f>VLOOKUP($A14,INDIRECT("'"&amp;$B$1&amp;"'!$A:$IZ"),84,FALSE)</f>
        <v/>
      </c>
      <c r="P14" s="54">
        <f>RANK(O14,O$5:O$22)</f>
        <v/>
      </c>
      <c r="Q14" s="53">
        <f>VLOOKUP($A14,INDIRECT("'"&amp;$B$1&amp;"'!$A:$IZ"),85,FALSE)</f>
        <v/>
      </c>
      <c r="R14" s="54">
        <f>RANK(Q14,Q$5:Q$22)</f>
        <v/>
      </c>
      <c r="S14" s="55">
        <f>VLOOKUP($A14,INDIRECT("'"&amp;$B$1&amp;"'!$A:$IZ"),29,FALSE)</f>
        <v/>
      </c>
      <c r="T14" s="54">
        <f>RANK(S14,S$5:S$22)</f>
        <v/>
      </c>
      <c r="U14" s="49">
        <f>104-(N14+P14+R14+T14)</f>
        <v/>
      </c>
      <c r="V14" s="47">
        <f>RANK(U14,U$5:U$22)</f>
        <v/>
      </c>
      <c r="W14" s="56" t="n"/>
      <c r="X14" s="53">
        <f>VLOOKUP($A14,INDIRECT("'"&amp;$B$1&amp;"'!$A:$IZ"),65,FALSE)</f>
        <v/>
      </c>
      <c r="Y14" s="54">
        <f>RANK(X14,X$5:X$22)</f>
        <v/>
      </c>
      <c r="Z14" s="53">
        <f>VLOOKUP($A14,INDIRECT("'"&amp;$B$1&amp;"'!$A:$IZ"),64,FALSE)</f>
        <v/>
      </c>
      <c r="AA14" s="54">
        <f>RANK(Z14,Z$5:Z$22)</f>
        <v/>
      </c>
      <c r="AB14" s="53">
        <f>VLOOKUP($A14,INDIRECT("'"&amp;$B$1&amp;"'!$A:$IZ"),63,FALSE)</f>
        <v/>
      </c>
      <c r="AC14" s="54">
        <f>RANK(AB14,AB$5:AB$22)</f>
        <v/>
      </c>
      <c r="AD14" s="53">
        <f>VLOOKUP($A14,INDIRECT("'"&amp;$B$1&amp;"'!$A:$IZ"),71,FALSE)</f>
        <v/>
      </c>
      <c r="AE14" s="54">
        <f>RANK(AD14,AD$5:AD$22)</f>
        <v/>
      </c>
      <c r="AF14" s="65">
        <f>104-(Y14+AA14+AC14+AE14)</f>
        <v/>
      </c>
      <c r="AG14" s="47">
        <f>RANK(AF14,AF$5:AF$22)</f>
        <v/>
      </c>
      <c r="AH14" s="56" t="n"/>
      <c r="AI14" s="53">
        <f>VLOOKUP($A14,INDIRECT("'"&amp;$B$1&amp;"'!$A:$IZ"),183,FALSE)</f>
        <v/>
      </c>
      <c r="AJ14" s="54">
        <f>RANK(AI14,AI$5:AI$22,1)</f>
        <v/>
      </c>
      <c r="AK14" s="53">
        <f>VLOOKUP($A14,INDIRECT("'"&amp;$B$1&amp;"'!$A:$IZ"),181,FALSE)</f>
        <v/>
      </c>
      <c r="AL14" s="54">
        <f>RANK(AK14,AK$5:AK$22,1)</f>
        <v/>
      </c>
      <c r="AM14" s="53">
        <f>VLOOKUP($A14,INDIRECT("'"&amp;$B$1&amp;"'!$A:$IZ"),182,FALSE)</f>
        <v/>
      </c>
      <c r="AN14" s="54">
        <f>RANK(AM14,AM$5:AM$22,1)</f>
        <v/>
      </c>
      <c r="AO14" s="53">
        <f>VLOOKUP($A14,INDIRECT("'"&amp;$B$1&amp;"'!$A:$IZ"),163,FALSE)</f>
        <v/>
      </c>
      <c r="AP14" s="54">
        <f>RANK(AO14,AO$5:AO$22,1)</f>
        <v/>
      </c>
      <c r="AQ14" s="65">
        <f>104-(AJ14+AL14+AN14+AP14)</f>
        <v/>
      </c>
      <c r="AR14" s="47">
        <f>RANK(AQ14,AQ$5:AQ$22)</f>
        <v/>
      </c>
      <c r="AS14" s="56" t="n"/>
      <c r="AT14" s="46">
        <f>VLOOKUP($A14,INDIRECT("'"&amp;$B$1&amp;"'!$A:$IZ"),250,FALSE)</f>
        <v/>
      </c>
      <c r="AU14" s="47">
        <f>RANK(AT14,AT$5:AT$22,0)</f>
        <v/>
      </c>
      <c r="AV14" s="46">
        <f>VLOOKUP($A14,INDIRECT("'"&amp;$B$1&amp;"'!$A:$IZ"),92,FALSE)</f>
        <v/>
      </c>
      <c r="AW14" s="47">
        <f>RANK(AV14,AV$5:AV$22,0)</f>
        <v/>
      </c>
      <c r="AX14" s="46">
        <f>VLOOKUP($A14,INDIRECT("'"&amp;$B$1&amp;"'!$A:$IZ"),93,FALSE)</f>
        <v/>
      </c>
      <c r="AY14" s="47">
        <f>RANK(AX14,AX$5:AX$22,0)</f>
        <v/>
      </c>
      <c r="AZ14" s="46">
        <f>VLOOKUP($A14,INDIRECT("'"&amp;$B$1&amp;"'!$A:$IZ"),108,FALSE)</f>
        <v/>
      </c>
      <c r="BA14" s="47">
        <f>RANK(AZ14,AZ$5:AZ$22,0)</f>
        <v/>
      </c>
      <c r="BB14" s="46">
        <f>104-(AU14+AW14+AY14+BA14)</f>
        <v/>
      </c>
      <c r="BC14" s="47">
        <f>RANK(BB14,BB$5:BB$22)</f>
        <v/>
      </c>
      <c r="BD14" s="56" t="n"/>
      <c r="BE14" s="53">
        <f>VLOOKUP($A14,INDIRECT("'"&amp;$B$1&amp;"'!$A:$IZ"),80,FALSE)</f>
        <v/>
      </c>
      <c r="BF14" s="54">
        <f>RANK(BE14,BE$5:BE$22)</f>
        <v/>
      </c>
      <c r="BG14" s="53">
        <f>VLOOKUP($A14,INDIRECT("'"&amp;$B$1&amp;"'!$A:$IZ"),177,FALSE)</f>
        <v/>
      </c>
      <c r="BH14" s="54">
        <f>RANK(BG14,BG$5:BG$22,1)</f>
        <v/>
      </c>
      <c r="BI14" s="53">
        <f>VLOOKUP($A14,INDIRECT("'"&amp;$B$1&amp;"'!$A:$IZ"),79,FALSE)</f>
        <v/>
      </c>
      <c r="BJ14" s="54">
        <f>RANK(BI14,BI$5:BI$22)</f>
        <v/>
      </c>
      <c r="BK14" s="53">
        <f>VLOOKUP($A14,INDIRECT("'"&amp;$B$1&amp;"'!$A:$IZ"),176,FALSE)</f>
        <v/>
      </c>
      <c r="BL14" s="54">
        <f>RANK(BK14,BK$5:BK$22,1)</f>
        <v/>
      </c>
      <c r="BM14" s="53">
        <f>VLOOKUP($A14,INDIRECT("'"&amp;$B$1&amp;"'!$A:$IZ"),11,FALSE)</f>
        <v/>
      </c>
      <c r="BN14" s="54">
        <f>RANK(BM14,BM$5:BM$22)</f>
        <v/>
      </c>
      <c r="BO14" s="53">
        <f>VLOOKUP($A14,INDIRECT("'"&amp;$B$1&amp;"'!$A:$IZ"),222,FALSE)</f>
        <v/>
      </c>
      <c r="BP14" s="54">
        <f>RANK(BO14,BO$5:BO$22)</f>
        <v/>
      </c>
      <c r="BQ14" s="65">
        <f>106-(BF14+BH14+BN14+BP14+BJ14+BL14)</f>
        <v/>
      </c>
      <c r="BR14" s="47">
        <f>RANK(BQ14,BQ$5:BQ$22)</f>
        <v/>
      </c>
      <c r="BS14" s="56" t="n"/>
      <c r="BT14" s="57">
        <f>VLOOKUP($A14,'Ratings Season'!$A:$M,10,FALSE)</f>
        <v/>
      </c>
      <c r="BU14" s="54">
        <f>RANK(BT14,BT$5:BT$22)</f>
        <v/>
      </c>
      <c r="BV14" s="57">
        <f>VLOOKUP($A14,'Ratings Season'!$A:$M,12,FALSE)</f>
        <v/>
      </c>
      <c r="BW14" s="54">
        <f>RANK(BV14,BV$5:BV$22)</f>
        <v/>
      </c>
      <c r="BX14" s="57">
        <f>VLOOKUP($A14,'Ratings Season'!$A:$M,8,FALSE)</f>
        <v/>
      </c>
      <c r="BY14" s="58">
        <f>RANK(BX14,BX$5:BX$22)</f>
        <v/>
      </c>
      <c r="BZ14" s="72" t="n"/>
    </row>
    <row r="15" ht="25" customFormat="1" customHeight="1" s="3">
      <c r="A15" s="85" t="inlineStr">
        <is>
          <t>Melbourne</t>
        </is>
      </c>
      <c r="B15" s="53">
        <f>VLOOKUP($A15,INDIRECT("'"&amp;$B$1&amp;"'!$A:$IZ"),222,FALSE)</f>
        <v/>
      </c>
      <c r="C15" s="54">
        <f>RANK(B15,B$5:B$22)</f>
        <v/>
      </c>
      <c r="D15" s="55">
        <f>VLOOKUP($A15,INDIRECT("'"&amp;$B$1&amp;"'!$A:$IZ"),218,FALSE)</f>
        <v/>
      </c>
      <c r="E15" s="54">
        <f>RANK(D15,D$5:D$22)</f>
        <v/>
      </c>
      <c r="F15" s="55">
        <f>VLOOKUP($A15,INDIRECT("'"&amp;$B$1&amp;"'!$A:$IZ"),49,FALSE)</f>
        <v/>
      </c>
      <c r="G15" s="54">
        <f>RANK(F15,F$5:F$22)</f>
        <v/>
      </c>
      <c r="H15" s="55">
        <f>VLOOKUP($A15,INDIRECT("'"&amp;$B$1&amp;"'!$A:$IZ"),229,FALSE)</f>
        <v/>
      </c>
      <c r="I15" s="54">
        <f>RANK(H15,H$5:H$22)</f>
        <v/>
      </c>
      <c r="J15" s="49">
        <f>104-(C15+E15+G15+I15)</f>
        <v/>
      </c>
      <c r="K15" s="47">
        <f>RANK(J15,J$5:J$22)</f>
        <v/>
      </c>
      <c r="L15" s="56" t="n"/>
      <c r="M15" s="53">
        <f>VLOOKUP($A15,INDIRECT("'"&amp;$B$1&amp;"'!$A:$IZ"),88,FALSE)</f>
        <v/>
      </c>
      <c r="N15" s="54">
        <f>RANK(M15,M$5:M$22)</f>
        <v/>
      </c>
      <c r="O15" s="53">
        <f>VLOOKUP($A15,INDIRECT("'"&amp;$B$1&amp;"'!$A:$IZ"),84,FALSE)</f>
        <v/>
      </c>
      <c r="P15" s="54">
        <f>RANK(O15,O$5:O$22)</f>
        <v/>
      </c>
      <c r="Q15" s="53">
        <f>VLOOKUP($A15,INDIRECT("'"&amp;$B$1&amp;"'!$A:$IZ"),85,FALSE)</f>
        <v/>
      </c>
      <c r="R15" s="54">
        <f>RANK(Q15,Q$5:Q$22)</f>
        <v/>
      </c>
      <c r="S15" s="55">
        <f>VLOOKUP($A15,INDIRECT("'"&amp;$B$1&amp;"'!$A:$IZ"),29,FALSE)</f>
        <v/>
      </c>
      <c r="T15" s="54">
        <f>RANK(S15,S$5:S$22)</f>
        <v/>
      </c>
      <c r="U15" s="49">
        <f>104-(N15+P15+R15+T15)</f>
        <v/>
      </c>
      <c r="V15" s="47">
        <f>RANK(U15,U$5:U$22)</f>
        <v/>
      </c>
      <c r="W15" s="56" t="n"/>
      <c r="X15" s="53">
        <f>VLOOKUP($A15,INDIRECT("'"&amp;$B$1&amp;"'!$A:$IZ"),65,FALSE)</f>
        <v/>
      </c>
      <c r="Y15" s="54">
        <f>RANK(X15,X$5:X$22)</f>
        <v/>
      </c>
      <c r="Z15" s="53">
        <f>VLOOKUP($A15,INDIRECT("'"&amp;$B$1&amp;"'!$A:$IZ"),64,FALSE)</f>
        <v/>
      </c>
      <c r="AA15" s="54">
        <f>RANK(Z15,Z$5:Z$22)</f>
        <v/>
      </c>
      <c r="AB15" s="53">
        <f>VLOOKUP($A15,INDIRECT("'"&amp;$B$1&amp;"'!$A:$IZ"),63,FALSE)</f>
        <v/>
      </c>
      <c r="AC15" s="54">
        <f>RANK(AB15,AB$5:AB$22)</f>
        <v/>
      </c>
      <c r="AD15" s="53">
        <f>VLOOKUP($A15,INDIRECT("'"&amp;$B$1&amp;"'!$A:$IZ"),71,FALSE)</f>
        <v/>
      </c>
      <c r="AE15" s="54">
        <f>RANK(AD15,AD$5:AD$22)</f>
        <v/>
      </c>
      <c r="AF15" s="65">
        <f>104-(Y15+AA15+AC15+AE15)</f>
        <v/>
      </c>
      <c r="AG15" s="47">
        <f>RANK(AF15,AF$5:AF$22)</f>
        <v/>
      </c>
      <c r="AH15" s="56" t="n"/>
      <c r="AI15" s="53">
        <f>VLOOKUP($A15,INDIRECT("'"&amp;$B$1&amp;"'!$A:$IZ"),183,FALSE)</f>
        <v/>
      </c>
      <c r="AJ15" s="54">
        <f>RANK(AI15,AI$5:AI$22,1)</f>
        <v/>
      </c>
      <c r="AK15" s="53">
        <f>VLOOKUP($A15,INDIRECT("'"&amp;$B$1&amp;"'!$A:$IZ"),181,FALSE)</f>
        <v/>
      </c>
      <c r="AL15" s="54">
        <f>RANK(AK15,AK$5:AK$22,1)</f>
        <v/>
      </c>
      <c r="AM15" s="53">
        <f>VLOOKUP($A15,INDIRECT("'"&amp;$B$1&amp;"'!$A:$IZ"),182,FALSE)</f>
        <v/>
      </c>
      <c r="AN15" s="54">
        <f>RANK(AM15,AM$5:AM$22,1)</f>
        <v/>
      </c>
      <c r="AO15" s="53">
        <f>VLOOKUP($A15,INDIRECT("'"&amp;$B$1&amp;"'!$A:$IZ"),163,FALSE)</f>
        <v/>
      </c>
      <c r="AP15" s="54">
        <f>RANK(AO15,AO$5:AO$22,1)</f>
        <v/>
      </c>
      <c r="AQ15" s="65">
        <f>104-(AJ15+AL15+AN15+AP15)</f>
        <v/>
      </c>
      <c r="AR15" s="47">
        <f>RANK(AQ15,AQ$5:AQ$22)</f>
        <v/>
      </c>
      <c r="AS15" s="56" t="n"/>
      <c r="AT15" s="46">
        <f>VLOOKUP($A15,INDIRECT("'"&amp;$B$1&amp;"'!$A:$IZ"),250,FALSE)</f>
        <v/>
      </c>
      <c r="AU15" s="47">
        <f>RANK(AT15,AT$5:AT$22,0)</f>
        <v/>
      </c>
      <c r="AV15" s="46">
        <f>VLOOKUP($A15,INDIRECT("'"&amp;$B$1&amp;"'!$A:$IZ"),92,FALSE)</f>
        <v/>
      </c>
      <c r="AW15" s="47">
        <f>RANK(AV15,AV$5:AV$22,0)</f>
        <v/>
      </c>
      <c r="AX15" s="46">
        <f>VLOOKUP($A15,INDIRECT("'"&amp;$B$1&amp;"'!$A:$IZ"),93,FALSE)</f>
        <v/>
      </c>
      <c r="AY15" s="47">
        <f>RANK(AX15,AX$5:AX$22,0)</f>
        <v/>
      </c>
      <c r="AZ15" s="46">
        <f>VLOOKUP($A15,INDIRECT("'"&amp;$B$1&amp;"'!$A:$IZ"),108,FALSE)</f>
        <v/>
      </c>
      <c r="BA15" s="47">
        <f>RANK(AZ15,AZ$5:AZ$22,0)</f>
        <v/>
      </c>
      <c r="BB15" s="46">
        <f>104-(AU15+AW15+AY15+BA15)</f>
        <v/>
      </c>
      <c r="BC15" s="47">
        <f>RANK(BB15,BB$5:BB$22)</f>
        <v/>
      </c>
      <c r="BD15" s="56" t="n"/>
      <c r="BE15" s="53">
        <f>VLOOKUP($A15,INDIRECT("'"&amp;$B$1&amp;"'!$A:$IZ"),80,FALSE)</f>
        <v/>
      </c>
      <c r="BF15" s="54">
        <f>RANK(BE15,BE$5:BE$22)</f>
        <v/>
      </c>
      <c r="BG15" s="53">
        <f>VLOOKUP($A15,INDIRECT("'"&amp;$B$1&amp;"'!$A:$IZ"),177,FALSE)</f>
        <v/>
      </c>
      <c r="BH15" s="54">
        <f>RANK(BG15,BG$5:BG$22,1)</f>
        <v/>
      </c>
      <c r="BI15" s="53">
        <f>VLOOKUP($A15,INDIRECT("'"&amp;$B$1&amp;"'!$A:$IZ"),79,FALSE)</f>
        <v/>
      </c>
      <c r="BJ15" s="54">
        <f>RANK(BI15,BI$5:BI$22)</f>
        <v/>
      </c>
      <c r="BK15" s="53">
        <f>VLOOKUP($A15,INDIRECT("'"&amp;$B$1&amp;"'!$A:$IZ"),176,FALSE)</f>
        <v/>
      </c>
      <c r="BL15" s="54">
        <f>RANK(BK15,BK$5:BK$22,1)</f>
        <v/>
      </c>
      <c r="BM15" s="53">
        <f>VLOOKUP($A15,INDIRECT("'"&amp;$B$1&amp;"'!$A:$IZ"),11,FALSE)</f>
        <v/>
      </c>
      <c r="BN15" s="54">
        <f>RANK(BM15,BM$5:BM$22)</f>
        <v/>
      </c>
      <c r="BO15" s="53">
        <f>VLOOKUP($A15,INDIRECT("'"&amp;$B$1&amp;"'!$A:$IZ"),222,FALSE)</f>
        <v/>
      </c>
      <c r="BP15" s="54">
        <f>RANK(BO15,BO$5:BO$22)</f>
        <v/>
      </c>
      <c r="BQ15" s="65">
        <f>106-(BF15+BH15+BN15+BP15+BJ15+BL15)</f>
        <v/>
      </c>
      <c r="BR15" s="47">
        <f>RANK(BQ15,BQ$5:BQ$22)</f>
        <v/>
      </c>
      <c r="BS15" s="56" t="n"/>
      <c r="BT15" s="57">
        <f>VLOOKUP($A15,'Ratings Season'!$A:$M,10,FALSE)</f>
        <v/>
      </c>
      <c r="BU15" s="54">
        <f>RANK(BT15,BT$5:BT$22)</f>
        <v/>
      </c>
      <c r="BV15" s="57">
        <f>VLOOKUP($A15,'Ratings Season'!$A:$M,12,FALSE)</f>
        <v/>
      </c>
      <c r="BW15" s="54">
        <f>RANK(BV15,BV$5:BV$22)</f>
        <v/>
      </c>
      <c r="BX15" s="57">
        <f>VLOOKUP($A15,'Ratings Season'!$A:$M,8,FALSE)</f>
        <v/>
      </c>
      <c r="BY15" s="58">
        <f>RANK(BX15,BX$5:BX$22)</f>
        <v/>
      </c>
      <c r="BZ15" s="72" t="n"/>
    </row>
    <row r="16" ht="25" customFormat="1" customHeight="1" s="3">
      <c r="A16" s="86" t="inlineStr">
        <is>
          <t>North Melbourne</t>
        </is>
      </c>
      <c r="B16" s="53">
        <f>VLOOKUP($A16,INDIRECT("'"&amp;$B$1&amp;"'!$A:$IZ"),222,FALSE)</f>
        <v/>
      </c>
      <c r="C16" s="54">
        <f>RANK(B16,B$5:B$22)</f>
        <v/>
      </c>
      <c r="D16" s="55">
        <f>VLOOKUP($A16,INDIRECT("'"&amp;$B$1&amp;"'!$A:$IZ"),218,FALSE)</f>
        <v/>
      </c>
      <c r="E16" s="54">
        <f>RANK(D16,D$5:D$22)</f>
        <v/>
      </c>
      <c r="F16" s="55">
        <f>VLOOKUP($A16,INDIRECT("'"&amp;$B$1&amp;"'!$A:$IZ"),49,FALSE)</f>
        <v/>
      </c>
      <c r="G16" s="54">
        <f>RANK(F16,F$5:F$22)</f>
        <v/>
      </c>
      <c r="H16" s="55">
        <f>VLOOKUP($A16,INDIRECT("'"&amp;$B$1&amp;"'!$A:$IZ"),229,FALSE)</f>
        <v/>
      </c>
      <c r="I16" s="54">
        <f>RANK(H16,H$5:H$22)</f>
        <v/>
      </c>
      <c r="J16" s="49">
        <f>104-(C16+E16+G16+I16)</f>
        <v/>
      </c>
      <c r="K16" s="47">
        <f>RANK(J16,J$5:J$22)</f>
        <v/>
      </c>
      <c r="L16" s="56" t="n"/>
      <c r="M16" s="53">
        <f>VLOOKUP($A16,INDIRECT("'"&amp;$B$1&amp;"'!$A:$IZ"),88,FALSE)</f>
        <v/>
      </c>
      <c r="N16" s="54">
        <f>RANK(M16,M$5:M$22)</f>
        <v/>
      </c>
      <c r="O16" s="53">
        <f>VLOOKUP($A16,INDIRECT("'"&amp;$B$1&amp;"'!$A:$IZ"),84,FALSE)</f>
        <v/>
      </c>
      <c r="P16" s="54">
        <f>RANK(O16,O$5:O$22)</f>
        <v/>
      </c>
      <c r="Q16" s="53">
        <f>VLOOKUP($A16,INDIRECT("'"&amp;$B$1&amp;"'!$A:$IZ"),85,FALSE)</f>
        <v/>
      </c>
      <c r="R16" s="54">
        <f>RANK(Q16,Q$5:Q$22)</f>
        <v/>
      </c>
      <c r="S16" s="55">
        <f>VLOOKUP($A16,INDIRECT("'"&amp;$B$1&amp;"'!$A:$IZ"),29,FALSE)</f>
        <v/>
      </c>
      <c r="T16" s="54">
        <f>RANK(S16,S$5:S$22)</f>
        <v/>
      </c>
      <c r="U16" s="49">
        <f>104-(N16+P16+R16+T16)</f>
        <v/>
      </c>
      <c r="V16" s="47">
        <f>RANK(U16,U$5:U$22)</f>
        <v/>
      </c>
      <c r="W16" s="56" t="n"/>
      <c r="X16" s="53">
        <f>VLOOKUP($A16,INDIRECT("'"&amp;$B$1&amp;"'!$A:$IZ"),65,FALSE)</f>
        <v/>
      </c>
      <c r="Y16" s="54">
        <f>RANK(X16,X$5:X$22)</f>
        <v/>
      </c>
      <c r="Z16" s="53">
        <f>VLOOKUP($A16,INDIRECT("'"&amp;$B$1&amp;"'!$A:$IZ"),64,FALSE)</f>
        <v/>
      </c>
      <c r="AA16" s="54">
        <f>RANK(Z16,Z$5:Z$22)</f>
        <v/>
      </c>
      <c r="AB16" s="53">
        <f>VLOOKUP($A16,INDIRECT("'"&amp;$B$1&amp;"'!$A:$IZ"),63,FALSE)</f>
        <v/>
      </c>
      <c r="AC16" s="54">
        <f>RANK(AB16,AB$5:AB$22)</f>
        <v/>
      </c>
      <c r="AD16" s="53">
        <f>VLOOKUP($A16,INDIRECT("'"&amp;$B$1&amp;"'!$A:$IZ"),71,FALSE)</f>
        <v/>
      </c>
      <c r="AE16" s="54">
        <f>RANK(AD16,AD$5:AD$22)</f>
        <v/>
      </c>
      <c r="AF16" s="65">
        <f>104-(Y16+AA16+AC16+AE16)</f>
        <v/>
      </c>
      <c r="AG16" s="47">
        <f>RANK(AF16,AF$5:AF$22)</f>
        <v/>
      </c>
      <c r="AH16" s="56" t="n"/>
      <c r="AI16" s="53">
        <f>VLOOKUP($A16,INDIRECT("'"&amp;$B$1&amp;"'!$A:$IZ"),183,FALSE)</f>
        <v/>
      </c>
      <c r="AJ16" s="54">
        <f>RANK(AI16,AI$5:AI$22,1)</f>
        <v/>
      </c>
      <c r="AK16" s="53">
        <f>VLOOKUP($A16,INDIRECT("'"&amp;$B$1&amp;"'!$A:$IZ"),181,FALSE)</f>
        <v/>
      </c>
      <c r="AL16" s="54">
        <f>RANK(AK16,AK$5:AK$22,1)</f>
        <v/>
      </c>
      <c r="AM16" s="53">
        <f>VLOOKUP($A16,INDIRECT("'"&amp;$B$1&amp;"'!$A:$IZ"),182,FALSE)</f>
        <v/>
      </c>
      <c r="AN16" s="54">
        <f>RANK(AM16,AM$5:AM$22,1)</f>
        <v/>
      </c>
      <c r="AO16" s="53">
        <f>VLOOKUP($A16,INDIRECT("'"&amp;$B$1&amp;"'!$A:$IZ"),163,FALSE)</f>
        <v/>
      </c>
      <c r="AP16" s="54">
        <f>RANK(AO16,AO$5:AO$22,1)</f>
        <v/>
      </c>
      <c r="AQ16" s="65">
        <f>104-(AJ16+AL16+AN16+AP16)</f>
        <v/>
      </c>
      <c r="AR16" s="47">
        <f>RANK(AQ16,AQ$5:AQ$22)</f>
        <v/>
      </c>
      <c r="AS16" s="56" t="n"/>
      <c r="AT16" s="46">
        <f>VLOOKUP($A16,INDIRECT("'"&amp;$B$1&amp;"'!$A:$IZ"),250,FALSE)</f>
        <v/>
      </c>
      <c r="AU16" s="47">
        <f>RANK(AT16,AT$5:AT$22,0)</f>
        <v/>
      </c>
      <c r="AV16" s="46">
        <f>VLOOKUP($A16,INDIRECT("'"&amp;$B$1&amp;"'!$A:$IZ"),92,FALSE)</f>
        <v/>
      </c>
      <c r="AW16" s="47">
        <f>RANK(AV16,AV$5:AV$22,0)</f>
        <v/>
      </c>
      <c r="AX16" s="46">
        <f>VLOOKUP($A16,INDIRECT("'"&amp;$B$1&amp;"'!$A:$IZ"),93,FALSE)</f>
        <v/>
      </c>
      <c r="AY16" s="47">
        <f>RANK(AX16,AX$5:AX$22,0)</f>
        <v/>
      </c>
      <c r="AZ16" s="46">
        <f>VLOOKUP($A16,INDIRECT("'"&amp;$B$1&amp;"'!$A:$IZ"),108,FALSE)</f>
        <v/>
      </c>
      <c r="BA16" s="47">
        <f>RANK(AZ16,AZ$5:AZ$22,0)</f>
        <v/>
      </c>
      <c r="BB16" s="46">
        <f>104-(AU16+AW16+AY16+BA16)</f>
        <v/>
      </c>
      <c r="BC16" s="47">
        <f>RANK(BB16,BB$5:BB$22)</f>
        <v/>
      </c>
      <c r="BD16" s="56" t="n"/>
      <c r="BE16" s="53">
        <f>VLOOKUP($A16,INDIRECT("'"&amp;$B$1&amp;"'!$A:$IZ"),80,FALSE)</f>
        <v/>
      </c>
      <c r="BF16" s="54">
        <f>RANK(BE16,BE$5:BE$22)</f>
        <v/>
      </c>
      <c r="BG16" s="53">
        <f>VLOOKUP($A16,INDIRECT("'"&amp;$B$1&amp;"'!$A:$IZ"),177,FALSE)</f>
        <v/>
      </c>
      <c r="BH16" s="54">
        <f>RANK(BG16,BG$5:BG$22,1)</f>
        <v/>
      </c>
      <c r="BI16" s="53">
        <f>VLOOKUP($A16,INDIRECT("'"&amp;$B$1&amp;"'!$A:$IZ"),79,FALSE)</f>
        <v/>
      </c>
      <c r="BJ16" s="54">
        <f>RANK(BI16,BI$5:BI$22)</f>
        <v/>
      </c>
      <c r="BK16" s="53">
        <f>VLOOKUP($A16,INDIRECT("'"&amp;$B$1&amp;"'!$A:$IZ"),176,FALSE)</f>
        <v/>
      </c>
      <c r="BL16" s="54">
        <f>RANK(BK16,BK$5:BK$22,1)</f>
        <v/>
      </c>
      <c r="BM16" s="53">
        <f>VLOOKUP($A16,INDIRECT("'"&amp;$B$1&amp;"'!$A:$IZ"),11,FALSE)</f>
        <v/>
      </c>
      <c r="BN16" s="54">
        <f>RANK(BM16,BM$5:BM$22)</f>
        <v/>
      </c>
      <c r="BO16" s="53">
        <f>VLOOKUP($A16,INDIRECT("'"&amp;$B$1&amp;"'!$A:$IZ"),222,FALSE)</f>
        <v/>
      </c>
      <c r="BP16" s="54">
        <f>RANK(BO16,BO$5:BO$22)</f>
        <v/>
      </c>
      <c r="BQ16" s="65">
        <f>106-(BF16+BH16+BN16+BP16+BJ16+BL16)</f>
        <v/>
      </c>
      <c r="BR16" s="47">
        <f>RANK(BQ16,BQ$5:BQ$22)</f>
        <v/>
      </c>
      <c r="BS16" s="56" t="n"/>
      <c r="BT16" s="57">
        <f>VLOOKUP($A16,'Ratings Season'!$A:$M,10,FALSE)</f>
        <v/>
      </c>
      <c r="BU16" s="54">
        <f>RANK(BT16,BT$5:BT$22)</f>
        <v/>
      </c>
      <c r="BV16" s="57">
        <f>VLOOKUP($A16,'Ratings Season'!$A:$M,12,FALSE)</f>
        <v/>
      </c>
      <c r="BW16" s="54">
        <f>RANK(BV16,BV$5:BV$22)</f>
        <v/>
      </c>
      <c r="BX16" s="57">
        <f>VLOOKUP($A16,'Ratings Season'!$A:$M,8,FALSE)</f>
        <v/>
      </c>
      <c r="BY16" s="58">
        <f>RANK(BX16,BX$5:BX$22)</f>
        <v/>
      </c>
      <c r="BZ16" s="72" t="n"/>
    </row>
    <row r="17" ht="25" customFormat="1" customHeight="1" s="3">
      <c r="A17" s="87" t="inlineStr">
        <is>
          <t>Port Adelaide</t>
        </is>
      </c>
      <c r="B17" s="53">
        <f>VLOOKUP($A17,INDIRECT("'"&amp;$B$1&amp;"'!$A:$IZ"),222,FALSE)</f>
        <v/>
      </c>
      <c r="C17" s="54">
        <f>RANK(B17,B$5:B$22)</f>
        <v/>
      </c>
      <c r="D17" s="55">
        <f>VLOOKUP($A17,INDIRECT("'"&amp;$B$1&amp;"'!$A:$IZ"),218,FALSE)</f>
        <v/>
      </c>
      <c r="E17" s="54">
        <f>RANK(D17,D$5:D$22)</f>
        <v/>
      </c>
      <c r="F17" s="55">
        <f>VLOOKUP($A17,INDIRECT("'"&amp;$B$1&amp;"'!$A:$IZ"),49,FALSE)</f>
        <v/>
      </c>
      <c r="G17" s="54">
        <f>RANK(F17,F$5:F$22)</f>
        <v/>
      </c>
      <c r="H17" s="55">
        <f>VLOOKUP($A17,INDIRECT("'"&amp;$B$1&amp;"'!$A:$IZ"),229,FALSE)</f>
        <v/>
      </c>
      <c r="I17" s="54">
        <f>RANK(H17,H$5:H$22)</f>
        <v/>
      </c>
      <c r="J17" s="49">
        <f>104-(C17+E17+G17+I17)</f>
        <v/>
      </c>
      <c r="K17" s="47">
        <f>RANK(J17,J$5:J$22)</f>
        <v/>
      </c>
      <c r="L17" s="56" t="n"/>
      <c r="M17" s="53">
        <f>VLOOKUP($A17,INDIRECT("'"&amp;$B$1&amp;"'!$A:$IZ"),88,FALSE)</f>
        <v/>
      </c>
      <c r="N17" s="54">
        <f>RANK(M17,M$5:M$22)</f>
        <v/>
      </c>
      <c r="O17" s="53">
        <f>VLOOKUP($A17,INDIRECT("'"&amp;$B$1&amp;"'!$A:$IZ"),84,FALSE)</f>
        <v/>
      </c>
      <c r="P17" s="54">
        <f>RANK(O17,O$5:O$22)</f>
        <v/>
      </c>
      <c r="Q17" s="53">
        <f>VLOOKUP($A17,INDIRECT("'"&amp;$B$1&amp;"'!$A:$IZ"),85,FALSE)</f>
        <v/>
      </c>
      <c r="R17" s="54">
        <f>RANK(Q17,Q$5:Q$22)</f>
        <v/>
      </c>
      <c r="S17" s="55">
        <f>VLOOKUP($A17,INDIRECT("'"&amp;$B$1&amp;"'!$A:$IZ"),29,FALSE)</f>
        <v/>
      </c>
      <c r="T17" s="54">
        <f>RANK(S17,S$5:S$22)</f>
        <v/>
      </c>
      <c r="U17" s="49">
        <f>104-(N17+P17+R17+T17)</f>
        <v/>
      </c>
      <c r="V17" s="47">
        <f>RANK(U17,U$5:U$22)</f>
        <v/>
      </c>
      <c r="W17" s="56" t="n"/>
      <c r="X17" s="53">
        <f>VLOOKUP($A17,INDIRECT("'"&amp;$B$1&amp;"'!$A:$IZ"),65,FALSE)</f>
        <v/>
      </c>
      <c r="Y17" s="54">
        <f>RANK(X17,X$5:X$22)</f>
        <v/>
      </c>
      <c r="Z17" s="53">
        <f>VLOOKUP($A17,INDIRECT("'"&amp;$B$1&amp;"'!$A:$IZ"),64,FALSE)</f>
        <v/>
      </c>
      <c r="AA17" s="54">
        <f>RANK(Z17,Z$5:Z$22)</f>
        <v/>
      </c>
      <c r="AB17" s="53">
        <f>VLOOKUP($A17,INDIRECT("'"&amp;$B$1&amp;"'!$A:$IZ"),63,FALSE)</f>
        <v/>
      </c>
      <c r="AC17" s="54">
        <f>RANK(AB17,AB$5:AB$22)</f>
        <v/>
      </c>
      <c r="AD17" s="53">
        <f>VLOOKUP($A17,INDIRECT("'"&amp;$B$1&amp;"'!$A:$IZ"),71,FALSE)</f>
        <v/>
      </c>
      <c r="AE17" s="54">
        <f>RANK(AD17,AD$5:AD$22)</f>
        <v/>
      </c>
      <c r="AF17" s="65">
        <f>104-(Y17+AA17+AC17+AE17)</f>
        <v/>
      </c>
      <c r="AG17" s="47">
        <f>RANK(AF17,AF$5:AF$22)</f>
        <v/>
      </c>
      <c r="AH17" s="56" t="n"/>
      <c r="AI17" s="53">
        <f>VLOOKUP($A17,INDIRECT("'"&amp;$B$1&amp;"'!$A:$IZ"),183,FALSE)</f>
        <v/>
      </c>
      <c r="AJ17" s="54">
        <f>RANK(AI17,AI$5:AI$22,1)</f>
        <v/>
      </c>
      <c r="AK17" s="53">
        <f>VLOOKUP($A17,INDIRECT("'"&amp;$B$1&amp;"'!$A:$IZ"),181,FALSE)</f>
        <v/>
      </c>
      <c r="AL17" s="54">
        <f>RANK(AK17,AK$5:AK$22,1)</f>
        <v/>
      </c>
      <c r="AM17" s="53">
        <f>VLOOKUP($A17,INDIRECT("'"&amp;$B$1&amp;"'!$A:$IZ"),182,FALSE)</f>
        <v/>
      </c>
      <c r="AN17" s="54">
        <f>RANK(AM17,AM$5:AM$22,1)</f>
        <v/>
      </c>
      <c r="AO17" s="53">
        <f>VLOOKUP($A17,INDIRECT("'"&amp;$B$1&amp;"'!$A:$IZ"),163,FALSE)</f>
        <v/>
      </c>
      <c r="AP17" s="54">
        <f>RANK(AO17,AO$5:AO$22,1)</f>
        <v/>
      </c>
      <c r="AQ17" s="65">
        <f>104-(AJ17+AL17+AN17+AP17)</f>
        <v/>
      </c>
      <c r="AR17" s="47">
        <f>RANK(AQ17,AQ$5:AQ$22)</f>
        <v/>
      </c>
      <c r="AS17" s="56" t="n"/>
      <c r="AT17" s="46">
        <f>VLOOKUP($A17,INDIRECT("'"&amp;$B$1&amp;"'!$A:$IZ"),250,FALSE)</f>
        <v/>
      </c>
      <c r="AU17" s="47">
        <f>RANK(AT17,AT$5:AT$22,0)</f>
        <v/>
      </c>
      <c r="AV17" s="46">
        <f>VLOOKUP($A17,INDIRECT("'"&amp;$B$1&amp;"'!$A:$IZ"),92,FALSE)</f>
        <v/>
      </c>
      <c r="AW17" s="47">
        <f>RANK(AV17,AV$5:AV$22,0)</f>
        <v/>
      </c>
      <c r="AX17" s="46">
        <f>VLOOKUP($A17,INDIRECT("'"&amp;$B$1&amp;"'!$A:$IZ"),93,FALSE)</f>
        <v/>
      </c>
      <c r="AY17" s="47">
        <f>RANK(AX17,AX$5:AX$22,0)</f>
        <v/>
      </c>
      <c r="AZ17" s="46">
        <f>VLOOKUP($A17,INDIRECT("'"&amp;$B$1&amp;"'!$A:$IZ"),108,FALSE)</f>
        <v/>
      </c>
      <c r="BA17" s="47">
        <f>RANK(AZ17,AZ$5:AZ$22,0)</f>
        <v/>
      </c>
      <c r="BB17" s="46">
        <f>104-(AU17+AW17+AY17+BA17)</f>
        <v/>
      </c>
      <c r="BC17" s="47">
        <f>RANK(BB17,BB$5:BB$22)</f>
        <v/>
      </c>
      <c r="BD17" s="56" t="n"/>
      <c r="BE17" s="53">
        <f>VLOOKUP($A17,INDIRECT("'"&amp;$B$1&amp;"'!$A:$IZ"),80,FALSE)</f>
        <v/>
      </c>
      <c r="BF17" s="54">
        <f>RANK(BE17,BE$5:BE$22)</f>
        <v/>
      </c>
      <c r="BG17" s="53">
        <f>VLOOKUP($A17,INDIRECT("'"&amp;$B$1&amp;"'!$A:$IZ"),177,FALSE)</f>
        <v/>
      </c>
      <c r="BH17" s="54">
        <f>RANK(BG17,BG$5:BG$22,1)</f>
        <v/>
      </c>
      <c r="BI17" s="53">
        <f>VLOOKUP($A17,INDIRECT("'"&amp;$B$1&amp;"'!$A:$IZ"),79,FALSE)</f>
        <v/>
      </c>
      <c r="BJ17" s="54">
        <f>RANK(BI17,BI$5:BI$22)</f>
        <v/>
      </c>
      <c r="BK17" s="53">
        <f>VLOOKUP($A17,INDIRECT("'"&amp;$B$1&amp;"'!$A:$IZ"),176,FALSE)</f>
        <v/>
      </c>
      <c r="BL17" s="54">
        <f>RANK(BK17,BK$5:BK$22,1)</f>
        <v/>
      </c>
      <c r="BM17" s="53">
        <f>VLOOKUP($A17,INDIRECT("'"&amp;$B$1&amp;"'!$A:$IZ"),11,FALSE)</f>
        <v/>
      </c>
      <c r="BN17" s="54">
        <f>RANK(BM17,BM$5:BM$22)</f>
        <v/>
      </c>
      <c r="BO17" s="53">
        <f>VLOOKUP($A17,INDIRECT("'"&amp;$B$1&amp;"'!$A:$IZ"),222,FALSE)</f>
        <v/>
      </c>
      <c r="BP17" s="54">
        <f>RANK(BO17,BO$5:BO$22)</f>
        <v/>
      </c>
      <c r="BQ17" s="65">
        <f>106-(BF17+BH17+BN17+BP17+BJ17+BL17)</f>
        <v/>
      </c>
      <c r="BR17" s="47">
        <f>RANK(BQ17,BQ$5:BQ$22)</f>
        <v/>
      </c>
      <c r="BS17" s="56" t="n"/>
      <c r="BT17" s="57">
        <f>VLOOKUP($A17,'Ratings Season'!$A:$M,10,FALSE)</f>
        <v/>
      </c>
      <c r="BU17" s="54">
        <f>RANK(BT17,BT$5:BT$22)</f>
        <v/>
      </c>
      <c r="BV17" s="57">
        <f>VLOOKUP($A17,'Ratings Season'!$A:$M,12,FALSE)</f>
        <v/>
      </c>
      <c r="BW17" s="54">
        <f>RANK(BV17,BV$5:BV$22)</f>
        <v/>
      </c>
      <c r="BX17" s="57">
        <f>VLOOKUP($A17,'Ratings Season'!$A:$M,8,FALSE)</f>
        <v/>
      </c>
      <c r="BY17" s="58">
        <f>RANK(BX17,BX$5:BX$22)</f>
        <v/>
      </c>
      <c r="BZ17" s="72" t="n"/>
    </row>
    <row r="18" ht="25" customFormat="1" customHeight="1" s="3">
      <c r="A18" s="88" t="inlineStr">
        <is>
          <t>Richmond</t>
        </is>
      </c>
      <c r="B18" s="53">
        <f>VLOOKUP($A18,INDIRECT("'"&amp;$B$1&amp;"'!$A:$IZ"),222,FALSE)</f>
        <v/>
      </c>
      <c r="C18" s="54">
        <f>RANK(B18,B$5:B$22)</f>
        <v/>
      </c>
      <c r="D18" s="55">
        <f>VLOOKUP($A18,INDIRECT("'"&amp;$B$1&amp;"'!$A:$IZ"),218,FALSE)</f>
        <v/>
      </c>
      <c r="E18" s="54">
        <f>RANK(D18,D$5:D$22)</f>
        <v/>
      </c>
      <c r="F18" s="55">
        <f>VLOOKUP($A18,INDIRECT("'"&amp;$B$1&amp;"'!$A:$IZ"),49,FALSE)</f>
        <v/>
      </c>
      <c r="G18" s="54">
        <f>RANK(F18,F$5:F$22)</f>
        <v/>
      </c>
      <c r="H18" s="55">
        <f>VLOOKUP($A18,INDIRECT("'"&amp;$B$1&amp;"'!$A:$IZ"),229,FALSE)</f>
        <v/>
      </c>
      <c r="I18" s="54">
        <f>RANK(H18,H$5:H$22)</f>
        <v/>
      </c>
      <c r="J18" s="49">
        <f>104-(C18+E18+G18+I18)</f>
        <v/>
      </c>
      <c r="K18" s="47">
        <f>RANK(J18,J$5:J$22)</f>
        <v/>
      </c>
      <c r="L18" s="56" t="n"/>
      <c r="M18" s="53">
        <f>VLOOKUP($A18,INDIRECT("'"&amp;$B$1&amp;"'!$A:$IZ"),88,FALSE)</f>
        <v/>
      </c>
      <c r="N18" s="54">
        <f>RANK(M18,M$5:M$22)</f>
        <v/>
      </c>
      <c r="O18" s="53">
        <f>VLOOKUP($A18,INDIRECT("'"&amp;$B$1&amp;"'!$A:$IZ"),84,FALSE)</f>
        <v/>
      </c>
      <c r="P18" s="54">
        <f>RANK(O18,O$5:O$22)</f>
        <v/>
      </c>
      <c r="Q18" s="53">
        <f>VLOOKUP($A18,INDIRECT("'"&amp;$B$1&amp;"'!$A:$IZ"),85,FALSE)</f>
        <v/>
      </c>
      <c r="R18" s="54">
        <f>RANK(Q18,Q$5:Q$22)</f>
        <v/>
      </c>
      <c r="S18" s="55">
        <f>VLOOKUP($A18,INDIRECT("'"&amp;$B$1&amp;"'!$A:$IZ"),29,FALSE)</f>
        <v/>
      </c>
      <c r="T18" s="54">
        <f>RANK(S18,S$5:S$22)</f>
        <v/>
      </c>
      <c r="U18" s="49">
        <f>104-(N18+P18+R18+T18)</f>
        <v/>
      </c>
      <c r="V18" s="47">
        <f>RANK(U18,U$5:U$22)</f>
        <v/>
      </c>
      <c r="W18" s="56" t="n"/>
      <c r="X18" s="53">
        <f>VLOOKUP($A18,INDIRECT("'"&amp;$B$1&amp;"'!$A:$IZ"),65,FALSE)</f>
        <v/>
      </c>
      <c r="Y18" s="54">
        <f>RANK(X18,X$5:X$22)</f>
        <v/>
      </c>
      <c r="Z18" s="53">
        <f>VLOOKUP($A18,INDIRECT("'"&amp;$B$1&amp;"'!$A:$IZ"),64,FALSE)</f>
        <v/>
      </c>
      <c r="AA18" s="54">
        <f>RANK(Z18,Z$5:Z$22)</f>
        <v/>
      </c>
      <c r="AB18" s="53">
        <f>VLOOKUP($A18,INDIRECT("'"&amp;$B$1&amp;"'!$A:$IZ"),63,FALSE)</f>
        <v/>
      </c>
      <c r="AC18" s="54">
        <f>RANK(AB18,AB$5:AB$22)</f>
        <v/>
      </c>
      <c r="AD18" s="53">
        <f>VLOOKUP($A18,INDIRECT("'"&amp;$B$1&amp;"'!$A:$IZ"),71,FALSE)</f>
        <v/>
      </c>
      <c r="AE18" s="54">
        <f>RANK(AD18,AD$5:AD$22)</f>
        <v/>
      </c>
      <c r="AF18" s="65">
        <f>104-(Y18+AA18+AC18+AE18)</f>
        <v/>
      </c>
      <c r="AG18" s="47">
        <f>RANK(AF18,AF$5:AF$22)</f>
        <v/>
      </c>
      <c r="AH18" s="56" t="n"/>
      <c r="AI18" s="53">
        <f>VLOOKUP($A18,INDIRECT("'"&amp;$B$1&amp;"'!$A:$IZ"),183,FALSE)</f>
        <v/>
      </c>
      <c r="AJ18" s="54">
        <f>RANK(AI18,AI$5:AI$22,1)</f>
        <v/>
      </c>
      <c r="AK18" s="53">
        <f>VLOOKUP($A18,INDIRECT("'"&amp;$B$1&amp;"'!$A:$IZ"),181,FALSE)</f>
        <v/>
      </c>
      <c r="AL18" s="54">
        <f>RANK(AK18,AK$5:AK$22,1)</f>
        <v/>
      </c>
      <c r="AM18" s="53">
        <f>VLOOKUP($A18,INDIRECT("'"&amp;$B$1&amp;"'!$A:$IZ"),182,FALSE)</f>
        <v/>
      </c>
      <c r="AN18" s="54">
        <f>RANK(AM18,AM$5:AM$22,1)</f>
        <v/>
      </c>
      <c r="AO18" s="53">
        <f>VLOOKUP($A18,INDIRECT("'"&amp;$B$1&amp;"'!$A:$IZ"),163,FALSE)</f>
        <v/>
      </c>
      <c r="AP18" s="54">
        <f>RANK(AO18,AO$5:AO$22,1)</f>
        <v/>
      </c>
      <c r="AQ18" s="65">
        <f>104-(AJ18+AL18+AN18+AP18)</f>
        <v/>
      </c>
      <c r="AR18" s="47">
        <f>RANK(AQ18,AQ$5:AQ$22)</f>
        <v/>
      </c>
      <c r="AS18" s="56" t="n"/>
      <c r="AT18" s="46">
        <f>VLOOKUP($A18,INDIRECT("'"&amp;$B$1&amp;"'!$A:$IZ"),250,FALSE)</f>
        <v/>
      </c>
      <c r="AU18" s="47">
        <f>RANK(AT18,AT$5:AT$22,0)</f>
        <v/>
      </c>
      <c r="AV18" s="46">
        <f>VLOOKUP($A18,INDIRECT("'"&amp;$B$1&amp;"'!$A:$IZ"),92,FALSE)</f>
        <v/>
      </c>
      <c r="AW18" s="47">
        <f>RANK(AV18,AV$5:AV$22,0)</f>
        <v/>
      </c>
      <c r="AX18" s="46">
        <f>VLOOKUP($A18,INDIRECT("'"&amp;$B$1&amp;"'!$A:$IZ"),93,FALSE)</f>
        <v/>
      </c>
      <c r="AY18" s="47">
        <f>RANK(AX18,AX$5:AX$22,0)</f>
        <v/>
      </c>
      <c r="AZ18" s="46">
        <f>VLOOKUP($A18,INDIRECT("'"&amp;$B$1&amp;"'!$A:$IZ"),108,FALSE)</f>
        <v/>
      </c>
      <c r="BA18" s="47">
        <f>RANK(AZ18,AZ$5:AZ$22,0)</f>
        <v/>
      </c>
      <c r="BB18" s="46">
        <f>104-(AU18+AW18+AY18+BA18)</f>
        <v/>
      </c>
      <c r="BC18" s="47">
        <f>RANK(BB18,BB$5:BB$22)</f>
        <v/>
      </c>
      <c r="BD18" s="56" t="n"/>
      <c r="BE18" s="53">
        <f>VLOOKUP($A18,INDIRECT("'"&amp;$B$1&amp;"'!$A:$IZ"),80,FALSE)</f>
        <v/>
      </c>
      <c r="BF18" s="54">
        <f>RANK(BE18,BE$5:BE$22)</f>
        <v/>
      </c>
      <c r="BG18" s="53">
        <f>VLOOKUP($A18,INDIRECT("'"&amp;$B$1&amp;"'!$A:$IZ"),177,FALSE)</f>
        <v/>
      </c>
      <c r="BH18" s="54">
        <f>RANK(BG18,BG$5:BG$22,1)</f>
        <v/>
      </c>
      <c r="BI18" s="53">
        <f>VLOOKUP($A18,INDIRECT("'"&amp;$B$1&amp;"'!$A:$IZ"),79,FALSE)</f>
        <v/>
      </c>
      <c r="BJ18" s="54">
        <f>RANK(BI18,BI$5:BI$22)</f>
        <v/>
      </c>
      <c r="BK18" s="53">
        <f>VLOOKUP($A18,INDIRECT("'"&amp;$B$1&amp;"'!$A:$IZ"),176,FALSE)</f>
        <v/>
      </c>
      <c r="BL18" s="54">
        <f>RANK(BK18,BK$5:BK$22,1)</f>
        <v/>
      </c>
      <c r="BM18" s="53">
        <f>VLOOKUP($A18,INDIRECT("'"&amp;$B$1&amp;"'!$A:$IZ"),11,FALSE)</f>
        <v/>
      </c>
      <c r="BN18" s="54">
        <f>RANK(BM18,BM$5:BM$22)</f>
        <v/>
      </c>
      <c r="BO18" s="53">
        <f>VLOOKUP($A18,INDIRECT("'"&amp;$B$1&amp;"'!$A:$IZ"),222,FALSE)</f>
        <v/>
      </c>
      <c r="BP18" s="54">
        <f>RANK(BO18,BO$5:BO$22)</f>
        <v/>
      </c>
      <c r="BQ18" s="65">
        <f>106-(BF18+BH18+BN18+BP18+BJ18+BL18)</f>
        <v/>
      </c>
      <c r="BR18" s="47">
        <f>RANK(BQ18,BQ$5:BQ$22)</f>
        <v/>
      </c>
      <c r="BS18" s="56" t="n"/>
      <c r="BT18" s="57">
        <f>VLOOKUP($A18,'Ratings Season'!$A:$M,10,FALSE)</f>
        <v/>
      </c>
      <c r="BU18" s="54">
        <f>RANK(BT18,BT$5:BT$22)</f>
        <v/>
      </c>
      <c r="BV18" s="57">
        <f>VLOOKUP($A18,'Ratings Season'!$A:$M,12,FALSE)</f>
        <v/>
      </c>
      <c r="BW18" s="54">
        <f>RANK(BV18,BV$5:BV$22)</f>
        <v/>
      </c>
      <c r="BX18" s="57">
        <f>VLOOKUP($A18,'Ratings Season'!$A:$M,8,FALSE)</f>
        <v/>
      </c>
      <c r="BY18" s="58">
        <f>RANK(BX18,BX$5:BX$22)</f>
        <v/>
      </c>
      <c r="BZ18" s="72" t="n"/>
    </row>
    <row r="19" ht="25" customFormat="1" customHeight="1" s="3">
      <c r="A19" s="89" t="inlineStr">
        <is>
          <t>St Kilda</t>
        </is>
      </c>
      <c r="B19" s="53">
        <f>VLOOKUP($A19,INDIRECT("'"&amp;$B$1&amp;"'!$A:$IZ"),222,FALSE)</f>
        <v/>
      </c>
      <c r="C19" s="54">
        <f>RANK(B19,B$5:B$22)</f>
        <v/>
      </c>
      <c r="D19" s="55">
        <f>VLOOKUP($A19,INDIRECT("'"&amp;$B$1&amp;"'!$A:$IZ"),218,FALSE)</f>
        <v/>
      </c>
      <c r="E19" s="54">
        <f>RANK(D19,D$5:D$22)</f>
        <v/>
      </c>
      <c r="F19" s="55">
        <f>VLOOKUP($A19,INDIRECT("'"&amp;$B$1&amp;"'!$A:$IZ"),49,FALSE)</f>
        <v/>
      </c>
      <c r="G19" s="54">
        <f>RANK(F19,F$5:F$22)</f>
        <v/>
      </c>
      <c r="H19" s="55">
        <f>VLOOKUP($A19,INDIRECT("'"&amp;$B$1&amp;"'!$A:$IZ"),229,FALSE)</f>
        <v/>
      </c>
      <c r="I19" s="54">
        <f>RANK(H19,H$5:H$22)</f>
        <v/>
      </c>
      <c r="J19" s="49">
        <f>104-(C19+E19+G19+I19)</f>
        <v/>
      </c>
      <c r="K19" s="47">
        <f>RANK(J19,J$5:J$22)</f>
        <v/>
      </c>
      <c r="L19" s="56" t="n"/>
      <c r="M19" s="53">
        <f>VLOOKUP($A19,INDIRECT("'"&amp;$B$1&amp;"'!$A:$IZ"),88,FALSE)</f>
        <v/>
      </c>
      <c r="N19" s="54">
        <f>RANK(M19,M$5:M$22)</f>
        <v/>
      </c>
      <c r="O19" s="53">
        <f>VLOOKUP($A19,INDIRECT("'"&amp;$B$1&amp;"'!$A:$IZ"),84,FALSE)</f>
        <v/>
      </c>
      <c r="P19" s="54">
        <f>RANK(O19,O$5:O$22)</f>
        <v/>
      </c>
      <c r="Q19" s="53">
        <f>VLOOKUP($A19,INDIRECT("'"&amp;$B$1&amp;"'!$A:$IZ"),85,FALSE)</f>
        <v/>
      </c>
      <c r="R19" s="54">
        <f>RANK(Q19,Q$5:Q$22)</f>
        <v/>
      </c>
      <c r="S19" s="55">
        <f>VLOOKUP($A19,INDIRECT("'"&amp;$B$1&amp;"'!$A:$IZ"),29,FALSE)</f>
        <v/>
      </c>
      <c r="T19" s="54">
        <f>RANK(S19,S$5:S$22)</f>
        <v/>
      </c>
      <c r="U19" s="49">
        <f>104-(N19+P19+R19+T19)</f>
        <v/>
      </c>
      <c r="V19" s="47">
        <f>RANK(U19,U$5:U$22)</f>
        <v/>
      </c>
      <c r="W19" s="56" t="n"/>
      <c r="X19" s="53">
        <f>VLOOKUP($A19,INDIRECT("'"&amp;$B$1&amp;"'!$A:$IZ"),65,FALSE)</f>
        <v/>
      </c>
      <c r="Y19" s="54">
        <f>RANK(X19,X$5:X$22)</f>
        <v/>
      </c>
      <c r="Z19" s="53">
        <f>VLOOKUP($A19,INDIRECT("'"&amp;$B$1&amp;"'!$A:$IZ"),64,FALSE)</f>
        <v/>
      </c>
      <c r="AA19" s="54">
        <f>RANK(Z19,Z$5:Z$22)</f>
        <v/>
      </c>
      <c r="AB19" s="53">
        <f>VLOOKUP($A19,INDIRECT("'"&amp;$B$1&amp;"'!$A:$IZ"),63,FALSE)</f>
        <v/>
      </c>
      <c r="AC19" s="54">
        <f>RANK(AB19,AB$5:AB$22)</f>
        <v/>
      </c>
      <c r="AD19" s="53">
        <f>VLOOKUP($A19,INDIRECT("'"&amp;$B$1&amp;"'!$A:$IZ"),71,FALSE)</f>
        <v/>
      </c>
      <c r="AE19" s="54">
        <f>RANK(AD19,AD$5:AD$22)</f>
        <v/>
      </c>
      <c r="AF19" s="65">
        <f>104-(Y19+AA19+AC19+AE19)</f>
        <v/>
      </c>
      <c r="AG19" s="47">
        <f>RANK(AF19,AF$5:AF$22)</f>
        <v/>
      </c>
      <c r="AH19" s="56" t="n"/>
      <c r="AI19" s="53">
        <f>VLOOKUP($A19,INDIRECT("'"&amp;$B$1&amp;"'!$A:$IZ"),183,FALSE)</f>
        <v/>
      </c>
      <c r="AJ19" s="54">
        <f>RANK(AI19,AI$5:AI$22,1)</f>
        <v/>
      </c>
      <c r="AK19" s="53">
        <f>VLOOKUP($A19,INDIRECT("'"&amp;$B$1&amp;"'!$A:$IZ"),181,FALSE)</f>
        <v/>
      </c>
      <c r="AL19" s="54">
        <f>RANK(AK19,AK$5:AK$22,1)</f>
        <v/>
      </c>
      <c r="AM19" s="53">
        <f>VLOOKUP($A19,INDIRECT("'"&amp;$B$1&amp;"'!$A:$IZ"),182,FALSE)</f>
        <v/>
      </c>
      <c r="AN19" s="54">
        <f>RANK(AM19,AM$5:AM$22,1)</f>
        <v/>
      </c>
      <c r="AO19" s="53">
        <f>VLOOKUP($A19,INDIRECT("'"&amp;$B$1&amp;"'!$A:$IZ"),163,FALSE)</f>
        <v/>
      </c>
      <c r="AP19" s="54">
        <f>RANK(AO19,AO$5:AO$22,1)</f>
        <v/>
      </c>
      <c r="AQ19" s="65">
        <f>104-(AJ19+AL19+AN19+AP19)</f>
        <v/>
      </c>
      <c r="AR19" s="47">
        <f>RANK(AQ19,AQ$5:AQ$22)</f>
        <v/>
      </c>
      <c r="AS19" s="56" t="n"/>
      <c r="AT19" s="46">
        <f>VLOOKUP($A19,INDIRECT("'"&amp;$B$1&amp;"'!$A:$IZ"),250,FALSE)</f>
        <v/>
      </c>
      <c r="AU19" s="47">
        <f>RANK(AT19,AT$5:AT$22,0)</f>
        <v/>
      </c>
      <c r="AV19" s="46">
        <f>VLOOKUP($A19,INDIRECT("'"&amp;$B$1&amp;"'!$A:$IZ"),92,FALSE)</f>
        <v/>
      </c>
      <c r="AW19" s="47">
        <f>RANK(AV19,AV$5:AV$22,0)</f>
        <v/>
      </c>
      <c r="AX19" s="46">
        <f>VLOOKUP($A19,INDIRECT("'"&amp;$B$1&amp;"'!$A:$IZ"),93,FALSE)</f>
        <v/>
      </c>
      <c r="AY19" s="47">
        <f>RANK(AX19,AX$5:AX$22,0)</f>
        <v/>
      </c>
      <c r="AZ19" s="46">
        <f>VLOOKUP($A19,INDIRECT("'"&amp;$B$1&amp;"'!$A:$IZ"),108,FALSE)</f>
        <v/>
      </c>
      <c r="BA19" s="47">
        <f>RANK(AZ19,AZ$5:AZ$22,0)</f>
        <v/>
      </c>
      <c r="BB19" s="46">
        <f>104-(AU19+AW19+AY19+BA19)</f>
        <v/>
      </c>
      <c r="BC19" s="47">
        <f>RANK(BB19,BB$5:BB$22)</f>
        <v/>
      </c>
      <c r="BD19" s="56" t="n"/>
      <c r="BE19" s="53">
        <f>VLOOKUP($A19,INDIRECT("'"&amp;$B$1&amp;"'!$A:$IZ"),80,FALSE)</f>
        <v/>
      </c>
      <c r="BF19" s="54">
        <f>RANK(BE19,BE$5:BE$22)</f>
        <v/>
      </c>
      <c r="BG19" s="53">
        <f>VLOOKUP($A19,INDIRECT("'"&amp;$B$1&amp;"'!$A:$IZ"),177,FALSE)</f>
        <v/>
      </c>
      <c r="BH19" s="54">
        <f>RANK(BG19,BG$5:BG$22,1)</f>
        <v/>
      </c>
      <c r="BI19" s="53">
        <f>VLOOKUP($A19,INDIRECT("'"&amp;$B$1&amp;"'!$A:$IZ"),79,FALSE)</f>
        <v/>
      </c>
      <c r="BJ19" s="54">
        <f>RANK(BI19,BI$5:BI$22)</f>
        <v/>
      </c>
      <c r="BK19" s="53">
        <f>VLOOKUP($A19,INDIRECT("'"&amp;$B$1&amp;"'!$A:$IZ"),176,FALSE)</f>
        <v/>
      </c>
      <c r="BL19" s="54">
        <f>RANK(BK19,BK$5:BK$22,1)</f>
        <v/>
      </c>
      <c r="BM19" s="53">
        <f>VLOOKUP($A19,INDIRECT("'"&amp;$B$1&amp;"'!$A:$IZ"),11,FALSE)</f>
        <v/>
      </c>
      <c r="BN19" s="54">
        <f>RANK(BM19,BM$5:BM$22)</f>
        <v/>
      </c>
      <c r="BO19" s="53">
        <f>VLOOKUP($A19,INDIRECT("'"&amp;$B$1&amp;"'!$A:$IZ"),222,FALSE)</f>
        <v/>
      </c>
      <c r="BP19" s="54">
        <f>RANK(BO19,BO$5:BO$22)</f>
        <v/>
      </c>
      <c r="BQ19" s="65">
        <f>106-(BF19+BH19+BN19+BP19+BJ19+BL19)</f>
        <v/>
      </c>
      <c r="BR19" s="47">
        <f>RANK(BQ19,BQ$5:BQ$22)</f>
        <v/>
      </c>
      <c r="BS19" s="56" t="n"/>
      <c r="BT19" s="57">
        <f>VLOOKUP($A19,'Ratings Season'!$A:$M,10,FALSE)</f>
        <v/>
      </c>
      <c r="BU19" s="54">
        <f>RANK(BT19,BT$5:BT$22)</f>
        <v/>
      </c>
      <c r="BV19" s="57">
        <f>VLOOKUP($A19,'Ratings Season'!$A:$M,12,FALSE)</f>
        <v/>
      </c>
      <c r="BW19" s="54">
        <f>RANK(BV19,BV$5:BV$22)</f>
        <v/>
      </c>
      <c r="BX19" s="57">
        <f>VLOOKUP($A19,'Ratings Season'!$A:$M,8,FALSE)</f>
        <v/>
      </c>
      <c r="BY19" s="58">
        <f>RANK(BX19,BX$5:BX$22)</f>
        <v/>
      </c>
      <c r="BZ19" s="72" t="n"/>
    </row>
    <row r="20" ht="25" customFormat="1" customHeight="1" s="3">
      <c r="A20" s="90" t="inlineStr">
        <is>
          <t>Sydney</t>
        </is>
      </c>
      <c r="B20" s="53">
        <f>VLOOKUP($A20,INDIRECT("'"&amp;$B$1&amp;"'!$A:$IZ"),222,FALSE)</f>
        <v/>
      </c>
      <c r="C20" s="54">
        <f>RANK(B20,B$5:B$22)</f>
        <v/>
      </c>
      <c r="D20" s="55">
        <f>VLOOKUP($A20,INDIRECT("'"&amp;$B$1&amp;"'!$A:$IZ"),218,FALSE)</f>
        <v/>
      </c>
      <c r="E20" s="54">
        <f>RANK(D20,D$5:D$22)</f>
        <v/>
      </c>
      <c r="F20" s="55">
        <f>VLOOKUP($A20,INDIRECT("'"&amp;$B$1&amp;"'!$A:$IZ"),49,FALSE)</f>
        <v/>
      </c>
      <c r="G20" s="54">
        <f>RANK(F20,F$5:F$22)</f>
        <v/>
      </c>
      <c r="H20" s="55">
        <f>VLOOKUP($A20,INDIRECT("'"&amp;$B$1&amp;"'!$A:$IZ"),229,FALSE)</f>
        <v/>
      </c>
      <c r="I20" s="54">
        <f>RANK(H20,H$5:H$22)</f>
        <v/>
      </c>
      <c r="J20" s="49">
        <f>104-(C20+E20+G20+I20)</f>
        <v/>
      </c>
      <c r="K20" s="47">
        <f>RANK(J20,J$5:J$22)</f>
        <v/>
      </c>
      <c r="L20" s="56" t="n"/>
      <c r="M20" s="53">
        <f>VLOOKUP($A20,INDIRECT("'"&amp;$B$1&amp;"'!$A:$IZ"),88,FALSE)</f>
        <v/>
      </c>
      <c r="N20" s="54">
        <f>RANK(M20,M$5:M$22)</f>
        <v/>
      </c>
      <c r="O20" s="53">
        <f>VLOOKUP($A20,INDIRECT("'"&amp;$B$1&amp;"'!$A:$IZ"),84,FALSE)</f>
        <v/>
      </c>
      <c r="P20" s="54">
        <f>RANK(O20,O$5:O$22)</f>
        <v/>
      </c>
      <c r="Q20" s="53">
        <f>VLOOKUP($A20,INDIRECT("'"&amp;$B$1&amp;"'!$A:$IZ"),85,FALSE)</f>
        <v/>
      </c>
      <c r="R20" s="54">
        <f>RANK(Q20,Q$5:Q$22)</f>
        <v/>
      </c>
      <c r="S20" s="55">
        <f>VLOOKUP($A20,INDIRECT("'"&amp;$B$1&amp;"'!$A:$IZ"),29,FALSE)</f>
        <v/>
      </c>
      <c r="T20" s="54">
        <f>RANK(S20,S$5:S$22)</f>
        <v/>
      </c>
      <c r="U20" s="49">
        <f>104-(N20+P20+R20+T20)</f>
        <v/>
      </c>
      <c r="V20" s="47">
        <f>RANK(U20,U$5:U$22)</f>
        <v/>
      </c>
      <c r="W20" s="56" t="n"/>
      <c r="X20" s="53">
        <f>VLOOKUP($A20,INDIRECT("'"&amp;$B$1&amp;"'!$A:$IZ"),65,FALSE)</f>
        <v/>
      </c>
      <c r="Y20" s="54">
        <f>RANK(X20,X$5:X$22)</f>
        <v/>
      </c>
      <c r="Z20" s="53">
        <f>VLOOKUP($A20,INDIRECT("'"&amp;$B$1&amp;"'!$A:$IZ"),64,FALSE)</f>
        <v/>
      </c>
      <c r="AA20" s="54">
        <f>RANK(Z20,Z$5:Z$22)</f>
        <v/>
      </c>
      <c r="AB20" s="53">
        <f>VLOOKUP($A20,INDIRECT("'"&amp;$B$1&amp;"'!$A:$IZ"),63,FALSE)</f>
        <v/>
      </c>
      <c r="AC20" s="54">
        <f>RANK(AB20,AB$5:AB$22)</f>
        <v/>
      </c>
      <c r="AD20" s="53">
        <f>VLOOKUP($A20,INDIRECT("'"&amp;$B$1&amp;"'!$A:$IZ"),71,FALSE)</f>
        <v/>
      </c>
      <c r="AE20" s="54">
        <f>RANK(AD20,AD$5:AD$22)</f>
        <v/>
      </c>
      <c r="AF20" s="65">
        <f>104-(Y20+AA20+AC20+AE20)</f>
        <v/>
      </c>
      <c r="AG20" s="47">
        <f>RANK(AF20,AF$5:AF$22)</f>
        <v/>
      </c>
      <c r="AH20" s="56" t="n"/>
      <c r="AI20" s="53">
        <f>VLOOKUP($A20,INDIRECT("'"&amp;$B$1&amp;"'!$A:$IZ"),183,FALSE)</f>
        <v/>
      </c>
      <c r="AJ20" s="54">
        <f>RANK(AI20,AI$5:AI$22,1)</f>
        <v/>
      </c>
      <c r="AK20" s="53">
        <f>VLOOKUP($A20,INDIRECT("'"&amp;$B$1&amp;"'!$A:$IZ"),181,FALSE)</f>
        <v/>
      </c>
      <c r="AL20" s="54">
        <f>RANK(AK20,AK$5:AK$22,1)</f>
        <v/>
      </c>
      <c r="AM20" s="53">
        <f>VLOOKUP($A20,INDIRECT("'"&amp;$B$1&amp;"'!$A:$IZ"),182,FALSE)</f>
        <v/>
      </c>
      <c r="AN20" s="54">
        <f>RANK(AM20,AM$5:AM$22,1)</f>
        <v/>
      </c>
      <c r="AO20" s="53">
        <f>VLOOKUP($A20,INDIRECT("'"&amp;$B$1&amp;"'!$A:$IZ"),163,FALSE)</f>
        <v/>
      </c>
      <c r="AP20" s="54">
        <f>RANK(AO20,AO$5:AO$22,1)</f>
        <v/>
      </c>
      <c r="AQ20" s="65">
        <f>104-(AJ20+AL20+AN20+AP20)</f>
        <v/>
      </c>
      <c r="AR20" s="47">
        <f>RANK(AQ20,AQ$5:AQ$22)</f>
        <v/>
      </c>
      <c r="AS20" s="56" t="n"/>
      <c r="AT20" s="46">
        <f>VLOOKUP($A20,INDIRECT("'"&amp;$B$1&amp;"'!$A:$IZ"),250,FALSE)</f>
        <v/>
      </c>
      <c r="AU20" s="47">
        <f>RANK(AT20,AT$5:AT$22,0)</f>
        <v/>
      </c>
      <c r="AV20" s="46">
        <f>VLOOKUP($A20,INDIRECT("'"&amp;$B$1&amp;"'!$A:$IZ"),92,FALSE)</f>
        <v/>
      </c>
      <c r="AW20" s="47">
        <f>RANK(AV20,AV$5:AV$22,0)</f>
        <v/>
      </c>
      <c r="AX20" s="46">
        <f>VLOOKUP($A20,INDIRECT("'"&amp;$B$1&amp;"'!$A:$IZ"),93,FALSE)</f>
        <v/>
      </c>
      <c r="AY20" s="47">
        <f>RANK(AX20,AX$5:AX$22,0)</f>
        <v/>
      </c>
      <c r="AZ20" s="46">
        <f>VLOOKUP($A20,INDIRECT("'"&amp;$B$1&amp;"'!$A:$IZ"),108,FALSE)</f>
        <v/>
      </c>
      <c r="BA20" s="47">
        <f>RANK(AZ20,AZ$5:AZ$22,0)</f>
        <v/>
      </c>
      <c r="BB20" s="46">
        <f>104-(AU20+AW20+AY20+BA20)</f>
        <v/>
      </c>
      <c r="BC20" s="47">
        <f>RANK(BB20,BB$5:BB$22)</f>
        <v/>
      </c>
      <c r="BD20" s="56" t="n"/>
      <c r="BE20" s="53">
        <f>VLOOKUP($A20,INDIRECT("'"&amp;$B$1&amp;"'!$A:$IZ"),80,FALSE)</f>
        <v/>
      </c>
      <c r="BF20" s="54">
        <f>RANK(BE20,BE$5:BE$22)</f>
        <v/>
      </c>
      <c r="BG20" s="53">
        <f>VLOOKUP($A20,INDIRECT("'"&amp;$B$1&amp;"'!$A:$IZ"),177,FALSE)</f>
        <v/>
      </c>
      <c r="BH20" s="54">
        <f>RANK(BG20,BG$5:BG$22,1)</f>
        <v/>
      </c>
      <c r="BI20" s="53">
        <f>VLOOKUP($A20,INDIRECT("'"&amp;$B$1&amp;"'!$A:$IZ"),79,FALSE)</f>
        <v/>
      </c>
      <c r="BJ20" s="54">
        <f>RANK(BI20,BI$5:BI$22)</f>
        <v/>
      </c>
      <c r="BK20" s="53">
        <f>VLOOKUP($A20,INDIRECT("'"&amp;$B$1&amp;"'!$A:$IZ"),176,FALSE)</f>
        <v/>
      </c>
      <c r="BL20" s="54">
        <f>RANK(BK20,BK$5:BK$22,1)</f>
        <v/>
      </c>
      <c r="BM20" s="53">
        <f>VLOOKUP($A20,INDIRECT("'"&amp;$B$1&amp;"'!$A:$IZ"),11,FALSE)</f>
        <v/>
      </c>
      <c r="BN20" s="54">
        <f>RANK(BM20,BM$5:BM$22)</f>
        <v/>
      </c>
      <c r="BO20" s="53">
        <f>VLOOKUP($A20,INDIRECT("'"&amp;$B$1&amp;"'!$A:$IZ"),222,FALSE)</f>
        <v/>
      </c>
      <c r="BP20" s="54">
        <f>RANK(BO20,BO$5:BO$22)</f>
        <v/>
      </c>
      <c r="BQ20" s="65">
        <f>106-(BF20+BH20+BN20+BP20+BJ20+BL20)</f>
        <v/>
      </c>
      <c r="BR20" s="47">
        <f>RANK(BQ20,BQ$5:BQ$22)</f>
        <v/>
      </c>
      <c r="BS20" s="56" t="n"/>
      <c r="BT20" s="57">
        <f>VLOOKUP($A20,'Ratings Season'!$A:$M,10,FALSE)</f>
        <v/>
      </c>
      <c r="BU20" s="54">
        <f>RANK(BT20,BT$5:BT$22)</f>
        <v/>
      </c>
      <c r="BV20" s="57">
        <f>VLOOKUP($A20,'Ratings Season'!$A:$M,12,FALSE)</f>
        <v/>
      </c>
      <c r="BW20" s="54">
        <f>RANK(BV20,BV$5:BV$22)</f>
        <v/>
      </c>
      <c r="BX20" s="57">
        <f>VLOOKUP($A20,'Ratings Season'!$A:$M,8,FALSE)</f>
        <v/>
      </c>
      <c r="BY20" s="58">
        <f>RANK(BX20,BX$5:BX$22)</f>
        <v/>
      </c>
      <c r="BZ20" s="72" t="n"/>
    </row>
    <row r="21" ht="25" customFormat="1" customHeight="1" s="3">
      <c r="A21" s="91" t="inlineStr">
        <is>
          <t>West Coast</t>
        </is>
      </c>
      <c r="B21" s="53">
        <f>VLOOKUP($A21,INDIRECT("'"&amp;$B$1&amp;"'!$A:$IZ"),222,FALSE)</f>
        <v/>
      </c>
      <c r="C21" s="54">
        <f>RANK(B21,B$5:B$22)</f>
        <v/>
      </c>
      <c r="D21" s="55">
        <f>VLOOKUP($A21,INDIRECT("'"&amp;$B$1&amp;"'!$A:$IZ"),218,FALSE)</f>
        <v/>
      </c>
      <c r="E21" s="54">
        <f>RANK(D21,D$5:D$22)</f>
        <v/>
      </c>
      <c r="F21" s="55">
        <f>VLOOKUP($A21,INDIRECT("'"&amp;$B$1&amp;"'!$A:$IZ"),49,FALSE)</f>
        <v/>
      </c>
      <c r="G21" s="54">
        <f>RANK(F21,F$5:F$22)</f>
        <v/>
      </c>
      <c r="H21" s="55">
        <f>VLOOKUP($A21,INDIRECT("'"&amp;$B$1&amp;"'!$A:$IZ"),229,FALSE)</f>
        <v/>
      </c>
      <c r="I21" s="54">
        <f>RANK(H21,H$5:H$22)</f>
        <v/>
      </c>
      <c r="J21" s="49">
        <f>104-(C21+E21+G21+I21)</f>
        <v/>
      </c>
      <c r="K21" s="47">
        <f>RANK(J21,J$5:J$22)</f>
        <v/>
      </c>
      <c r="L21" s="56" t="n"/>
      <c r="M21" s="53">
        <f>VLOOKUP($A21,INDIRECT("'"&amp;$B$1&amp;"'!$A:$IZ"),88,FALSE)</f>
        <v/>
      </c>
      <c r="N21" s="54">
        <f>RANK(M21,M$5:M$22)</f>
        <v/>
      </c>
      <c r="O21" s="53">
        <f>VLOOKUP($A21,INDIRECT("'"&amp;$B$1&amp;"'!$A:$IZ"),84,FALSE)</f>
        <v/>
      </c>
      <c r="P21" s="54">
        <f>RANK(O21,O$5:O$22)</f>
        <v/>
      </c>
      <c r="Q21" s="53">
        <f>VLOOKUP($A21,INDIRECT("'"&amp;$B$1&amp;"'!$A:$IZ"),85,FALSE)</f>
        <v/>
      </c>
      <c r="R21" s="54">
        <f>RANK(Q21,Q$5:Q$22)</f>
        <v/>
      </c>
      <c r="S21" s="55">
        <f>VLOOKUP($A21,INDIRECT("'"&amp;$B$1&amp;"'!$A:$IZ"),29,FALSE)</f>
        <v/>
      </c>
      <c r="T21" s="54">
        <f>RANK(S21,S$5:S$22)</f>
        <v/>
      </c>
      <c r="U21" s="49">
        <f>104-(N21+P21+R21+T21)</f>
        <v/>
      </c>
      <c r="V21" s="47">
        <f>RANK(U21,U$5:U$22)</f>
        <v/>
      </c>
      <c r="W21" s="56" t="n"/>
      <c r="X21" s="53">
        <f>VLOOKUP($A21,INDIRECT("'"&amp;$B$1&amp;"'!$A:$IZ"),65,FALSE)</f>
        <v/>
      </c>
      <c r="Y21" s="54">
        <f>RANK(X21,X$5:X$22)</f>
        <v/>
      </c>
      <c r="Z21" s="53">
        <f>VLOOKUP($A21,INDIRECT("'"&amp;$B$1&amp;"'!$A:$IZ"),64,FALSE)</f>
        <v/>
      </c>
      <c r="AA21" s="54">
        <f>RANK(Z21,Z$5:Z$22)</f>
        <v/>
      </c>
      <c r="AB21" s="53">
        <f>VLOOKUP($A21,INDIRECT("'"&amp;$B$1&amp;"'!$A:$IZ"),63,FALSE)</f>
        <v/>
      </c>
      <c r="AC21" s="54">
        <f>RANK(AB21,AB$5:AB$22)</f>
        <v/>
      </c>
      <c r="AD21" s="53">
        <f>VLOOKUP($A21,INDIRECT("'"&amp;$B$1&amp;"'!$A:$IZ"),71,FALSE)</f>
        <v/>
      </c>
      <c r="AE21" s="54">
        <f>RANK(AD21,AD$5:AD$22)</f>
        <v/>
      </c>
      <c r="AF21" s="65">
        <f>104-(Y21+AA21+AC21+AE21)</f>
        <v/>
      </c>
      <c r="AG21" s="47">
        <f>RANK(AF21,AF$5:AF$22)</f>
        <v/>
      </c>
      <c r="AH21" s="56" t="n"/>
      <c r="AI21" s="53">
        <f>VLOOKUP($A21,INDIRECT("'"&amp;$B$1&amp;"'!$A:$IZ"),183,FALSE)</f>
        <v/>
      </c>
      <c r="AJ21" s="54">
        <f>RANK(AI21,AI$5:AI$22,1)</f>
        <v/>
      </c>
      <c r="AK21" s="53">
        <f>VLOOKUP($A21,INDIRECT("'"&amp;$B$1&amp;"'!$A:$IZ"),181,FALSE)</f>
        <v/>
      </c>
      <c r="AL21" s="54">
        <f>RANK(AK21,AK$5:AK$22,1)</f>
        <v/>
      </c>
      <c r="AM21" s="53">
        <f>VLOOKUP($A21,INDIRECT("'"&amp;$B$1&amp;"'!$A:$IZ"),182,FALSE)</f>
        <v/>
      </c>
      <c r="AN21" s="54">
        <f>RANK(AM21,AM$5:AM$22,1)</f>
        <v/>
      </c>
      <c r="AO21" s="53">
        <f>VLOOKUP($A21,INDIRECT("'"&amp;$B$1&amp;"'!$A:$IZ"),163,FALSE)</f>
        <v/>
      </c>
      <c r="AP21" s="54">
        <f>RANK(AO21,AO$5:AO$22,1)</f>
        <v/>
      </c>
      <c r="AQ21" s="65">
        <f>104-(AJ21+AL21+AN21+AP21)</f>
        <v/>
      </c>
      <c r="AR21" s="47">
        <f>RANK(AQ21,AQ$5:AQ$22)</f>
        <v/>
      </c>
      <c r="AS21" s="56" t="n"/>
      <c r="AT21" s="46">
        <f>VLOOKUP($A21,INDIRECT("'"&amp;$B$1&amp;"'!$A:$IZ"),250,FALSE)</f>
        <v/>
      </c>
      <c r="AU21" s="47">
        <f>RANK(AT21,AT$5:AT$22,0)</f>
        <v/>
      </c>
      <c r="AV21" s="46">
        <f>VLOOKUP($A21,INDIRECT("'"&amp;$B$1&amp;"'!$A:$IZ"),92,FALSE)</f>
        <v/>
      </c>
      <c r="AW21" s="47">
        <f>RANK(AV21,AV$5:AV$22,0)</f>
        <v/>
      </c>
      <c r="AX21" s="46">
        <f>VLOOKUP($A21,INDIRECT("'"&amp;$B$1&amp;"'!$A:$IZ"),93,FALSE)</f>
        <v/>
      </c>
      <c r="AY21" s="47">
        <f>RANK(AX21,AX$5:AX$22,0)</f>
        <v/>
      </c>
      <c r="AZ21" s="46">
        <f>VLOOKUP($A21,INDIRECT("'"&amp;$B$1&amp;"'!$A:$IZ"),108,FALSE)</f>
        <v/>
      </c>
      <c r="BA21" s="47">
        <f>RANK(AZ21,AZ$5:AZ$22,0)</f>
        <v/>
      </c>
      <c r="BB21" s="46">
        <f>104-(AU21+AW21+AY21+BA21)</f>
        <v/>
      </c>
      <c r="BC21" s="47">
        <f>RANK(BB21,BB$5:BB$22)</f>
        <v/>
      </c>
      <c r="BD21" s="56" t="n"/>
      <c r="BE21" s="53">
        <f>VLOOKUP($A21,INDIRECT("'"&amp;$B$1&amp;"'!$A:$IZ"),80,FALSE)</f>
        <v/>
      </c>
      <c r="BF21" s="54">
        <f>RANK(BE21,BE$5:BE$22)</f>
        <v/>
      </c>
      <c r="BG21" s="53">
        <f>VLOOKUP($A21,INDIRECT("'"&amp;$B$1&amp;"'!$A:$IZ"),177,FALSE)</f>
        <v/>
      </c>
      <c r="BH21" s="54">
        <f>RANK(BG21,BG$5:BG$22,1)</f>
        <v/>
      </c>
      <c r="BI21" s="53">
        <f>VLOOKUP($A21,INDIRECT("'"&amp;$B$1&amp;"'!$A:$IZ"),79,FALSE)</f>
        <v/>
      </c>
      <c r="BJ21" s="54">
        <f>RANK(BI21,BI$5:BI$22)</f>
        <v/>
      </c>
      <c r="BK21" s="53">
        <f>VLOOKUP($A21,INDIRECT("'"&amp;$B$1&amp;"'!$A:$IZ"),176,FALSE)</f>
        <v/>
      </c>
      <c r="BL21" s="54">
        <f>RANK(BK21,BK$5:BK$22,1)</f>
        <v/>
      </c>
      <c r="BM21" s="53">
        <f>VLOOKUP($A21,INDIRECT("'"&amp;$B$1&amp;"'!$A:$IZ"),11,FALSE)</f>
        <v/>
      </c>
      <c r="BN21" s="54">
        <f>RANK(BM21,BM$5:BM$22)</f>
        <v/>
      </c>
      <c r="BO21" s="53">
        <f>VLOOKUP($A21,INDIRECT("'"&amp;$B$1&amp;"'!$A:$IZ"),222,FALSE)</f>
        <v/>
      </c>
      <c r="BP21" s="54">
        <f>RANK(BO21,BO$5:BO$22)</f>
        <v/>
      </c>
      <c r="BQ21" s="65">
        <f>106-(BF21+BH21+BN21+BP21+BJ21+BL21)</f>
        <v/>
      </c>
      <c r="BR21" s="47">
        <f>RANK(BQ21,BQ$5:BQ$22)</f>
        <v/>
      </c>
      <c r="BS21" s="56" t="n"/>
      <c r="BT21" s="57">
        <f>VLOOKUP($A21,'Ratings Season'!$A:$M,10,FALSE)</f>
        <v/>
      </c>
      <c r="BU21" s="54">
        <f>RANK(BT21,BT$5:BT$22)</f>
        <v/>
      </c>
      <c r="BV21" s="57">
        <f>VLOOKUP($A21,'Ratings Season'!$A:$M,12,FALSE)</f>
        <v/>
      </c>
      <c r="BW21" s="54">
        <f>RANK(BV21,BV$5:BV$22)</f>
        <v/>
      </c>
      <c r="BX21" s="57">
        <f>VLOOKUP($A21,'Ratings Season'!$A:$M,8,FALSE)</f>
        <v/>
      </c>
      <c r="BY21" s="58">
        <f>RANK(BX21,BX$5:BX$22)</f>
        <v/>
      </c>
      <c r="BZ21" s="72" t="n"/>
    </row>
    <row r="22" ht="25" customFormat="1" customHeight="1" s="3" thickBot="1">
      <c r="A22" s="92" t="inlineStr">
        <is>
          <t>Western Bulldogs</t>
        </is>
      </c>
      <c r="B22" s="59">
        <f>VLOOKUP($A22,INDIRECT("'"&amp;$B$1&amp;"'!$A:$IZ"),222,FALSE)</f>
        <v/>
      </c>
      <c r="C22" s="60">
        <f>RANK(B22,B$5:B$22)</f>
        <v/>
      </c>
      <c r="D22" s="61">
        <f>VLOOKUP($A22,INDIRECT("'"&amp;$B$1&amp;"'!$A:$IZ"),218,FALSE)</f>
        <v/>
      </c>
      <c r="E22" s="60">
        <f>RANK(D22,D$5:D$22)</f>
        <v/>
      </c>
      <c r="F22" s="61">
        <f>VLOOKUP($A22,INDIRECT("'"&amp;$B$1&amp;"'!$A:$IZ"),49,FALSE)</f>
        <v/>
      </c>
      <c r="G22" s="60">
        <f>RANK(F22,F$5:F$22)</f>
        <v/>
      </c>
      <c r="H22" s="61">
        <f>VLOOKUP($A22,INDIRECT("'"&amp;$B$1&amp;"'!$A:$IZ"),229,FALSE)</f>
        <v/>
      </c>
      <c r="I22" s="60">
        <f>RANK(H22,H$5:H$22)</f>
        <v/>
      </c>
      <c r="J22" s="49">
        <f>104-(C22+E22+G22+I22)</f>
        <v/>
      </c>
      <c r="K22" s="47">
        <f>RANK(J22,J$5:J$22)</f>
        <v/>
      </c>
      <c r="L22" s="62" t="n"/>
      <c r="M22" s="59">
        <f>VLOOKUP($A22,INDIRECT("'"&amp;$B$1&amp;"'!$A:$IZ"),88,FALSE)</f>
        <v/>
      </c>
      <c r="N22" s="60">
        <f>RANK(M22,M$5:M$22)</f>
        <v/>
      </c>
      <c r="O22" s="59">
        <f>VLOOKUP($A22,INDIRECT("'"&amp;$B$1&amp;"'!$A:$IZ"),84,FALSE)</f>
        <v/>
      </c>
      <c r="P22" s="60">
        <f>RANK(O22,O$5:O$22)</f>
        <v/>
      </c>
      <c r="Q22" s="59">
        <f>VLOOKUP($A22,INDIRECT("'"&amp;$B$1&amp;"'!$A:$IZ"),85,FALSE)</f>
        <v/>
      </c>
      <c r="R22" s="60">
        <f>RANK(Q22,Q$5:Q$22)</f>
        <v/>
      </c>
      <c r="S22" s="61">
        <f>VLOOKUP($A22,INDIRECT("'"&amp;$B$1&amp;"'!$A:$IZ"),29,FALSE)</f>
        <v/>
      </c>
      <c r="T22" s="60">
        <f>RANK(S22,S$5:S$22)</f>
        <v/>
      </c>
      <c r="U22" s="49">
        <f>104-(N22+P22+R22+T22)</f>
        <v/>
      </c>
      <c r="V22" s="47">
        <f>RANK(U22,U$5:U$22)</f>
        <v/>
      </c>
      <c r="W22" s="62" t="n"/>
      <c r="X22" s="59">
        <f>VLOOKUP($A22,INDIRECT("'"&amp;$B$1&amp;"'!$A:$IZ"),65,FALSE)</f>
        <v/>
      </c>
      <c r="Y22" s="60">
        <f>RANK(X22,X$5:X$22)</f>
        <v/>
      </c>
      <c r="Z22" s="59">
        <f>VLOOKUP($A22,INDIRECT("'"&amp;$B$1&amp;"'!$A:$IZ"),64,FALSE)</f>
        <v/>
      </c>
      <c r="AA22" s="60">
        <f>RANK(Z22,Z$5:Z$22)</f>
        <v/>
      </c>
      <c r="AB22" s="59">
        <f>VLOOKUP($A22,INDIRECT("'"&amp;$B$1&amp;"'!$A:$IZ"),63,FALSE)</f>
        <v/>
      </c>
      <c r="AC22" s="60">
        <f>RANK(AB22,AB$5:AB$22)</f>
        <v/>
      </c>
      <c r="AD22" s="59">
        <f>VLOOKUP($A22,INDIRECT("'"&amp;$B$1&amp;"'!$A:$IZ"),71,FALSE)</f>
        <v/>
      </c>
      <c r="AE22" s="60">
        <f>RANK(AD22,AD$5:AD$22)</f>
        <v/>
      </c>
      <c r="AF22" s="66">
        <f>104-(Y22+AA22+AC22+AE22)</f>
        <v/>
      </c>
      <c r="AG22" s="47">
        <f>RANK(AF22,AF$5:AF$22)</f>
        <v/>
      </c>
      <c r="AH22" s="62" t="n"/>
      <c r="AI22" s="59">
        <f>VLOOKUP($A22,INDIRECT("'"&amp;$B$1&amp;"'!$A:$IZ"),183,FALSE)</f>
        <v/>
      </c>
      <c r="AJ22" s="60">
        <f>RANK(AI22,AI$5:AI$22,1)</f>
        <v/>
      </c>
      <c r="AK22" s="59">
        <f>VLOOKUP($A22,INDIRECT("'"&amp;$B$1&amp;"'!$A:$IZ"),181,FALSE)</f>
        <v/>
      </c>
      <c r="AL22" s="60">
        <f>RANK(AK22,AK$5:AK$22,1)</f>
        <v/>
      </c>
      <c r="AM22" s="59">
        <f>VLOOKUP($A22,INDIRECT("'"&amp;$B$1&amp;"'!$A:$IZ"),182,FALSE)</f>
        <v/>
      </c>
      <c r="AN22" s="60">
        <f>RANK(AM22,AM$5:AM$22,1)</f>
        <v/>
      </c>
      <c r="AO22" s="59">
        <f>VLOOKUP($A22,INDIRECT("'"&amp;$B$1&amp;"'!$A:$IZ"),163,FALSE)</f>
        <v/>
      </c>
      <c r="AP22" s="60">
        <f>RANK(AO22,AO$5:AO$22,1)</f>
        <v/>
      </c>
      <c r="AQ22" s="66">
        <f>104-(AJ22+AL22+AN22+AP22)</f>
        <v/>
      </c>
      <c r="AR22" s="47">
        <f>RANK(AQ22,AQ$5:AQ$22)</f>
        <v/>
      </c>
      <c r="AS22" s="62" t="n"/>
      <c r="AT22" s="46">
        <f>VLOOKUP($A22,INDIRECT("'"&amp;$B$1&amp;"'!$A:$IZ"),250,FALSE)</f>
        <v/>
      </c>
      <c r="AU22" s="47">
        <f>RANK(AT22,AT$5:AT$22,0)</f>
        <v/>
      </c>
      <c r="AV22" s="46">
        <f>VLOOKUP($A22,INDIRECT("'"&amp;$B$1&amp;"'!$A:$IZ"),92,FALSE)</f>
        <v/>
      </c>
      <c r="AW22" s="47">
        <f>RANK(AV22,AV$5:AV$22,0)</f>
        <v/>
      </c>
      <c r="AX22" s="46">
        <f>VLOOKUP($A22,INDIRECT("'"&amp;$B$1&amp;"'!$A:$IZ"),93,FALSE)</f>
        <v/>
      </c>
      <c r="AY22" s="47">
        <f>RANK(AX22,AX$5:AX$22,0)</f>
        <v/>
      </c>
      <c r="AZ22" s="46">
        <f>VLOOKUP($A22,INDIRECT("'"&amp;$B$1&amp;"'!$A:$IZ"),108,FALSE)</f>
        <v/>
      </c>
      <c r="BA22" s="47">
        <f>RANK(AZ22,AZ$5:AZ$22,0)</f>
        <v/>
      </c>
      <c r="BB22" s="46">
        <f>104-(AU22+AW22+AY22+BA22)</f>
        <v/>
      </c>
      <c r="BC22" s="47">
        <f>RANK(BB22,BB$5:BB$22)</f>
        <v/>
      </c>
      <c r="BD22" s="62" t="n"/>
      <c r="BE22" s="59">
        <f>VLOOKUP($A22,INDIRECT("'"&amp;$B$1&amp;"'!$A:$IZ"),80,FALSE)</f>
        <v/>
      </c>
      <c r="BF22" s="60">
        <f>RANK(BE22,BE$5:BE$22)</f>
        <v/>
      </c>
      <c r="BG22" s="59">
        <f>VLOOKUP($A22,INDIRECT("'"&amp;$B$1&amp;"'!$A:$IZ"),177,FALSE)</f>
        <v/>
      </c>
      <c r="BH22" s="60">
        <f>RANK(BG22,BG$5:BG$22,1)</f>
        <v/>
      </c>
      <c r="BI22" s="59">
        <f>VLOOKUP($A22,INDIRECT("'"&amp;$B$1&amp;"'!$A:$IZ"),79,FALSE)</f>
        <v/>
      </c>
      <c r="BJ22" s="60">
        <f>RANK(BI22,BI$5:BI$22)</f>
        <v/>
      </c>
      <c r="BK22" s="59">
        <f>VLOOKUP($A22,INDIRECT("'"&amp;$B$1&amp;"'!$A:$IZ"),176,FALSE)</f>
        <v/>
      </c>
      <c r="BL22" s="60">
        <f>RANK(BK22,BK$5:BK$22,1)</f>
        <v/>
      </c>
      <c r="BM22" s="59">
        <f>VLOOKUP($A22,INDIRECT("'"&amp;$B$1&amp;"'!$A:$IZ"),11,FALSE)</f>
        <v/>
      </c>
      <c r="BN22" s="60">
        <f>RANK(BM22,BM$5:BM$22)</f>
        <v/>
      </c>
      <c r="BO22" s="59">
        <f>VLOOKUP($A22,INDIRECT("'"&amp;$B$1&amp;"'!$A:$IZ"),222,FALSE)</f>
        <v/>
      </c>
      <c r="BP22" s="60">
        <f>RANK(BO22,BO$5:BO$22)</f>
        <v/>
      </c>
      <c r="BQ22" s="66">
        <f>106-(BF22+BH22+BN22+BP22+BJ22+BL22)</f>
        <v/>
      </c>
      <c r="BR22" s="47">
        <f>RANK(BQ22,BQ$5:BQ$22)</f>
        <v/>
      </c>
      <c r="BS22" s="62" t="n"/>
      <c r="BT22" s="63">
        <f>VLOOKUP($A22,'Ratings Season'!$A:$M,10,FALSE)</f>
        <v/>
      </c>
      <c r="BU22" s="60">
        <f>RANK(BT22,BT$5:BT$22)</f>
        <v/>
      </c>
      <c r="BV22" s="63">
        <f>VLOOKUP($A22,'Ratings Season'!$A:$M,12,FALSE)</f>
        <v/>
      </c>
      <c r="BW22" s="60">
        <f>RANK(BV22,BV$5:BV$22)</f>
        <v/>
      </c>
      <c r="BX22" s="63">
        <f>VLOOKUP($A22,'Ratings Season'!$A:$M,8,FALSE)</f>
        <v/>
      </c>
      <c r="BY22" s="64">
        <f>RANK(BX22,BX$5:BX$22)</f>
        <v/>
      </c>
      <c r="BZ22" s="72" t="n"/>
    </row>
    <row r="23">
      <c r="BZ23" s="69" t="n"/>
    </row>
    <row r="24">
      <c r="A24" s="69" t="n"/>
      <c r="B24" s="69" t="n"/>
      <c r="C24" s="69" t="n"/>
      <c r="D24" s="69" t="n"/>
      <c r="E24" s="69" t="n"/>
      <c r="F24" s="69" t="n"/>
      <c r="G24" s="69" t="n"/>
      <c r="H24" s="69" t="n"/>
      <c r="I24" s="69" t="n"/>
      <c r="J24" s="69" t="n"/>
      <c r="K24" s="69" t="n"/>
      <c r="L24" s="69" t="n"/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  <c r="Z24" s="69" t="n"/>
      <c r="AA24" s="69" t="n"/>
      <c r="AB24" s="69" t="n"/>
      <c r="AC24" s="69" t="n"/>
      <c r="AD24" s="69" t="n"/>
      <c r="AE24" s="69" t="n"/>
      <c r="AF24" s="69" t="n"/>
      <c r="AG24" s="69" t="n"/>
      <c r="AH24" s="69" t="n"/>
      <c r="AI24" s="69" t="n"/>
      <c r="AJ24" s="69" t="n"/>
      <c r="AK24" s="69" t="n"/>
      <c r="AL24" s="69" t="n"/>
      <c r="AM24" s="69" t="n"/>
      <c r="AN24" s="69" t="n"/>
      <c r="AO24" s="69" t="n"/>
      <c r="AP24" s="69" t="n"/>
      <c r="AQ24" s="69" t="n"/>
      <c r="AR24" s="69" t="n"/>
      <c r="AS24" s="69" t="n"/>
      <c r="AT24" s="69" t="n"/>
      <c r="AU24" s="69" t="n"/>
      <c r="AV24" s="69" t="n"/>
      <c r="AW24" s="69" t="n"/>
      <c r="AX24" s="69" t="n"/>
      <c r="AY24" s="69" t="n"/>
      <c r="AZ24" s="69" t="n"/>
      <c r="BA24" s="69" t="n"/>
      <c r="BB24" s="69" t="n"/>
      <c r="BC24" s="69" t="n"/>
      <c r="BD24" s="69" t="n"/>
      <c r="BE24" s="69" t="n"/>
      <c r="BF24" s="69" t="n"/>
      <c r="BG24" s="69" t="n"/>
      <c r="BH24" s="69" t="n"/>
      <c r="BI24" s="69" t="n"/>
      <c r="BJ24" s="69" t="n"/>
      <c r="BK24" s="69" t="n"/>
      <c r="BL24" s="69" t="n"/>
      <c r="BM24" s="69" t="n"/>
      <c r="BN24" s="69" t="n"/>
      <c r="BO24" s="69" t="n"/>
      <c r="BP24" s="69" t="n"/>
      <c r="BQ24" s="69" t="n"/>
      <c r="BR24" s="69" t="n"/>
      <c r="BS24" s="69" t="n"/>
      <c r="BT24" s="69" t="n"/>
      <c r="BU24" s="69" t="n"/>
      <c r="BV24" s="69" t="n"/>
      <c r="BW24" s="69" t="n"/>
      <c r="BX24" s="69" t="n"/>
      <c r="BY24" s="69" t="n"/>
    </row>
  </sheetData>
  <mergeCells count="8">
    <mergeCell ref="M3:V3"/>
    <mergeCell ref="BE3:BR3"/>
    <mergeCell ref="A3:A4"/>
    <mergeCell ref="AT3:BC3"/>
    <mergeCell ref="X3:AG3"/>
    <mergeCell ref="AI3:AR3"/>
    <mergeCell ref="B3:K3"/>
    <mergeCell ref="BT3:BY3"/>
  </mergeCells>
  <conditionalFormatting sqref="B5:B22">
    <cfRule type="dataBar" priority="61">
      <dataBar>
        <cfvo type="min"/>
        <cfvo type="max"/>
        <color rgb="FF638EC6"/>
      </dataBar>
    </cfRule>
  </conditionalFormatting>
  <conditionalFormatting sqref="D5:D22">
    <cfRule type="dataBar" priority="60">
      <dataBar>
        <cfvo type="min"/>
        <cfvo type="max"/>
        <color rgb="FF638EC6"/>
      </dataBar>
    </cfRule>
  </conditionalFormatting>
  <conditionalFormatting sqref="F5:F22">
    <cfRule type="dataBar" priority="58">
      <dataBar>
        <cfvo type="min"/>
        <cfvo type="max"/>
        <color rgb="FF638EC6"/>
      </dataBar>
    </cfRule>
    <cfRule type="dataBar" priority="59">
      <dataBar>
        <cfvo type="min"/>
        <cfvo type="max"/>
        <color rgb="FF638EC6"/>
      </dataBar>
    </cfRule>
  </conditionalFormatting>
  <conditionalFormatting sqref="H5:H22">
    <cfRule type="dataBar" priority="57">
      <dataBar>
        <cfvo type="min"/>
        <cfvo type="max"/>
        <color rgb="FF638EC6"/>
      </dataBar>
    </cfRule>
  </conditionalFormatting>
  <conditionalFormatting sqref="J5:J22">
    <cfRule type="dataBar" priority="26">
      <dataBar>
        <cfvo type="min"/>
        <cfvo type="max"/>
        <color rgb="FF638EC6"/>
      </dataBar>
    </cfRule>
  </conditionalFormatting>
  <conditionalFormatting sqref="M5:M22">
    <cfRule type="dataBar" priority="56">
      <dataBar>
        <cfvo type="min"/>
        <cfvo type="max"/>
        <color rgb="FF63C384"/>
      </dataBar>
    </cfRule>
    <cfRule type="dataBar" priority="55">
      <dataBar>
        <cfvo type="min"/>
        <cfvo type="max"/>
        <color rgb="FF63C384"/>
      </dataBar>
    </cfRule>
  </conditionalFormatting>
  <conditionalFormatting sqref="O5:O22">
    <cfRule type="dataBar" priority="54">
      <dataBar>
        <cfvo type="min"/>
        <cfvo type="max"/>
        <color rgb="FF63C384"/>
      </dataBar>
    </cfRule>
    <cfRule type="dataBar" priority="53">
      <dataBar>
        <cfvo type="min"/>
        <cfvo type="max"/>
        <color rgb="FF63C384"/>
      </dataBar>
    </cfRule>
  </conditionalFormatting>
  <conditionalFormatting sqref="Q5:Q22">
    <cfRule type="dataBar" priority="52">
      <dataBar>
        <cfvo type="min"/>
        <cfvo type="max"/>
        <color rgb="FF63C384"/>
      </dataBar>
    </cfRule>
    <cfRule type="dataBar" priority="51">
      <dataBar>
        <cfvo type="min"/>
        <cfvo type="max"/>
        <color rgb="FF63C384"/>
      </dataBar>
    </cfRule>
  </conditionalFormatting>
  <conditionalFormatting sqref="S5:S22">
    <cfRule type="dataBar" priority="50">
      <dataBar>
        <cfvo type="min"/>
        <cfvo type="max"/>
        <color rgb="FF63C384"/>
      </dataBar>
    </cfRule>
  </conditionalFormatting>
  <conditionalFormatting sqref="U5:U22">
    <cfRule type="dataBar" priority="25">
      <dataBar>
        <cfvo type="min"/>
        <cfvo type="max"/>
        <color rgb="FF63C384"/>
      </dataBar>
    </cfRule>
  </conditionalFormatting>
  <conditionalFormatting sqref="X5:X22">
    <cfRule type="dataBar" priority="49">
      <dataBar>
        <cfvo type="min"/>
        <cfvo type="max"/>
        <color rgb="FF63C384"/>
      </dataBar>
    </cfRule>
    <cfRule type="dataBar" priority="48">
      <dataBar>
        <cfvo type="min"/>
        <cfvo type="max"/>
        <color rgb="FFFFFF00"/>
      </dataBar>
    </cfRule>
  </conditionalFormatting>
  <conditionalFormatting sqref="Z5:Z22">
    <cfRule type="dataBar" priority="20">
      <dataBar>
        <cfvo type="min"/>
        <cfvo type="max"/>
        <color rgb="FF63C384"/>
      </dataBar>
    </cfRule>
    <cfRule type="dataBar" priority="19">
      <dataBar>
        <cfvo type="min"/>
        <cfvo type="max"/>
        <color rgb="FFFFFF00"/>
      </dataBar>
    </cfRule>
  </conditionalFormatting>
  <conditionalFormatting sqref="AB5:AB22">
    <cfRule type="dataBar" priority="18">
      <dataBar>
        <cfvo type="min"/>
        <cfvo type="max"/>
        <color rgb="FF63C384"/>
      </dataBar>
    </cfRule>
    <cfRule type="dataBar" priority="17">
      <dataBar>
        <cfvo type="min"/>
        <cfvo type="max"/>
        <color rgb="FFFFFF00"/>
      </dataBar>
    </cfRule>
  </conditionalFormatting>
  <conditionalFormatting sqref="AD5:AD22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rgb="FFFFFF00"/>
      </dataBar>
    </cfRule>
  </conditionalFormatting>
  <conditionalFormatting sqref="AF5:AF22">
    <cfRule type="dataBar" priority="14">
      <dataBar>
        <cfvo type="min"/>
        <cfvo type="max"/>
        <color rgb="FF63C384"/>
      </dataBar>
    </cfRule>
    <cfRule type="dataBar" priority="13">
      <dataBar>
        <cfvo type="min"/>
        <cfvo type="max"/>
        <color rgb="FFFFFF00"/>
      </dataBar>
    </cfRule>
  </conditionalFormatting>
  <conditionalFormatting sqref="AI5:AI22">
    <cfRule type="dataBar" priority="47">
      <dataBar>
        <cfvo type="min"/>
        <cfvo type="max"/>
        <color rgb="FF63C384"/>
      </dataBar>
    </cfRule>
    <cfRule type="dataBar" priority="46">
      <dataBar>
        <cfvo type="min"/>
        <cfvo type="max"/>
        <color rgb="FFFF555A"/>
      </dataBar>
    </cfRule>
  </conditionalFormatting>
  <conditionalFormatting sqref="AK5:AK22">
    <cfRule type="dataBar" priority="44">
      <dataBar>
        <cfvo type="min"/>
        <cfvo type="max"/>
        <color rgb="FFFF555A"/>
      </dataBar>
    </cfRule>
    <cfRule type="dataBar" priority="45">
      <dataBar>
        <cfvo type="min"/>
        <cfvo type="max"/>
        <color rgb="FF63C384"/>
      </dataBar>
    </cfRule>
  </conditionalFormatting>
  <conditionalFormatting sqref="AM5:AM22">
    <cfRule type="dataBar" priority="42">
      <dataBar>
        <cfvo type="min"/>
        <cfvo type="max"/>
        <color rgb="FFFF555A"/>
      </dataBar>
    </cfRule>
    <cfRule type="dataBar" priority="43">
      <dataBar>
        <cfvo type="min"/>
        <cfvo type="max"/>
        <color rgb="FF63C384"/>
      </dataBar>
    </cfRule>
  </conditionalFormatting>
  <conditionalFormatting sqref="AO5:AO22">
    <cfRule type="dataBar" priority="12">
      <dataBar>
        <cfvo type="min"/>
        <cfvo type="max"/>
        <color rgb="FF63C384"/>
      </dataBar>
    </cfRule>
    <cfRule type="dataBar" priority="11">
      <dataBar>
        <cfvo type="min"/>
        <cfvo type="max"/>
        <color rgb="FFFF555A"/>
      </dataBar>
    </cfRule>
  </conditionalFormatting>
  <conditionalFormatting sqref="AQ5:AQ22">
    <cfRule type="dataBar" priority="24">
      <dataBar>
        <cfvo type="min"/>
        <cfvo type="max"/>
        <color rgb="FF63C384"/>
      </dataBar>
    </cfRule>
    <cfRule type="dataBar" priority="23">
      <dataBar>
        <cfvo type="min"/>
        <cfvo type="max"/>
        <color rgb="FFFF555A"/>
      </dataBar>
    </cfRule>
  </conditionalFormatting>
  <conditionalFormatting sqref="AT5:AT22">
    <cfRule type="dataBar" priority="9">
      <dataBar>
        <cfvo type="min"/>
        <cfvo type="max"/>
        <color rgb="FFD883FF"/>
      </dataBar>
    </cfRule>
    <cfRule type="dataBar" priority="10">
      <dataBar>
        <cfvo type="min"/>
        <cfvo type="max"/>
        <color rgb="FF63C384"/>
      </dataBar>
    </cfRule>
  </conditionalFormatting>
  <conditionalFormatting sqref="AV5:AV22">
    <cfRule type="dataBar" priority="8">
      <dataBar>
        <cfvo type="min"/>
        <cfvo type="max"/>
        <color rgb="FF63C384"/>
      </dataBar>
    </cfRule>
    <cfRule type="dataBar" priority="7">
      <dataBar>
        <cfvo type="min"/>
        <cfvo type="max"/>
        <color rgb="FFD883FF"/>
      </dataBar>
    </cfRule>
  </conditionalFormatting>
  <conditionalFormatting sqref="AX5:AX22">
    <cfRule type="dataBar" priority="6">
      <dataBar>
        <cfvo type="min"/>
        <cfvo type="max"/>
        <color rgb="FF63C384"/>
      </dataBar>
    </cfRule>
    <cfRule type="dataBar" priority="5">
      <dataBar>
        <cfvo type="min"/>
        <cfvo type="max"/>
        <color rgb="FFD883FF"/>
      </dataBar>
    </cfRule>
  </conditionalFormatting>
  <conditionalFormatting sqref="AZ5:AZ22">
    <cfRule type="dataBar" priority="3">
      <dataBar>
        <cfvo type="min"/>
        <cfvo type="max"/>
        <color rgb="FFD883FF"/>
      </dataBar>
    </cfRule>
    <cfRule type="dataBar" priority="4">
      <dataBar>
        <cfvo type="min"/>
        <cfvo type="max"/>
        <color rgb="FF63C384"/>
      </dataBar>
    </cfRule>
  </conditionalFormatting>
  <conditionalFormatting sqref="BB5:BB22">
    <cfRule type="dataBar" priority="1">
      <dataBar>
        <cfvo type="min"/>
        <cfvo type="max"/>
        <color rgb="FFD883FF"/>
      </dataBar>
    </cfRule>
    <cfRule type="dataBar" priority="2">
      <dataBar>
        <cfvo type="min"/>
        <cfvo type="max"/>
        <color rgb="FF63C384"/>
      </dataBar>
    </cfRule>
  </conditionalFormatting>
  <conditionalFormatting sqref="BE5:BE22">
    <cfRule type="dataBar" priority="41">
      <dataBar>
        <cfvo type="min"/>
        <cfvo type="max"/>
        <color rgb="FF63C384"/>
      </dataBar>
    </cfRule>
    <cfRule type="dataBar" priority="40">
      <dataBar>
        <cfvo type="min"/>
        <cfvo type="max"/>
        <color theme="1" tint="0.499984740745262"/>
      </dataBar>
    </cfRule>
  </conditionalFormatting>
  <conditionalFormatting sqref="BG5:BG22">
    <cfRule type="dataBar" priority="38">
      <dataBar>
        <cfvo type="min"/>
        <cfvo type="max"/>
        <color theme="1" tint="0.499984740745262"/>
      </dataBar>
    </cfRule>
    <cfRule type="dataBar" priority="39">
      <dataBar>
        <cfvo type="min"/>
        <cfvo type="max"/>
        <color rgb="FF63C384"/>
      </dataBar>
    </cfRule>
  </conditionalFormatting>
  <conditionalFormatting sqref="BI5:BI22">
    <cfRule type="dataBar" priority="36">
      <dataBar>
        <cfvo type="min"/>
        <cfvo type="max"/>
        <color theme="1" tint="0.499984740745262"/>
      </dataBar>
    </cfRule>
    <cfRule type="dataBar" priority="37">
      <dataBar>
        <cfvo type="min"/>
        <cfvo type="max"/>
        <color rgb="FF63C384"/>
      </dataBar>
    </cfRule>
  </conditionalFormatting>
  <conditionalFormatting sqref="BK5:BK22">
    <cfRule type="dataBar" priority="34">
      <dataBar>
        <cfvo type="min"/>
        <cfvo type="max"/>
        <color theme="1" tint="0.499984740745262"/>
      </dataBar>
    </cfRule>
    <cfRule type="dataBar" priority="35">
      <dataBar>
        <cfvo type="min"/>
        <cfvo type="max"/>
        <color rgb="FF63C384"/>
      </dataBar>
    </cfRule>
  </conditionalFormatting>
  <conditionalFormatting sqref="BM5:BM22">
    <cfRule type="dataBar" priority="32">
      <dataBar>
        <cfvo type="min"/>
        <cfvo type="max"/>
        <color theme="1" tint="0.499984740745262"/>
      </dataBar>
    </cfRule>
    <cfRule type="dataBar" priority="33">
      <dataBar>
        <cfvo type="min"/>
        <cfvo type="max"/>
        <color rgb="FF63C384"/>
      </dataBar>
    </cfRule>
  </conditionalFormatting>
  <conditionalFormatting sqref="BO5:BO22">
    <cfRule type="dataBar" priority="30">
      <dataBar>
        <cfvo type="min"/>
        <cfvo type="max"/>
        <color theme="1" tint="0.499984740745262"/>
      </dataBar>
    </cfRule>
    <cfRule type="dataBar" priority="31">
      <dataBar>
        <cfvo type="min"/>
        <cfvo type="max"/>
        <color rgb="FF63C384"/>
      </dataBar>
    </cfRule>
  </conditionalFormatting>
  <conditionalFormatting sqref="BQ5:BQ22">
    <cfRule type="dataBar" priority="22">
      <dataBar>
        <cfvo type="min"/>
        <cfvo type="max"/>
        <color rgb="FF63C384"/>
      </dataBar>
    </cfRule>
    <cfRule type="dataBar" priority="21">
      <dataBar>
        <cfvo type="min"/>
        <cfvo type="max"/>
        <color theme="1" tint="0.499984740745262"/>
      </dataBar>
    </cfRule>
  </conditionalFormatting>
  <conditionalFormatting sqref="BT5:BT22">
    <cfRule type="dataBar" priority="29">
      <dataBar>
        <cfvo type="min"/>
        <cfvo type="max"/>
        <color theme="5"/>
      </dataBar>
    </cfRule>
  </conditionalFormatting>
  <conditionalFormatting sqref="BV5:BV22">
    <cfRule type="dataBar" priority="28">
      <dataBar>
        <cfvo type="min"/>
        <cfvo type="max"/>
        <color theme="5"/>
      </dataBar>
    </cfRule>
  </conditionalFormatting>
  <conditionalFormatting sqref="BX5:BX22">
    <cfRule type="dataBar" priority="27">
      <dataBar>
        <cfvo type="min"/>
        <cfvo type="max"/>
        <color theme="5"/>
      </dataBar>
    </cfRule>
  </conditionalFormatting>
  <dataValidations count="2">
    <dataValidation sqref="B1" showDropDown="0" showInputMessage="1" showErrorMessage="1" allowBlank="1" type="list">
      <formula1>"2025, 2024, 2023, 2022, 2021"</formula1>
    </dataValidation>
    <dataValidation sqref="AD1" showDropDown="0" showInputMessage="0" showErrorMessage="1" allowBlank="1" type="list">
      <formula1>"2025, 2024, 2023, 2022, 2021, 2020, 2019, 2018"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1" summaryRight="1"/>
    <pageSetUpPr/>
  </sheetPr>
  <dimension ref="A1:BZ24"/>
  <sheetViews>
    <sheetView zoomScaleNormal="100" workbookViewId="0">
      <pane xSplit="1" topLeftCell="DE1" activePane="topRight" state="frozen"/>
      <selection activeCell="A4" sqref="A4"/>
      <selection pane="topRight" activeCell="F1" sqref="F1"/>
    </sheetView>
  </sheetViews>
  <sheetFormatPr baseColWidth="10" defaultRowHeight="16"/>
  <cols>
    <col width="30.33203125" bestFit="1" customWidth="1" min="1" max="1"/>
    <col width="11.1640625" bestFit="1" customWidth="1" min="2" max="2"/>
    <col width="3.6640625" customWidth="1" min="3" max="3"/>
    <col width="3.6640625" customWidth="1" min="5" max="5"/>
    <col width="3.6640625" customWidth="1" min="7" max="7"/>
    <col width="3.6640625" customWidth="1" min="9" max="9"/>
    <col width="11" customWidth="1" min="10" max="10"/>
    <col width="3.6640625" customWidth="1" min="11" max="12"/>
    <col width="3.6640625" customWidth="1" min="14" max="14"/>
    <col width="3.6640625" customWidth="1" min="16" max="16"/>
    <col width="3.6640625" customWidth="1" min="18" max="18"/>
    <col width="3.6640625" customWidth="1" min="20" max="20"/>
    <col width="11" customWidth="1" min="21" max="21"/>
    <col width="3.6640625" customWidth="1" min="22" max="23"/>
    <col width="3.6640625" customWidth="1" min="25" max="25"/>
    <col width="3.6640625" customWidth="1" min="27" max="27"/>
    <col width="3.6640625" customWidth="1" min="29" max="29"/>
    <col width="3.6640625" customWidth="1" min="31" max="31"/>
    <col width="11" customWidth="1" min="32" max="32"/>
    <col width="3.6640625" customWidth="1" min="33" max="34"/>
    <col width="3.6640625" customWidth="1" min="36" max="36"/>
    <col width="3.6640625" customWidth="1" min="38" max="38"/>
    <col width="3.6640625" customWidth="1" min="40" max="40"/>
    <col width="3.6640625" customWidth="1" min="42" max="42"/>
    <col width="11" customWidth="1" min="43" max="43"/>
    <col width="3.6640625" customWidth="1" min="44" max="45"/>
    <col width="3.6640625" customWidth="1" min="47" max="47"/>
    <col width="3.6640625" customWidth="1" min="49" max="49"/>
    <col width="3.6640625" customWidth="1" min="51" max="51"/>
    <col width="3.6640625" customWidth="1" min="53" max="53"/>
    <col width="11" customWidth="1" min="54" max="54"/>
    <col width="3.6640625" customWidth="1" min="55" max="56"/>
    <col width="3.6640625" customWidth="1" min="58" max="58"/>
    <col width="3.6640625" customWidth="1" min="60" max="60"/>
    <col width="3.6640625" customWidth="1" min="62" max="62"/>
    <col width="3.6640625" customWidth="1" min="64" max="64"/>
    <col width="3.6640625" customWidth="1" min="66" max="66"/>
    <col width="3.6640625" customWidth="1" min="68" max="68"/>
    <col width="11" customWidth="1" min="69" max="69"/>
    <col width="3.6640625" customWidth="1" min="70" max="71"/>
    <col width="3.6640625" customWidth="1" min="73" max="73"/>
    <col width="3.6640625" customWidth="1" min="75" max="75"/>
    <col width="3.6640625" customWidth="1" min="77" max="77"/>
  </cols>
  <sheetData>
    <row r="1" ht="35" customHeight="1">
      <c r="A1" s="68" t="inlineStr">
        <is>
          <t>SEASON TOTAL</t>
        </is>
      </c>
      <c r="B1" s="154" t="n">
        <v>2021</v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  <c r="Z1" s="69" t="n"/>
      <c r="AA1" s="69" t="n"/>
      <c r="AB1" s="69" t="n"/>
      <c r="AC1" s="69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  <c r="AQ1" s="69" t="n"/>
      <c r="AR1" s="69" t="n"/>
      <c r="AS1" s="69" t="n"/>
      <c r="AT1" s="69" t="n"/>
      <c r="AU1" s="69" t="n"/>
      <c r="AV1" s="69" t="n"/>
      <c r="AW1" s="69" t="n"/>
      <c r="AX1" s="69" t="n"/>
      <c r="AY1" s="69" t="n"/>
      <c r="AZ1" s="69" t="n"/>
      <c r="BA1" s="69" t="n"/>
      <c r="BB1" s="69" t="n"/>
      <c r="BC1" s="69" t="n"/>
      <c r="BD1" s="69" t="n"/>
      <c r="BE1" s="69" t="n"/>
      <c r="BF1" s="69" t="n"/>
      <c r="BG1" s="69" t="n"/>
      <c r="BH1" s="69" t="n"/>
      <c r="BI1" s="69" t="n"/>
      <c r="BJ1" s="69" t="n"/>
      <c r="BK1" s="69" t="n"/>
      <c r="BL1" s="69" t="n"/>
      <c r="BM1" s="69" t="n"/>
      <c r="BN1" s="69" t="n"/>
      <c r="BO1" s="69" t="n"/>
      <c r="BP1" s="69" t="n"/>
      <c r="BQ1" s="69" t="n"/>
      <c r="BR1" s="69" t="n"/>
      <c r="BS1" s="69" t="n"/>
      <c r="BT1" s="69" t="n"/>
      <c r="BU1" s="69" t="n"/>
      <c r="BV1" s="69" t="n"/>
      <c r="BW1" s="69" t="n"/>
      <c r="BX1" s="69" t="n"/>
      <c r="BY1" s="69" t="n"/>
      <c r="BZ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  <c r="Z2" s="69" t="n"/>
      <c r="AA2" s="69" t="n"/>
      <c r="AB2" s="69" t="n"/>
      <c r="AC2" s="69" t="n"/>
      <c r="AD2" s="6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  <c r="AQ2" s="69" t="n"/>
      <c r="AR2" s="69" t="n"/>
      <c r="AS2" s="69" t="n"/>
      <c r="AT2" s="69" t="n"/>
      <c r="AU2" s="69" t="n"/>
      <c r="AV2" s="69" t="n"/>
      <c r="AW2" s="69" t="n"/>
      <c r="AX2" s="69" t="n"/>
      <c r="AY2" s="69" t="n"/>
      <c r="AZ2" s="69" t="n"/>
      <c r="BA2" s="69" t="n"/>
      <c r="BB2" s="69" t="n"/>
      <c r="BC2" s="69" t="n"/>
      <c r="BD2" s="69" t="n"/>
      <c r="BE2" s="69" t="n"/>
      <c r="BF2" s="69" t="n"/>
      <c r="BG2" s="69" t="n"/>
      <c r="BH2" s="69" t="n"/>
      <c r="BI2" s="69" t="n"/>
      <c r="BJ2" s="69" t="n"/>
      <c r="BK2" s="69" t="n"/>
      <c r="BL2" s="69" t="n"/>
      <c r="BM2" s="69" t="n"/>
      <c r="BN2" s="69" t="n"/>
      <c r="BO2" s="69" t="n"/>
      <c r="BP2" s="69" t="n"/>
      <c r="BQ2" s="69" t="n"/>
      <c r="BR2" s="69" t="n"/>
      <c r="BS2" s="69" t="n"/>
      <c r="BT2" s="69" t="n"/>
      <c r="BU2" s="69" t="n"/>
      <c r="BV2" s="69" t="n"/>
      <c r="BW2" s="69" t="n"/>
      <c r="BX2" s="69" t="n"/>
      <c r="BY2" s="69" t="n"/>
      <c r="BZ2" s="69" t="n"/>
    </row>
    <row r="3" ht="25" customFormat="1" customHeight="1" s="25" thickBot="1">
      <c r="A3" s="240" t="inlineStr">
        <is>
          <t>Team</t>
        </is>
      </c>
      <c r="B3" s="242" t="inlineStr">
        <is>
          <t>Ball Winning</t>
        </is>
      </c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9" t="n"/>
      <c r="M3" s="245" t="inlineStr">
        <is>
          <t>Ball Movement</t>
        </is>
      </c>
      <c r="N3" s="321" t="n"/>
      <c r="O3" s="321" t="n"/>
      <c r="P3" s="321" t="n"/>
      <c r="Q3" s="321" t="n"/>
      <c r="R3" s="321" t="n"/>
      <c r="S3" s="321" t="n"/>
      <c r="T3" s="321" t="n"/>
      <c r="U3" s="321" t="n"/>
      <c r="V3" s="321" t="n"/>
      <c r="W3" s="39" t="n"/>
      <c r="X3" s="248" t="inlineStr">
        <is>
          <t>Scoring</t>
        </is>
      </c>
      <c r="Y3" s="321" t="n"/>
      <c r="Z3" s="321" t="n"/>
      <c r="AA3" s="321" t="n"/>
      <c r="AB3" s="321" t="n"/>
      <c r="AC3" s="321" t="n"/>
      <c r="AD3" s="321" t="n"/>
      <c r="AE3" s="321" t="n"/>
      <c r="AF3" s="321" t="n"/>
      <c r="AG3" s="321" t="n"/>
      <c r="AH3" s="39" t="n"/>
      <c r="AI3" s="251" t="inlineStr">
        <is>
          <t>Defence</t>
        </is>
      </c>
      <c r="AJ3" s="321" t="n"/>
      <c r="AK3" s="321" t="n"/>
      <c r="AL3" s="321" t="n"/>
      <c r="AM3" s="321" t="n"/>
      <c r="AN3" s="321" t="n"/>
      <c r="AO3" s="321" t="n"/>
      <c r="AP3" s="321" t="n"/>
      <c r="AQ3" s="321" t="n"/>
      <c r="AR3" s="321" t="n"/>
      <c r="AS3" s="39" t="n"/>
      <c r="AT3" s="254" t="inlineStr">
        <is>
          <t>Pressure</t>
        </is>
      </c>
      <c r="AU3" s="321" t="n"/>
      <c r="AV3" s="321" t="n"/>
      <c r="AW3" s="321" t="n"/>
      <c r="AX3" s="321" t="n"/>
      <c r="AY3" s="321" t="n"/>
      <c r="AZ3" s="321" t="n"/>
      <c r="BA3" s="321" t="n"/>
      <c r="BB3" s="321" t="n"/>
      <c r="BC3" s="321" t="n"/>
      <c r="BD3" s="39" t="n"/>
      <c r="BE3" s="322" t="inlineStr">
        <is>
          <t>Health Check</t>
        </is>
      </c>
      <c r="BF3" s="321" t="n"/>
      <c r="BG3" s="321" t="n"/>
      <c r="BH3" s="321" t="n"/>
      <c r="BI3" s="321" t="n"/>
      <c r="BJ3" s="321" t="n"/>
      <c r="BK3" s="321" t="n"/>
      <c r="BL3" s="321" t="n"/>
      <c r="BM3" s="321" t="n"/>
      <c r="BN3" s="321" t="n"/>
      <c r="BO3" s="321" t="n"/>
      <c r="BP3" s="321" t="n"/>
      <c r="BQ3" s="321" t="n"/>
      <c r="BR3" s="323" t="n"/>
      <c r="BS3" s="39" t="n"/>
      <c r="BT3" s="237" t="inlineStr">
        <is>
          <t>Wheelo Ratings</t>
        </is>
      </c>
      <c r="BU3" s="321" t="n"/>
      <c r="BV3" s="321" t="n"/>
      <c r="BW3" s="321" t="n"/>
      <c r="BX3" s="321" t="n"/>
      <c r="BY3" s="324" t="n"/>
      <c r="BZ3" s="70" t="n"/>
    </row>
    <row r="4" ht="69" customFormat="1" customHeight="1" s="2" thickBot="1">
      <c r="A4" s="325" t="n"/>
      <c r="B4" s="4" t="inlineStr">
        <is>
          <t>Post Clear CP Diff</t>
        </is>
      </c>
      <c r="C4" s="5" t="inlineStr">
        <is>
          <t>Rank</t>
        </is>
      </c>
      <c r="D4" s="5" t="inlineStr">
        <is>
          <t>Ground Ball Diff</t>
        </is>
      </c>
      <c r="E4" s="5" t="inlineStr">
        <is>
          <t>Rank</t>
        </is>
      </c>
      <c r="F4" s="5" t="inlineStr">
        <is>
          <t>1st Poss to Clear %</t>
        </is>
      </c>
      <c r="G4" s="5" t="inlineStr">
        <is>
          <t>Rank</t>
        </is>
      </c>
      <c r="H4" s="5" t="inlineStr">
        <is>
          <t>Clearance Diff</t>
        </is>
      </c>
      <c r="I4" s="6" t="inlineStr">
        <is>
          <t>Rank</t>
        </is>
      </c>
      <c r="J4" s="27" t="inlineStr">
        <is>
          <t>Ball Winning Ranking</t>
        </is>
      </c>
      <c r="K4" s="38" t="inlineStr">
        <is>
          <t>Rank</t>
        </is>
      </c>
      <c r="L4" s="40" t="n"/>
      <c r="M4" s="7" t="inlineStr">
        <is>
          <t>Def Half to Score %</t>
        </is>
      </c>
      <c r="N4" s="8" t="inlineStr">
        <is>
          <t>Rank</t>
        </is>
      </c>
      <c r="O4" s="8" t="inlineStr">
        <is>
          <t>Chain to Score %</t>
        </is>
      </c>
      <c r="P4" s="8" t="inlineStr">
        <is>
          <t>Rank</t>
        </is>
      </c>
      <c r="Q4" s="8" t="inlineStr">
        <is>
          <t>D50 to F50 %</t>
        </is>
      </c>
      <c r="R4" s="8" t="inlineStr">
        <is>
          <t>Rank</t>
        </is>
      </c>
      <c r="S4" s="8" t="inlineStr">
        <is>
          <t>Kick Rating</t>
        </is>
      </c>
      <c r="T4" s="9" t="inlineStr">
        <is>
          <t>Rank</t>
        </is>
      </c>
      <c r="U4" s="30" t="inlineStr">
        <is>
          <t>Ball Movement Ranking</t>
        </is>
      </c>
      <c r="V4" s="31" t="inlineStr">
        <is>
          <t>Rank</t>
        </is>
      </c>
      <c r="W4" s="40" t="n"/>
      <c r="X4" s="41" t="inlineStr">
        <is>
          <t>Scores per I50 %</t>
        </is>
      </c>
      <c r="Y4" s="23" t="inlineStr">
        <is>
          <t>Rank</t>
        </is>
      </c>
      <c r="Z4" s="23" t="inlineStr">
        <is>
          <t>Goals Per I 50 %</t>
        </is>
      </c>
      <c r="AA4" s="23" t="inlineStr">
        <is>
          <t>Rank</t>
        </is>
      </c>
      <c r="AB4" s="23" t="inlineStr">
        <is>
          <t>Accuracy %</t>
        </is>
      </c>
      <c r="AC4" s="23" t="inlineStr">
        <is>
          <t>Rank</t>
        </is>
      </c>
      <c r="AD4" s="42" t="inlineStr">
        <is>
          <t>+/- Exp Score</t>
        </is>
      </c>
      <c r="AE4" s="43" t="inlineStr">
        <is>
          <t>Rank</t>
        </is>
      </c>
      <c r="AF4" s="44" t="inlineStr">
        <is>
          <t>Scoring Ranking</t>
        </is>
      </c>
      <c r="AG4" s="45" t="inlineStr">
        <is>
          <t>Rank</t>
        </is>
      </c>
      <c r="AH4" s="40" t="n"/>
      <c r="AI4" s="13" t="inlineStr">
        <is>
          <t>Def Half to Score Ag %</t>
        </is>
      </c>
      <c r="AJ4" s="14" t="inlineStr">
        <is>
          <t>Rank</t>
        </is>
      </c>
      <c r="AK4" s="14" t="inlineStr">
        <is>
          <t>Chain to Score Ag %</t>
        </is>
      </c>
      <c r="AL4" s="14" t="inlineStr">
        <is>
          <t>Rank</t>
        </is>
      </c>
      <c r="AM4" s="14" t="inlineStr">
        <is>
          <t>D50 to F50 Ag %</t>
        </is>
      </c>
      <c r="AN4" s="14" t="inlineStr">
        <is>
          <t>Rank</t>
        </is>
      </c>
      <c r="AO4" s="14" t="inlineStr">
        <is>
          <t>Goals per I50 Ag %</t>
        </is>
      </c>
      <c r="AP4" s="15" t="inlineStr">
        <is>
          <t>Rank</t>
        </is>
      </c>
      <c r="AQ4" s="33" t="inlineStr">
        <is>
          <t>Defence Ranking</t>
        </is>
      </c>
      <c r="AR4" s="34" t="inlineStr">
        <is>
          <t>Rank</t>
        </is>
      </c>
      <c r="AS4" s="40" t="n"/>
      <c r="AT4" s="183" t="inlineStr">
        <is>
          <t>Tackle Diff</t>
        </is>
      </c>
      <c r="AU4" s="184" t="inlineStr">
        <is>
          <t>Rank</t>
        </is>
      </c>
      <c r="AV4" s="184" t="inlineStr">
        <is>
          <t>F50 Tackles</t>
        </is>
      </c>
      <c r="AW4" s="184" t="inlineStr">
        <is>
          <t>Rank</t>
        </is>
      </c>
      <c r="AX4" s="184" t="inlineStr">
        <is>
          <t>Pressure Acts</t>
        </is>
      </c>
      <c r="AY4" s="184" t="inlineStr">
        <is>
          <t>Rank</t>
        </is>
      </c>
      <c r="AZ4" s="184" t="inlineStr">
        <is>
          <t>1%'ers</t>
        </is>
      </c>
      <c r="BA4" s="185" t="inlineStr">
        <is>
          <t>Rank</t>
        </is>
      </c>
      <c r="BB4" s="186" t="inlineStr">
        <is>
          <t>Pressure Ranking</t>
        </is>
      </c>
      <c r="BC4" s="187" t="inlineStr">
        <is>
          <t>Rank</t>
        </is>
      </c>
      <c r="BD4" s="40" t="n"/>
      <c r="BE4" s="16" t="inlineStr">
        <is>
          <t>Score from Turnover For</t>
        </is>
      </c>
      <c r="BF4" s="17" t="inlineStr">
        <is>
          <t>Rank</t>
        </is>
      </c>
      <c r="BG4" s="17" t="inlineStr">
        <is>
          <t>Scores from Turnover Ag</t>
        </is>
      </c>
      <c r="BH4" s="17" t="inlineStr">
        <is>
          <t>Rank</t>
        </is>
      </c>
      <c r="BI4" s="17" t="inlineStr">
        <is>
          <t>Scores from Stoppages For</t>
        </is>
      </c>
      <c r="BJ4" s="17" t="inlineStr">
        <is>
          <t>Rank</t>
        </is>
      </c>
      <c r="BK4" s="17" t="inlineStr">
        <is>
          <t>Scores from Stoppage Ag</t>
        </is>
      </c>
      <c r="BL4" s="17" t="inlineStr">
        <is>
          <t>Rank</t>
        </is>
      </c>
      <c r="BM4" s="17" t="inlineStr">
        <is>
          <t>Territory %</t>
        </is>
      </c>
      <c r="BN4" s="17" t="inlineStr">
        <is>
          <t>Rank</t>
        </is>
      </c>
      <c r="BO4" s="17" t="inlineStr">
        <is>
          <t>Post-Clearance CP Diff</t>
        </is>
      </c>
      <c r="BP4" s="35" t="inlineStr">
        <is>
          <t>Rank</t>
        </is>
      </c>
      <c r="BQ4" s="36" t="inlineStr">
        <is>
          <t>Health Check Ranking</t>
        </is>
      </c>
      <c r="BR4" s="37" t="inlineStr">
        <is>
          <t>Rank</t>
        </is>
      </c>
      <c r="BS4" s="40" t="n"/>
      <c r="BT4" s="41" t="inlineStr">
        <is>
          <t>Attack Rating</t>
        </is>
      </c>
      <c r="BU4" s="23" t="inlineStr">
        <is>
          <t>Rank</t>
        </is>
      </c>
      <c r="BV4" s="23" t="inlineStr">
        <is>
          <t>Defence Rating</t>
        </is>
      </c>
      <c r="BW4" s="23" t="inlineStr">
        <is>
          <t>Rank</t>
        </is>
      </c>
      <c r="BX4" s="23" t="inlineStr">
        <is>
          <t>Overall Rating</t>
        </is>
      </c>
      <c r="BY4" s="24" t="inlineStr">
        <is>
          <t>Rank</t>
        </is>
      </c>
      <c r="BZ4" s="71" t="n"/>
    </row>
    <row r="5" ht="25" customFormat="1" customHeight="1" s="3">
      <c r="A5" s="75" t="inlineStr">
        <is>
          <t>Adelaide</t>
        </is>
      </c>
      <c r="B5" s="46">
        <f>VLOOKUP($A5,INDIRECT("'"&amp;$B$1&amp;"'!$A:$IZ"),222,FALSE)</f>
        <v/>
      </c>
      <c r="C5" s="47">
        <f>RANK(B5,B$5:B$22)</f>
        <v/>
      </c>
      <c r="D5" s="48">
        <f>VLOOKUP($A5,INDIRECT("'"&amp;$B$1&amp;"'!$A:$IZ"),218,FALSE)</f>
        <v/>
      </c>
      <c r="E5" s="47">
        <f>RANK(D5,D$5:D$22)</f>
        <v/>
      </c>
      <c r="F5" s="48">
        <f>VLOOKUP($A5,INDIRECT("'"&amp;$B$1&amp;"'!$A:$IZ"),49,FALSE)</f>
        <v/>
      </c>
      <c r="G5" s="47">
        <f>RANK(F5,F$5:F$22)</f>
        <v/>
      </c>
      <c r="H5" s="48">
        <f>VLOOKUP($A5,INDIRECT("'"&amp;$B$1&amp;"'!$A:$IZ"),229,FALSE)</f>
        <v/>
      </c>
      <c r="I5" s="47">
        <f>RANK(H5,H$5:H$22)</f>
        <v/>
      </c>
      <c r="J5" s="49">
        <f>104-(C5+E5+G5+I5)</f>
        <v/>
      </c>
      <c r="K5" s="47">
        <f>RANK(J5,J$5:J$22)</f>
        <v/>
      </c>
      <c r="L5" s="50" t="n"/>
      <c r="M5" s="46">
        <f>VLOOKUP($A5,INDIRECT("'"&amp;$B$1&amp;"'!$A:$IZ"),88,FALSE)</f>
        <v/>
      </c>
      <c r="N5" s="47">
        <f>RANK(M5,M$5:M$22)</f>
        <v/>
      </c>
      <c r="O5" s="46">
        <f>VLOOKUP($A5,INDIRECT("'"&amp;$B$1&amp;"'!$A:$IZ"),84,FALSE)</f>
        <v/>
      </c>
      <c r="P5" s="47">
        <f>RANK(O5,O$5:O$22)</f>
        <v/>
      </c>
      <c r="Q5" s="46">
        <f>VLOOKUP($A5,INDIRECT("'"&amp;$B$1&amp;"'!$A:$IZ"),85,FALSE)</f>
        <v/>
      </c>
      <c r="R5" s="47">
        <f>RANK(Q5,Q$5:Q$22)</f>
        <v/>
      </c>
      <c r="S5" s="48">
        <f>VLOOKUP($A5,INDIRECT("'"&amp;$B$1&amp;"'!$A:$IZ"),29,FALSE)</f>
        <v/>
      </c>
      <c r="T5" s="47">
        <f>RANK(S5,S$5:S$22)</f>
        <v/>
      </c>
      <c r="U5" s="49">
        <f>104-(N5+P5+R5+T5)</f>
        <v/>
      </c>
      <c r="V5" s="47">
        <f>RANK(U5,U$5:U$22)</f>
        <v/>
      </c>
      <c r="W5" s="50" t="n"/>
      <c r="X5" s="46">
        <f>VLOOKUP($A5,INDIRECT("'"&amp;$B$1&amp;"'!$A:$IZ"),65,FALSE)</f>
        <v/>
      </c>
      <c r="Y5" s="47">
        <f>RANK(X5,X$5:X$22)</f>
        <v/>
      </c>
      <c r="Z5" s="46">
        <f>VLOOKUP($A5,INDIRECT("'"&amp;$B$1&amp;"'!$A:$IZ"),64,FALSE)</f>
        <v/>
      </c>
      <c r="AA5" s="47">
        <f>RANK(Z5,Z$5:Z$22)</f>
        <v/>
      </c>
      <c r="AB5" s="46">
        <f>VLOOKUP($A5,INDIRECT("'"&amp;$B$1&amp;"'!$A:$IZ"),63,FALSE)</f>
        <v/>
      </c>
      <c r="AC5" s="47">
        <f>RANK(AB5,AB$5:AB$22)</f>
        <v/>
      </c>
      <c r="AD5" s="46">
        <f>VLOOKUP($A5,INDIRECT("'"&amp;$B$1&amp;"'!$A:$IZ"),71,FALSE)</f>
        <v/>
      </c>
      <c r="AE5" s="47">
        <f>RANK(AD5,AD$5:AD$22)</f>
        <v/>
      </c>
      <c r="AF5" s="49">
        <f>104-(Y5+AA5+AC5+AE5)</f>
        <v/>
      </c>
      <c r="AG5" s="47">
        <f>RANK(AF5,AF$5:AF$22)</f>
        <v/>
      </c>
      <c r="AH5" s="50" t="n"/>
      <c r="AI5" s="46">
        <f>VLOOKUP($A5,INDIRECT("'"&amp;$B$1&amp;"'!$A:$IZ"),183,FALSE)</f>
        <v/>
      </c>
      <c r="AJ5" s="47">
        <f>RANK(AI5,AI$5:AI$22,1)</f>
        <v/>
      </c>
      <c r="AK5" s="46">
        <f>VLOOKUP($A5,INDIRECT("'"&amp;$B$1&amp;"'!$A:$IZ"),181,FALSE)</f>
        <v/>
      </c>
      <c r="AL5" s="47">
        <f>RANK(AK5,AK$5:AK$22,1)</f>
        <v/>
      </c>
      <c r="AM5" s="46">
        <f>VLOOKUP($A5,INDIRECT("'"&amp;$B$1&amp;"'!$A:$IZ"),182,FALSE)</f>
        <v/>
      </c>
      <c r="AN5" s="47">
        <f>RANK(AM5,AM$5:AM$22,1)</f>
        <v/>
      </c>
      <c r="AO5" s="46">
        <f>VLOOKUP($A5,INDIRECT("'"&amp;$B$1&amp;"'!$A:$IZ"),163,FALSE)</f>
        <v/>
      </c>
      <c r="AP5" s="47">
        <f>RANK(AO5,AO$5:AO$22,1)</f>
        <v/>
      </c>
      <c r="AQ5" s="49">
        <f>104-(AJ5+AL5+AN5+AP5)</f>
        <v/>
      </c>
      <c r="AR5" s="47">
        <f>RANK(AQ5,AQ$5:AQ$22)</f>
        <v/>
      </c>
      <c r="AS5" s="50" t="n"/>
      <c r="AT5" s="46">
        <f>VLOOKUP($A5,INDIRECT("'"&amp;$B$1&amp;"'!$A:$IZ"),250,FALSE)</f>
        <v/>
      </c>
      <c r="AU5" s="47">
        <f>RANK(AT5,AT$5:AT$22,0)</f>
        <v/>
      </c>
      <c r="AV5" s="46">
        <f>VLOOKUP($A5,INDIRECT("'"&amp;$B$1&amp;"'!$A:$IZ"),92,FALSE)</f>
        <v/>
      </c>
      <c r="AW5" s="47">
        <f>RANK(AV5,AV$5:AV$22,0)</f>
        <v/>
      </c>
      <c r="AX5" s="46">
        <f>VLOOKUP($A5,INDIRECT("'"&amp;$B$1&amp;"'!$A:$IZ"),93,FALSE)</f>
        <v/>
      </c>
      <c r="AY5" s="47">
        <f>RANK(AX5,AX$5:AX$22,0)</f>
        <v/>
      </c>
      <c r="AZ5" s="46">
        <f>VLOOKUP($A5,INDIRECT("'"&amp;$B$1&amp;"'!$A:$IZ"),108,FALSE)</f>
        <v/>
      </c>
      <c r="BA5" s="47">
        <f>RANK(AZ5,AZ$5:AZ$22,0)</f>
        <v/>
      </c>
      <c r="BB5" s="46">
        <f>104-(AU5+AW5+AY5+BA5)</f>
        <v/>
      </c>
      <c r="BC5" s="47">
        <f>RANK(BB5,BB$5:BB$22)</f>
        <v/>
      </c>
      <c r="BD5" s="50" t="n"/>
      <c r="BE5" s="46">
        <f>VLOOKUP($A5,INDIRECT("'"&amp;$B$1&amp;"'!$A:$IZ"),80,FALSE)</f>
        <v/>
      </c>
      <c r="BF5" s="47">
        <f>RANK(BE5,BE$5:BE$22)</f>
        <v/>
      </c>
      <c r="BG5" s="46">
        <f>VLOOKUP($A5,INDIRECT("'"&amp;$B$1&amp;"'!$A:$IZ"),177,FALSE)</f>
        <v/>
      </c>
      <c r="BH5" s="47">
        <f>RANK(BG5,BG$5:BG$22,1)</f>
        <v/>
      </c>
      <c r="BI5" s="46">
        <f>VLOOKUP($A5,INDIRECT("'"&amp;$B$1&amp;"'!$A:$IZ"),79,FALSE)</f>
        <v/>
      </c>
      <c r="BJ5" s="47">
        <f>RANK(BI5,BI$5:BI$22)</f>
        <v/>
      </c>
      <c r="BK5" s="46">
        <f>VLOOKUP($A5,INDIRECT("'"&amp;$B$1&amp;"'!$A:$IZ"),176,FALSE)</f>
        <v/>
      </c>
      <c r="BL5" s="47">
        <f>RANK(BK5,BK$5:BK$22,1)</f>
        <v/>
      </c>
      <c r="BM5" s="46">
        <f>VLOOKUP($A5,INDIRECT("'"&amp;$B$1&amp;"'!$A:$IZ"),11,FALSE)</f>
        <v/>
      </c>
      <c r="BN5" s="47">
        <f>RANK(BM5,BM$5:BM$22)</f>
        <v/>
      </c>
      <c r="BO5" s="46">
        <f>VLOOKUP($A5,INDIRECT("'"&amp;$B$1&amp;"'!$A:$IZ"),222,FALSE)</f>
        <v/>
      </c>
      <c r="BP5" s="47">
        <f>RANK(BO5,BO$5:BO$22)</f>
        <v/>
      </c>
      <c r="BQ5" s="49">
        <f>106-(BF5+BH5+BN5+BP5+BJ5+BL5)</f>
        <v/>
      </c>
      <c r="BR5" s="47">
        <f>RANK(BQ5,BQ$5:BQ$22)</f>
        <v/>
      </c>
      <c r="BS5" s="50" t="n"/>
      <c r="BT5" s="51">
        <f>VLOOKUP($A5,'Ratings Season'!$A:$M,10,FALSE)</f>
        <v/>
      </c>
      <c r="BU5" s="47">
        <f>RANK(BT5,BT$5:BT$22)</f>
        <v/>
      </c>
      <c r="BV5" s="51">
        <f>VLOOKUP($A5,'Ratings Season'!$A:$M,12,FALSE)</f>
        <v/>
      </c>
      <c r="BW5" s="47">
        <f>RANK(BV5,BV$5:BV$22)</f>
        <v/>
      </c>
      <c r="BX5" s="51">
        <f>VLOOKUP($A5,'Ratings Season'!$A:$M,8,FALSE)</f>
        <v/>
      </c>
      <c r="BY5" s="52">
        <f>RANK(BX5,BX$5:BX$22)</f>
        <v/>
      </c>
      <c r="BZ5" s="72" t="n"/>
    </row>
    <row r="6" ht="25" customFormat="1" customHeight="1" s="3">
      <c r="A6" s="76" t="inlineStr">
        <is>
          <t>Brisbane</t>
        </is>
      </c>
      <c r="B6" s="53">
        <f>VLOOKUP($A6,INDIRECT("'"&amp;$B$1&amp;"'!$A:$IZ"),222,FALSE)</f>
        <v/>
      </c>
      <c r="C6" s="54">
        <f>RANK(B6,B$5:B$22)</f>
        <v/>
      </c>
      <c r="D6" s="55">
        <f>VLOOKUP($A6,INDIRECT("'"&amp;$B$1&amp;"'!$A:$IZ"),218,FALSE)</f>
        <v/>
      </c>
      <c r="E6" s="54">
        <f>RANK(D6,D$5:D$22)</f>
        <v/>
      </c>
      <c r="F6" s="55">
        <f>VLOOKUP($A6,INDIRECT("'"&amp;$B$1&amp;"'!$A:$IZ"),49,FALSE)</f>
        <v/>
      </c>
      <c r="G6" s="54">
        <f>RANK(F6,F$5:F$22)</f>
        <v/>
      </c>
      <c r="H6" s="55">
        <f>VLOOKUP($A6,INDIRECT("'"&amp;$B$1&amp;"'!$A:$IZ"),229,FALSE)</f>
        <v/>
      </c>
      <c r="I6" s="54">
        <f>RANK(H6,H$5:H$22)</f>
        <v/>
      </c>
      <c r="J6" s="49">
        <f>104-(C6+E6+G6+I6)</f>
        <v/>
      </c>
      <c r="K6" s="47">
        <f>RANK(J6,J$5:J$22)</f>
        <v/>
      </c>
      <c r="L6" s="56" t="n"/>
      <c r="M6" s="53">
        <f>VLOOKUP($A6,INDIRECT("'"&amp;$B$1&amp;"'!$A:$IZ"),88,FALSE)</f>
        <v/>
      </c>
      <c r="N6" s="54">
        <f>RANK(M6,M$5:M$22)</f>
        <v/>
      </c>
      <c r="O6" s="53">
        <f>VLOOKUP($A6,INDIRECT("'"&amp;$B$1&amp;"'!$A:$IZ"),84,FALSE)</f>
        <v/>
      </c>
      <c r="P6" s="54">
        <f>RANK(O6,O$5:O$22)</f>
        <v/>
      </c>
      <c r="Q6" s="53">
        <f>VLOOKUP($A6,INDIRECT("'"&amp;$B$1&amp;"'!$A:$IZ"),85,FALSE)</f>
        <v/>
      </c>
      <c r="R6" s="54">
        <f>RANK(Q6,Q$5:Q$22)</f>
        <v/>
      </c>
      <c r="S6" s="55">
        <f>VLOOKUP($A6,INDIRECT("'"&amp;$B$1&amp;"'!$A:$IZ"),29,FALSE)</f>
        <v/>
      </c>
      <c r="T6" s="54">
        <f>RANK(S6,S$5:S$22)</f>
        <v/>
      </c>
      <c r="U6" s="49">
        <f>104-(N6+P6+R6+T6)</f>
        <v/>
      </c>
      <c r="V6" s="47">
        <f>RANK(U6,U$5:U$22)</f>
        <v/>
      </c>
      <c r="W6" s="56" t="n"/>
      <c r="X6" s="53">
        <f>VLOOKUP($A6,INDIRECT("'"&amp;$B$1&amp;"'!$A:$IZ"),65,FALSE)</f>
        <v/>
      </c>
      <c r="Y6" s="54">
        <f>RANK(X6,X$5:X$22)</f>
        <v/>
      </c>
      <c r="Z6" s="53">
        <f>VLOOKUP($A6,INDIRECT("'"&amp;$B$1&amp;"'!$A:$IZ"),64,FALSE)</f>
        <v/>
      </c>
      <c r="AA6" s="54">
        <f>RANK(Z6,Z$5:Z$22)</f>
        <v/>
      </c>
      <c r="AB6" s="53">
        <f>VLOOKUP($A6,INDIRECT("'"&amp;$B$1&amp;"'!$A:$IZ"),63,FALSE)</f>
        <v/>
      </c>
      <c r="AC6" s="54">
        <f>RANK(AB6,AB$5:AB$22)</f>
        <v/>
      </c>
      <c r="AD6" s="53">
        <f>VLOOKUP($A6,INDIRECT("'"&amp;$B$1&amp;"'!$A:$IZ"),71,FALSE)</f>
        <v/>
      </c>
      <c r="AE6" s="54">
        <f>RANK(AD6,AD$5:AD$22)</f>
        <v/>
      </c>
      <c r="AF6" s="65">
        <f>104-(Y6+AA6+AC6+AE6)</f>
        <v/>
      </c>
      <c r="AG6" s="47">
        <f>RANK(AF6,AF$5:AF$22)</f>
        <v/>
      </c>
      <c r="AH6" s="56" t="n"/>
      <c r="AI6" s="53">
        <f>VLOOKUP($A6,INDIRECT("'"&amp;$B$1&amp;"'!$A:$IZ"),183,FALSE)</f>
        <v/>
      </c>
      <c r="AJ6" s="54">
        <f>RANK(AI6,AI$5:AI$22,1)</f>
        <v/>
      </c>
      <c r="AK6" s="53">
        <f>VLOOKUP($A6,INDIRECT("'"&amp;$B$1&amp;"'!$A:$IZ"),181,FALSE)</f>
        <v/>
      </c>
      <c r="AL6" s="54">
        <f>RANK(AK6,AK$5:AK$22,1)</f>
        <v/>
      </c>
      <c r="AM6" s="53">
        <f>VLOOKUP($A6,INDIRECT("'"&amp;$B$1&amp;"'!$A:$IZ"),182,FALSE)</f>
        <v/>
      </c>
      <c r="AN6" s="54">
        <f>RANK(AM6,AM$5:AM$22,1)</f>
        <v/>
      </c>
      <c r="AO6" s="53">
        <f>VLOOKUP($A6,INDIRECT("'"&amp;$B$1&amp;"'!$A:$IZ"),163,FALSE)</f>
        <v/>
      </c>
      <c r="AP6" s="54">
        <f>RANK(AO6,AO$5:AO$22,1)</f>
        <v/>
      </c>
      <c r="AQ6" s="65">
        <f>104-(AJ6+AL6+AN6+AP6)</f>
        <v/>
      </c>
      <c r="AR6" s="47">
        <f>RANK(AQ6,AQ$5:AQ$22)</f>
        <v/>
      </c>
      <c r="AS6" s="56" t="n"/>
      <c r="AT6" s="46">
        <f>VLOOKUP($A6,INDIRECT("'"&amp;$B$1&amp;"'!$A:$IZ"),250,FALSE)</f>
        <v/>
      </c>
      <c r="AU6" s="47">
        <f>RANK(AT6,AT$5:AT$22,0)</f>
        <v/>
      </c>
      <c r="AV6" s="46">
        <f>VLOOKUP($A6,INDIRECT("'"&amp;$B$1&amp;"'!$A:$IZ"),92,FALSE)</f>
        <v/>
      </c>
      <c r="AW6" s="47">
        <f>RANK(AV6,AV$5:AV$22,0)</f>
        <v/>
      </c>
      <c r="AX6" s="46">
        <f>VLOOKUP($A6,INDIRECT("'"&amp;$B$1&amp;"'!$A:$IZ"),93,FALSE)</f>
        <v/>
      </c>
      <c r="AY6" s="47">
        <f>RANK(AX6,AX$5:AX$22,0)</f>
        <v/>
      </c>
      <c r="AZ6" s="46">
        <f>VLOOKUP($A6,INDIRECT("'"&amp;$B$1&amp;"'!$A:$IZ"),108,FALSE)</f>
        <v/>
      </c>
      <c r="BA6" s="47">
        <f>RANK(AZ6,AZ$5:AZ$22,0)</f>
        <v/>
      </c>
      <c r="BB6" s="46">
        <f>104-(AU6+AW6+AY6+BA6)</f>
        <v/>
      </c>
      <c r="BC6" s="47">
        <f>RANK(BB6,BB$5:BB$22)</f>
        <v/>
      </c>
      <c r="BD6" s="56" t="n"/>
      <c r="BE6" s="53">
        <f>VLOOKUP($A6,INDIRECT("'"&amp;$B$1&amp;"'!$A:$IZ"),80,FALSE)</f>
        <v/>
      </c>
      <c r="BF6" s="54">
        <f>RANK(BE6,BE$5:BE$22)</f>
        <v/>
      </c>
      <c r="BG6" s="53">
        <f>VLOOKUP($A6,INDIRECT("'"&amp;$B$1&amp;"'!$A:$IZ"),177,FALSE)</f>
        <v/>
      </c>
      <c r="BH6" s="54">
        <f>RANK(BG6,BG$5:BG$22,1)</f>
        <v/>
      </c>
      <c r="BI6" s="53">
        <f>VLOOKUP($A6,INDIRECT("'"&amp;$B$1&amp;"'!$A:$IZ"),79,FALSE)</f>
        <v/>
      </c>
      <c r="BJ6" s="54">
        <f>RANK(BI6,BI$5:BI$22)</f>
        <v/>
      </c>
      <c r="BK6" s="53">
        <f>VLOOKUP($A6,INDIRECT("'"&amp;$B$1&amp;"'!$A:$IZ"),176,FALSE)</f>
        <v/>
      </c>
      <c r="BL6" s="54">
        <f>RANK(BK6,BK$5:BK$22,1)</f>
        <v/>
      </c>
      <c r="BM6" s="53">
        <f>VLOOKUP($A6,INDIRECT("'"&amp;$B$1&amp;"'!$A:$IZ"),11,FALSE)</f>
        <v/>
      </c>
      <c r="BN6" s="54">
        <f>RANK(BM6,BM$5:BM$22)</f>
        <v/>
      </c>
      <c r="BO6" s="53">
        <f>VLOOKUP($A6,INDIRECT("'"&amp;$B$1&amp;"'!$A:$IZ"),222,FALSE)</f>
        <v/>
      </c>
      <c r="BP6" s="54">
        <f>RANK(BO6,BO$5:BO$22)</f>
        <v/>
      </c>
      <c r="BQ6" s="65">
        <f>106-(BF6+BH6+BN6+BP6+BJ6+BL6)</f>
        <v/>
      </c>
      <c r="BR6" s="47">
        <f>RANK(BQ6,BQ$5:BQ$22)</f>
        <v/>
      </c>
      <c r="BS6" s="56" t="n"/>
      <c r="BT6" s="57">
        <f>VLOOKUP($A6,'Ratings Season'!$A:$M,10,FALSE)</f>
        <v/>
      </c>
      <c r="BU6" s="54">
        <f>RANK(BT6,BT$5:BT$22)</f>
        <v/>
      </c>
      <c r="BV6" s="57">
        <f>VLOOKUP($A6,'Ratings Season'!$A:$M,12,FALSE)</f>
        <v/>
      </c>
      <c r="BW6" s="54">
        <f>RANK(BV6,BV$5:BV$22)</f>
        <v/>
      </c>
      <c r="BX6" s="57">
        <f>VLOOKUP($A6,'Ratings Season'!$A:$M,8,FALSE)</f>
        <v/>
      </c>
      <c r="BY6" s="58">
        <f>RANK(BX6,BX$5:BX$22)</f>
        <v/>
      </c>
      <c r="BZ6" s="72" t="n"/>
    </row>
    <row r="7" ht="25" customFormat="1" customHeight="1" s="3">
      <c r="A7" s="77" t="inlineStr">
        <is>
          <t>Carlton</t>
        </is>
      </c>
      <c r="B7" s="53">
        <f>VLOOKUP($A7,INDIRECT("'"&amp;$B$1&amp;"'!$A:$IZ"),222,FALSE)</f>
        <v/>
      </c>
      <c r="C7" s="54">
        <f>RANK(B7,B$5:B$22)</f>
        <v/>
      </c>
      <c r="D7" s="55">
        <f>VLOOKUP($A7,INDIRECT("'"&amp;$B$1&amp;"'!$A:$IZ"),218,FALSE)</f>
        <v/>
      </c>
      <c r="E7" s="54">
        <f>RANK(D7,D$5:D$22)</f>
        <v/>
      </c>
      <c r="F7" s="55">
        <f>VLOOKUP($A7,INDIRECT("'"&amp;$B$1&amp;"'!$A:$IZ"),49,FALSE)</f>
        <v/>
      </c>
      <c r="G7" s="54">
        <f>RANK(F7,F$5:F$22)</f>
        <v/>
      </c>
      <c r="H7" s="55">
        <f>VLOOKUP($A7,INDIRECT("'"&amp;$B$1&amp;"'!$A:$IZ"),229,FALSE)</f>
        <v/>
      </c>
      <c r="I7" s="54">
        <f>RANK(H7,H$5:H$22)</f>
        <v/>
      </c>
      <c r="J7" s="49">
        <f>104-(C7+E7+G7+I7)</f>
        <v/>
      </c>
      <c r="K7" s="47">
        <f>RANK(J7,J$5:J$22)</f>
        <v/>
      </c>
      <c r="L7" s="56" t="n"/>
      <c r="M7" s="53">
        <f>VLOOKUP($A7,INDIRECT("'"&amp;$B$1&amp;"'!$A:$IZ"),88,FALSE)</f>
        <v/>
      </c>
      <c r="N7" s="54">
        <f>RANK(M7,M$5:M$22)</f>
        <v/>
      </c>
      <c r="O7" s="53">
        <f>VLOOKUP($A7,INDIRECT("'"&amp;$B$1&amp;"'!$A:$IZ"),84,FALSE)</f>
        <v/>
      </c>
      <c r="P7" s="54">
        <f>RANK(O7,O$5:O$22)</f>
        <v/>
      </c>
      <c r="Q7" s="53">
        <f>VLOOKUP($A7,INDIRECT("'"&amp;$B$1&amp;"'!$A:$IZ"),85,FALSE)</f>
        <v/>
      </c>
      <c r="R7" s="54">
        <f>RANK(Q7,Q$5:Q$22)</f>
        <v/>
      </c>
      <c r="S7" s="55">
        <f>VLOOKUP($A7,INDIRECT("'"&amp;$B$1&amp;"'!$A:$IZ"),29,FALSE)</f>
        <v/>
      </c>
      <c r="T7" s="54">
        <f>RANK(S7,S$5:S$22)</f>
        <v/>
      </c>
      <c r="U7" s="49">
        <f>104-(N7+P7+R7+T7)</f>
        <v/>
      </c>
      <c r="V7" s="47">
        <f>RANK(U7,U$5:U$22)</f>
        <v/>
      </c>
      <c r="W7" s="56" t="n"/>
      <c r="X7" s="53">
        <f>VLOOKUP($A7,INDIRECT("'"&amp;$B$1&amp;"'!$A:$IZ"),65,FALSE)</f>
        <v/>
      </c>
      <c r="Y7" s="54">
        <f>RANK(X7,X$5:X$22)</f>
        <v/>
      </c>
      <c r="Z7" s="53">
        <f>VLOOKUP($A7,INDIRECT("'"&amp;$B$1&amp;"'!$A:$IZ"),64,FALSE)</f>
        <v/>
      </c>
      <c r="AA7" s="54">
        <f>RANK(Z7,Z$5:Z$22)</f>
        <v/>
      </c>
      <c r="AB7" s="53">
        <f>VLOOKUP($A7,INDIRECT("'"&amp;$B$1&amp;"'!$A:$IZ"),63,FALSE)</f>
        <v/>
      </c>
      <c r="AC7" s="54">
        <f>RANK(AB7,AB$5:AB$22)</f>
        <v/>
      </c>
      <c r="AD7" s="53">
        <f>VLOOKUP($A7,INDIRECT("'"&amp;$B$1&amp;"'!$A:$IZ"),71,FALSE)</f>
        <v/>
      </c>
      <c r="AE7" s="54">
        <f>RANK(AD7,AD$5:AD$22)</f>
        <v/>
      </c>
      <c r="AF7" s="65">
        <f>104-(Y7+AA7+AC7+AE7)</f>
        <v/>
      </c>
      <c r="AG7" s="47">
        <f>RANK(AF7,AF$5:AF$22)</f>
        <v/>
      </c>
      <c r="AH7" s="56" t="n"/>
      <c r="AI7" s="53">
        <f>VLOOKUP($A7,INDIRECT("'"&amp;$B$1&amp;"'!$A:$IZ"),183,FALSE)</f>
        <v/>
      </c>
      <c r="AJ7" s="54">
        <f>RANK(AI7,AI$5:AI$22,1)</f>
        <v/>
      </c>
      <c r="AK7" s="53">
        <f>VLOOKUP($A7,INDIRECT("'"&amp;$B$1&amp;"'!$A:$IZ"),181,FALSE)</f>
        <v/>
      </c>
      <c r="AL7" s="54">
        <f>RANK(AK7,AK$5:AK$22,1)</f>
        <v/>
      </c>
      <c r="AM7" s="53">
        <f>VLOOKUP($A7,INDIRECT("'"&amp;$B$1&amp;"'!$A:$IZ"),182,FALSE)</f>
        <v/>
      </c>
      <c r="AN7" s="54">
        <f>RANK(AM7,AM$5:AM$22,1)</f>
        <v/>
      </c>
      <c r="AO7" s="53">
        <f>VLOOKUP($A7,INDIRECT("'"&amp;$B$1&amp;"'!$A:$IZ"),163,FALSE)</f>
        <v/>
      </c>
      <c r="AP7" s="54">
        <f>RANK(AO7,AO$5:AO$22,1)</f>
        <v/>
      </c>
      <c r="AQ7" s="65">
        <f>104-(AJ7+AL7+AN7+AP7)</f>
        <v/>
      </c>
      <c r="AR7" s="47">
        <f>RANK(AQ7,AQ$5:AQ$22)</f>
        <v/>
      </c>
      <c r="AS7" s="56" t="n"/>
      <c r="AT7" s="46">
        <f>VLOOKUP($A7,INDIRECT("'"&amp;$B$1&amp;"'!$A:$IZ"),250,FALSE)</f>
        <v/>
      </c>
      <c r="AU7" s="47">
        <f>RANK(AT7,AT$5:AT$22,0)</f>
        <v/>
      </c>
      <c r="AV7" s="46">
        <f>VLOOKUP($A7,INDIRECT("'"&amp;$B$1&amp;"'!$A:$IZ"),92,FALSE)</f>
        <v/>
      </c>
      <c r="AW7" s="47">
        <f>RANK(AV7,AV$5:AV$22,0)</f>
        <v/>
      </c>
      <c r="AX7" s="46">
        <f>VLOOKUP($A7,INDIRECT("'"&amp;$B$1&amp;"'!$A:$IZ"),93,FALSE)</f>
        <v/>
      </c>
      <c r="AY7" s="47">
        <f>RANK(AX7,AX$5:AX$22,0)</f>
        <v/>
      </c>
      <c r="AZ7" s="46">
        <f>VLOOKUP($A7,INDIRECT("'"&amp;$B$1&amp;"'!$A:$IZ"),108,FALSE)</f>
        <v/>
      </c>
      <c r="BA7" s="47">
        <f>RANK(AZ7,AZ$5:AZ$22,0)</f>
        <v/>
      </c>
      <c r="BB7" s="46">
        <f>104-(AU7+AW7+AY7+BA7)</f>
        <v/>
      </c>
      <c r="BC7" s="47">
        <f>RANK(BB7,BB$5:BB$22)</f>
        <v/>
      </c>
      <c r="BD7" s="56" t="n"/>
      <c r="BE7" s="53">
        <f>VLOOKUP($A7,INDIRECT("'"&amp;$B$1&amp;"'!$A:$IZ"),80,FALSE)</f>
        <v/>
      </c>
      <c r="BF7" s="54">
        <f>RANK(BE7,BE$5:BE$22)</f>
        <v/>
      </c>
      <c r="BG7" s="53">
        <f>VLOOKUP($A7,INDIRECT("'"&amp;$B$1&amp;"'!$A:$IZ"),177,FALSE)</f>
        <v/>
      </c>
      <c r="BH7" s="54">
        <f>RANK(BG7,BG$5:BG$22,1)</f>
        <v/>
      </c>
      <c r="BI7" s="53">
        <f>VLOOKUP($A7,INDIRECT("'"&amp;$B$1&amp;"'!$A:$IZ"),79,FALSE)</f>
        <v/>
      </c>
      <c r="BJ7" s="54">
        <f>RANK(BI7,BI$5:BI$22)</f>
        <v/>
      </c>
      <c r="BK7" s="53">
        <f>VLOOKUP($A7,INDIRECT("'"&amp;$B$1&amp;"'!$A:$IZ"),176,FALSE)</f>
        <v/>
      </c>
      <c r="BL7" s="54">
        <f>RANK(BK7,BK$5:BK$22,1)</f>
        <v/>
      </c>
      <c r="BM7" s="53">
        <f>VLOOKUP($A7,INDIRECT("'"&amp;$B$1&amp;"'!$A:$IZ"),11,FALSE)</f>
        <v/>
      </c>
      <c r="BN7" s="54">
        <f>RANK(BM7,BM$5:BM$22)</f>
        <v/>
      </c>
      <c r="BO7" s="53">
        <f>VLOOKUP($A7,INDIRECT("'"&amp;$B$1&amp;"'!$A:$IZ"),222,FALSE)</f>
        <v/>
      </c>
      <c r="BP7" s="54">
        <f>RANK(BO7,BO$5:BO$22)</f>
        <v/>
      </c>
      <c r="BQ7" s="65">
        <f>106-(BF7+BH7+BN7+BP7+BJ7+BL7)</f>
        <v/>
      </c>
      <c r="BR7" s="47">
        <f>RANK(BQ7,BQ$5:BQ$22)</f>
        <v/>
      </c>
      <c r="BS7" s="56" t="n"/>
      <c r="BT7" s="57">
        <f>VLOOKUP($A7,'Ratings Season'!$A:$M,10,FALSE)</f>
        <v/>
      </c>
      <c r="BU7" s="54">
        <f>RANK(BT7,BT$5:BT$22)</f>
        <v/>
      </c>
      <c r="BV7" s="57">
        <f>VLOOKUP($A7,'Ratings Season'!$A:$M,12,FALSE)</f>
        <v/>
      </c>
      <c r="BW7" s="54">
        <f>RANK(BV7,BV$5:BV$22)</f>
        <v/>
      </c>
      <c r="BX7" s="57">
        <f>VLOOKUP($A7,'Ratings Season'!$A:$M,8,FALSE)</f>
        <v/>
      </c>
      <c r="BY7" s="58">
        <f>RANK(BX7,BX$5:BX$22)</f>
        <v/>
      </c>
      <c r="BZ7" s="72" t="n"/>
    </row>
    <row r="8" ht="25" customFormat="1" customHeight="1" s="3">
      <c r="A8" s="78" t="inlineStr">
        <is>
          <t>Collingwood</t>
        </is>
      </c>
      <c r="B8" s="53">
        <f>VLOOKUP($A8,INDIRECT("'"&amp;$B$1&amp;"'!$A:$IZ"),222,FALSE)</f>
        <v/>
      </c>
      <c r="C8" s="54">
        <f>RANK(B8,B$5:B$22)</f>
        <v/>
      </c>
      <c r="D8" s="55">
        <f>VLOOKUP($A8,INDIRECT("'"&amp;$B$1&amp;"'!$A:$IZ"),218,FALSE)</f>
        <v/>
      </c>
      <c r="E8" s="54">
        <f>RANK(D8,D$5:D$22)</f>
        <v/>
      </c>
      <c r="F8" s="55">
        <f>VLOOKUP($A8,INDIRECT("'"&amp;$B$1&amp;"'!$A:$IZ"),49,FALSE)</f>
        <v/>
      </c>
      <c r="G8" s="54">
        <f>RANK(F8,F$5:F$22)</f>
        <v/>
      </c>
      <c r="H8" s="55">
        <f>VLOOKUP($A8,INDIRECT("'"&amp;$B$1&amp;"'!$A:$IZ"),229,FALSE)</f>
        <v/>
      </c>
      <c r="I8" s="54">
        <f>RANK(H8,H$5:H$22)</f>
        <v/>
      </c>
      <c r="J8" s="49">
        <f>104-(C8+E8+G8+I8)</f>
        <v/>
      </c>
      <c r="K8" s="47">
        <f>RANK(J8,J$5:J$22)</f>
        <v/>
      </c>
      <c r="L8" s="56" t="n"/>
      <c r="M8" s="53">
        <f>VLOOKUP($A8,INDIRECT("'"&amp;$B$1&amp;"'!$A:$IZ"),88,FALSE)</f>
        <v/>
      </c>
      <c r="N8" s="54">
        <f>RANK(M8,M$5:M$22)</f>
        <v/>
      </c>
      <c r="O8" s="53">
        <f>VLOOKUP($A8,INDIRECT("'"&amp;$B$1&amp;"'!$A:$IZ"),84,FALSE)</f>
        <v/>
      </c>
      <c r="P8" s="54">
        <f>RANK(O8,O$5:O$22)</f>
        <v/>
      </c>
      <c r="Q8" s="53">
        <f>VLOOKUP($A8,INDIRECT("'"&amp;$B$1&amp;"'!$A:$IZ"),85,FALSE)</f>
        <v/>
      </c>
      <c r="R8" s="54">
        <f>RANK(Q8,Q$5:Q$22)</f>
        <v/>
      </c>
      <c r="S8" s="55">
        <f>VLOOKUP($A8,INDIRECT("'"&amp;$B$1&amp;"'!$A:$IZ"),29,FALSE)</f>
        <v/>
      </c>
      <c r="T8" s="54">
        <f>RANK(S8,S$5:S$22)</f>
        <v/>
      </c>
      <c r="U8" s="49">
        <f>104-(N8+P8+R8+T8)</f>
        <v/>
      </c>
      <c r="V8" s="47">
        <f>RANK(U8,U$5:U$22)</f>
        <v/>
      </c>
      <c r="W8" s="56" t="n"/>
      <c r="X8" s="53">
        <f>VLOOKUP($A8,INDIRECT("'"&amp;$B$1&amp;"'!$A:$IZ"),65,FALSE)</f>
        <v/>
      </c>
      <c r="Y8" s="54">
        <f>RANK(X8,X$5:X$22)</f>
        <v/>
      </c>
      <c r="Z8" s="53">
        <f>VLOOKUP($A8,INDIRECT("'"&amp;$B$1&amp;"'!$A:$IZ"),64,FALSE)</f>
        <v/>
      </c>
      <c r="AA8" s="54">
        <f>RANK(Z8,Z$5:Z$22)</f>
        <v/>
      </c>
      <c r="AB8" s="53">
        <f>VLOOKUP($A8,INDIRECT("'"&amp;$B$1&amp;"'!$A:$IZ"),63,FALSE)</f>
        <v/>
      </c>
      <c r="AC8" s="54">
        <f>RANK(AB8,AB$5:AB$22)</f>
        <v/>
      </c>
      <c r="AD8" s="53">
        <f>VLOOKUP($A8,INDIRECT("'"&amp;$B$1&amp;"'!$A:$IZ"),71,FALSE)</f>
        <v/>
      </c>
      <c r="AE8" s="54">
        <f>RANK(AD8,AD$5:AD$22)</f>
        <v/>
      </c>
      <c r="AF8" s="65">
        <f>104-(Y8+AA8+AC8+AE8)</f>
        <v/>
      </c>
      <c r="AG8" s="47">
        <f>RANK(AF8,AF$5:AF$22)</f>
        <v/>
      </c>
      <c r="AH8" s="56" t="n"/>
      <c r="AI8" s="53">
        <f>VLOOKUP($A8,INDIRECT("'"&amp;$B$1&amp;"'!$A:$IZ"),183,FALSE)</f>
        <v/>
      </c>
      <c r="AJ8" s="54">
        <f>RANK(AI8,AI$5:AI$22,1)</f>
        <v/>
      </c>
      <c r="AK8" s="53">
        <f>VLOOKUP($A8,INDIRECT("'"&amp;$B$1&amp;"'!$A:$IZ"),181,FALSE)</f>
        <v/>
      </c>
      <c r="AL8" s="54">
        <f>RANK(AK8,AK$5:AK$22,1)</f>
        <v/>
      </c>
      <c r="AM8" s="53">
        <f>VLOOKUP($A8,INDIRECT("'"&amp;$B$1&amp;"'!$A:$IZ"),182,FALSE)</f>
        <v/>
      </c>
      <c r="AN8" s="54">
        <f>RANK(AM8,AM$5:AM$22,1)</f>
        <v/>
      </c>
      <c r="AO8" s="53">
        <f>VLOOKUP($A8,INDIRECT("'"&amp;$B$1&amp;"'!$A:$IZ"),163,FALSE)</f>
        <v/>
      </c>
      <c r="AP8" s="54">
        <f>RANK(AO8,AO$5:AO$22,1)</f>
        <v/>
      </c>
      <c r="AQ8" s="65">
        <f>104-(AJ8+AL8+AN8+AP8)</f>
        <v/>
      </c>
      <c r="AR8" s="47">
        <f>RANK(AQ8,AQ$5:AQ$22)</f>
        <v/>
      </c>
      <c r="AS8" s="56" t="n"/>
      <c r="AT8" s="46">
        <f>VLOOKUP($A8,INDIRECT("'"&amp;$B$1&amp;"'!$A:$IZ"),250,FALSE)</f>
        <v/>
      </c>
      <c r="AU8" s="47">
        <f>RANK(AT8,AT$5:AT$22,0)</f>
        <v/>
      </c>
      <c r="AV8" s="46">
        <f>VLOOKUP($A8,INDIRECT("'"&amp;$B$1&amp;"'!$A:$IZ"),92,FALSE)</f>
        <v/>
      </c>
      <c r="AW8" s="47">
        <f>RANK(AV8,AV$5:AV$22,0)</f>
        <v/>
      </c>
      <c r="AX8" s="46">
        <f>VLOOKUP($A8,INDIRECT("'"&amp;$B$1&amp;"'!$A:$IZ"),93,FALSE)</f>
        <v/>
      </c>
      <c r="AY8" s="47">
        <f>RANK(AX8,AX$5:AX$22,0)</f>
        <v/>
      </c>
      <c r="AZ8" s="46">
        <f>VLOOKUP($A8,INDIRECT("'"&amp;$B$1&amp;"'!$A:$IZ"),108,FALSE)</f>
        <v/>
      </c>
      <c r="BA8" s="47">
        <f>RANK(AZ8,AZ$5:AZ$22,0)</f>
        <v/>
      </c>
      <c r="BB8" s="46">
        <f>104-(AU8+AW8+AY8+BA8)</f>
        <v/>
      </c>
      <c r="BC8" s="47">
        <f>RANK(BB8,BB$5:BB$22)</f>
        <v/>
      </c>
      <c r="BD8" s="56" t="n"/>
      <c r="BE8" s="53">
        <f>VLOOKUP($A8,INDIRECT("'"&amp;$B$1&amp;"'!$A:$IZ"),80,FALSE)</f>
        <v/>
      </c>
      <c r="BF8" s="54">
        <f>RANK(BE8,BE$5:BE$22)</f>
        <v/>
      </c>
      <c r="BG8" s="53">
        <f>VLOOKUP($A8,INDIRECT("'"&amp;$B$1&amp;"'!$A:$IZ"),177,FALSE)</f>
        <v/>
      </c>
      <c r="BH8" s="54">
        <f>RANK(BG8,BG$5:BG$22,1)</f>
        <v/>
      </c>
      <c r="BI8" s="53">
        <f>VLOOKUP($A8,INDIRECT("'"&amp;$B$1&amp;"'!$A:$IZ"),79,FALSE)</f>
        <v/>
      </c>
      <c r="BJ8" s="54">
        <f>RANK(BI8,BI$5:BI$22)</f>
        <v/>
      </c>
      <c r="BK8" s="53">
        <f>VLOOKUP($A8,INDIRECT("'"&amp;$B$1&amp;"'!$A:$IZ"),176,FALSE)</f>
        <v/>
      </c>
      <c r="BL8" s="54">
        <f>RANK(BK8,BK$5:BK$22,1)</f>
        <v/>
      </c>
      <c r="BM8" s="53">
        <f>VLOOKUP($A8,INDIRECT("'"&amp;$B$1&amp;"'!$A:$IZ"),11,FALSE)</f>
        <v/>
      </c>
      <c r="BN8" s="54">
        <f>RANK(BM8,BM$5:BM$22)</f>
        <v/>
      </c>
      <c r="BO8" s="53">
        <f>VLOOKUP($A8,INDIRECT("'"&amp;$B$1&amp;"'!$A:$IZ"),222,FALSE)</f>
        <v/>
      </c>
      <c r="BP8" s="54">
        <f>RANK(BO8,BO$5:BO$22)</f>
        <v/>
      </c>
      <c r="BQ8" s="65">
        <f>106-(BF8+BH8+BN8+BP8+BJ8+BL8)</f>
        <v/>
      </c>
      <c r="BR8" s="47">
        <f>RANK(BQ8,BQ$5:BQ$22)</f>
        <v/>
      </c>
      <c r="BS8" s="56" t="n"/>
      <c r="BT8" s="57">
        <f>VLOOKUP($A8,'Ratings Season'!$A:$M,10,FALSE)</f>
        <v/>
      </c>
      <c r="BU8" s="54">
        <f>RANK(BT8,BT$5:BT$22)</f>
        <v/>
      </c>
      <c r="BV8" s="57">
        <f>VLOOKUP($A8,'Ratings Season'!$A:$M,12,FALSE)</f>
        <v/>
      </c>
      <c r="BW8" s="54">
        <f>RANK(BV8,BV$5:BV$22)</f>
        <v/>
      </c>
      <c r="BX8" s="57">
        <f>VLOOKUP($A8,'Ratings Season'!$A:$M,8,FALSE)</f>
        <v/>
      </c>
      <c r="BY8" s="58">
        <f>RANK(BX8,BX$5:BX$22)</f>
        <v/>
      </c>
      <c r="BZ8" s="72" t="n"/>
    </row>
    <row r="9" ht="25" customFormat="1" customHeight="1" s="3">
      <c r="A9" s="79" t="inlineStr">
        <is>
          <t>Essendon</t>
        </is>
      </c>
      <c r="B9" s="53">
        <f>VLOOKUP($A9,INDIRECT("'"&amp;$B$1&amp;"'!$A:$IZ"),222,FALSE)</f>
        <v/>
      </c>
      <c r="C9" s="54">
        <f>RANK(B9,B$5:B$22)</f>
        <v/>
      </c>
      <c r="D9" s="55">
        <f>VLOOKUP($A9,INDIRECT("'"&amp;$B$1&amp;"'!$A:$IZ"),218,FALSE)</f>
        <v/>
      </c>
      <c r="E9" s="54">
        <f>RANK(D9,D$5:D$22)</f>
        <v/>
      </c>
      <c r="F9" s="55">
        <f>VLOOKUP($A9,INDIRECT("'"&amp;$B$1&amp;"'!$A:$IZ"),49,FALSE)</f>
        <v/>
      </c>
      <c r="G9" s="54">
        <f>RANK(F9,F$5:F$22)</f>
        <v/>
      </c>
      <c r="H9" s="55">
        <f>VLOOKUP($A9,INDIRECT("'"&amp;$B$1&amp;"'!$A:$IZ"),229,FALSE)</f>
        <v/>
      </c>
      <c r="I9" s="54">
        <f>RANK(H9,H$5:H$22)</f>
        <v/>
      </c>
      <c r="J9" s="49">
        <f>104-(C9+E9+G9+I9)</f>
        <v/>
      </c>
      <c r="K9" s="47">
        <f>RANK(J9,J$5:J$22)</f>
        <v/>
      </c>
      <c r="L9" s="56" t="n"/>
      <c r="M9" s="53">
        <f>VLOOKUP($A9,INDIRECT("'"&amp;$B$1&amp;"'!$A:$IZ"),88,FALSE)</f>
        <v/>
      </c>
      <c r="N9" s="54">
        <f>RANK(M9,M$5:M$22)</f>
        <v/>
      </c>
      <c r="O9" s="53">
        <f>VLOOKUP($A9,INDIRECT("'"&amp;$B$1&amp;"'!$A:$IZ"),84,FALSE)</f>
        <v/>
      </c>
      <c r="P9" s="54">
        <f>RANK(O9,O$5:O$22)</f>
        <v/>
      </c>
      <c r="Q9" s="53">
        <f>VLOOKUP($A9,INDIRECT("'"&amp;$B$1&amp;"'!$A:$IZ"),85,FALSE)</f>
        <v/>
      </c>
      <c r="R9" s="54">
        <f>RANK(Q9,Q$5:Q$22)</f>
        <v/>
      </c>
      <c r="S9" s="55">
        <f>VLOOKUP($A9,INDIRECT("'"&amp;$B$1&amp;"'!$A:$IZ"),29,FALSE)</f>
        <v/>
      </c>
      <c r="T9" s="54">
        <f>RANK(S9,S$5:S$22)</f>
        <v/>
      </c>
      <c r="U9" s="49">
        <f>104-(N9+P9+R9+T9)</f>
        <v/>
      </c>
      <c r="V9" s="47">
        <f>RANK(U9,U$5:U$22)</f>
        <v/>
      </c>
      <c r="W9" s="56" t="n"/>
      <c r="X9" s="53">
        <f>VLOOKUP($A9,INDIRECT("'"&amp;$B$1&amp;"'!$A:$IZ"),65,FALSE)</f>
        <v/>
      </c>
      <c r="Y9" s="54">
        <f>RANK(X9,X$5:X$22)</f>
        <v/>
      </c>
      <c r="Z9" s="53">
        <f>VLOOKUP($A9,INDIRECT("'"&amp;$B$1&amp;"'!$A:$IZ"),64,FALSE)</f>
        <v/>
      </c>
      <c r="AA9" s="54">
        <f>RANK(Z9,Z$5:Z$22)</f>
        <v/>
      </c>
      <c r="AB9" s="53">
        <f>VLOOKUP($A9,INDIRECT("'"&amp;$B$1&amp;"'!$A:$IZ"),63,FALSE)</f>
        <v/>
      </c>
      <c r="AC9" s="54">
        <f>RANK(AB9,AB$5:AB$22)</f>
        <v/>
      </c>
      <c r="AD9" s="53">
        <f>VLOOKUP($A9,INDIRECT("'"&amp;$B$1&amp;"'!$A:$IZ"),71,FALSE)</f>
        <v/>
      </c>
      <c r="AE9" s="54">
        <f>RANK(AD9,AD$5:AD$22)</f>
        <v/>
      </c>
      <c r="AF9" s="65">
        <f>104-(Y9+AA9+AC9+AE9)</f>
        <v/>
      </c>
      <c r="AG9" s="47">
        <f>RANK(AF9,AF$5:AF$22)</f>
        <v/>
      </c>
      <c r="AH9" s="56" t="n"/>
      <c r="AI9" s="53">
        <f>VLOOKUP($A9,INDIRECT("'"&amp;$B$1&amp;"'!$A:$IZ"),183,FALSE)</f>
        <v/>
      </c>
      <c r="AJ9" s="54">
        <f>RANK(AI9,AI$5:AI$22,1)</f>
        <v/>
      </c>
      <c r="AK9" s="53">
        <f>VLOOKUP($A9,INDIRECT("'"&amp;$B$1&amp;"'!$A:$IZ"),181,FALSE)</f>
        <v/>
      </c>
      <c r="AL9" s="54">
        <f>RANK(AK9,AK$5:AK$22,1)</f>
        <v/>
      </c>
      <c r="AM9" s="53">
        <f>VLOOKUP($A9,INDIRECT("'"&amp;$B$1&amp;"'!$A:$IZ"),182,FALSE)</f>
        <v/>
      </c>
      <c r="AN9" s="54">
        <f>RANK(AM9,AM$5:AM$22,1)</f>
        <v/>
      </c>
      <c r="AO9" s="53">
        <f>VLOOKUP($A9,INDIRECT("'"&amp;$B$1&amp;"'!$A:$IZ"),163,FALSE)</f>
        <v/>
      </c>
      <c r="AP9" s="54">
        <f>RANK(AO9,AO$5:AO$22,1)</f>
        <v/>
      </c>
      <c r="AQ9" s="65">
        <f>104-(AJ9+AL9+AN9+AP9)</f>
        <v/>
      </c>
      <c r="AR9" s="47">
        <f>RANK(AQ9,AQ$5:AQ$22)</f>
        <v/>
      </c>
      <c r="AS9" s="56" t="n"/>
      <c r="AT9" s="46">
        <f>VLOOKUP($A9,INDIRECT("'"&amp;$B$1&amp;"'!$A:$IZ"),250,FALSE)</f>
        <v/>
      </c>
      <c r="AU9" s="47">
        <f>RANK(AT9,AT$5:AT$22,0)</f>
        <v/>
      </c>
      <c r="AV9" s="46">
        <f>VLOOKUP($A9,INDIRECT("'"&amp;$B$1&amp;"'!$A:$IZ"),92,FALSE)</f>
        <v/>
      </c>
      <c r="AW9" s="47">
        <f>RANK(AV9,AV$5:AV$22,0)</f>
        <v/>
      </c>
      <c r="AX9" s="46">
        <f>VLOOKUP($A9,INDIRECT("'"&amp;$B$1&amp;"'!$A:$IZ"),93,FALSE)</f>
        <v/>
      </c>
      <c r="AY9" s="47">
        <f>RANK(AX9,AX$5:AX$22,0)</f>
        <v/>
      </c>
      <c r="AZ9" s="46">
        <f>VLOOKUP($A9,INDIRECT("'"&amp;$B$1&amp;"'!$A:$IZ"),108,FALSE)</f>
        <v/>
      </c>
      <c r="BA9" s="47">
        <f>RANK(AZ9,AZ$5:AZ$22,0)</f>
        <v/>
      </c>
      <c r="BB9" s="46">
        <f>104-(AU9+AW9+AY9+BA9)</f>
        <v/>
      </c>
      <c r="BC9" s="47">
        <f>RANK(BB9,BB$5:BB$22)</f>
        <v/>
      </c>
      <c r="BD9" s="56" t="n"/>
      <c r="BE9" s="53">
        <f>VLOOKUP($A9,INDIRECT("'"&amp;$B$1&amp;"'!$A:$IZ"),80,FALSE)</f>
        <v/>
      </c>
      <c r="BF9" s="54">
        <f>RANK(BE9,BE$5:BE$22)</f>
        <v/>
      </c>
      <c r="BG9" s="53">
        <f>VLOOKUP($A9,INDIRECT("'"&amp;$B$1&amp;"'!$A:$IZ"),177,FALSE)</f>
        <v/>
      </c>
      <c r="BH9" s="54">
        <f>RANK(BG9,BG$5:BG$22,1)</f>
        <v/>
      </c>
      <c r="BI9" s="53">
        <f>VLOOKUP($A9,INDIRECT("'"&amp;$B$1&amp;"'!$A:$IZ"),79,FALSE)</f>
        <v/>
      </c>
      <c r="BJ9" s="54">
        <f>RANK(BI9,BI$5:BI$22)</f>
        <v/>
      </c>
      <c r="BK9" s="53">
        <f>VLOOKUP($A9,INDIRECT("'"&amp;$B$1&amp;"'!$A:$IZ"),176,FALSE)</f>
        <v/>
      </c>
      <c r="BL9" s="54">
        <f>RANK(BK9,BK$5:BK$22,1)</f>
        <v/>
      </c>
      <c r="BM9" s="53">
        <f>VLOOKUP($A9,INDIRECT("'"&amp;$B$1&amp;"'!$A:$IZ"),11,FALSE)</f>
        <v/>
      </c>
      <c r="BN9" s="54">
        <f>RANK(BM9,BM$5:BM$22)</f>
        <v/>
      </c>
      <c r="BO9" s="53">
        <f>VLOOKUP($A9,INDIRECT("'"&amp;$B$1&amp;"'!$A:$IZ"),222,FALSE)</f>
        <v/>
      </c>
      <c r="BP9" s="54">
        <f>RANK(BO9,BO$5:BO$22)</f>
        <v/>
      </c>
      <c r="BQ9" s="65">
        <f>106-(BF9+BH9+BN9+BP9+BJ9+BL9)</f>
        <v/>
      </c>
      <c r="BR9" s="47">
        <f>RANK(BQ9,BQ$5:BQ$22)</f>
        <v/>
      </c>
      <c r="BS9" s="56" t="n"/>
      <c r="BT9" s="57">
        <f>VLOOKUP($A9,'Ratings Season'!$A:$M,10,FALSE)</f>
        <v/>
      </c>
      <c r="BU9" s="54">
        <f>RANK(BT9,BT$5:BT$22)</f>
        <v/>
      </c>
      <c r="BV9" s="57">
        <f>VLOOKUP($A9,'Ratings Season'!$A:$M,12,FALSE)</f>
        <v/>
      </c>
      <c r="BW9" s="54">
        <f>RANK(BV9,BV$5:BV$22)</f>
        <v/>
      </c>
      <c r="BX9" s="57">
        <f>VLOOKUP($A9,'Ratings Season'!$A:$M,8,FALSE)</f>
        <v/>
      </c>
      <c r="BY9" s="58">
        <f>RANK(BX9,BX$5:BX$22)</f>
        <v/>
      </c>
      <c r="BZ9" s="72" t="n"/>
    </row>
    <row r="10" ht="25" customFormat="1" customHeight="1" s="3">
      <c r="A10" s="80" t="inlineStr">
        <is>
          <t>Fremantle</t>
        </is>
      </c>
      <c r="B10" s="53">
        <f>VLOOKUP($A10,INDIRECT("'"&amp;$B$1&amp;"'!$A:$IZ"),222,FALSE)</f>
        <v/>
      </c>
      <c r="C10" s="54">
        <f>RANK(B10,B$5:B$22)</f>
        <v/>
      </c>
      <c r="D10" s="55">
        <f>VLOOKUP($A10,INDIRECT("'"&amp;$B$1&amp;"'!$A:$IZ"),218,FALSE)</f>
        <v/>
      </c>
      <c r="E10" s="54">
        <f>RANK(D10,D$5:D$22)</f>
        <v/>
      </c>
      <c r="F10" s="55">
        <f>VLOOKUP($A10,INDIRECT("'"&amp;$B$1&amp;"'!$A:$IZ"),49,FALSE)</f>
        <v/>
      </c>
      <c r="G10" s="54">
        <f>RANK(F10,F$5:F$22)</f>
        <v/>
      </c>
      <c r="H10" s="55">
        <f>VLOOKUP($A10,INDIRECT("'"&amp;$B$1&amp;"'!$A:$IZ"),229,FALSE)</f>
        <v/>
      </c>
      <c r="I10" s="54">
        <f>RANK(H10,H$5:H$22)</f>
        <v/>
      </c>
      <c r="J10" s="49">
        <f>104-(C10+E10+G10+I10)</f>
        <v/>
      </c>
      <c r="K10" s="47">
        <f>RANK(J10,J$5:J$22)</f>
        <v/>
      </c>
      <c r="L10" s="56" t="n"/>
      <c r="M10" s="53">
        <f>VLOOKUP($A10,INDIRECT("'"&amp;$B$1&amp;"'!$A:$IZ"),88,FALSE)</f>
        <v/>
      </c>
      <c r="N10" s="54">
        <f>RANK(M10,M$5:M$22)</f>
        <v/>
      </c>
      <c r="O10" s="53">
        <f>VLOOKUP($A10,INDIRECT("'"&amp;$B$1&amp;"'!$A:$IZ"),84,FALSE)</f>
        <v/>
      </c>
      <c r="P10" s="54">
        <f>RANK(O10,O$5:O$22)</f>
        <v/>
      </c>
      <c r="Q10" s="53">
        <f>VLOOKUP($A10,INDIRECT("'"&amp;$B$1&amp;"'!$A:$IZ"),85,FALSE)</f>
        <v/>
      </c>
      <c r="R10" s="54">
        <f>RANK(Q10,Q$5:Q$22)</f>
        <v/>
      </c>
      <c r="S10" s="55">
        <f>VLOOKUP($A10,INDIRECT("'"&amp;$B$1&amp;"'!$A:$IZ"),29,FALSE)</f>
        <v/>
      </c>
      <c r="T10" s="54">
        <f>RANK(S10,S$5:S$22)</f>
        <v/>
      </c>
      <c r="U10" s="49">
        <f>104-(N10+P10+R10+T10)</f>
        <v/>
      </c>
      <c r="V10" s="47">
        <f>RANK(U10,U$5:U$22)</f>
        <v/>
      </c>
      <c r="W10" s="56" t="n"/>
      <c r="X10" s="53">
        <f>VLOOKUP($A10,INDIRECT("'"&amp;$B$1&amp;"'!$A:$IZ"),65,FALSE)</f>
        <v/>
      </c>
      <c r="Y10" s="54">
        <f>RANK(X10,X$5:X$22)</f>
        <v/>
      </c>
      <c r="Z10" s="53">
        <f>VLOOKUP($A10,INDIRECT("'"&amp;$B$1&amp;"'!$A:$IZ"),64,FALSE)</f>
        <v/>
      </c>
      <c r="AA10" s="54">
        <f>RANK(Z10,Z$5:Z$22)</f>
        <v/>
      </c>
      <c r="AB10" s="53">
        <f>VLOOKUP($A10,INDIRECT("'"&amp;$B$1&amp;"'!$A:$IZ"),63,FALSE)</f>
        <v/>
      </c>
      <c r="AC10" s="54">
        <f>RANK(AB10,AB$5:AB$22)</f>
        <v/>
      </c>
      <c r="AD10" s="53">
        <f>VLOOKUP($A10,INDIRECT("'"&amp;$B$1&amp;"'!$A:$IZ"),71,FALSE)</f>
        <v/>
      </c>
      <c r="AE10" s="54">
        <f>RANK(AD10,AD$5:AD$22)</f>
        <v/>
      </c>
      <c r="AF10" s="65">
        <f>104-(Y10+AA10+AC10+AE10)</f>
        <v/>
      </c>
      <c r="AG10" s="47">
        <f>RANK(AF10,AF$5:AF$22)</f>
        <v/>
      </c>
      <c r="AH10" s="56" t="n"/>
      <c r="AI10" s="53">
        <f>VLOOKUP($A10,INDIRECT("'"&amp;$B$1&amp;"'!$A:$IZ"),183,FALSE)</f>
        <v/>
      </c>
      <c r="AJ10" s="54">
        <f>RANK(AI10,AI$5:AI$22,1)</f>
        <v/>
      </c>
      <c r="AK10" s="53">
        <f>VLOOKUP($A10,INDIRECT("'"&amp;$B$1&amp;"'!$A:$IZ"),181,FALSE)</f>
        <v/>
      </c>
      <c r="AL10" s="54">
        <f>RANK(AK10,AK$5:AK$22,1)</f>
        <v/>
      </c>
      <c r="AM10" s="53">
        <f>VLOOKUP($A10,INDIRECT("'"&amp;$B$1&amp;"'!$A:$IZ"),182,FALSE)</f>
        <v/>
      </c>
      <c r="AN10" s="54">
        <f>RANK(AM10,AM$5:AM$22,1)</f>
        <v/>
      </c>
      <c r="AO10" s="53">
        <f>VLOOKUP($A10,INDIRECT("'"&amp;$B$1&amp;"'!$A:$IZ"),163,FALSE)</f>
        <v/>
      </c>
      <c r="AP10" s="54">
        <f>RANK(AO10,AO$5:AO$22,1)</f>
        <v/>
      </c>
      <c r="AQ10" s="65">
        <f>104-(AJ10+AL10+AN10+AP10)</f>
        <v/>
      </c>
      <c r="AR10" s="47">
        <f>RANK(AQ10,AQ$5:AQ$22)</f>
        <v/>
      </c>
      <c r="AS10" s="56" t="n"/>
      <c r="AT10" s="46">
        <f>VLOOKUP($A10,INDIRECT("'"&amp;$B$1&amp;"'!$A:$IZ"),250,FALSE)</f>
        <v/>
      </c>
      <c r="AU10" s="47">
        <f>RANK(AT10,AT$5:AT$22,0)</f>
        <v/>
      </c>
      <c r="AV10" s="46">
        <f>VLOOKUP($A10,INDIRECT("'"&amp;$B$1&amp;"'!$A:$IZ"),92,FALSE)</f>
        <v/>
      </c>
      <c r="AW10" s="47">
        <f>RANK(AV10,AV$5:AV$22,0)</f>
        <v/>
      </c>
      <c r="AX10" s="46">
        <f>VLOOKUP($A10,INDIRECT("'"&amp;$B$1&amp;"'!$A:$IZ"),93,FALSE)</f>
        <v/>
      </c>
      <c r="AY10" s="47">
        <f>RANK(AX10,AX$5:AX$22,0)</f>
        <v/>
      </c>
      <c r="AZ10" s="46">
        <f>VLOOKUP($A10,INDIRECT("'"&amp;$B$1&amp;"'!$A:$IZ"),108,FALSE)</f>
        <v/>
      </c>
      <c r="BA10" s="47">
        <f>RANK(AZ10,AZ$5:AZ$22,0)</f>
        <v/>
      </c>
      <c r="BB10" s="46">
        <f>104-(AU10+AW10+AY10+BA10)</f>
        <v/>
      </c>
      <c r="BC10" s="47">
        <f>RANK(BB10,BB$5:BB$22)</f>
        <v/>
      </c>
      <c r="BD10" s="56" t="n"/>
      <c r="BE10" s="53">
        <f>VLOOKUP($A10,INDIRECT("'"&amp;$B$1&amp;"'!$A:$IZ"),80,FALSE)</f>
        <v/>
      </c>
      <c r="BF10" s="54">
        <f>RANK(BE10,BE$5:BE$22)</f>
        <v/>
      </c>
      <c r="BG10" s="53">
        <f>VLOOKUP($A10,INDIRECT("'"&amp;$B$1&amp;"'!$A:$IZ"),177,FALSE)</f>
        <v/>
      </c>
      <c r="BH10" s="54">
        <f>RANK(BG10,BG$5:BG$22,1)</f>
        <v/>
      </c>
      <c r="BI10" s="53">
        <f>VLOOKUP($A10,INDIRECT("'"&amp;$B$1&amp;"'!$A:$IZ"),79,FALSE)</f>
        <v/>
      </c>
      <c r="BJ10" s="54">
        <f>RANK(BI10,BI$5:BI$22)</f>
        <v/>
      </c>
      <c r="BK10" s="53">
        <f>VLOOKUP($A10,INDIRECT("'"&amp;$B$1&amp;"'!$A:$IZ"),176,FALSE)</f>
        <v/>
      </c>
      <c r="BL10" s="54">
        <f>RANK(BK10,BK$5:BK$22,1)</f>
        <v/>
      </c>
      <c r="BM10" s="53">
        <f>VLOOKUP($A10,INDIRECT("'"&amp;$B$1&amp;"'!$A:$IZ"),11,FALSE)</f>
        <v/>
      </c>
      <c r="BN10" s="54">
        <f>RANK(BM10,BM$5:BM$22)</f>
        <v/>
      </c>
      <c r="BO10" s="53">
        <f>VLOOKUP($A10,INDIRECT("'"&amp;$B$1&amp;"'!$A:$IZ"),222,FALSE)</f>
        <v/>
      </c>
      <c r="BP10" s="54">
        <f>RANK(BO10,BO$5:BO$22)</f>
        <v/>
      </c>
      <c r="BQ10" s="65">
        <f>106-(BF10+BH10+BN10+BP10+BJ10+BL10)</f>
        <v/>
      </c>
      <c r="BR10" s="47">
        <f>RANK(BQ10,BQ$5:BQ$22)</f>
        <v/>
      </c>
      <c r="BS10" s="56" t="n"/>
      <c r="BT10" s="57">
        <f>VLOOKUP($A10,'Ratings Season'!$A:$M,10,FALSE)</f>
        <v/>
      </c>
      <c r="BU10" s="54">
        <f>RANK(BT10,BT$5:BT$22)</f>
        <v/>
      </c>
      <c r="BV10" s="57">
        <f>VLOOKUP($A10,'Ratings Season'!$A:$M,12,FALSE)</f>
        <v/>
      </c>
      <c r="BW10" s="54">
        <f>RANK(BV10,BV$5:BV$22)</f>
        <v/>
      </c>
      <c r="BX10" s="57">
        <f>VLOOKUP($A10,'Ratings Season'!$A:$M,8,FALSE)</f>
        <v/>
      </c>
      <c r="BY10" s="58">
        <f>RANK(BX10,BX$5:BX$22)</f>
        <v/>
      </c>
      <c r="BZ10" s="72" t="n"/>
    </row>
    <row r="11" ht="25" customFormat="1" customHeight="1" s="3">
      <c r="A11" s="81" t="inlineStr">
        <is>
          <t>Geelong</t>
        </is>
      </c>
      <c r="B11" s="53">
        <f>VLOOKUP($A11,INDIRECT("'"&amp;$B$1&amp;"'!$A:$IZ"),222,FALSE)</f>
        <v/>
      </c>
      <c r="C11" s="54">
        <f>RANK(B11,B$5:B$22)</f>
        <v/>
      </c>
      <c r="D11" s="55">
        <f>VLOOKUP($A11,INDIRECT("'"&amp;$B$1&amp;"'!$A:$IZ"),218,FALSE)</f>
        <v/>
      </c>
      <c r="E11" s="54">
        <f>RANK(D11,D$5:D$22)</f>
        <v/>
      </c>
      <c r="F11" s="55">
        <f>VLOOKUP($A11,INDIRECT("'"&amp;$B$1&amp;"'!$A:$IZ"),49,FALSE)</f>
        <v/>
      </c>
      <c r="G11" s="54">
        <f>RANK(F11,F$5:F$22)</f>
        <v/>
      </c>
      <c r="H11" s="55">
        <f>VLOOKUP($A11,INDIRECT("'"&amp;$B$1&amp;"'!$A:$IZ"),229,FALSE)</f>
        <v/>
      </c>
      <c r="I11" s="54">
        <f>RANK(H11,H$5:H$22)</f>
        <v/>
      </c>
      <c r="J11" s="49">
        <f>104-(C11+E11+G11+I11)</f>
        <v/>
      </c>
      <c r="K11" s="47">
        <f>RANK(J11,J$5:J$22)</f>
        <v/>
      </c>
      <c r="L11" s="56" t="n"/>
      <c r="M11" s="53">
        <f>VLOOKUP($A11,INDIRECT("'"&amp;$B$1&amp;"'!$A:$IZ"),88,FALSE)</f>
        <v/>
      </c>
      <c r="N11" s="54">
        <f>RANK(M11,M$5:M$22)</f>
        <v/>
      </c>
      <c r="O11" s="53">
        <f>VLOOKUP($A11,INDIRECT("'"&amp;$B$1&amp;"'!$A:$IZ"),84,FALSE)</f>
        <v/>
      </c>
      <c r="P11" s="54">
        <f>RANK(O11,O$5:O$22)</f>
        <v/>
      </c>
      <c r="Q11" s="53">
        <f>VLOOKUP($A11,INDIRECT("'"&amp;$B$1&amp;"'!$A:$IZ"),85,FALSE)</f>
        <v/>
      </c>
      <c r="R11" s="54">
        <f>RANK(Q11,Q$5:Q$22)</f>
        <v/>
      </c>
      <c r="S11" s="55">
        <f>VLOOKUP($A11,INDIRECT("'"&amp;$B$1&amp;"'!$A:$IZ"),29,FALSE)</f>
        <v/>
      </c>
      <c r="T11" s="54">
        <f>RANK(S11,S$5:S$22)</f>
        <v/>
      </c>
      <c r="U11" s="49">
        <f>104-(N11+P11+R11+T11)</f>
        <v/>
      </c>
      <c r="V11" s="47">
        <f>RANK(U11,U$5:U$22)</f>
        <v/>
      </c>
      <c r="W11" s="56" t="n"/>
      <c r="X11" s="53">
        <f>VLOOKUP($A11,INDIRECT("'"&amp;$B$1&amp;"'!$A:$IZ"),65,FALSE)</f>
        <v/>
      </c>
      <c r="Y11" s="54">
        <f>RANK(X11,X$5:X$22)</f>
        <v/>
      </c>
      <c r="Z11" s="53">
        <f>VLOOKUP($A11,INDIRECT("'"&amp;$B$1&amp;"'!$A:$IZ"),64,FALSE)</f>
        <v/>
      </c>
      <c r="AA11" s="54">
        <f>RANK(Z11,Z$5:Z$22)</f>
        <v/>
      </c>
      <c r="AB11" s="53">
        <f>VLOOKUP($A11,INDIRECT("'"&amp;$B$1&amp;"'!$A:$IZ"),63,FALSE)</f>
        <v/>
      </c>
      <c r="AC11" s="54">
        <f>RANK(AB11,AB$5:AB$22)</f>
        <v/>
      </c>
      <c r="AD11" s="53">
        <f>VLOOKUP($A11,INDIRECT("'"&amp;$B$1&amp;"'!$A:$IZ"),71,FALSE)</f>
        <v/>
      </c>
      <c r="AE11" s="54">
        <f>RANK(AD11,AD$5:AD$22)</f>
        <v/>
      </c>
      <c r="AF11" s="65">
        <f>104-(Y11+AA11+AC11+AE11)</f>
        <v/>
      </c>
      <c r="AG11" s="47">
        <f>RANK(AF11,AF$5:AF$22)</f>
        <v/>
      </c>
      <c r="AH11" s="56" t="n"/>
      <c r="AI11" s="53">
        <f>VLOOKUP($A11,INDIRECT("'"&amp;$B$1&amp;"'!$A:$IZ"),183,FALSE)</f>
        <v/>
      </c>
      <c r="AJ11" s="54">
        <f>RANK(AI11,AI$5:AI$22,1)</f>
        <v/>
      </c>
      <c r="AK11" s="53">
        <f>VLOOKUP($A11,INDIRECT("'"&amp;$B$1&amp;"'!$A:$IZ"),181,FALSE)</f>
        <v/>
      </c>
      <c r="AL11" s="54">
        <f>RANK(AK11,AK$5:AK$22,1)</f>
        <v/>
      </c>
      <c r="AM11" s="53">
        <f>VLOOKUP($A11,INDIRECT("'"&amp;$B$1&amp;"'!$A:$IZ"),182,FALSE)</f>
        <v/>
      </c>
      <c r="AN11" s="54">
        <f>RANK(AM11,AM$5:AM$22,1)</f>
        <v/>
      </c>
      <c r="AO11" s="53">
        <f>VLOOKUP($A11,INDIRECT("'"&amp;$B$1&amp;"'!$A:$IZ"),163,FALSE)</f>
        <v/>
      </c>
      <c r="AP11" s="54">
        <f>RANK(AO11,AO$5:AO$22,1)</f>
        <v/>
      </c>
      <c r="AQ11" s="65">
        <f>104-(AJ11+AL11+AN11+AP11)</f>
        <v/>
      </c>
      <c r="AR11" s="47">
        <f>RANK(AQ11,AQ$5:AQ$22)</f>
        <v/>
      </c>
      <c r="AS11" s="56" t="n"/>
      <c r="AT11" s="46">
        <f>VLOOKUP($A11,INDIRECT("'"&amp;$B$1&amp;"'!$A:$IZ"),250,FALSE)</f>
        <v/>
      </c>
      <c r="AU11" s="47">
        <f>RANK(AT11,AT$5:AT$22,0)</f>
        <v/>
      </c>
      <c r="AV11" s="46">
        <f>VLOOKUP($A11,INDIRECT("'"&amp;$B$1&amp;"'!$A:$IZ"),92,FALSE)</f>
        <v/>
      </c>
      <c r="AW11" s="47">
        <f>RANK(AV11,AV$5:AV$22,0)</f>
        <v/>
      </c>
      <c r="AX11" s="46">
        <f>VLOOKUP($A11,INDIRECT("'"&amp;$B$1&amp;"'!$A:$IZ"),93,FALSE)</f>
        <v/>
      </c>
      <c r="AY11" s="47">
        <f>RANK(AX11,AX$5:AX$22,0)</f>
        <v/>
      </c>
      <c r="AZ11" s="46">
        <f>VLOOKUP($A11,INDIRECT("'"&amp;$B$1&amp;"'!$A:$IZ"),108,FALSE)</f>
        <v/>
      </c>
      <c r="BA11" s="47">
        <f>RANK(AZ11,AZ$5:AZ$22,0)</f>
        <v/>
      </c>
      <c r="BB11" s="46">
        <f>104-(AU11+AW11+AY11+BA11)</f>
        <v/>
      </c>
      <c r="BC11" s="47">
        <f>RANK(BB11,BB$5:BB$22)</f>
        <v/>
      </c>
      <c r="BD11" s="56" t="n"/>
      <c r="BE11" s="53">
        <f>VLOOKUP($A11,INDIRECT("'"&amp;$B$1&amp;"'!$A:$IZ"),80,FALSE)</f>
        <v/>
      </c>
      <c r="BF11" s="54">
        <f>RANK(BE11,BE$5:BE$22)</f>
        <v/>
      </c>
      <c r="BG11" s="53">
        <f>VLOOKUP($A11,INDIRECT("'"&amp;$B$1&amp;"'!$A:$IZ"),177,FALSE)</f>
        <v/>
      </c>
      <c r="BH11" s="54">
        <f>RANK(BG11,BG$5:BG$22,1)</f>
        <v/>
      </c>
      <c r="BI11" s="53">
        <f>VLOOKUP($A11,INDIRECT("'"&amp;$B$1&amp;"'!$A:$IZ"),79,FALSE)</f>
        <v/>
      </c>
      <c r="BJ11" s="54">
        <f>RANK(BI11,BI$5:BI$22)</f>
        <v/>
      </c>
      <c r="BK11" s="53">
        <f>VLOOKUP($A11,INDIRECT("'"&amp;$B$1&amp;"'!$A:$IZ"),176,FALSE)</f>
        <v/>
      </c>
      <c r="BL11" s="54">
        <f>RANK(BK11,BK$5:BK$22,1)</f>
        <v/>
      </c>
      <c r="BM11" s="53">
        <f>VLOOKUP($A11,INDIRECT("'"&amp;$B$1&amp;"'!$A:$IZ"),11,FALSE)</f>
        <v/>
      </c>
      <c r="BN11" s="54">
        <f>RANK(BM11,BM$5:BM$22)</f>
        <v/>
      </c>
      <c r="BO11" s="53">
        <f>VLOOKUP($A11,INDIRECT("'"&amp;$B$1&amp;"'!$A:$IZ"),222,FALSE)</f>
        <v/>
      </c>
      <c r="BP11" s="54">
        <f>RANK(BO11,BO$5:BO$22)</f>
        <v/>
      </c>
      <c r="BQ11" s="65">
        <f>106-(BF11+BH11+BN11+BP11+BJ11+BL11)</f>
        <v/>
      </c>
      <c r="BR11" s="47">
        <f>RANK(BQ11,BQ$5:BQ$22)</f>
        <v/>
      </c>
      <c r="BS11" s="56" t="n"/>
      <c r="BT11" s="57">
        <f>VLOOKUP($A11,'Ratings Season'!$A:$M,10,FALSE)</f>
        <v/>
      </c>
      <c r="BU11" s="54">
        <f>RANK(BT11,BT$5:BT$22)</f>
        <v/>
      </c>
      <c r="BV11" s="57">
        <f>VLOOKUP($A11,'Ratings Season'!$A:$M,12,FALSE)</f>
        <v/>
      </c>
      <c r="BW11" s="54">
        <f>RANK(BV11,BV$5:BV$22)</f>
        <v/>
      </c>
      <c r="BX11" s="57">
        <f>VLOOKUP($A11,'Ratings Season'!$A:$M,8,FALSE)</f>
        <v/>
      </c>
      <c r="BY11" s="58">
        <f>RANK(BX11,BX$5:BX$22)</f>
        <v/>
      </c>
      <c r="BZ11" s="72" t="n"/>
    </row>
    <row r="12" ht="25" customFormat="1" customHeight="1" s="3">
      <c r="A12" s="82" t="inlineStr">
        <is>
          <t>Gold Coast</t>
        </is>
      </c>
      <c r="B12" s="53">
        <f>VLOOKUP($A12,INDIRECT("'"&amp;$B$1&amp;"'!$A:$IZ"),222,FALSE)</f>
        <v/>
      </c>
      <c r="C12" s="54">
        <f>RANK(B12,B$5:B$22)</f>
        <v/>
      </c>
      <c r="D12" s="55">
        <f>VLOOKUP($A12,INDIRECT("'"&amp;$B$1&amp;"'!$A:$IZ"),218,FALSE)</f>
        <v/>
      </c>
      <c r="E12" s="54">
        <f>RANK(D12,D$5:D$22)</f>
        <v/>
      </c>
      <c r="F12" s="55">
        <f>VLOOKUP($A12,INDIRECT("'"&amp;$B$1&amp;"'!$A:$IZ"),49,FALSE)</f>
        <v/>
      </c>
      <c r="G12" s="54">
        <f>RANK(F12,F$5:F$22)</f>
        <v/>
      </c>
      <c r="H12" s="55">
        <f>VLOOKUP($A12,INDIRECT("'"&amp;$B$1&amp;"'!$A:$IZ"),229,FALSE)</f>
        <v/>
      </c>
      <c r="I12" s="54">
        <f>RANK(H12,H$5:H$22)</f>
        <v/>
      </c>
      <c r="J12" s="49">
        <f>104-(C12+E12+G12+I12)</f>
        <v/>
      </c>
      <c r="K12" s="47">
        <f>RANK(J12,J$5:J$22)</f>
        <v/>
      </c>
      <c r="L12" s="56" t="n"/>
      <c r="M12" s="53">
        <f>VLOOKUP($A12,INDIRECT("'"&amp;$B$1&amp;"'!$A:$IZ"),88,FALSE)</f>
        <v/>
      </c>
      <c r="N12" s="54">
        <f>RANK(M12,M$5:M$22)</f>
        <v/>
      </c>
      <c r="O12" s="53">
        <f>VLOOKUP($A12,INDIRECT("'"&amp;$B$1&amp;"'!$A:$IZ"),84,FALSE)</f>
        <v/>
      </c>
      <c r="P12" s="54">
        <f>RANK(O12,O$5:O$22)</f>
        <v/>
      </c>
      <c r="Q12" s="53">
        <f>VLOOKUP($A12,INDIRECT("'"&amp;$B$1&amp;"'!$A:$IZ"),85,FALSE)</f>
        <v/>
      </c>
      <c r="R12" s="54">
        <f>RANK(Q12,Q$5:Q$22)</f>
        <v/>
      </c>
      <c r="S12" s="55">
        <f>VLOOKUP($A12,INDIRECT("'"&amp;$B$1&amp;"'!$A:$IZ"),29,FALSE)</f>
        <v/>
      </c>
      <c r="T12" s="54">
        <f>RANK(S12,S$5:S$22)</f>
        <v/>
      </c>
      <c r="U12" s="49">
        <f>104-(N12+P12+R12+T12)</f>
        <v/>
      </c>
      <c r="V12" s="47">
        <f>RANK(U12,U$5:U$22)</f>
        <v/>
      </c>
      <c r="W12" s="56" t="n"/>
      <c r="X12" s="53">
        <f>VLOOKUP($A12,INDIRECT("'"&amp;$B$1&amp;"'!$A:$IZ"),65,FALSE)</f>
        <v/>
      </c>
      <c r="Y12" s="54">
        <f>RANK(X12,X$5:X$22)</f>
        <v/>
      </c>
      <c r="Z12" s="53">
        <f>VLOOKUP($A12,INDIRECT("'"&amp;$B$1&amp;"'!$A:$IZ"),64,FALSE)</f>
        <v/>
      </c>
      <c r="AA12" s="54">
        <f>RANK(Z12,Z$5:Z$22)</f>
        <v/>
      </c>
      <c r="AB12" s="53">
        <f>VLOOKUP($A12,INDIRECT("'"&amp;$B$1&amp;"'!$A:$IZ"),63,FALSE)</f>
        <v/>
      </c>
      <c r="AC12" s="54">
        <f>RANK(AB12,AB$5:AB$22)</f>
        <v/>
      </c>
      <c r="AD12" s="53">
        <f>VLOOKUP($A12,INDIRECT("'"&amp;$B$1&amp;"'!$A:$IZ"),71,FALSE)</f>
        <v/>
      </c>
      <c r="AE12" s="54">
        <f>RANK(AD12,AD$5:AD$22)</f>
        <v/>
      </c>
      <c r="AF12" s="65">
        <f>104-(Y12+AA12+AC12+AE12)</f>
        <v/>
      </c>
      <c r="AG12" s="47">
        <f>RANK(AF12,AF$5:AF$22)</f>
        <v/>
      </c>
      <c r="AH12" s="56" t="n"/>
      <c r="AI12" s="53">
        <f>VLOOKUP($A12,INDIRECT("'"&amp;$B$1&amp;"'!$A:$IZ"),183,FALSE)</f>
        <v/>
      </c>
      <c r="AJ12" s="54">
        <f>RANK(AI12,AI$5:AI$22,1)</f>
        <v/>
      </c>
      <c r="AK12" s="53">
        <f>VLOOKUP($A12,INDIRECT("'"&amp;$B$1&amp;"'!$A:$IZ"),181,FALSE)</f>
        <v/>
      </c>
      <c r="AL12" s="54">
        <f>RANK(AK12,AK$5:AK$22,1)</f>
        <v/>
      </c>
      <c r="AM12" s="53">
        <f>VLOOKUP($A12,INDIRECT("'"&amp;$B$1&amp;"'!$A:$IZ"),182,FALSE)</f>
        <v/>
      </c>
      <c r="AN12" s="54">
        <f>RANK(AM12,AM$5:AM$22,1)</f>
        <v/>
      </c>
      <c r="AO12" s="53">
        <f>VLOOKUP($A12,INDIRECT("'"&amp;$B$1&amp;"'!$A:$IZ"),163,FALSE)</f>
        <v/>
      </c>
      <c r="AP12" s="54">
        <f>RANK(AO12,AO$5:AO$22,1)</f>
        <v/>
      </c>
      <c r="AQ12" s="65">
        <f>104-(AJ12+AL12+AN12+AP12)</f>
        <v/>
      </c>
      <c r="AR12" s="47">
        <f>RANK(AQ12,AQ$5:AQ$22)</f>
        <v/>
      </c>
      <c r="AS12" s="56" t="n"/>
      <c r="AT12" s="46">
        <f>VLOOKUP($A12,INDIRECT("'"&amp;$B$1&amp;"'!$A:$IZ"),250,FALSE)</f>
        <v/>
      </c>
      <c r="AU12" s="47">
        <f>RANK(AT12,AT$5:AT$22,0)</f>
        <v/>
      </c>
      <c r="AV12" s="46">
        <f>VLOOKUP($A12,INDIRECT("'"&amp;$B$1&amp;"'!$A:$IZ"),92,FALSE)</f>
        <v/>
      </c>
      <c r="AW12" s="47">
        <f>RANK(AV12,AV$5:AV$22,0)</f>
        <v/>
      </c>
      <c r="AX12" s="46">
        <f>VLOOKUP($A12,INDIRECT("'"&amp;$B$1&amp;"'!$A:$IZ"),93,FALSE)</f>
        <v/>
      </c>
      <c r="AY12" s="47">
        <f>RANK(AX12,AX$5:AX$22,0)</f>
        <v/>
      </c>
      <c r="AZ12" s="46">
        <f>VLOOKUP($A12,INDIRECT("'"&amp;$B$1&amp;"'!$A:$IZ"),108,FALSE)</f>
        <v/>
      </c>
      <c r="BA12" s="47">
        <f>RANK(AZ12,AZ$5:AZ$22,0)</f>
        <v/>
      </c>
      <c r="BB12" s="46">
        <f>104-(AU12+AW12+AY12+BA12)</f>
        <v/>
      </c>
      <c r="BC12" s="47">
        <f>RANK(BB12,BB$5:BB$22)</f>
        <v/>
      </c>
      <c r="BD12" s="56" t="n"/>
      <c r="BE12" s="53">
        <f>VLOOKUP($A12,INDIRECT("'"&amp;$B$1&amp;"'!$A:$IZ"),80,FALSE)</f>
        <v/>
      </c>
      <c r="BF12" s="54">
        <f>RANK(BE12,BE$5:BE$22)</f>
        <v/>
      </c>
      <c r="BG12" s="53">
        <f>VLOOKUP($A12,INDIRECT("'"&amp;$B$1&amp;"'!$A:$IZ"),177,FALSE)</f>
        <v/>
      </c>
      <c r="BH12" s="54">
        <f>RANK(BG12,BG$5:BG$22,1)</f>
        <v/>
      </c>
      <c r="BI12" s="53">
        <f>VLOOKUP($A12,INDIRECT("'"&amp;$B$1&amp;"'!$A:$IZ"),79,FALSE)</f>
        <v/>
      </c>
      <c r="BJ12" s="54">
        <f>RANK(BI12,BI$5:BI$22)</f>
        <v/>
      </c>
      <c r="BK12" s="53">
        <f>VLOOKUP($A12,INDIRECT("'"&amp;$B$1&amp;"'!$A:$IZ"),176,FALSE)</f>
        <v/>
      </c>
      <c r="BL12" s="54">
        <f>RANK(BK12,BK$5:BK$22,1)</f>
        <v/>
      </c>
      <c r="BM12" s="53">
        <f>VLOOKUP($A12,INDIRECT("'"&amp;$B$1&amp;"'!$A:$IZ"),11,FALSE)</f>
        <v/>
      </c>
      <c r="BN12" s="54">
        <f>RANK(BM12,BM$5:BM$22)</f>
        <v/>
      </c>
      <c r="BO12" s="53">
        <f>VLOOKUP($A12,INDIRECT("'"&amp;$B$1&amp;"'!$A:$IZ"),222,FALSE)</f>
        <v/>
      </c>
      <c r="BP12" s="54">
        <f>RANK(BO12,BO$5:BO$22)</f>
        <v/>
      </c>
      <c r="BQ12" s="65">
        <f>106-(BF12+BH12+BN12+BP12+BJ12+BL12)</f>
        <v/>
      </c>
      <c r="BR12" s="47">
        <f>RANK(BQ12,BQ$5:BQ$22)</f>
        <v/>
      </c>
      <c r="BS12" s="56" t="n"/>
      <c r="BT12" s="57">
        <f>VLOOKUP($A12,'Ratings Season'!$A:$M,10,FALSE)</f>
        <v/>
      </c>
      <c r="BU12" s="54">
        <f>RANK(BT12,BT$5:BT$22)</f>
        <v/>
      </c>
      <c r="BV12" s="57">
        <f>VLOOKUP($A12,'Ratings Season'!$A:$M,12,FALSE)</f>
        <v/>
      </c>
      <c r="BW12" s="54">
        <f>RANK(BV12,BV$5:BV$22)</f>
        <v/>
      </c>
      <c r="BX12" s="57">
        <f>VLOOKUP($A12,'Ratings Season'!$A:$M,8,FALSE)</f>
        <v/>
      </c>
      <c r="BY12" s="58">
        <f>RANK(BX12,BX$5:BX$22)</f>
        <v/>
      </c>
      <c r="BZ12" s="72" t="n"/>
    </row>
    <row r="13" ht="25" customFormat="1" customHeight="1" s="3">
      <c r="A13" s="83" t="inlineStr">
        <is>
          <t>Greater Western Sydney</t>
        </is>
      </c>
      <c r="B13" s="53">
        <f>VLOOKUP($A13,INDIRECT("'"&amp;$B$1&amp;"'!$A:$IZ"),222,FALSE)</f>
        <v/>
      </c>
      <c r="C13" s="54">
        <f>RANK(B13,B$5:B$22)</f>
        <v/>
      </c>
      <c r="D13" s="55">
        <f>VLOOKUP($A13,INDIRECT("'"&amp;$B$1&amp;"'!$A:$IZ"),218,FALSE)</f>
        <v/>
      </c>
      <c r="E13" s="54">
        <f>RANK(D13,D$5:D$22)</f>
        <v/>
      </c>
      <c r="F13" s="55">
        <f>VLOOKUP($A13,INDIRECT("'"&amp;$B$1&amp;"'!$A:$IZ"),49,FALSE)</f>
        <v/>
      </c>
      <c r="G13" s="54">
        <f>RANK(F13,F$5:F$22)</f>
        <v/>
      </c>
      <c r="H13" s="55">
        <f>VLOOKUP($A13,INDIRECT("'"&amp;$B$1&amp;"'!$A:$IZ"),229,FALSE)</f>
        <v/>
      </c>
      <c r="I13" s="54">
        <f>RANK(H13,H$5:H$22)</f>
        <v/>
      </c>
      <c r="J13" s="49">
        <f>104-(C13+E13+G13+I13)</f>
        <v/>
      </c>
      <c r="K13" s="47">
        <f>RANK(J13,J$5:J$22)</f>
        <v/>
      </c>
      <c r="L13" s="56" t="n"/>
      <c r="M13" s="53">
        <f>VLOOKUP($A13,INDIRECT("'"&amp;$B$1&amp;"'!$A:$IZ"),88,FALSE)</f>
        <v/>
      </c>
      <c r="N13" s="54">
        <f>RANK(M13,M$5:M$22)</f>
        <v/>
      </c>
      <c r="O13" s="53">
        <f>VLOOKUP($A13,INDIRECT("'"&amp;$B$1&amp;"'!$A:$IZ"),84,FALSE)</f>
        <v/>
      </c>
      <c r="P13" s="54">
        <f>RANK(O13,O$5:O$22)</f>
        <v/>
      </c>
      <c r="Q13" s="53">
        <f>VLOOKUP($A13,INDIRECT("'"&amp;$B$1&amp;"'!$A:$IZ"),85,FALSE)</f>
        <v/>
      </c>
      <c r="R13" s="54">
        <f>RANK(Q13,Q$5:Q$22)</f>
        <v/>
      </c>
      <c r="S13" s="55">
        <f>VLOOKUP($A13,INDIRECT("'"&amp;$B$1&amp;"'!$A:$IZ"),29,FALSE)</f>
        <v/>
      </c>
      <c r="T13" s="54">
        <f>RANK(S13,S$5:S$22)</f>
        <v/>
      </c>
      <c r="U13" s="49">
        <f>104-(N13+P13+R13+T13)</f>
        <v/>
      </c>
      <c r="V13" s="47">
        <f>RANK(U13,U$5:U$22)</f>
        <v/>
      </c>
      <c r="W13" s="56" t="n"/>
      <c r="X13" s="53">
        <f>VLOOKUP($A13,INDIRECT("'"&amp;$B$1&amp;"'!$A:$IZ"),65,FALSE)</f>
        <v/>
      </c>
      <c r="Y13" s="54">
        <f>RANK(X13,X$5:X$22)</f>
        <v/>
      </c>
      <c r="Z13" s="53">
        <f>VLOOKUP($A13,INDIRECT("'"&amp;$B$1&amp;"'!$A:$IZ"),64,FALSE)</f>
        <v/>
      </c>
      <c r="AA13" s="54">
        <f>RANK(Z13,Z$5:Z$22)</f>
        <v/>
      </c>
      <c r="AB13" s="53">
        <f>VLOOKUP($A13,INDIRECT("'"&amp;$B$1&amp;"'!$A:$IZ"),63,FALSE)</f>
        <v/>
      </c>
      <c r="AC13" s="54">
        <f>RANK(AB13,AB$5:AB$22)</f>
        <v/>
      </c>
      <c r="AD13" s="53">
        <f>VLOOKUP($A13,INDIRECT("'"&amp;$B$1&amp;"'!$A:$IZ"),71,FALSE)</f>
        <v/>
      </c>
      <c r="AE13" s="54">
        <f>RANK(AD13,AD$5:AD$22)</f>
        <v/>
      </c>
      <c r="AF13" s="65">
        <f>104-(Y13+AA13+AC13+AE13)</f>
        <v/>
      </c>
      <c r="AG13" s="47">
        <f>RANK(AF13,AF$5:AF$22)</f>
        <v/>
      </c>
      <c r="AH13" s="56" t="n"/>
      <c r="AI13" s="53">
        <f>VLOOKUP($A13,INDIRECT("'"&amp;$B$1&amp;"'!$A:$IZ"),183,FALSE)</f>
        <v/>
      </c>
      <c r="AJ13" s="54">
        <f>RANK(AI13,AI$5:AI$22,1)</f>
        <v/>
      </c>
      <c r="AK13" s="53">
        <f>VLOOKUP($A13,INDIRECT("'"&amp;$B$1&amp;"'!$A:$IZ"),181,FALSE)</f>
        <v/>
      </c>
      <c r="AL13" s="54">
        <f>RANK(AK13,AK$5:AK$22,1)</f>
        <v/>
      </c>
      <c r="AM13" s="53">
        <f>VLOOKUP($A13,INDIRECT("'"&amp;$B$1&amp;"'!$A:$IZ"),182,FALSE)</f>
        <v/>
      </c>
      <c r="AN13" s="54">
        <f>RANK(AM13,AM$5:AM$22,1)</f>
        <v/>
      </c>
      <c r="AO13" s="53">
        <f>VLOOKUP($A13,INDIRECT("'"&amp;$B$1&amp;"'!$A:$IZ"),163,FALSE)</f>
        <v/>
      </c>
      <c r="AP13" s="54">
        <f>RANK(AO13,AO$5:AO$22,1)</f>
        <v/>
      </c>
      <c r="AQ13" s="65">
        <f>104-(AJ13+AL13+AN13+AP13)</f>
        <v/>
      </c>
      <c r="AR13" s="47">
        <f>RANK(AQ13,AQ$5:AQ$22)</f>
        <v/>
      </c>
      <c r="AS13" s="56" t="n"/>
      <c r="AT13" s="46">
        <f>VLOOKUP($A13,INDIRECT("'"&amp;$B$1&amp;"'!$A:$IZ"),250,FALSE)</f>
        <v/>
      </c>
      <c r="AU13" s="47">
        <f>RANK(AT13,AT$5:AT$22,0)</f>
        <v/>
      </c>
      <c r="AV13" s="46">
        <f>VLOOKUP($A13,INDIRECT("'"&amp;$B$1&amp;"'!$A:$IZ"),92,FALSE)</f>
        <v/>
      </c>
      <c r="AW13" s="47">
        <f>RANK(AV13,AV$5:AV$22,0)</f>
        <v/>
      </c>
      <c r="AX13" s="46">
        <f>VLOOKUP($A13,INDIRECT("'"&amp;$B$1&amp;"'!$A:$IZ"),93,FALSE)</f>
        <v/>
      </c>
      <c r="AY13" s="47">
        <f>RANK(AX13,AX$5:AX$22,0)</f>
        <v/>
      </c>
      <c r="AZ13" s="46">
        <f>VLOOKUP($A13,INDIRECT("'"&amp;$B$1&amp;"'!$A:$IZ"),108,FALSE)</f>
        <v/>
      </c>
      <c r="BA13" s="47">
        <f>RANK(AZ13,AZ$5:AZ$22,0)</f>
        <v/>
      </c>
      <c r="BB13" s="46">
        <f>104-(AU13+AW13+AY13+BA13)</f>
        <v/>
      </c>
      <c r="BC13" s="47">
        <f>RANK(BB13,BB$5:BB$22)</f>
        <v/>
      </c>
      <c r="BD13" s="56" t="n"/>
      <c r="BE13" s="53">
        <f>VLOOKUP($A13,INDIRECT("'"&amp;$B$1&amp;"'!$A:$IZ"),80,FALSE)</f>
        <v/>
      </c>
      <c r="BF13" s="54">
        <f>RANK(BE13,BE$5:BE$22)</f>
        <v/>
      </c>
      <c r="BG13" s="53">
        <f>VLOOKUP($A13,INDIRECT("'"&amp;$B$1&amp;"'!$A:$IZ"),177,FALSE)</f>
        <v/>
      </c>
      <c r="BH13" s="54">
        <f>RANK(BG13,BG$5:BG$22,1)</f>
        <v/>
      </c>
      <c r="BI13" s="53">
        <f>VLOOKUP($A13,INDIRECT("'"&amp;$B$1&amp;"'!$A:$IZ"),79,FALSE)</f>
        <v/>
      </c>
      <c r="BJ13" s="54">
        <f>RANK(BI13,BI$5:BI$22)</f>
        <v/>
      </c>
      <c r="BK13" s="53">
        <f>VLOOKUP($A13,INDIRECT("'"&amp;$B$1&amp;"'!$A:$IZ"),176,FALSE)</f>
        <v/>
      </c>
      <c r="BL13" s="54">
        <f>RANK(BK13,BK$5:BK$22,1)</f>
        <v/>
      </c>
      <c r="BM13" s="53">
        <f>VLOOKUP($A13,INDIRECT("'"&amp;$B$1&amp;"'!$A:$IZ"),11,FALSE)</f>
        <v/>
      </c>
      <c r="BN13" s="54">
        <f>RANK(BM13,BM$5:BM$22)</f>
        <v/>
      </c>
      <c r="BO13" s="53">
        <f>VLOOKUP($A13,INDIRECT("'"&amp;$B$1&amp;"'!$A:$IZ"),222,FALSE)</f>
        <v/>
      </c>
      <c r="BP13" s="54">
        <f>RANK(BO13,BO$5:BO$22)</f>
        <v/>
      </c>
      <c r="BQ13" s="65">
        <f>106-(BF13+BH13+BN13+BP13+BJ13+BL13)</f>
        <v/>
      </c>
      <c r="BR13" s="47">
        <f>RANK(BQ13,BQ$5:BQ$22)</f>
        <v/>
      </c>
      <c r="BS13" s="56" t="n"/>
      <c r="BT13" s="57">
        <f>VLOOKUP($A13,'Ratings Season'!$A:$M,10,FALSE)</f>
        <v/>
      </c>
      <c r="BU13" s="54">
        <f>RANK(BT13,BT$5:BT$22)</f>
        <v/>
      </c>
      <c r="BV13" s="57">
        <f>VLOOKUP($A13,'Ratings Season'!$A:$M,12,FALSE)</f>
        <v/>
      </c>
      <c r="BW13" s="54">
        <f>RANK(BV13,BV$5:BV$22)</f>
        <v/>
      </c>
      <c r="BX13" s="57">
        <f>VLOOKUP($A13,'Ratings Season'!$A:$M,8,FALSE)</f>
        <v/>
      </c>
      <c r="BY13" s="58">
        <f>RANK(BX13,BX$5:BX$22)</f>
        <v/>
      </c>
      <c r="BZ13" s="72" t="n"/>
    </row>
    <row r="14" ht="25" customFormat="1" customHeight="1" s="3">
      <c r="A14" s="84" t="inlineStr">
        <is>
          <t>Hawthorn</t>
        </is>
      </c>
      <c r="B14" s="53">
        <f>VLOOKUP($A14,INDIRECT("'"&amp;$B$1&amp;"'!$A:$IZ"),222,FALSE)</f>
        <v/>
      </c>
      <c r="C14" s="54">
        <f>RANK(B14,B$5:B$22)</f>
        <v/>
      </c>
      <c r="D14" s="55">
        <f>VLOOKUP($A14,INDIRECT("'"&amp;$B$1&amp;"'!$A:$IZ"),218,FALSE)</f>
        <v/>
      </c>
      <c r="E14" s="54">
        <f>RANK(D14,D$5:D$22)</f>
        <v/>
      </c>
      <c r="F14" s="55">
        <f>VLOOKUP($A14,INDIRECT("'"&amp;$B$1&amp;"'!$A:$IZ"),49,FALSE)</f>
        <v/>
      </c>
      <c r="G14" s="54">
        <f>RANK(F14,F$5:F$22)</f>
        <v/>
      </c>
      <c r="H14" s="55">
        <f>VLOOKUP($A14,INDIRECT("'"&amp;$B$1&amp;"'!$A:$IZ"),229,FALSE)</f>
        <v/>
      </c>
      <c r="I14" s="54">
        <f>RANK(H14,H$5:H$22)</f>
        <v/>
      </c>
      <c r="J14" s="49">
        <f>104-(C14+E14+G14+I14)</f>
        <v/>
      </c>
      <c r="K14" s="47">
        <f>RANK(J14,J$5:J$22)</f>
        <v/>
      </c>
      <c r="L14" s="56" t="n"/>
      <c r="M14" s="53">
        <f>VLOOKUP($A14,INDIRECT("'"&amp;$B$1&amp;"'!$A:$IZ"),88,FALSE)</f>
        <v/>
      </c>
      <c r="N14" s="54">
        <f>RANK(M14,M$5:M$22)</f>
        <v/>
      </c>
      <c r="O14" s="53">
        <f>VLOOKUP($A14,INDIRECT("'"&amp;$B$1&amp;"'!$A:$IZ"),84,FALSE)</f>
        <v/>
      </c>
      <c r="P14" s="54">
        <f>RANK(O14,O$5:O$22)</f>
        <v/>
      </c>
      <c r="Q14" s="53">
        <f>VLOOKUP($A14,INDIRECT("'"&amp;$B$1&amp;"'!$A:$IZ"),85,FALSE)</f>
        <v/>
      </c>
      <c r="R14" s="54">
        <f>RANK(Q14,Q$5:Q$22)</f>
        <v/>
      </c>
      <c r="S14" s="55">
        <f>VLOOKUP($A14,INDIRECT("'"&amp;$B$1&amp;"'!$A:$IZ"),29,FALSE)</f>
        <v/>
      </c>
      <c r="T14" s="54">
        <f>RANK(S14,S$5:S$22)</f>
        <v/>
      </c>
      <c r="U14" s="49">
        <f>104-(N14+P14+R14+T14)</f>
        <v/>
      </c>
      <c r="V14" s="47">
        <f>RANK(U14,U$5:U$22)</f>
        <v/>
      </c>
      <c r="W14" s="56" t="n"/>
      <c r="X14" s="53">
        <f>VLOOKUP($A14,INDIRECT("'"&amp;$B$1&amp;"'!$A:$IZ"),65,FALSE)</f>
        <v/>
      </c>
      <c r="Y14" s="54">
        <f>RANK(X14,X$5:X$22)</f>
        <v/>
      </c>
      <c r="Z14" s="53">
        <f>VLOOKUP($A14,INDIRECT("'"&amp;$B$1&amp;"'!$A:$IZ"),64,FALSE)</f>
        <v/>
      </c>
      <c r="AA14" s="54">
        <f>RANK(Z14,Z$5:Z$22)</f>
        <v/>
      </c>
      <c r="AB14" s="53">
        <f>VLOOKUP($A14,INDIRECT("'"&amp;$B$1&amp;"'!$A:$IZ"),63,FALSE)</f>
        <v/>
      </c>
      <c r="AC14" s="54">
        <f>RANK(AB14,AB$5:AB$22)</f>
        <v/>
      </c>
      <c r="AD14" s="53">
        <f>VLOOKUP($A14,INDIRECT("'"&amp;$B$1&amp;"'!$A:$IZ"),71,FALSE)</f>
        <v/>
      </c>
      <c r="AE14" s="54">
        <f>RANK(AD14,AD$5:AD$22)</f>
        <v/>
      </c>
      <c r="AF14" s="65">
        <f>104-(Y14+AA14+AC14+AE14)</f>
        <v/>
      </c>
      <c r="AG14" s="47">
        <f>RANK(AF14,AF$5:AF$22)</f>
        <v/>
      </c>
      <c r="AH14" s="56" t="n"/>
      <c r="AI14" s="53">
        <f>VLOOKUP($A14,INDIRECT("'"&amp;$B$1&amp;"'!$A:$IZ"),183,FALSE)</f>
        <v/>
      </c>
      <c r="AJ14" s="54">
        <f>RANK(AI14,AI$5:AI$22,1)</f>
        <v/>
      </c>
      <c r="AK14" s="53">
        <f>VLOOKUP($A14,INDIRECT("'"&amp;$B$1&amp;"'!$A:$IZ"),181,FALSE)</f>
        <v/>
      </c>
      <c r="AL14" s="54">
        <f>RANK(AK14,AK$5:AK$22,1)</f>
        <v/>
      </c>
      <c r="AM14" s="53">
        <f>VLOOKUP($A14,INDIRECT("'"&amp;$B$1&amp;"'!$A:$IZ"),182,FALSE)</f>
        <v/>
      </c>
      <c r="AN14" s="54">
        <f>RANK(AM14,AM$5:AM$22,1)</f>
        <v/>
      </c>
      <c r="AO14" s="53">
        <f>VLOOKUP($A14,INDIRECT("'"&amp;$B$1&amp;"'!$A:$IZ"),163,FALSE)</f>
        <v/>
      </c>
      <c r="AP14" s="54">
        <f>RANK(AO14,AO$5:AO$22,1)</f>
        <v/>
      </c>
      <c r="AQ14" s="65">
        <f>104-(AJ14+AL14+AN14+AP14)</f>
        <v/>
      </c>
      <c r="AR14" s="47">
        <f>RANK(AQ14,AQ$5:AQ$22)</f>
        <v/>
      </c>
      <c r="AS14" s="56" t="n"/>
      <c r="AT14" s="46">
        <f>VLOOKUP($A14,INDIRECT("'"&amp;$B$1&amp;"'!$A:$IZ"),250,FALSE)</f>
        <v/>
      </c>
      <c r="AU14" s="47">
        <f>RANK(AT14,AT$5:AT$22,0)</f>
        <v/>
      </c>
      <c r="AV14" s="46">
        <f>VLOOKUP($A14,INDIRECT("'"&amp;$B$1&amp;"'!$A:$IZ"),92,FALSE)</f>
        <v/>
      </c>
      <c r="AW14" s="47">
        <f>RANK(AV14,AV$5:AV$22,0)</f>
        <v/>
      </c>
      <c r="AX14" s="46">
        <f>VLOOKUP($A14,INDIRECT("'"&amp;$B$1&amp;"'!$A:$IZ"),93,FALSE)</f>
        <v/>
      </c>
      <c r="AY14" s="47">
        <f>RANK(AX14,AX$5:AX$22,0)</f>
        <v/>
      </c>
      <c r="AZ14" s="46">
        <f>VLOOKUP($A14,INDIRECT("'"&amp;$B$1&amp;"'!$A:$IZ"),108,FALSE)</f>
        <v/>
      </c>
      <c r="BA14" s="47">
        <f>RANK(AZ14,AZ$5:AZ$22,0)</f>
        <v/>
      </c>
      <c r="BB14" s="46">
        <f>104-(AU14+AW14+AY14+BA14)</f>
        <v/>
      </c>
      <c r="BC14" s="47">
        <f>RANK(BB14,BB$5:BB$22)</f>
        <v/>
      </c>
      <c r="BD14" s="56" t="n"/>
      <c r="BE14" s="53">
        <f>VLOOKUP($A14,INDIRECT("'"&amp;$B$1&amp;"'!$A:$IZ"),80,FALSE)</f>
        <v/>
      </c>
      <c r="BF14" s="54">
        <f>RANK(BE14,BE$5:BE$22)</f>
        <v/>
      </c>
      <c r="BG14" s="53">
        <f>VLOOKUP($A14,INDIRECT("'"&amp;$B$1&amp;"'!$A:$IZ"),177,FALSE)</f>
        <v/>
      </c>
      <c r="BH14" s="54">
        <f>RANK(BG14,BG$5:BG$22,1)</f>
        <v/>
      </c>
      <c r="BI14" s="53">
        <f>VLOOKUP($A14,INDIRECT("'"&amp;$B$1&amp;"'!$A:$IZ"),79,FALSE)</f>
        <v/>
      </c>
      <c r="BJ14" s="54">
        <f>RANK(BI14,BI$5:BI$22)</f>
        <v/>
      </c>
      <c r="BK14" s="53">
        <f>VLOOKUP($A14,INDIRECT("'"&amp;$B$1&amp;"'!$A:$IZ"),176,FALSE)</f>
        <v/>
      </c>
      <c r="BL14" s="54">
        <f>RANK(BK14,BK$5:BK$22,1)</f>
        <v/>
      </c>
      <c r="BM14" s="53">
        <f>VLOOKUP($A14,INDIRECT("'"&amp;$B$1&amp;"'!$A:$IZ"),11,FALSE)</f>
        <v/>
      </c>
      <c r="BN14" s="54">
        <f>RANK(BM14,BM$5:BM$22)</f>
        <v/>
      </c>
      <c r="BO14" s="53">
        <f>VLOOKUP($A14,INDIRECT("'"&amp;$B$1&amp;"'!$A:$IZ"),222,FALSE)</f>
        <v/>
      </c>
      <c r="BP14" s="54">
        <f>RANK(BO14,BO$5:BO$22)</f>
        <v/>
      </c>
      <c r="BQ14" s="65">
        <f>106-(BF14+BH14+BN14+BP14+BJ14+BL14)</f>
        <v/>
      </c>
      <c r="BR14" s="47">
        <f>RANK(BQ14,BQ$5:BQ$22)</f>
        <v/>
      </c>
      <c r="BS14" s="56" t="n"/>
      <c r="BT14" s="57">
        <f>VLOOKUP($A14,'Ratings Season'!$A:$M,10,FALSE)</f>
        <v/>
      </c>
      <c r="BU14" s="54">
        <f>RANK(BT14,BT$5:BT$22)</f>
        <v/>
      </c>
      <c r="BV14" s="57">
        <f>VLOOKUP($A14,'Ratings Season'!$A:$M,12,FALSE)</f>
        <v/>
      </c>
      <c r="BW14" s="54">
        <f>RANK(BV14,BV$5:BV$22)</f>
        <v/>
      </c>
      <c r="BX14" s="57">
        <f>VLOOKUP($A14,'Ratings Season'!$A:$M,8,FALSE)</f>
        <v/>
      </c>
      <c r="BY14" s="58">
        <f>RANK(BX14,BX$5:BX$22)</f>
        <v/>
      </c>
      <c r="BZ14" s="72" t="n"/>
    </row>
    <row r="15" ht="25" customFormat="1" customHeight="1" s="3">
      <c r="A15" s="85" t="inlineStr">
        <is>
          <t>Melbourne</t>
        </is>
      </c>
      <c r="B15" s="53">
        <f>VLOOKUP($A15,INDIRECT("'"&amp;$B$1&amp;"'!$A:$IZ"),222,FALSE)</f>
        <v/>
      </c>
      <c r="C15" s="54">
        <f>RANK(B15,B$5:B$22)</f>
        <v/>
      </c>
      <c r="D15" s="55">
        <f>VLOOKUP($A15,INDIRECT("'"&amp;$B$1&amp;"'!$A:$IZ"),218,FALSE)</f>
        <v/>
      </c>
      <c r="E15" s="54">
        <f>RANK(D15,D$5:D$22)</f>
        <v/>
      </c>
      <c r="F15" s="55">
        <f>VLOOKUP($A15,INDIRECT("'"&amp;$B$1&amp;"'!$A:$IZ"),49,FALSE)</f>
        <v/>
      </c>
      <c r="G15" s="54">
        <f>RANK(F15,F$5:F$22)</f>
        <v/>
      </c>
      <c r="H15" s="55">
        <f>VLOOKUP($A15,INDIRECT("'"&amp;$B$1&amp;"'!$A:$IZ"),229,FALSE)</f>
        <v/>
      </c>
      <c r="I15" s="54">
        <f>RANK(H15,H$5:H$22)</f>
        <v/>
      </c>
      <c r="J15" s="49">
        <f>104-(C15+E15+G15+I15)</f>
        <v/>
      </c>
      <c r="K15" s="47">
        <f>RANK(J15,J$5:J$22)</f>
        <v/>
      </c>
      <c r="L15" s="56" t="n"/>
      <c r="M15" s="53">
        <f>VLOOKUP($A15,INDIRECT("'"&amp;$B$1&amp;"'!$A:$IZ"),88,FALSE)</f>
        <v/>
      </c>
      <c r="N15" s="54">
        <f>RANK(M15,M$5:M$22)</f>
        <v/>
      </c>
      <c r="O15" s="53">
        <f>VLOOKUP($A15,INDIRECT("'"&amp;$B$1&amp;"'!$A:$IZ"),84,FALSE)</f>
        <v/>
      </c>
      <c r="P15" s="54">
        <f>RANK(O15,O$5:O$22)</f>
        <v/>
      </c>
      <c r="Q15" s="53">
        <f>VLOOKUP($A15,INDIRECT("'"&amp;$B$1&amp;"'!$A:$IZ"),85,FALSE)</f>
        <v/>
      </c>
      <c r="R15" s="54">
        <f>RANK(Q15,Q$5:Q$22)</f>
        <v/>
      </c>
      <c r="S15" s="55">
        <f>VLOOKUP($A15,INDIRECT("'"&amp;$B$1&amp;"'!$A:$IZ"),29,FALSE)</f>
        <v/>
      </c>
      <c r="T15" s="54">
        <f>RANK(S15,S$5:S$22)</f>
        <v/>
      </c>
      <c r="U15" s="49">
        <f>104-(N15+P15+R15+T15)</f>
        <v/>
      </c>
      <c r="V15" s="47">
        <f>RANK(U15,U$5:U$22)</f>
        <v/>
      </c>
      <c r="W15" s="56" t="n"/>
      <c r="X15" s="53">
        <f>VLOOKUP($A15,INDIRECT("'"&amp;$B$1&amp;"'!$A:$IZ"),65,FALSE)</f>
        <v/>
      </c>
      <c r="Y15" s="54">
        <f>RANK(X15,X$5:X$22)</f>
        <v/>
      </c>
      <c r="Z15" s="53">
        <f>VLOOKUP($A15,INDIRECT("'"&amp;$B$1&amp;"'!$A:$IZ"),64,FALSE)</f>
        <v/>
      </c>
      <c r="AA15" s="54">
        <f>RANK(Z15,Z$5:Z$22)</f>
        <v/>
      </c>
      <c r="AB15" s="53">
        <f>VLOOKUP($A15,INDIRECT("'"&amp;$B$1&amp;"'!$A:$IZ"),63,FALSE)</f>
        <v/>
      </c>
      <c r="AC15" s="54">
        <f>RANK(AB15,AB$5:AB$22)</f>
        <v/>
      </c>
      <c r="AD15" s="53">
        <f>VLOOKUP($A15,INDIRECT("'"&amp;$B$1&amp;"'!$A:$IZ"),71,FALSE)</f>
        <v/>
      </c>
      <c r="AE15" s="54">
        <f>RANK(AD15,AD$5:AD$22)</f>
        <v/>
      </c>
      <c r="AF15" s="65">
        <f>104-(Y15+AA15+AC15+AE15)</f>
        <v/>
      </c>
      <c r="AG15" s="47">
        <f>RANK(AF15,AF$5:AF$22)</f>
        <v/>
      </c>
      <c r="AH15" s="56" t="n"/>
      <c r="AI15" s="53">
        <f>VLOOKUP($A15,INDIRECT("'"&amp;$B$1&amp;"'!$A:$IZ"),183,FALSE)</f>
        <v/>
      </c>
      <c r="AJ15" s="54">
        <f>RANK(AI15,AI$5:AI$22,1)</f>
        <v/>
      </c>
      <c r="AK15" s="53">
        <f>VLOOKUP($A15,INDIRECT("'"&amp;$B$1&amp;"'!$A:$IZ"),181,FALSE)</f>
        <v/>
      </c>
      <c r="AL15" s="54">
        <f>RANK(AK15,AK$5:AK$22,1)</f>
        <v/>
      </c>
      <c r="AM15" s="53">
        <f>VLOOKUP($A15,INDIRECT("'"&amp;$B$1&amp;"'!$A:$IZ"),182,FALSE)</f>
        <v/>
      </c>
      <c r="AN15" s="54">
        <f>RANK(AM15,AM$5:AM$22,1)</f>
        <v/>
      </c>
      <c r="AO15" s="53">
        <f>VLOOKUP($A15,INDIRECT("'"&amp;$B$1&amp;"'!$A:$IZ"),163,FALSE)</f>
        <v/>
      </c>
      <c r="AP15" s="54">
        <f>RANK(AO15,AO$5:AO$22,1)</f>
        <v/>
      </c>
      <c r="AQ15" s="65">
        <f>104-(AJ15+AL15+AN15+AP15)</f>
        <v/>
      </c>
      <c r="AR15" s="47">
        <f>RANK(AQ15,AQ$5:AQ$22)</f>
        <v/>
      </c>
      <c r="AS15" s="56" t="n"/>
      <c r="AT15" s="46">
        <f>VLOOKUP($A15,INDIRECT("'"&amp;$B$1&amp;"'!$A:$IZ"),250,FALSE)</f>
        <v/>
      </c>
      <c r="AU15" s="47">
        <f>RANK(AT15,AT$5:AT$22,0)</f>
        <v/>
      </c>
      <c r="AV15" s="46">
        <f>VLOOKUP($A15,INDIRECT("'"&amp;$B$1&amp;"'!$A:$IZ"),92,FALSE)</f>
        <v/>
      </c>
      <c r="AW15" s="47">
        <f>RANK(AV15,AV$5:AV$22,0)</f>
        <v/>
      </c>
      <c r="AX15" s="46">
        <f>VLOOKUP($A15,INDIRECT("'"&amp;$B$1&amp;"'!$A:$IZ"),93,FALSE)</f>
        <v/>
      </c>
      <c r="AY15" s="47">
        <f>RANK(AX15,AX$5:AX$22,0)</f>
        <v/>
      </c>
      <c r="AZ15" s="46">
        <f>VLOOKUP($A15,INDIRECT("'"&amp;$B$1&amp;"'!$A:$IZ"),108,FALSE)</f>
        <v/>
      </c>
      <c r="BA15" s="47">
        <f>RANK(AZ15,AZ$5:AZ$22,0)</f>
        <v/>
      </c>
      <c r="BB15" s="46">
        <f>104-(AU15+AW15+AY15+BA15)</f>
        <v/>
      </c>
      <c r="BC15" s="47">
        <f>RANK(BB15,BB$5:BB$22)</f>
        <v/>
      </c>
      <c r="BD15" s="56" t="n"/>
      <c r="BE15" s="53">
        <f>VLOOKUP($A15,INDIRECT("'"&amp;$B$1&amp;"'!$A:$IZ"),80,FALSE)</f>
        <v/>
      </c>
      <c r="BF15" s="54">
        <f>RANK(BE15,BE$5:BE$22)</f>
        <v/>
      </c>
      <c r="BG15" s="53">
        <f>VLOOKUP($A15,INDIRECT("'"&amp;$B$1&amp;"'!$A:$IZ"),177,FALSE)</f>
        <v/>
      </c>
      <c r="BH15" s="54">
        <f>RANK(BG15,BG$5:BG$22,1)</f>
        <v/>
      </c>
      <c r="BI15" s="53">
        <f>VLOOKUP($A15,INDIRECT("'"&amp;$B$1&amp;"'!$A:$IZ"),79,FALSE)</f>
        <v/>
      </c>
      <c r="BJ15" s="54">
        <f>RANK(BI15,BI$5:BI$22)</f>
        <v/>
      </c>
      <c r="BK15" s="53">
        <f>VLOOKUP($A15,INDIRECT("'"&amp;$B$1&amp;"'!$A:$IZ"),176,FALSE)</f>
        <v/>
      </c>
      <c r="BL15" s="54">
        <f>RANK(BK15,BK$5:BK$22,1)</f>
        <v/>
      </c>
      <c r="BM15" s="53">
        <f>VLOOKUP($A15,INDIRECT("'"&amp;$B$1&amp;"'!$A:$IZ"),11,FALSE)</f>
        <v/>
      </c>
      <c r="BN15" s="54">
        <f>RANK(BM15,BM$5:BM$22)</f>
        <v/>
      </c>
      <c r="BO15" s="53">
        <f>VLOOKUP($A15,INDIRECT("'"&amp;$B$1&amp;"'!$A:$IZ"),222,FALSE)</f>
        <v/>
      </c>
      <c r="BP15" s="54">
        <f>RANK(BO15,BO$5:BO$22)</f>
        <v/>
      </c>
      <c r="BQ15" s="65">
        <f>106-(BF15+BH15+BN15+BP15+BJ15+BL15)</f>
        <v/>
      </c>
      <c r="BR15" s="47">
        <f>RANK(BQ15,BQ$5:BQ$22)</f>
        <v/>
      </c>
      <c r="BS15" s="56" t="n"/>
      <c r="BT15" s="57">
        <f>VLOOKUP($A15,'Ratings Season'!$A:$M,10,FALSE)</f>
        <v/>
      </c>
      <c r="BU15" s="54">
        <f>RANK(BT15,BT$5:BT$22)</f>
        <v/>
      </c>
      <c r="BV15" s="57">
        <f>VLOOKUP($A15,'Ratings Season'!$A:$M,12,FALSE)</f>
        <v/>
      </c>
      <c r="BW15" s="54">
        <f>RANK(BV15,BV$5:BV$22)</f>
        <v/>
      </c>
      <c r="BX15" s="57">
        <f>VLOOKUP($A15,'Ratings Season'!$A:$M,8,FALSE)</f>
        <v/>
      </c>
      <c r="BY15" s="58">
        <f>RANK(BX15,BX$5:BX$22)</f>
        <v/>
      </c>
      <c r="BZ15" s="72" t="n"/>
    </row>
    <row r="16" ht="25" customFormat="1" customHeight="1" s="3">
      <c r="A16" s="86" t="inlineStr">
        <is>
          <t>North Melbourne</t>
        </is>
      </c>
      <c r="B16" s="53">
        <f>VLOOKUP($A16,INDIRECT("'"&amp;$B$1&amp;"'!$A:$IZ"),222,FALSE)</f>
        <v/>
      </c>
      <c r="C16" s="54">
        <f>RANK(B16,B$5:B$22)</f>
        <v/>
      </c>
      <c r="D16" s="55">
        <f>VLOOKUP($A16,INDIRECT("'"&amp;$B$1&amp;"'!$A:$IZ"),218,FALSE)</f>
        <v/>
      </c>
      <c r="E16" s="54">
        <f>RANK(D16,D$5:D$22)</f>
        <v/>
      </c>
      <c r="F16" s="55">
        <f>VLOOKUP($A16,INDIRECT("'"&amp;$B$1&amp;"'!$A:$IZ"),49,FALSE)</f>
        <v/>
      </c>
      <c r="G16" s="54">
        <f>RANK(F16,F$5:F$22)</f>
        <v/>
      </c>
      <c r="H16" s="55">
        <f>VLOOKUP($A16,INDIRECT("'"&amp;$B$1&amp;"'!$A:$IZ"),229,FALSE)</f>
        <v/>
      </c>
      <c r="I16" s="54">
        <f>RANK(H16,H$5:H$22)</f>
        <v/>
      </c>
      <c r="J16" s="49">
        <f>104-(C16+E16+G16+I16)</f>
        <v/>
      </c>
      <c r="K16" s="47">
        <f>RANK(J16,J$5:J$22)</f>
        <v/>
      </c>
      <c r="L16" s="56" t="n"/>
      <c r="M16" s="53">
        <f>VLOOKUP($A16,INDIRECT("'"&amp;$B$1&amp;"'!$A:$IZ"),88,FALSE)</f>
        <v/>
      </c>
      <c r="N16" s="54">
        <f>RANK(M16,M$5:M$22)</f>
        <v/>
      </c>
      <c r="O16" s="53">
        <f>VLOOKUP($A16,INDIRECT("'"&amp;$B$1&amp;"'!$A:$IZ"),84,FALSE)</f>
        <v/>
      </c>
      <c r="P16" s="54">
        <f>RANK(O16,O$5:O$22)</f>
        <v/>
      </c>
      <c r="Q16" s="53">
        <f>VLOOKUP($A16,INDIRECT("'"&amp;$B$1&amp;"'!$A:$IZ"),85,FALSE)</f>
        <v/>
      </c>
      <c r="R16" s="54">
        <f>RANK(Q16,Q$5:Q$22)</f>
        <v/>
      </c>
      <c r="S16" s="55">
        <f>VLOOKUP($A16,INDIRECT("'"&amp;$B$1&amp;"'!$A:$IZ"),29,FALSE)</f>
        <v/>
      </c>
      <c r="T16" s="54">
        <f>RANK(S16,S$5:S$22)</f>
        <v/>
      </c>
      <c r="U16" s="49">
        <f>104-(N16+P16+R16+T16)</f>
        <v/>
      </c>
      <c r="V16" s="47">
        <f>RANK(U16,U$5:U$22)</f>
        <v/>
      </c>
      <c r="W16" s="56" t="n"/>
      <c r="X16" s="53">
        <f>VLOOKUP($A16,INDIRECT("'"&amp;$B$1&amp;"'!$A:$IZ"),65,FALSE)</f>
        <v/>
      </c>
      <c r="Y16" s="54">
        <f>RANK(X16,X$5:X$22)</f>
        <v/>
      </c>
      <c r="Z16" s="53">
        <f>VLOOKUP($A16,INDIRECT("'"&amp;$B$1&amp;"'!$A:$IZ"),64,FALSE)</f>
        <v/>
      </c>
      <c r="AA16" s="54">
        <f>RANK(Z16,Z$5:Z$22)</f>
        <v/>
      </c>
      <c r="AB16" s="53">
        <f>VLOOKUP($A16,INDIRECT("'"&amp;$B$1&amp;"'!$A:$IZ"),63,FALSE)</f>
        <v/>
      </c>
      <c r="AC16" s="54">
        <f>RANK(AB16,AB$5:AB$22)</f>
        <v/>
      </c>
      <c r="AD16" s="53">
        <f>VLOOKUP($A16,INDIRECT("'"&amp;$B$1&amp;"'!$A:$IZ"),71,FALSE)</f>
        <v/>
      </c>
      <c r="AE16" s="54">
        <f>RANK(AD16,AD$5:AD$22)</f>
        <v/>
      </c>
      <c r="AF16" s="65">
        <f>104-(Y16+AA16+AC16+AE16)</f>
        <v/>
      </c>
      <c r="AG16" s="47">
        <f>RANK(AF16,AF$5:AF$22)</f>
        <v/>
      </c>
      <c r="AH16" s="56" t="n"/>
      <c r="AI16" s="53">
        <f>VLOOKUP($A16,INDIRECT("'"&amp;$B$1&amp;"'!$A:$IZ"),183,FALSE)</f>
        <v/>
      </c>
      <c r="AJ16" s="54">
        <f>RANK(AI16,AI$5:AI$22,1)</f>
        <v/>
      </c>
      <c r="AK16" s="53">
        <f>VLOOKUP($A16,INDIRECT("'"&amp;$B$1&amp;"'!$A:$IZ"),181,FALSE)</f>
        <v/>
      </c>
      <c r="AL16" s="54">
        <f>RANK(AK16,AK$5:AK$22,1)</f>
        <v/>
      </c>
      <c r="AM16" s="53">
        <f>VLOOKUP($A16,INDIRECT("'"&amp;$B$1&amp;"'!$A:$IZ"),182,FALSE)</f>
        <v/>
      </c>
      <c r="AN16" s="54">
        <f>RANK(AM16,AM$5:AM$22,1)</f>
        <v/>
      </c>
      <c r="AO16" s="53">
        <f>VLOOKUP($A16,INDIRECT("'"&amp;$B$1&amp;"'!$A:$IZ"),163,FALSE)</f>
        <v/>
      </c>
      <c r="AP16" s="54">
        <f>RANK(AO16,AO$5:AO$22,1)</f>
        <v/>
      </c>
      <c r="AQ16" s="65">
        <f>104-(AJ16+AL16+AN16+AP16)</f>
        <v/>
      </c>
      <c r="AR16" s="47">
        <f>RANK(AQ16,AQ$5:AQ$22)</f>
        <v/>
      </c>
      <c r="AS16" s="56" t="n"/>
      <c r="AT16" s="46">
        <f>VLOOKUP($A16,INDIRECT("'"&amp;$B$1&amp;"'!$A:$IZ"),250,FALSE)</f>
        <v/>
      </c>
      <c r="AU16" s="47">
        <f>RANK(AT16,AT$5:AT$22,0)</f>
        <v/>
      </c>
      <c r="AV16" s="46">
        <f>VLOOKUP($A16,INDIRECT("'"&amp;$B$1&amp;"'!$A:$IZ"),92,FALSE)</f>
        <v/>
      </c>
      <c r="AW16" s="47">
        <f>RANK(AV16,AV$5:AV$22,0)</f>
        <v/>
      </c>
      <c r="AX16" s="46">
        <f>VLOOKUP($A16,INDIRECT("'"&amp;$B$1&amp;"'!$A:$IZ"),93,FALSE)</f>
        <v/>
      </c>
      <c r="AY16" s="47">
        <f>RANK(AX16,AX$5:AX$22,0)</f>
        <v/>
      </c>
      <c r="AZ16" s="46">
        <f>VLOOKUP($A16,INDIRECT("'"&amp;$B$1&amp;"'!$A:$IZ"),108,FALSE)</f>
        <v/>
      </c>
      <c r="BA16" s="47">
        <f>RANK(AZ16,AZ$5:AZ$22,0)</f>
        <v/>
      </c>
      <c r="BB16" s="46">
        <f>104-(AU16+AW16+AY16+BA16)</f>
        <v/>
      </c>
      <c r="BC16" s="47">
        <f>RANK(BB16,BB$5:BB$22)</f>
        <v/>
      </c>
      <c r="BD16" s="56" t="n"/>
      <c r="BE16" s="53">
        <f>VLOOKUP($A16,INDIRECT("'"&amp;$B$1&amp;"'!$A:$IZ"),80,FALSE)</f>
        <v/>
      </c>
      <c r="BF16" s="54">
        <f>RANK(BE16,BE$5:BE$22)</f>
        <v/>
      </c>
      <c r="BG16" s="53">
        <f>VLOOKUP($A16,INDIRECT("'"&amp;$B$1&amp;"'!$A:$IZ"),177,FALSE)</f>
        <v/>
      </c>
      <c r="BH16" s="54">
        <f>RANK(BG16,BG$5:BG$22,1)</f>
        <v/>
      </c>
      <c r="BI16" s="53">
        <f>VLOOKUP($A16,INDIRECT("'"&amp;$B$1&amp;"'!$A:$IZ"),79,FALSE)</f>
        <v/>
      </c>
      <c r="BJ16" s="54">
        <f>RANK(BI16,BI$5:BI$22)</f>
        <v/>
      </c>
      <c r="BK16" s="53">
        <f>VLOOKUP($A16,INDIRECT("'"&amp;$B$1&amp;"'!$A:$IZ"),176,FALSE)</f>
        <v/>
      </c>
      <c r="BL16" s="54">
        <f>RANK(BK16,BK$5:BK$22,1)</f>
        <v/>
      </c>
      <c r="BM16" s="53">
        <f>VLOOKUP($A16,INDIRECT("'"&amp;$B$1&amp;"'!$A:$IZ"),11,FALSE)</f>
        <v/>
      </c>
      <c r="BN16" s="54">
        <f>RANK(BM16,BM$5:BM$22)</f>
        <v/>
      </c>
      <c r="BO16" s="53">
        <f>VLOOKUP($A16,INDIRECT("'"&amp;$B$1&amp;"'!$A:$IZ"),222,FALSE)</f>
        <v/>
      </c>
      <c r="BP16" s="54">
        <f>RANK(BO16,BO$5:BO$22)</f>
        <v/>
      </c>
      <c r="BQ16" s="65">
        <f>106-(BF16+BH16+BN16+BP16+BJ16+BL16)</f>
        <v/>
      </c>
      <c r="BR16" s="47">
        <f>RANK(BQ16,BQ$5:BQ$22)</f>
        <v/>
      </c>
      <c r="BS16" s="56" t="n"/>
      <c r="BT16" s="57">
        <f>VLOOKUP($A16,'Ratings Season'!$A:$M,10,FALSE)</f>
        <v/>
      </c>
      <c r="BU16" s="54">
        <f>RANK(BT16,BT$5:BT$22)</f>
        <v/>
      </c>
      <c r="BV16" s="57">
        <f>VLOOKUP($A16,'Ratings Season'!$A:$M,12,FALSE)</f>
        <v/>
      </c>
      <c r="BW16" s="54">
        <f>RANK(BV16,BV$5:BV$22)</f>
        <v/>
      </c>
      <c r="BX16" s="57">
        <f>VLOOKUP($A16,'Ratings Season'!$A:$M,8,FALSE)</f>
        <v/>
      </c>
      <c r="BY16" s="58">
        <f>RANK(BX16,BX$5:BX$22)</f>
        <v/>
      </c>
      <c r="BZ16" s="72" t="n"/>
    </row>
    <row r="17" ht="25" customFormat="1" customHeight="1" s="3">
      <c r="A17" s="87" t="inlineStr">
        <is>
          <t>Port Adelaide</t>
        </is>
      </c>
      <c r="B17" s="53">
        <f>VLOOKUP($A17,INDIRECT("'"&amp;$B$1&amp;"'!$A:$IZ"),222,FALSE)</f>
        <v/>
      </c>
      <c r="C17" s="54">
        <f>RANK(B17,B$5:B$22)</f>
        <v/>
      </c>
      <c r="D17" s="55">
        <f>VLOOKUP($A17,INDIRECT("'"&amp;$B$1&amp;"'!$A:$IZ"),218,FALSE)</f>
        <v/>
      </c>
      <c r="E17" s="54">
        <f>RANK(D17,D$5:D$22)</f>
        <v/>
      </c>
      <c r="F17" s="55">
        <f>VLOOKUP($A17,INDIRECT("'"&amp;$B$1&amp;"'!$A:$IZ"),49,FALSE)</f>
        <v/>
      </c>
      <c r="G17" s="54">
        <f>RANK(F17,F$5:F$22)</f>
        <v/>
      </c>
      <c r="H17" s="55">
        <f>VLOOKUP($A17,INDIRECT("'"&amp;$B$1&amp;"'!$A:$IZ"),229,FALSE)</f>
        <v/>
      </c>
      <c r="I17" s="54">
        <f>RANK(H17,H$5:H$22)</f>
        <v/>
      </c>
      <c r="J17" s="49">
        <f>104-(C17+E17+G17+I17)</f>
        <v/>
      </c>
      <c r="K17" s="47">
        <f>RANK(J17,J$5:J$22)</f>
        <v/>
      </c>
      <c r="L17" s="56" t="n"/>
      <c r="M17" s="53">
        <f>VLOOKUP($A17,INDIRECT("'"&amp;$B$1&amp;"'!$A:$IZ"),88,FALSE)</f>
        <v/>
      </c>
      <c r="N17" s="54">
        <f>RANK(M17,M$5:M$22)</f>
        <v/>
      </c>
      <c r="O17" s="53">
        <f>VLOOKUP($A17,INDIRECT("'"&amp;$B$1&amp;"'!$A:$IZ"),84,FALSE)</f>
        <v/>
      </c>
      <c r="P17" s="54">
        <f>RANK(O17,O$5:O$22)</f>
        <v/>
      </c>
      <c r="Q17" s="53">
        <f>VLOOKUP($A17,INDIRECT("'"&amp;$B$1&amp;"'!$A:$IZ"),85,FALSE)</f>
        <v/>
      </c>
      <c r="R17" s="54">
        <f>RANK(Q17,Q$5:Q$22)</f>
        <v/>
      </c>
      <c r="S17" s="55">
        <f>VLOOKUP($A17,INDIRECT("'"&amp;$B$1&amp;"'!$A:$IZ"),29,FALSE)</f>
        <v/>
      </c>
      <c r="T17" s="54">
        <f>RANK(S17,S$5:S$22)</f>
        <v/>
      </c>
      <c r="U17" s="49">
        <f>104-(N17+P17+R17+T17)</f>
        <v/>
      </c>
      <c r="V17" s="47">
        <f>RANK(U17,U$5:U$22)</f>
        <v/>
      </c>
      <c r="W17" s="56" t="n"/>
      <c r="X17" s="53">
        <f>VLOOKUP($A17,INDIRECT("'"&amp;$B$1&amp;"'!$A:$IZ"),65,FALSE)</f>
        <v/>
      </c>
      <c r="Y17" s="54">
        <f>RANK(X17,X$5:X$22)</f>
        <v/>
      </c>
      <c r="Z17" s="53">
        <f>VLOOKUP($A17,INDIRECT("'"&amp;$B$1&amp;"'!$A:$IZ"),64,FALSE)</f>
        <v/>
      </c>
      <c r="AA17" s="54">
        <f>RANK(Z17,Z$5:Z$22)</f>
        <v/>
      </c>
      <c r="AB17" s="53">
        <f>VLOOKUP($A17,INDIRECT("'"&amp;$B$1&amp;"'!$A:$IZ"),63,FALSE)</f>
        <v/>
      </c>
      <c r="AC17" s="54">
        <f>RANK(AB17,AB$5:AB$22)</f>
        <v/>
      </c>
      <c r="AD17" s="53">
        <f>VLOOKUP($A17,INDIRECT("'"&amp;$B$1&amp;"'!$A:$IZ"),71,FALSE)</f>
        <v/>
      </c>
      <c r="AE17" s="54">
        <f>RANK(AD17,AD$5:AD$22)</f>
        <v/>
      </c>
      <c r="AF17" s="65">
        <f>104-(Y17+AA17+AC17+AE17)</f>
        <v/>
      </c>
      <c r="AG17" s="47">
        <f>RANK(AF17,AF$5:AF$22)</f>
        <v/>
      </c>
      <c r="AH17" s="56" t="n"/>
      <c r="AI17" s="53">
        <f>VLOOKUP($A17,INDIRECT("'"&amp;$B$1&amp;"'!$A:$IZ"),183,FALSE)</f>
        <v/>
      </c>
      <c r="AJ17" s="54">
        <f>RANK(AI17,AI$5:AI$22,1)</f>
        <v/>
      </c>
      <c r="AK17" s="53">
        <f>VLOOKUP($A17,INDIRECT("'"&amp;$B$1&amp;"'!$A:$IZ"),181,FALSE)</f>
        <v/>
      </c>
      <c r="AL17" s="54">
        <f>RANK(AK17,AK$5:AK$22,1)</f>
        <v/>
      </c>
      <c r="AM17" s="53">
        <f>VLOOKUP($A17,INDIRECT("'"&amp;$B$1&amp;"'!$A:$IZ"),182,FALSE)</f>
        <v/>
      </c>
      <c r="AN17" s="54">
        <f>RANK(AM17,AM$5:AM$22,1)</f>
        <v/>
      </c>
      <c r="AO17" s="53">
        <f>VLOOKUP($A17,INDIRECT("'"&amp;$B$1&amp;"'!$A:$IZ"),163,FALSE)</f>
        <v/>
      </c>
      <c r="AP17" s="54">
        <f>RANK(AO17,AO$5:AO$22,1)</f>
        <v/>
      </c>
      <c r="AQ17" s="65">
        <f>104-(AJ17+AL17+AN17+AP17)</f>
        <v/>
      </c>
      <c r="AR17" s="47">
        <f>RANK(AQ17,AQ$5:AQ$22)</f>
        <v/>
      </c>
      <c r="AS17" s="56" t="n"/>
      <c r="AT17" s="46">
        <f>VLOOKUP($A17,INDIRECT("'"&amp;$B$1&amp;"'!$A:$IZ"),250,FALSE)</f>
        <v/>
      </c>
      <c r="AU17" s="47">
        <f>RANK(AT17,AT$5:AT$22,0)</f>
        <v/>
      </c>
      <c r="AV17" s="46">
        <f>VLOOKUP($A17,INDIRECT("'"&amp;$B$1&amp;"'!$A:$IZ"),92,FALSE)</f>
        <v/>
      </c>
      <c r="AW17" s="47">
        <f>RANK(AV17,AV$5:AV$22,0)</f>
        <v/>
      </c>
      <c r="AX17" s="46">
        <f>VLOOKUP($A17,INDIRECT("'"&amp;$B$1&amp;"'!$A:$IZ"),93,FALSE)</f>
        <v/>
      </c>
      <c r="AY17" s="47">
        <f>RANK(AX17,AX$5:AX$22,0)</f>
        <v/>
      </c>
      <c r="AZ17" s="46">
        <f>VLOOKUP($A17,INDIRECT("'"&amp;$B$1&amp;"'!$A:$IZ"),108,FALSE)</f>
        <v/>
      </c>
      <c r="BA17" s="47">
        <f>RANK(AZ17,AZ$5:AZ$22,0)</f>
        <v/>
      </c>
      <c r="BB17" s="46">
        <f>104-(AU17+AW17+AY17+BA17)</f>
        <v/>
      </c>
      <c r="BC17" s="47">
        <f>RANK(BB17,BB$5:BB$22)</f>
        <v/>
      </c>
      <c r="BD17" s="56" t="n"/>
      <c r="BE17" s="53">
        <f>VLOOKUP($A17,INDIRECT("'"&amp;$B$1&amp;"'!$A:$IZ"),80,FALSE)</f>
        <v/>
      </c>
      <c r="BF17" s="54">
        <f>RANK(BE17,BE$5:BE$22)</f>
        <v/>
      </c>
      <c r="BG17" s="53">
        <f>VLOOKUP($A17,INDIRECT("'"&amp;$B$1&amp;"'!$A:$IZ"),177,FALSE)</f>
        <v/>
      </c>
      <c r="BH17" s="54">
        <f>RANK(BG17,BG$5:BG$22,1)</f>
        <v/>
      </c>
      <c r="BI17" s="53">
        <f>VLOOKUP($A17,INDIRECT("'"&amp;$B$1&amp;"'!$A:$IZ"),79,FALSE)</f>
        <v/>
      </c>
      <c r="BJ17" s="54">
        <f>RANK(BI17,BI$5:BI$22)</f>
        <v/>
      </c>
      <c r="BK17" s="53">
        <f>VLOOKUP($A17,INDIRECT("'"&amp;$B$1&amp;"'!$A:$IZ"),176,FALSE)</f>
        <v/>
      </c>
      <c r="BL17" s="54">
        <f>RANK(BK17,BK$5:BK$22,1)</f>
        <v/>
      </c>
      <c r="BM17" s="53">
        <f>VLOOKUP($A17,INDIRECT("'"&amp;$B$1&amp;"'!$A:$IZ"),11,FALSE)</f>
        <v/>
      </c>
      <c r="BN17" s="54">
        <f>RANK(BM17,BM$5:BM$22)</f>
        <v/>
      </c>
      <c r="BO17" s="53">
        <f>VLOOKUP($A17,INDIRECT("'"&amp;$B$1&amp;"'!$A:$IZ"),222,FALSE)</f>
        <v/>
      </c>
      <c r="BP17" s="54">
        <f>RANK(BO17,BO$5:BO$22)</f>
        <v/>
      </c>
      <c r="BQ17" s="65">
        <f>106-(BF17+BH17+BN17+BP17+BJ17+BL17)</f>
        <v/>
      </c>
      <c r="BR17" s="47">
        <f>RANK(BQ17,BQ$5:BQ$22)</f>
        <v/>
      </c>
      <c r="BS17" s="56" t="n"/>
      <c r="BT17" s="57">
        <f>VLOOKUP($A17,'Ratings Season'!$A:$M,10,FALSE)</f>
        <v/>
      </c>
      <c r="BU17" s="54">
        <f>RANK(BT17,BT$5:BT$22)</f>
        <v/>
      </c>
      <c r="BV17" s="57">
        <f>VLOOKUP($A17,'Ratings Season'!$A:$M,12,FALSE)</f>
        <v/>
      </c>
      <c r="BW17" s="54">
        <f>RANK(BV17,BV$5:BV$22)</f>
        <v/>
      </c>
      <c r="BX17" s="57">
        <f>VLOOKUP($A17,'Ratings Season'!$A:$M,8,FALSE)</f>
        <v/>
      </c>
      <c r="BY17" s="58">
        <f>RANK(BX17,BX$5:BX$22)</f>
        <v/>
      </c>
      <c r="BZ17" s="72" t="n"/>
    </row>
    <row r="18" ht="25" customFormat="1" customHeight="1" s="3">
      <c r="A18" s="88" t="inlineStr">
        <is>
          <t>Richmond</t>
        </is>
      </c>
      <c r="B18" s="53">
        <f>VLOOKUP($A18,INDIRECT("'"&amp;$B$1&amp;"'!$A:$IZ"),222,FALSE)</f>
        <v/>
      </c>
      <c r="C18" s="54">
        <f>RANK(B18,B$5:B$22)</f>
        <v/>
      </c>
      <c r="D18" s="55">
        <f>VLOOKUP($A18,INDIRECT("'"&amp;$B$1&amp;"'!$A:$IZ"),218,FALSE)</f>
        <v/>
      </c>
      <c r="E18" s="54">
        <f>RANK(D18,D$5:D$22)</f>
        <v/>
      </c>
      <c r="F18" s="55">
        <f>VLOOKUP($A18,INDIRECT("'"&amp;$B$1&amp;"'!$A:$IZ"),49,FALSE)</f>
        <v/>
      </c>
      <c r="G18" s="54">
        <f>RANK(F18,F$5:F$22)</f>
        <v/>
      </c>
      <c r="H18" s="55">
        <f>VLOOKUP($A18,INDIRECT("'"&amp;$B$1&amp;"'!$A:$IZ"),229,FALSE)</f>
        <v/>
      </c>
      <c r="I18" s="54">
        <f>RANK(H18,H$5:H$22)</f>
        <v/>
      </c>
      <c r="J18" s="49">
        <f>104-(C18+E18+G18+I18)</f>
        <v/>
      </c>
      <c r="K18" s="47">
        <f>RANK(J18,J$5:J$22)</f>
        <v/>
      </c>
      <c r="L18" s="56" t="n"/>
      <c r="M18" s="53">
        <f>VLOOKUP($A18,INDIRECT("'"&amp;$B$1&amp;"'!$A:$IZ"),88,FALSE)</f>
        <v/>
      </c>
      <c r="N18" s="54">
        <f>RANK(M18,M$5:M$22)</f>
        <v/>
      </c>
      <c r="O18" s="53">
        <f>VLOOKUP($A18,INDIRECT("'"&amp;$B$1&amp;"'!$A:$IZ"),84,FALSE)</f>
        <v/>
      </c>
      <c r="P18" s="54">
        <f>RANK(O18,O$5:O$22)</f>
        <v/>
      </c>
      <c r="Q18" s="53">
        <f>VLOOKUP($A18,INDIRECT("'"&amp;$B$1&amp;"'!$A:$IZ"),85,FALSE)</f>
        <v/>
      </c>
      <c r="R18" s="54">
        <f>RANK(Q18,Q$5:Q$22)</f>
        <v/>
      </c>
      <c r="S18" s="55">
        <f>VLOOKUP($A18,INDIRECT("'"&amp;$B$1&amp;"'!$A:$IZ"),29,FALSE)</f>
        <v/>
      </c>
      <c r="T18" s="54">
        <f>RANK(S18,S$5:S$22)</f>
        <v/>
      </c>
      <c r="U18" s="49">
        <f>104-(N18+P18+R18+T18)</f>
        <v/>
      </c>
      <c r="V18" s="47">
        <f>RANK(U18,U$5:U$22)</f>
        <v/>
      </c>
      <c r="W18" s="56" t="n"/>
      <c r="X18" s="53">
        <f>VLOOKUP($A18,INDIRECT("'"&amp;$B$1&amp;"'!$A:$IZ"),65,FALSE)</f>
        <v/>
      </c>
      <c r="Y18" s="54">
        <f>RANK(X18,X$5:X$22)</f>
        <v/>
      </c>
      <c r="Z18" s="53">
        <f>VLOOKUP($A18,INDIRECT("'"&amp;$B$1&amp;"'!$A:$IZ"),64,FALSE)</f>
        <v/>
      </c>
      <c r="AA18" s="54">
        <f>RANK(Z18,Z$5:Z$22)</f>
        <v/>
      </c>
      <c r="AB18" s="53">
        <f>VLOOKUP($A18,INDIRECT("'"&amp;$B$1&amp;"'!$A:$IZ"),63,FALSE)</f>
        <v/>
      </c>
      <c r="AC18" s="54">
        <f>RANK(AB18,AB$5:AB$22)</f>
        <v/>
      </c>
      <c r="AD18" s="53">
        <f>VLOOKUP($A18,INDIRECT("'"&amp;$B$1&amp;"'!$A:$IZ"),71,FALSE)</f>
        <v/>
      </c>
      <c r="AE18" s="54">
        <f>RANK(AD18,AD$5:AD$22)</f>
        <v/>
      </c>
      <c r="AF18" s="65">
        <f>104-(Y18+AA18+AC18+AE18)</f>
        <v/>
      </c>
      <c r="AG18" s="47">
        <f>RANK(AF18,AF$5:AF$22)</f>
        <v/>
      </c>
      <c r="AH18" s="56" t="n"/>
      <c r="AI18" s="53">
        <f>VLOOKUP($A18,INDIRECT("'"&amp;$B$1&amp;"'!$A:$IZ"),183,FALSE)</f>
        <v/>
      </c>
      <c r="AJ18" s="54">
        <f>RANK(AI18,AI$5:AI$22,1)</f>
        <v/>
      </c>
      <c r="AK18" s="53">
        <f>VLOOKUP($A18,INDIRECT("'"&amp;$B$1&amp;"'!$A:$IZ"),181,FALSE)</f>
        <v/>
      </c>
      <c r="AL18" s="54">
        <f>RANK(AK18,AK$5:AK$22,1)</f>
        <v/>
      </c>
      <c r="AM18" s="53">
        <f>VLOOKUP($A18,INDIRECT("'"&amp;$B$1&amp;"'!$A:$IZ"),182,FALSE)</f>
        <v/>
      </c>
      <c r="AN18" s="54">
        <f>RANK(AM18,AM$5:AM$22,1)</f>
        <v/>
      </c>
      <c r="AO18" s="53">
        <f>VLOOKUP($A18,INDIRECT("'"&amp;$B$1&amp;"'!$A:$IZ"),163,FALSE)</f>
        <v/>
      </c>
      <c r="AP18" s="54">
        <f>RANK(AO18,AO$5:AO$22,1)</f>
        <v/>
      </c>
      <c r="AQ18" s="65">
        <f>104-(AJ18+AL18+AN18+AP18)</f>
        <v/>
      </c>
      <c r="AR18" s="47">
        <f>RANK(AQ18,AQ$5:AQ$22)</f>
        <v/>
      </c>
      <c r="AS18" s="56" t="n"/>
      <c r="AT18" s="46">
        <f>VLOOKUP($A18,INDIRECT("'"&amp;$B$1&amp;"'!$A:$IZ"),250,FALSE)</f>
        <v/>
      </c>
      <c r="AU18" s="47">
        <f>RANK(AT18,AT$5:AT$22,0)</f>
        <v/>
      </c>
      <c r="AV18" s="46">
        <f>VLOOKUP($A18,INDIRECT("'"&amp;$B$1&amp;"'!$A:$IZ"),92,FALSE)</f>
        <v/>
      </c>
      <c r="AW18" s="47">
        <f>RANK(AV18,AV$5:AV$22,0)</f>
        <v/>
      </c>
      <c r="AX18" s="46">
        <f>VLOOKUP($A18,INDIRECT("'"&amp;$B$1&amp;"'!$A:$IZ"),93,FALSE)</f>
        <v/>
      </c>
      <c r="AY18" s="47">
        <f>RANK(AX18,AX$5:AX$22,0)</f>
        <v/>
      </c>
      <c r="AZ18" s="46">
        <f>VLOOKUP($A18,INDIRECT("'"&amp;$B$1&amp;"'!$A:$IZ"),108,FALSE)</f>
        <v/>
      </c>
      <c r="BA18" s="47">
        <f>RANK(AZ18,AZ$5:AZ$22,0)</f>
        <v/>
      </c>
      <c r="BB18" s="46">
        <f>104-(AU18+AW18+AY18+BA18)</f>
        <v/>
      </c>
      <c r="BC18" s="47">
        <f>RANK(BB18,BB$5:BB$22)</f>
        <v/>
      </c>
      <c r="BD18" s="56" t="n"/>
      <c r="BE18" s="53">
        <f>VLOOKUP($A18,INDIRECT("'"&amp;$B$1&amp;"'!$A:$IZ"),80,FALSE)</f>
        <v/>
      </c>
      <c r="BF18" s="54">
        <f>RANK(BE18,BE$5:BE$22)</f>
        <v/>
      </c>
      <c r="BG18" s="53">
        <f>VLOOKUP($A18,INDIRECT("'"&amp;$B$1&amp;"'!$A:$IZ"),177,FALSE)</f>
        <v/>
      </c>
      <c r="BH18" s="54">
        <f>RANK(BG18,BG$5:BG$22,1)</f>
        <v/>
      </c>
      <c r="BI18" s="53">
        <f>VLOOKUP($A18,INDIRECT("'"&amp;$B$1&amp;"'!$A:$IZ"),79,FALSE)</f>
        <v/>
      </c>
      <c r="BJ18" s="54">
        <f>RANK(BI18,BI$5:BI$22)</f>
        <v/>
      </c>
      <c r="BK18" s="53">
        <f>VLOOKUP($A18,INDIRECT("'"&amp;$B$1&amp;"'!$A:$IZ"),176,FALSE)</f>
        <v/>
      </c>
      <c r="BL18" s="54">
        <f>RANK(BK18,BK$5:BK$22,1)</f>
        <v/>
      </c>
      <c r="BM18" s="53">
        <f>VLOOKUP($A18,INDIRECT("'"&amp;$B$1&amp;"'!$A:$IZ"),11,FALSE)</f>
        <v/>
      </c>
      <c r="BN18" s="54">
        <f>RANK(BM18,BM$5:BM$22)</f>
        <v/>
      </c>
      <c r="BO18" s="53">
        <f>VLOOKUP($A18,INDIRECT("'"&amp;$B$1&amp;"'!$A:$IZ"),222,FALSE)</f>
        <v/>
      </c>
      <c r="BP18" s="54">
        <f>RANK(BO18,BO$5:BO$22)</f>
        <v/>
      </c>
      <c r="BQ18" s="65">
        <f>106-(BF18+BH18+BN18+BP18+BJ18+BL18)</f>
        <v/>
      </c>
      <c r="BR18" s="47">
        <f>RANK(BQ18,BQ$5:BQ$22)</f>
        <v/>
      </c>
      <c r="BS18" s="56" t="n"/>
      <c r="BT18" s="57">
        <f>VLOOKUP($A18,'Ratings Season'!$A:$M,10,FALSE)</f>
        <v/>
      </c>
      <c r="BU18" s="54">
        <f>RANK(BT18,BT$5:BT$22)</f>
        <v/>
      </c>
      <c r="BV18" s="57">
        <f>VLOOKUP($A18,'Ratings Season'!$A:$M,12,FALSE)</f>
        <v/>
      </c>
      <c r="BW18" s="54">
        <f>RANK(BV18,BV$5:BV$22)</f>
        <v/>
      </c>
      <c r="BX18" s="57">
        <f>VLOOKUP($A18,'Ratings Season'!$A:$M,8,FALSE)</f>
        <v/>
      </c>
      <c r="BY18" s="58">
        <f>RANK(BX18,BX$5:BX$22)</f>
        <v/>
      </c>
      <c r="BZ18" s="72" t="n"/>
    </row>
    <row r="19" ht="25" customFormat="1" customHeight="1" s="3">
      <c r="A19" s="89" t="inlineStr">
        <is>
          <t>St Kilda</t>
        </is>
      </c>
      <c r="B19" s="53">
        <f>VLOOKUP($A19,INDIRECT("'"&amp;$B$1&amp;"'!$A:$IZ"),222,FALSE)</f>
        <v/>
      </c>
      <c r="C19" s="54">
        <f>RANK(B19,B$5:B$22)</f>
        <v/>
      </c>
      <c r="D19" s="55">
        <f>VLOOKUP($A19,INDIRECT("'"&amp;$B$1&amp;"'!$A:$IZ"),218,FALSE)</f>
        <v/>
      </c>
      <c r="E19" s="54">
        <f>RANK(D19,D$5:D$22)</f>
        <v/>
      </c>
      <c r="F19" s="55">
        <f>VLOOKUP($A19,INDIRECT("'"&amp;$B$1&amp;"'!$A:$IZ"),49,FALSE)</f>
        <v/>
      </c>
      <c r="G19" s="54">
        <f>RANK(F19,F$5:F$22)</f>
        <v/>
      </c>
      <c r="H19" s="55">
        <f>VLOOKUP($A19,INDIRECT("'"&amp;$B$1&amp;"'!$A:$IZ"),229,FALSE)</f>
        <v/>
      </c>
      <c r="I19" s="54">
        <f>RANK(H19,H$5:H$22)</f>
        <v/>
      </c>
      <c r="J19" s="49">
        <f>104-(C19+E19+G19+I19)</f>
        <v/>
      </c>
      <c r="K19" s="47">
        <f>RANK(J19,J$5:J$22)</f>
        <v/>
      </c>
      <c r="L19" s="56" t="n"/>
      <c r="M19" s="53">
        <f>VLOOKUP($A19,INDIRECT("'"&amp;$B$1&amp;"'!$A:$IZ"),88,FALSE)</f>
        <v/>
      </c>
      <c r="N19" s="54">
        <f>RANK(M19,M$5:M$22)</f>
        <v/>
      </c>
      <c r="O19" s="53">
        <f>VLOOKUP($A19,INDIRECT("'"&amp;$B$1&amp;"'!$A:$IZ"),84,FALSE)</f>
        <v/>
      </c>
      <c r="P19" s="54">
        <f>RANK(O19,O$5:O$22)</f>
        <v/>
      </c>
      <c r="Q19" s="53">
        <f>VLOOKUP($A19,INDIRECT("'"&amp;$B$1&amp;"'!$A:$IZ"),85,FALSE)</f>
        <v/>
      </c>
      <c r="R19" s="54">
        <f>RANK(Q19,Q$5:Q$22)</f>
        <v/>
      </c>
      <c r="S19" s="55">
        <f>VLOOKUP($A19,INDIRECT("'"&amp;$B$1&amp;"'!$A:$IZ"),29,FALSE)</f>
        <v/>
      </c>
      <c r="T19" s="54">
        <f>RANK(S19,S$5:S$22)</f>
        <v/>
      </c>
      <c r="U19" s="49">
        <f>104-(N19+P19+R19+T19)</f>
        <v/>
      </c>
      <c r="V19" s="47">
        <f>RANK(U19,U$5:U$22)</f>
        <v/>
      </c>
      <c r="W19" s="56" t="n"/>
      <c r="X19" s="53">
        <f>VLOOKUP($A19,INDIRECT("'"&amp;$B$1&amp;"'!$A:$IZ"),65,FALSE)</f>
        <v/>
      </c>
      <c r="Y19" s="54">
        <f>RANK(X19,X$5:X$22)</f>
        <v/>
      </c>
      <c r="Z19" s="53">
        <f>VLOOKUP($A19,INDIRECT("'"&amp;$B$1&amp;"'!$A:$IZ"),64,FALSE)</f>
        <v/>
      </c>
      <c r="AA19" s="54">
        <f>RANK(Z19,Z$5:Z$22)</f>
        <v/>
      </c>
      <c r="AB19" s="53">
        <f>VLOOKUP($A19,INDIRECT("'"&amp;$B$1&amp;"'!$A:$IZ"),63,FALSE)</f>
        <v/>
      </c>
      <c r="AC19" s="54">
        <f>RANK(AB19,AB$5:AB$22)</f>
        <v/>
      </c>
      <c r="AD19" s="53">
        <f>VLOOKUP($A19,INDIRECT("'"&amp;$B$1&amp;"'!$A:$IZ"),71,FALSE)</f>
        <v/>
      </c>
      <c r="AE19" s="54">
        <f>RANK(AD19,AD$5:AD$22)</f>
        <v/>
      </c>
      <c r="AF19" s="65">
        <f>104-(Y19+AA19+AC19+AE19)</f>
        <v/>
      </c>
      <c r="AG19" s="47">
        <f>RANK(AF19,AF$5:AF$22)</f>
        <v/>
      </c>
      <c r="AH19" s="56" t="n"/>
      <c r="AI19" s="53">
        <f>VLOOKUP($A19,INDIRECT("'"&amp;$B$1&amp;"'!$A:$IZ"),183,FALSE)</f>
        <v/>
      </c>
      <c r="AJ19" s="54">
        <f>RANK(AI19,AI$5:AI$22,1)</f>
        <v/>
      </c>
      <c r="AK19" s="53">
        <f>VLOOKUP($A19,INDIRECT("'"&amp;$B$1&amp;"'!$A:$IZ"),181,FALSE)</f>
        <v/>
      </c>
      <c r="AL19" s="54">
        <f>RANK(AK19,AK$5:AK$22,1)</f>
        <v/>
      </c>
      <c r="AM19" s="53">
        <f>VLOOKUP($A19,INDIRECT("'"&amp;$B$1&amp;"'!$A:$IZ"),182,FALSE)</f>
        <v/>
      </c>
      <c r="AN19" s="54">
        <f>RANK(AM19,AM$5:AM$22,1)</f>
        <v/>
      </c>
      <c r="AO19" s="53">
        <f>VLOOKUP($A19,INDIRECT("'"&amp;$B$1&amp;"'!$A:$IZ"),163,FALSE)</f>
        <v/>
      </c>
      <c r="AP19" s="54">
        <f>RANK(AO19,AO$5:AO$22,1)</f>
        <v/>
      </c>
      <c r="AQ19" s="65">
        <f>104-(AJ19+AL19+AN19+AP19)</f>
        <v/>
      </c>
      <c r="AR19" s="47">
        <f>RANK(AQ19,AQ$5:AQ$22)</f>
        <v/>
      </c>
      <c r="AS19" s="56" t="n"/>
      <c r="AT19" s="46">
        <f>VLOOKUP($A19,INDIRECT("'"&amp;$B$1&amp;"'!$A:$IZ"),250,FALSE)</f>
        <v/>
      </c>
      <c r="AU19" s="47">
        <f>RANK(AT19,AT$5:AT$22,0)</f>
        <v/>
      </c>
      <c r="AV19" s="46">
        <f>VLOOKUP($A19,INDIRECT("'"&amp;$B$1&amp;"'!$A:$IZ"),92,FALSE)</f>
        <v/>
      </c>
      <c r="AW19" s="47">
        <f>RANK(AV19,AV$5:AV$22,0)</f>
        <v/>
      </c>
      <c r="AX19" s="46">
        <f>VLOOKUP($A19,INDIRECT("'"&amp;$B$1&amp;"'!$A:$IZ"),93,FALSE)</f>
        <v/>
      </c>
      <c r="AY19" s="47">
        <f>RANK(AX19,AX$5:AX$22,0)</f>
        <v/>
      </c>
      <c r="AZ19" s="46">
        <f>VLOOKUP($A19,INDIRECT("'"&amp;$B$1&amp;"'!$A:$IZ"),108,FALSE)</f>
        <v/>
      </c>
      <c r="BA19" s="47">
        <f>RANK(AZ19,AZ$5:AZ$22,0)</f>
        <v/>
      </c>
      <c r="BB19" s="46">
        <f>104-(AU19+AW19+AY19+BA19)</f>
        <v/>
      </c>
      <c r="BC19" s="47">
        <f>RANK(BB19,BB$5:BB$22)</f>
        <v/>
      </c>
      <c r="BD19" s="56" t="n"/>
      <c r="BE19" s="53">
        <f>VLOOKUP($A19,INDIRECT("'"&amp;$B$1&amp;"'!$A:$IZ"),80,FALSE)</f>
        <v/>
      </c>
      <c r="BF19" s="54">
        <f>RANK(BE19,BE$5:BE$22)</f>
        <v/>
      </c>
      <c r="BG19" s="53">
        <f>VLOOKUP($A19,INDIRECT("'"&amp;$B$1&amp;"'!$A:$IZ"),177,FALSE)</f>
        <v/>
      </c>
      <c r="BH19" s="54">
        <f>RANK(BG19,BG$5:BG$22,1)</f>
        <v/>
      </c>
      <c r="BI19" s="53">
        <f>VLOOKUP($A19,INDIRECT("'"&amp;$B$1&amp;"'!$A:$IZ"),79,FALSE)</f>
        <v/>
      </c>
      <c r="BJ19" s="54">
        <f>RANK(BI19,BI$5:BI$22)</f>
        <v/>
      </c>
      <c r="BK19" s="53">
        <f>VLOOKUP($A19,INDIRECT("'"&amp;$B$1&amp;"'!$A:$IZ"),176,FALSE)</f>
        <v/>
      </c>
      <c r="BL19" s="54">
        <f>RANK(BK19,BK$5:BK$22,1)</f>
        <v/>
      </c>
      <c r="BM19" s="53">
        <f>VLOOKUP($A19,INDIRECT("'"&amp;$B$1&amp;"'!$A:$IZ"),11,FALSE)</f>
        <v/>
      </c>
      <c r="BN19" s="54">
        <f>RANK(BM19,BM$5:BM$22)</f>
        <v/>
      </c>
      <c r="BO19" s="53">
        <f>VLOOKUP($A19,INDIRECT("'"&amp;$B$1&amp;"'!$A:$IZ"),222,FALSE)</f>
        <v/>
      </c>
      <c r="BP19" s="54">
        <f>RANK(BO19,BO$5:BO$22)</f>
        <v/>
      </c>
      <c r="BQ19" s="65">
        <f>106-(BF19+BH19+BN19+BP19+BJ19+BL19)</f>
        <v/>
      </c>
      <c r="BR19" s="47">
        <f>RANK(BQ19,BQ$5:BQ$22)</f>
        <v/>
      </c>
      <c r="BS19" s="56" t="n"/>
      <c r="BT19" s="57">
        <f>VLOOKUP($A19,'Ratings Season'!$A:$M,10,FALSE)</f>
        <v/>
      </c>
      <c r="BU19" s="54">
        <f>RANK(BT19,BT$5:BT$22)</f>
        <v/>
      </c>
      <c r="BV19" s="57">
        <f>VLOOKUP($A19,'Ratings Season'!$A:$M,12,FALSE)</f>
        <v/>
      </c>
      <c r="BW19" s="54">
        <f>RANK(BV19,BV$5:BV$22)</f>
        <v/>
      </c>
      <c r="BX19" s="57">
        <f>VLOOKUP($A19,'Ratings Season'!$A:$M,8,FALSE)</f>
        <v/>
      </c>
      <c r="BY19" s="58">
        <f>RANK(BX19,BX$5:BX$22)</f>
        <v/>
      </c>
      <c r="BZ19" s="72" t="n"/>
    </row>
    <row r="20" ht="25" customFormat="1" customHeight="1" s="3">
      <c r="A20" s="90" t="inlineStr">
        <is>
          <t>Sydney</t>
        </is>
      </c>
      <c r="B20" s="53">
        <f>VLOOKUP($A20,INDIRECT("'"&amp;$B$1&amp;"'!$A:$IZ"),222,FALSE)</f>
        <v/>
      </c>
      <c r="C20" s="54">
        <f>RANK(B20,B$5:B$22)</f>
        <v/>
      </c>
      <c r="D20" s="55">
        <f>VLOOKUP($A20,INDIRECT("'"&amp;$B$1&amp;"'!$A:$IZ"),218,FALSE)</f>
        <v/>
      </c>
      <c r="E20" s="54">
        <f>RANK(D20,D$5:D$22)</f>
        <v/>
      </c>
      <c r="F20" s="55">
        <f>VLOOKUP($A20,INDIRECT("'"&amp;$B$1&amp;"'!$A:$IZ"),49,FALSE)</f>
        <v/>
      </c>
      <c r="G20" s="54">
        <f>RANK(F20,F$5:F$22)</f>
        <v/>
      </c>
      <c r="H20" s="55">
        <f>VLOOKUP($A20,INDIRECT("'"&amp;$B$1&amp;"'!$A:$IZ"),229,FALSE)</f>
        <v/>
      </c>
      <c r="I20" s="54">
        <f>RANK(H20,H$5:H$22)</f>
        <v/>
      </c>
      <c r="J20" s="49">
        <f>104-(C20+E20+G20+I20)</f>
        <v/>
      </c>
      <c r="K20" s="47">
        <f>RANK(J20,J$5:J$22)</f>
        <v/>
      </c>
      <c r="L20" s="56" t="n"/>
      <c r="M20" s="53">
        <f>VLOOKUP($A20,INDIRECT("'"&amp;$B$1&amp;"'!$A:$IZ"),88,FALSE)</f>
        <v/>
      </c>
      <c r="N20" s="54">
        <f>RANK(M20,M$5:M$22)</f>
        <v/>
      </c>
      <c r="O20" s="53">
        <f>VLOOKUP($A20,INDIRECT("'"&amp;$B$1&amp;"'!$A:$IZ"),84,FALSE)</f>
        <v/>
      </c>
      <c r="P20" s="54">
        <f>RANK(O20,O$5:O$22)</f>
        <v/>
      </c>
      <c r="Q20" s="53">
        <f>VLOOKUP($A20,INDIRECT("'"&amp;$B$1&amp;"'!$A:$IZ"),85,FALSE)</f>
        <v/>
      </c>
      <c r="R20" s="54">
        <f>RANK(Q20,Q$5:Q$22)</f>
        <v/>
      </c>
      <c r="S20" s="55">
        <f>VLOOKUP($A20,INDIRECT("'"&amp;$B$1&amp;"'!$A:$IZ"),29,FALSE)</f>
        <v/>
      </c>
      <c r="T20" s="54">
        <f>RANK(S20,S$5:S$22)</f>
        <v/>
      </c>
      <c r="U20" s="49">
        <f>104-(N20+P20+R20+T20)</f>
        <v/>
      </c>
      <c r="V20" s="47">
        <f>RANK(U20,U$5:U$22)</f>
        <v/>
      </c>
      <c r="W20" s="56" t="n"/>
      <c r="X20" s="53">
        <f>VLOOKUP($A20,INDIRECT("'"&amp;$B$1&amp;"'!$A:$IZ"),65,FALSE)</f>
        <v/>
      </c>
      <c r="Y20" s="54">
        <f>RANK(X20,X$5:X$22)</f>
        <v/>
      </c>
      <c r="Z20" s="53">
        <f>VLOOKUP($A20,INDIRECT("'"&amp;$B$1&amp;"'!$A:$IZ"),64,FALSE)</f>
        <v/>
      </c>
      <c r="AA20" s="54">
        <f>RANK(Z20,Z$5:Z$22)</f>
        <v/>
      </c>
      <c r="AB20" s="53">
        <f>VLOOKUP($A20,INDIRECT("'"&amp;$B$1&amp;"'!$A:$IZ"),63,FALSE)</f>
        <v/>
      </c>
      <c r="AC20" s="54">
        <f>RANK(AB20,AB$5:AB$22)</f>
        <v/>
      </c>
      <c r="AD20" s="53">
        <f>VLOOKUP($A20,INDIRECT("'"&amp;$B$1&amp;"'!$A:$IZ"),71,FALSE)</f>
        <v/>
      </c>
      <c r="AE20" s="54">
        <f>RANK(AD20,AD$5:AD$22)</f>
        <v/>
      </c>
      <c r="AF20" s="65">
        <f>104-(Y20+AA20+AC20+AE20)</f>
        <v/>
      </c>
      <c r="AG20" s="47">
        <f>RANK(AF20,AF$5:AF$22)</f>
        <v/>
      </c>
      <c r="AH20" s="56" t="n"/>
      <c r="AI20" s="53">
        <f>VLOOKUP($A20,INDIRECT("'"&amp;$B$1&amp;"'!$A:$IZ"),183,FALSE)</f>
        <v/>
      </c>
      <c r="AJ20" s="54">
        <f>RANK(AI20,AI$5:AI$22,1)</f>
        <v/>
      </c>
      <c r="AK20" s="53">
        <f>VLOOKUP($A20,INDIRECT("'"&amp;$B$1&amp;"'!$A:$IZ"),181,FALSE)</f>
        <v/>
      </c>
      <c r="AL20" s="54">
        <f>RANK(AK20,AK$5:AK$22,1)</f>
        <v/>
      </c>
      <c r="AM20" s="53">
        <f>VLOOKUP($A20,INDIRECT("'"&amp;$B$1&amp;"'!$A:$IZ"),182,FALSE)</f>
        <v/>
      </c>
      <c r="AN20" s="54">
        <f>RANK(AM20,AM$5:AM$22,1)</f>
        <v/>
      </c>
      <c r="AO20" s="53">
        <f>VLOOKUP($A20,INDIRECT("'"&amp;$B$1&amp;"'!$A:$IZ"),163,FALSE)</f>
        <v/>
      </c>
      <c r="AP20" s="54">
        <f>RANK(AO20,AO$5:AO$22,1)</f>
        <v/>
      </c>
      <c r="AQ20" s="65">
        <f>104-(AJ20+AL20+AN20+AP20)</f>
        <v/>
      </c>
      <c r="AR20" s="47">
        <f>RANK(AQ20,AQ$5:AQ$22)</f>
        <v/>
      </c>
      <c r="AS20" s="56" t="n"/>
      <c r="AT20" s="46">
        <f>VLOOKUP($A20,INDIRECT("'"&amp;$B$1&amp;"'!$A:$IZ"),250,FALSE)</f>
        <v/>
      </c>
      <c r="AU20" s="47">
        <f>RANK(AT20,AT$5:AT$22,0)</f>
        <v/>
      </c>
      <c r="AV20" s="46">
        <f>VLOOKUP($A20,INDIRECT("'"&amp;$B$1&amp;"'!$A:$IZ"),92,FALSE)</f>
        <v/>
      </c>
      <c r="AW20" s="47">
        <f>RANK(AV20,AV$5:AV$22,0)</f>
        <v/>
      </c>
      <c r="AX20" s="46">
        <f>VLOOKUP($A20,INDIRECT("'"&amp;$B$1&amp;"'!$A:$IZ"),93,FALSE)</f>
        <v/>
      </c>
      <c r="AY20" s="47">
        <f>RANK(AX20,AX$5:AX$22,0)</f>
        <v/>
      </c>
      <c r="AZ20" s="46">
        <f>VLOOKUP($A20,INDIRECT("'"&amp;$B$1&amp;"'!$A:$IZ"),108,FALSE)</f>
        <v/>
      </c>
      <c r="BA20" s="47">
        <f>RANK(AZ20,AZ$5:AZ$22,0)</f>
        <v/>
      </c>
      <c r="BB20" s="46">
        <f>104-(AU20+AW20+AY20+BA20)</f>
        <v/>
      </c>
      <c r="BC20" s="47">
        <f>RANK(BB20,BB$5:BB$22)</f>
        <v/>
      </c>
      <c r="BD20" s="56" t="n"/>
      <c r="BE20" s="53">
        <f>VLOOKUP($A20,INDIRECT("'"&amp;$B$1&amp;"'!$A:$IZ"),80,FALSE)</f>
        <v/>
      </c>
      <c r="BF20" s="54">
        <f>RANK(BE20,BE$5:BE$22)</f>
        <v/>
      </c>
      <c r="BG20" s="53">
        <f>VLOOKUP($A20,INDIRECT("'"&amp;$B$1&amp;"'!$A:$IZ"),177,FALSE)</f>
        <v/>
      </c>
      <c r="BH20" s="54">
        <f>RANK(BG20,BG$5:BG$22,1)</f>
        <v/>
      </c>
      <c r="BI20" s="53">
        <f>VLOOKUP($A20,INDIRECT("'"&amp;$B$1&amp;"'!$A:$IZ"),79,FALSE)</f>
        <v/>
      </c>
      <c r="BJ20" s="54">
        <f>RANK(BI20,BI$5:BI$22)</f>
        <v/>
      </c>
      <c r="BK20" s="53">
        <f>VLOOKUP($A20,INDIRECT("'"&amp;$B$1&amp;"'!$A:$IZ"),176,FALSE)</f>
        <v/>
      </c>
      <c r="BL20" s="54">
        <f>RANK(BK20,BK$5:BK$22,1)</f>
        <v/>
      </c>
      <c r="BM20" s="53">
        <f>VLOOKUP($A20,INDIRECT("'"&amp;$B$1&amp;"'!$A:$IZ"),11,FALSE)</f>
        <v/>
      </c>
      <c r="BN20" s="54">
        <f>RANK(BM20,BM$5:BM$22)</f>
        <v/>
      </c>
      <c r="BO20" s="53">
        <f>VLOOKUP($A20,INDIRECT("'"&amp;$B$1&amp;"'!$A:$IZ"),222,FALSE)</f>
        <v/>
      </c>
      <c r="BP20" s="54">
        <f>RANK(BO20,BO$5:BO$22)</f>
        <v/>
      </c>
      <c r="BQ20" s="65">
        <f>106-(BF20+BH20+BN20+BP20+BJ20+BL20)</f>
        <v/>
      </c>
      <c r="BR20" s="47">
        <f>RANK(BQ20,BQ$5:BQ$22)</f>
        <v/>
      </c>
      <c r="BS20" s="56" t="n"/>
      <c r="BT20" s="57">
        <f>VLOOKUP($A20,'Ratings Season'!$A:$M,10,FALSE)</f>
        <v/>
      </c>
      <c r="BU20" s="54">
        <f>RANK(BT20,BT$5:BT$22)</f>
        <v/>
      </c>
      <c r="BV20" s="57">
        <f>VLOOKUP($A20,'Ratings Season'!$A:$M,12,FALSE)</f>
        <v/>
      </c>
      <c r="BW20" s="54">
        <f>RANK(BV20,BV$5:BV$22)</f>
        <v/>
      </c>
      <c r="BX20" s="57">
        <f>VLOOKUP($A20,'Ratings Season'!$A:$M,8,FALSE)</f>
        <v/>
      </c>
      <c r="BY20" s="58">
        <f>RANK(BX20,BX$5:BX$22)</f>
        <v/>
      </c>
      <c r="BZ20" s="72" t="n"/>
    </row>
    <row r="21" ht="25" customFormat="1" customHeight="1" s="3">
      <c r="A21" s="91" t="inlineStr">
        <is>
          <t>West Coast</t>
        </is>
      </c>
      <c r="B21" s="53">
        <f>VLOOKUP($A21,INDIRECT("'"&amp;$B$1&amp;"'!$A:$IZ"),222,FALSE)</f>
        <v/>
      </c>
      <c r="C21" s="54">
        <f>RANK(B21,B$5:B$22)</f>
        <v/>
      </c>
      <c r="D21" s="55">
        <f>VLOOKUP($A21,INDIRECT("'"&amp;$B$1&amp;"'!$A:$IZ"),218,FALSE)</f>
        <v/>
      </c>
      <c r="E21" s="54">
        <f>RANK(D21,D$5:D$22)</f>
        <v/>
      </c>
      <c r="F21" s="55">
        <f>VLOOKUP($A21,INDIRECT("'"&amp;$B$1&amp;"'!$A:$IZ"),49,FALSE)</f>
        <v/>
      </c>
      <c r="G21" s="54">
        <f>RANK(F21,F$5:F$22)</f>
        <v/>
      </c>
      <c r="H21" s="55">
        <f>VLOOKUP($A21,INDIRECT("'"&amp;$B$1&amp;"'!$A:$IZ"),229,FALSE)</f>
        <v/>
      </c>
      <c r="I21" s="54">
        <f>RANK(H21,H$5:H$22)</f>
        <v/>
      </c>
      <c r="J21" s="49">
        <f>104-(C21+E21+G21+I21)</f>
        <v/>
      </c>
      <c r="K21" s="47">
        <f>RANK(J21,J$5:J$22)</f>
        <v/>
      </c>
      <c r="L21" s="56" t="n"/>
      <c r="M21" s="53">
        <f>VLOOKUP($A21,INDIRECT("'"&amp;$B$1&amp;"'!$A:$IZ"),88,FALSE)</f>
        <v/>
      </c>
      <c r="N21" s="54">
        <f>RANK(M21,M$5:M$22)</f>
        <v/>
      </c>
      <c r="O21" s="53">
        <f>VLOOKUP($A21,INDIRECT("'"&amp;$B$1&amp;"'!$A:$IZ"),84,FALSE)</f>
        <v/>
      </c>
      <c r="P21" s="54">
        <f>RANK(O21,O$5:O$22)</f>
        <v/>
      </c>
      <c r="Q21" s="53">
        <f>VLOOKUP($A21,INDIRECT("'"&amp;$B$1&amp;"'!$A:$IZ"),85,FALSE)</f>
        <v/>
      </c>
      <c r="R21" s="54">
        <f>RANK(Q21,Q$5:Q$22)</f>
        <v/>
      </c>
      <c r="S21" s="55">
        <f>VLOOKUP($A21,INDIRECT("'"&amp;$B$1&amp;"'!$A:$IZ"),29,FALSE)</f>
        <v/>
      </c>
      <c r="T21" s="54">
        <f>RANK(S21,S$5:S$22)</f>
        <v/>
      </c>
      <c r="U21" s="49">
        <f>104-(N21+P21+R21+T21)</f>
        <v/>
      </c>
      <c r="V21" s="47">
        <f>RANK(U21,U$5:U$22)</f>
        <v/>
      </c>
      <c r="W21" s="56" t="n"/>
      <c r="X21" s="53">
        <f>VLOOKUP($A21,INDIRECT("'"&amp;$B$1&amp;"'!$A:$IZ"),65,FALSE)</f>
        <v/>
      </c>
      <c r="Y21" s="54">
        <f>RANK(X21,X$5:X$22)</f>
        <v/>
      </c>
      <c r="Z21" s="53">
        <f>VLOOKUP($A21,INDIRECT("'"&amp;$B$1&amp;"'!$A:$IZ"),64,FALSE)</f>
        <v/>
      </c>
      <c r="AA21" s="54">
        <f>RANK(Z21,Z$5:Z$22)</f>
        <v/>
      </c>
      <c r="AB21" s="53">
        <f>VLOOKUP($A21,INDIRECT("'"&amp;$B$1&amp;"'!$A:$IZ"),63,FALSE)</f>
        <v/>
      </c>
      <c r="AC21" s="54">
        <f>RANK(AB21,AB$5:AB$22)</f>
        <v/>
      </c>
      <c r="AD21" s="53">
        <f>VLOOKUP($A21,INDIRECT("'"&amp;$B$1&amp;"'!$A:$IZ"),71,FALSE)</f>
        <v/>
      </c>
      <c r="AE21" s="54">
        <f>RANK(AD21,AD$5:AD$22)</f>
        <v/>
      </c>
      <c r="AF21" s="65">
        <f>104-(Y21+AA21+AC21+AE21)</f>
        <v/>
      </c>
      <c r="AG21" s="47">
        <f>RANK(AF21,AF$5:AF$22)</f>
        <v/>
      </c>
      <c r="AH21" s="56" t="n"/>
      <c r="AI21" s="53">
        <f>VLOOKUP($A21,INDIRECT("'"&amp;$B$1&amp;"'!$A:$IZ"),183,FALSE)</f>
        <v/>
      </c>
      <c r="AJ21" s="54">
        <f>RANK(AI21,AI$5:AI$22,1)</f>
        <v/>
      </c>
      <c r="AK21" s="53">
        <f>VLOOKUP($A21,INDIRECT("'"&amp;$B$1&amp;"'!$A:$IZ"),181,FALSE)</f>
        <v/>
      </c>
      <c r="AL21" s="54">
        <f>RANK(AK21,AK$5:AK$22,1)</f>
        <v/>
      </c>
      <c r="AM21" s="53">
        <f>VLOOKUP($A21,INDIRECT("'"&amp;$B$1&amp;"'!$A:$IZ"),182,FALSE)</f>
        <v/>
      </c>
      <c r="AN21" s="54">
        <f>RANK(AM21,AM$5:AM$22,1)</f>
        <v/>
      </c>
      <c r="AO21" s="53">
        <f>VLOOKUP($A21,INDIRECT("'"&amp;$B$1&amp;"'!$A:$IZ"),163,FALSE)</f>
        <v/>
      </c>
      <c r="AP21" s="54">
        <f>RANK(AO21,AO$5:AO$22,1)</f>
        <v/>
      </c>
      <c r="AQ21" s="65">
        <f>104-(AJ21+AL21+AN21+AP21)</f>
        <v/>
      </c>
      <c r="AR21" s="47">
        <f>RANK(AQ21,AQ$5:AQ$22)</f>
        <v/>
      </c>
      <c r="AS21" s="56" t="n"/>
      <c r="AT21" s="46">
        <f>VLOOKUP($A21,INDIRECT("'"&amp;$B$1&amp;"'!$A:$IZ"),250,FALSE)</f>
        <v/>
      </c>
      <c r="AU21" s="47">
        <f>RANK(AT21,AT$5:AT$22,0)</f>
        <v/>
      </c>
      <c r="AV21" s="46">
        <f>VLOOKUP($A21,INDIRECT("'"&amp;$B$1&amp;"'!$A:$IZ"),92,FALSE)</f>
        <v/>
      </c>
      <c r="AW21" s="47">
        <f>RANK(AV21,AV$5:AV$22,0)</f>
        <v/>
      </c>
      <c r="AX21" s="46">
        <f>VLOOKUP($A21,INDIRECT("'"&amp;$B$1&amp;"'!$A:$IZ"),93,FALSE)</f>
        <v/>
      </c>
      <c r="AY21" s="47">
        <f>RANK(AX21,AX$5:AX$22,0)</f>
        <v/>
      </c>
      <c r="AZ21" s="46">
        <f>VLOOKUP($A21,INDIRECT("'"&amp;$B$1&amp;"'!$A:$IZ"),108,FALSE)</f>
        <v/>
      </c>
      <c r="BA21" s="47">
        <f>RANK(AZ21,AZ$5:AZ$22,0)</f>
        <v/>
      </c>
      <c r="BB21" s="46">
        <f>104-(AU21+AW21+AY21+BA21)</f>
        <v/>
      </c>
      <c r="BC21" s="47">
        <f>RANK(BB21,BB$5:BB$22)</f>
        <v/>
      </c>
      <c r="BD21" s="56" t="n"/>
      <c r="BE21" s="53">
        <f>VLOOKUP($A21,INDIRECT("'"&amp;$B$1&amp;"'!$A:$IZ"),80,FALSE)</f>
        <v/>
      </c>
      <c r="BF21" s="54">
        <f>RANK(BE21,BE$5:BE$22)</f>
        <v/>
      </c>
      <c r="BG21" s="53">
        <f>VLOOKUP($A21,INDIRECT("'"&amp;$B$1&amp;"'!$A:$IZ"),177,FALSE)</f>
        <v/>
      </c>
      <c r="BH21" s="54">
        <f>RANK(BG21,BG$5:BG$22,1)</f>
        <v/>
      </c>
      <c r="BI21" s="53">
        <f>VLOOKUP($A21,INDIRECT("'"&amp;$B$1&amp;"'!$A:$IZ"),79,FALSE)</f>
        <v/>
      </c>
      <c r="BJ21" s="54">
        <f>RANK(BI21,BI$5:BI$22)</f>
        <v/>
      </c>
      <c r="BK21" s="53">
        <f>VLOOKUP($A21,INDIRECT("'"&amp;$B$1&amp;"'!$A:$IZ"),176,FALSE)</f>
        <v/>
      </c>
      <c r="BL21" s="54">
        <f>RANK(BK21,BK$5:BK$22,1)</f>
        <v/>
      </c>
      <c r="BM21" s="53">
        <f>VLOOKUP($A21,INDIRECT("'"&amp;$B$1&amp;"'!$A:$IZ"),11,FALSE)</f>
        <v/>
      </c>
      <c r="BN21" s="54">
        <f>RANK(BM21,BM$5:BM$22)</f>
        <v/>
      </c>
      <c r="BO21" s="53">
        <f>VLOOKUP($A21,INDIRECT("'"&amp;$B$1&amp;"'!$A:$IZ"),222,FALSE)</f>
        <v/>
      </c>
      <c r="BP21" s="54">
        <f>RANK(BO21,BO$5:BO$22)</f>
        <v/>
      </c>
      <c r="BQ21" s="65">
        <f>106-(BF21+BH21+BN21+BP21+BJ21+BL21)</f>
        <v/>
      </c>
      <c r="BR21" s="47">
        <f>RANK(BQ21,BQ$5:BQ$22)</f>
        <v/>
      </c>
      <c r="BS21" s="56" t="n"/>
      <c r="BT21" s="57">
        <f>VLOOKUP($A21,'Ratings Season'!$A:$M,10,FALSE)</f>
        <v/>
      </c>
      <c r="BU21" s="54">
        <f>RANK(BT21,BT$5:BT$22)</f>
        <v/>
      </c>
      <c r="BV21" s="57">
        <f>VLOOKUP($A21,'Ratings Season'!$A:$M,12,FALSE)</f>
        <v/>
      </c>
      <c r="BW21" s="54">
        <f>RANK(BV21,BV$5:BV$22)</f>
        <v/>
      </c>
      <c r="BX21" s="57">
        <f>VLOOKUP($A21,'Ratings Season'!$A:$M,8,FALSE)</f>
        <v/>
      </c>
      <c r="BY21" s="58">
        <f>RANK(BX21,BX$5:BX$22)</f>
        <v/>
      </c>
      <c r="BZ21" s="72" t="n"/>
    </row>
    <row r="22" ht="25" customFormat="1" customHeight="1" s="3" thickBot="1">
      <c r="A22" s="92" t="inlineStr">
        <is>
          <t>Western Bulldogs</t>
        </is>
      </c>
      <c r="B22" s="59">
        <f>VLOOKUP($A22,INDIRECT("'"&amp;$B$1&amp;"'!$A:$IZ"),222,FALSE)</f>
        <v/>
      </c>
      <c r="C22" s="60">
        <f>RANK(B22,B$5:B$22)</f>
        <v/>
      </c>
      <c r="D22" s="61">
        <f>VLOOKUP($A22,INDIRECT("'"&amp;$B$1&amp;"'!$A:$IZ"),218,FALSE)</f>
        <v/>
      </c>
      <c r="E22" s="60">
        <f>RANK(D22,D$5:D$22)</f>
        <v/>
      </c>
      <c r="F22" s="61">
        <f>VLOOKUP($A22,INDIRECT("'"&amp;$B$1&amp;"'!$A:$IZ"),49,FALSE)</f>
        <v/>
      </c>
      <c r="G22" s="60">
        <f>RANK(F22,F$5:F$22)</f>
        <v/>
      </c>
      <c r="H22" s="61">
        <f>VLOOKUP($A22,INDIRECT("'"&amp;$B$1&amp;"'!$A:$IZ"),229,FALSE)</f>
        <v/>
      </c>
      <c r="I22" s="60">
        <f>RANK(H22,H$5:H$22)</f>
        <v/>
      </c>
      <c r="J22" s="49">
        <f>104-(C22+E22+G22+I22)</f>
        <v/>
      </c>
      <c r="K22" s="47">
        <f>RANK(J22,J$5:J$22)</f>
        <v/>
      </c>
      <c r="L22" s="62" t="n"/>
      <c r="M22" s="59">
        <f>VLOOKUP($A22,INDIRECT("'"&amp;$B$1&amp;"'!$A:$IZ"),88,FALSE)</f>
        <v/>
      </c>
      <c r="N22" s="60">
        <f>RANK(M22,M$5:M$22)</f>
        <v/>
      </c>
      <c r="O22" s="59">
        <f>VLOOKUP($A22,INDIRECT("'"&amp;$B$1&amp;"'!$A:$IZ"),84,FALSE)</f>
        <v/>
      </c>
      <c r="P22" s="60">
        <f>RANK(O22,O$5:O$22)</f>
        <v/>
      </c>
      <c r="Q22" s="59">
        <f>VLOOKUP($A22,INDIRECT("'"&amp;$B$1&amp;"'!$A:$IZ"),85,FALSE)</f>
        <v/>
      </c>
      <c r="R22" s="60">
        <f>RANK(Q22,Q$5:Q$22)</f>
        <v/>
      </c>
      <c r="S22" s="61">
        <f>VLOOKUP($A22,INDIRECT("'"&amp;$B$1&amp;"'!$A:$IZ"),29,FALSE)</f>
        <v/>
      </c>
      <c r="T22" s="60">
        <f>RANK(S22,S$5:S$22)</f>
        <v/>
      </c>
      <c r="U22" s="49">
        <f>104-(N22+P22+R22+T22)</f>
        <v/>
      </c>
      <c r="V22" s="47">
        <f>RANK(U22,U$5:U$22)</f>
        <v/>
      </c>
      <c r="W22" s="62" t="n"/>
      <c r="X22" s="59">
        <f>VLOOKUP($A22,INDIRECT("'"&amp;$B$1&amp;"'!$A:$IZ"),65,FALSE)</f>
        <v/>
      </c>
      <c r="Y22" s="60">
        <f>RANK(X22,X$5:X$22)</f>
        <v/>
      </c>
      <c r="Z22" s="59">
        <f>VLOOKUP($A22,INDIRECT("'"&amp;$B$1&amp;"'!$A:$IZ"),64,FALSE)</f>
        <v/>
      </c>
      <c r="AA22" s="60">
        <f>RANK(Z22,Z$5:Z$22)</f>
        <v/>
      </c>
      <c r="AB22" s="59">
        <f>VLOOKUP($A22,INDIRECT("'"&amp;$B$1&amp;"'!$A:$IZ"),63,FALSE)</f>
        <v/>
      </c>
      <c r="AC22" s="60">
        <f>RANK(AB22,AB$5:AB$22)</f>
        <v/>
      </c>
      <c r="AD22" s="59">
        <f>VLOOKUP($A22,INDIRECT("'"&amp;$B$1&amp;"'!$A:$IZ"),71,FALSE)</f>
        <v/>
      </c>
      <c r="AE22" s="60">
        <f>RANK(AD22,AD$5:AD$22)</f>
        <v/>
      </c>
      <c r="AF22" s="66">
        <f>104-(Y22+AA22+AC22+AE22)</f>
        <v/>
      </c>
      <c r="AG22" s="47">
        <f>RANK(AF22,AF$5:AF$22)</f>
        <v/>
      </c>
      <c r="AH22" s="62" t="n"/>
      <c r="AI22" s="59">
        <f>VLOOKUP($A22,INDIRECT("'"&amp;$B$1&amp;"'!$A:$IZ"),183,FALSE)</f>
        <v/>
      </c>
      <c r="AJ22" s="60">
        <f>RANK(AI22,AI$5:AI$22,1)</f>
        <v/>
      </c>
      <c r="AK22" s="59">
        <f>VLOOKUP($A22,INDIRECT("'"&amp;$B$1&amp;"'!$A:$IZ"),181,FALSE)</f>
        <v/>
      </c>
      <c r="AL22" s="60">
        <f>RANK(AK22,AK$5:AK$22,1)</f>
        <v/>
      </c>
      <c r="AM22" s="59">
        <f>VLOOKUP($A22,INDIRECT("'"&amp;$B$1&amp;"'!$A:$IZ"),182,FALSE)</f>
        <v/>
      </c>
      <c r="AN22" s="60">
        <f>RANK(AM22,AM$5:AM$22,1)</f>
        <v/>
      </c>
      <c r="AO22" s="59">
        <f>VLOOKUP($A22,INDIRECT("'"&amp;$B$1&amp;"'!$A:$IZ"),163,FALSE)</f>
        <v/>
      </c>
      <c r="AP22" s="60">
        <f>RANK(AO22,AO$5:AO$22,1)</f>
        <v/>
      </c>
      <c r="AQ22" s="66">
        <f>104-(AJ22+AL22+AN22+AP22)</f>
        <v/>
      </c>
      <c r="AR22" s="47">
        <f>RANK(AQ22,AQ$5:AQ$22)</f>
        <v/>
      </c>
      <c r="AS22" s="62" t="n"/>
      <c r="AT22" s="46">
        <f>VLOOKUP($A22,INDIRECT("'"&amp;$B$1&amp;"'!$A:$IZ"),250,FALSE)</f>
        <v/>
      </c>
      <c r="AU22" s="47">
        <f>RANK(AT22,AT$5:AT$22,0)</f>
        <v/>
      </c>
      <c r="AV22" s="46">
        <f>VLOOKUP($A22,INDIRECT("'"&amp;$B$1&amp;"'!$A:$IZ"),92,FALSE)</f>
        <v/>
      </c>
      <c r="AW22" s="47">
        <f>RANK(AV22,AV$5:AV$22,0)</f>
        <v/>
      </c>
      <c r="AX22" s="46">
        <f>VLOOKUP($A22,INDIRECT("'"&amp;$B$1&amp;"'!$A:$IZ"),93,FALSE)</f>
        <v/>
      </c>
      <c r="AY22" s="47">
        <f>RANK(AX22,AX$5:AX$22,0)</f>
        <v/>
      </c>
      <c r="AZ22" s="46">
        <f>VLOOKUP($A22,INDIRECT("'"&amp;$B$1&amp;"'!$A:$IZ"),108,FALSE)</f>
        <v/>
      </c>
      <c r="BA22" s="47">
        <f>RANK(AZ22,AZ$5:AZ$22,0)</f>
        <v/>
      </c>
      <c r="BB22" s="46">
        <f>104-(AU22+AW22+AY22+BA22)</f>
        <v/>
      </c>
      <c r="BC22" s="47">
        <f>RANK(BB22,BB$5:BB$22)</f>
        <v/>
      </c>
      <c r="BD22" s="62" t="n"/>
      <c r="BE22" s="59">
        <f>VLOOKUP($A22,INDIRECT("'"&amp;$B$1&amp;"'!$A:$IZ"),80,FALSE)</f>
        <v/>
      </c>
      <c r="BF22" s="60">
        <f>RANK(BE22,BE$5:BE$22)</f>
        <v/>
      </c>
      <c r="BG22" s="59">
        <f>VLOOKUP($A22,INDIRECT("'"&amp;$B$1&amp;"'!$A:$IZ"),177,FALSE)</f>
        <v/>
      </c>
      <c r="BH22" s="60">
        <f>RANK(BG22,BG$5:BG$22,1)</f>
        <v/>
      </c>
      <c r="BI22" s="59">
        <f>VLOOKUP($A22,INDIRECT("'"&amp;$B$1&amp;"'!$A:$IZ"),79,FALSE)</f>
        <v/>
      </c>
      <c r="BJ22" s="60">
        <f>RANK(BI22,BI$5:BI$22)</f>
        <v/>
      </c>
      <c r="BK22" s="59">
        <f>VLOOKUP($A22,INDIRECT("'"&amp;$B$1&amp;"'!$A:$IZ"),176,FALSE)</f>
        <v/>
      </c>
      <c r="BL22" s="60">
        <f>RANK(BK22,BK$5:BK$22,1)</f>
        <v/>
      </c>
      <c r="BM22" s="59">
        <f>VLOOKUP($A22,INDIRECT("'"&amp;$B$1&amp;"'!$A:$IZ"),11,FALSE)</f>
        <v/>
      </c>
      <c r="BN22" s="60">
        <f>RANK(BM22,BM$5:BM$22)</f>
        <v/>
      </c>
      <c r="BO22" s="59">
        <f>VLOOKUP($A22,INDIRECT("'"&amp;$B$1&amp;"'!$A:$IZ"),222,FALSE)</f>
        <v/>
      </c>
      <c r="BP22" s="60">
        <f>RANK(BO22,BO$5:BO$22)</f>
        <v/>
      </c>
      <c r="BQ22" s="66">
        <f>106-(BF22+BH22+BN22+BP22+BJ22+BL22)</f>
        <v/>
      </c>
      <c r="BR22" s="47">
        <f>RANK(BQ22,BQ$5:BQ$22)</f>
        <v/>
      </c>
      <c r="BS22" s="62" t="n"/>
      <c r="BT22" s="63">
        <f>VLOOKUP($A22,'Ratings Season'!$A:$M,10,FALSE)</f>
        <v/>
      </c>
      <c r="BU22" s="60">
        <f>RANK(BT22,BT$5:BT$22)</f>
        <v/>
      </c>
      <c r="BV22" s="63">
        <f>VLOOKUP($A22,'Ratings Season'!$A:$M,12,FALSE)</f>
        <v/>
      </c>
      <c r="BW22" s="60">
        <f>RANK(BV22,BV$5:BV$22)</f>
        <v/>
      </c>
      <c r="BX22" s="63">
        <f>VLOOKUP($A22,'Ratings Season'!$A:$M,8,FALSE)</f>
        <v/>
      </c>
      <c r="BY22" s="64">
        <f>RANK(BX22,BX$5:BX$22)</f>
        <v/>
      </c>
      <c r="BZ22" s="72" t="n"/>
    </row>
    <row r="23">
      <c r="BZ23" s="69" t="n"/>
    </row>
    <row r="24">
      <c r="A24" s="69" t="n"/>
      <c r="B24" s="69" t="n"/>
      <c r="C24" s="69" t="n"/>
      <c r="D24" s="69" t="n"/>
      <c r="E24" s="69" t="n"/>
      <c r="F24" s="69" t="n"/>
      <c r="G24" s="69" t="n"/>
      <c r="H24" s="69" t="n"/>
      <c r="I24" s="69" t="n"/>
      <c r="J24" s="69" t="n"/>
      <c r="K24" s="69" t="n"/>
      <c r="L24" s="69" t="n"/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  <c r="Z24" s="69" t="n"/>
      <c r="AA24" s="69" t="n"/>
      <c r="AB24" s="69" t="n"/>
      <c r="AC24" s="69" t="n"/>
      <c r="AD24" s="69" t="n"/>
      <c r="AE24" s="69" t="n"/>
      <c r="AF24" s="69" t="n"/>
      <c r="AG24" s="69" t="n"/>
      <c r="AH24" s="69" t="n"/>
      <c r="AI24" s="69" t="n"/>
      <c r="AJ24" s="69" t="n"/>
      <c r="AK24" s="69" t="n"/>
      <c r="AL24" s="69" t="n"/>
      <c r="AM24" s="69" t="n"/>
      <c r="AN24" s="69" t="n"/>
      <c r="AO24" s="69" t="n"/>
      <c r="AP24" s="69" t="n"/>
      <c r="AQ24" s="69" t="n"/>
      <c r="AR24" s="69" t="n"/>
      <c r="AS24" s="69" t="n"/>
      <c r="AT24" s="69" t="n"/>
      <c r="AU24" s="69" t="n"/>
      <c r="AV24" s="69" t="n"/>
      <c r="AW24" s="69" t="n"/>
      <c r="AX24" s="69" t="n"/>
      <c r="AY24" s="69" t="n"/>
      <c r="AZ24" s="69" t="n"/>
      <c r="BA24" s="69" t="n"/>
      <c r="BB24" s="69" t="n"/>
      <c r="BC24" s="69" t="n"/>
      <c r="BD24" s="69" t="n"/>
      <c r="BE24" s="69" t="n"/>
      <c r="BF24" s="69" t="n"/>
      <c r="BG24" s="69" t="n"/>
      <c r="BH24" s="69" t="n"/>
      <c r="BI24" s="69" t="n"/>
      <c r="BJ24" s="69" t="n"/>
      <c r="BK24" s="69" t="n"/>
      <c r="BL24" s="69" t="n"/>
      <c r="BM24" s="69" t="n"/>
      <c r="BN24" s="69" t="n"/>
      <c r="BO24" s="69" t="n"/>
      <c r="BP24" s="69" t="n"/>
      <c r="BQ24" s="69" t="n"/>
      <c r="BR24" s="69" t="n"/>
      <c r="BS24" s="69" t="n"/>
      <c r="BT24" s="69" t="n"/>
      <c r="BU24" s="69" t="n"/>
      <c r="BV24" s="69" t="n"/>
      <c r="BW24" s="69" t="n"/>
      <c r="BX24" s="69" t="n"/>
      <c r="BY24" s="69" t="n"/>
    </row>
  </sheetData>
  <mergeCells count="8">
    <mergeCell ref="M3:V3"/>
    <mergeCell ref="BE3:BR3"/>
    <mergeCell ref="A3:A4"/>
    <mergeCell ref="AT3:BC3"/>
    <mergeCell ref="X3:AG3"/>
    <mergeCell ref="AI3:AR3"/>
    <mergeCell ref="B3:K3"/>
    <mergeCell ref="BT3:BY3"/>
  </mergeCells>
  <conditionalFormatting sqref="B5:B22">
    <cfRule type="dataBar" priority="61">
      <dataBar>
        <cfvo type="min"/>
        <cfvo type="max"/>
        <color rgb="FF638EC6"/>
      </dataBar>
    </cfRule>
  </conditionalFormatting>
  <conditionalFormatting sqref="D5:D22">
    <cfRule type="dataBar" priority="60">
      <dataBar>
        <cfvo type="min"/>
        <cfvo type="max"/>
        <color rgb="FF638EC6"/>
      </dataBar>
    </cfRule>
  </conditionalFormatting>
  <conditionalFormatting sqref="F5:F22">
    <cfRule type="dataBar" priority="58">
      <dataBar>
        <cfvo type="min"/>
        <cfvo type="max"/>
        <color rgb="FF638EC6"/>
      </dataBar>
    </cfRule>
    <cfRule type="dataBar" priority="59">
      <dataBar>
        <cfvo type="min"/>
        <cfvo type="max"/>
        <color rgb="FF638EC6"/>
      </dataBar>
    </cfRule>
  </conditionalFormatting>
  <conditionalFormatting sqref="H5:H22">
    <cfRule type="dataBar" priority="57">
      <dataBar>
        <cfvo type="min"/>
        <cfvo type="max"/>
        <color rgb="FF638EC6"/>
      </dataBar>
    </cfRule>
  </conditionalFormatting>
  <conditionalFormatting sqref="J5:J22">
    <cfRule type="dataBar" priority="26">
      <dataBar>
        <cfvo type="min"/>
        <cfvo type="max"/>
        <color rgb="FF638EC6"/>
      </dataBar>
    </cfRule>
  </conditionalFormatting>
  <conditionalFormatting sqref="M5:M22">
    <cfRule type="dataBar" priority="56">
      <dataBar>
        <cfvo type="min"/>
        <cfvo type="max"/>
        <color rgb="FF63C384"/>
      </dataBar>
    </cfRule>
    <cfRule type="dataBar" priority="55">
      <dataBar>
        <cfvo type="min"/>
        <cfvo type="max"/>
        <color rgb="FF63C384"/>
      </dataBar>
    </cfRule>
  </conditionalFormatting>
  <conditionalFormatting sqref="O5:O22">
    <cfRule type="dataBar" priority="54">
      <dataBar>
        <cfvo type="min"/>
        <cfvo type="max"/>
        <color rgb="FF63C384"/>
      </dataBar>
    </cfRule>
    <cfRule type="dataBar" priority="53">
      <dataBar>
        <cfvo type="min"/>
        <cfvo type="max"/>
        <color rgb="FF63C384"/>
      </dataBar>
    </cfRule>
  </conditionalFormatting>
  <conditionalFormatting sqref="Q5:Q22">
    <cfRule type="dataBar" priority="52">
      <dataBar>
        <cfvo type="min"/>
        <cfvo type="max"/>
        <color rgb="FF63C384"/>
      </dataBar>
    </cfRule>
    <cfRule type="dataBar" priority="51">
      <dataBar>
        <cfvo type="min"/>
        <cfvo type="max"/>
        <color rgb="FF63C384"/>
      </dataBar>
    </cfRule>
  </conditionalFormatting>
  <conditionalFormatting sqref="S5:S22">
    <cfRule type="dataBar" priority="50">
      <dataBar>
        <cfvo type="min"/>
        <cfvo type="max"/>
        <color rgb="FF63C384"/>
      </dataBar>
    </cfRule>
  </conditionalFormatting>
  <conditionalFormatting sqref="U5:U22">
    <cfRule type="dataBar" priority="25">
      <dataBar>
        <cfvo type="min"/>
        <cfvo type="max"/>
        <color rgb="FF63C384"/>
      </dataBar>
    </cfRule>
  </conditionalFormatting>
  <conditionalFormatting sqref="X5:X22">
    <cfRule type="dataBar" priority="49">
      <dataBar>
        <cfvo type="min"/>
        <cfvo type="max"/>
        <color rgb="FF63C384"/>
      </dataBar>
    </cfRule>
    <cfRule type="dataBar" priority="48">
      <dataBar>
        <cfvo type="min"/>
        <cfvo type="max"/>
        <color rgb="FFFFFF00"/>
      </dataBar>
    </cfRule>
  </conditionalFormatting>
  <conditionalFormatting sqref="Z5:Z22">
    <cfRule type="dataBar" priority="20">
      <dataBar>
        <cfvo type="min"/>
        <cfvo type="max"/>
        <color rgb="FF63C384"/>
      </dataBar>
    </cfRule>
    <cfRule type="dataBar" priority="19">
      <dataBar>
        <cfvo type="min"/>
        <cfvo type="max"/>
        <color rgb="FFFFFF00"/>
      </dataBar>
    </cfRule>
  </conditionalFormatting>
  <conditionalFormatting sqref="AB5:AB22">
    <cfRule type="dataBar" priority="18">
      <dataBar>
        <cfvo type="min"/>
        <cfvo type="max"/>
        <color rgb="FF63C384"/>
      </dataBar>
    </cfRule>
    <cfRule type="dataBar" priority="17">
      <dataBar>
        <cfvo type="min"/>
        <cfvo type="max"/>
        <color rgb="FFFFFF00"/>
      </dataBar>
    </cfRule>
  </conditionalFormatting>
  <conditionalFormatting sqref="AD5:AD22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rgb="FFFFFF00"/>
      </dataBar>
    </cfRule>
  </conditionalFormatting>
  <conditionalFormatting sqref="AF5:AF22">
    <cfRule type="dataBar" priority="14">
      <dataBar>
        <cfvo type="min"/>
        <cfvo type="max"/>
        <color rgb="FF63C384"/>
      </dataBar>
    </cfRule>
    <cfRule type="dataBar" priority="13">
      <dataBar>
        <cfvo type="min"/>
        <cfvo type="max"/>
        <color rgb="FFFFFF00"/>
      </dataBar>
    </cfRule>
  </conditionalFormatting>
  <conditionalFormatting sqref="AI5:AI22">
    <cfRule type="dataBar" priority="47">
      <dataBar>
        <cfvo type="min"/>
        <cfvo type="max"/>
        <color rgb="FF63C384"/>
      </dataBar>
    </cfRule>
    <cfRule type="dataBar" priority="46">
      <dataBar>
        <cfvo type="min"/>
        <cfvo type="max"/>
        <color rgb="FFFF555A"/>
      </dataBar>
    </cfRule>
  </conditionalFormatting>
  <conditionalFormatting sqref="AK5:AK22">
    <cfRule type="dataBar" priority="44">
      <dataBar>
        <cfvo type="min"/>
        <cfvo type="max"/>
        <color rgb="FFFF555A"/>
      </dataBar>
    </cfRule>
    <cfRule type="dataBar" priority="45">
      <dataBar>
        <cfvo type="min"/>
        <cfvo type="max"/>
        <color rgb="FF63C384"/>
      </dataBar>
    </cfRule>
  </conditionalFormatting>
  <conditionalFormatting sqref="AM5:AM22">
    <cfRule type="dataBar" priority="42">
      <dataBar>
        <cfvo type="min"/>
        <cfvo type="max"/>
        <color rgb="FFFF555A"/>
      </dataBar>
    </cfRule>
    <cfRule type="dataBar" priority="43">
      <dataBar>
        <cfvo type="min"/>
        <cfvo type="max"/>
        <color rgb="FF63C384"/>
      </dataBar>
    </cfRule>
  </conditionalFormatting>
  <conditionalFormatting sqref="AO5:AO22">
    <cfRule type="dataBar" priority="12">
      <dataBar>
        <cfvo type="min"/>
        <cfvo type="max"/>
        <color rgb="FF63C384"/>
      </dataBar>
    </cfRule>
    <cfRule type="dataBar" priority="11">
      <dataBar>
        <cfvo type="min"/>
        <cfvo type="max"/>
        <color rgb="FFFF555A"/>
      </dataBar>
    </cfRule>
  </conditionalFormatting>
  <conditionalFormatting sqref="AQ5:AQ22">
    <cfRule type="dataBar" priority="24">
      <dataBar>
        <cfvo type="min"/>
        <cfvo type="max"/>
        <color rgb="FF63C384"/>
      </dataBar>
    </cfRule>
    <cfRule type="dataBar" priority="23">
      <dataBar>
        <cfvo type="min"/>
        <cfvo type="max"/>
        <color rgb="FFFF555A"/>
      </dataBar>
    </cfRule>
  </conditionalFormatting>
  <conditionalFormatting sqref="AT5:AT22">
    <cfRule type="dataBar" priority="9">
      <dataBar>
        <cfvo type="min"/>
        <cfvo type="max"/>
        <color rgb="FFD883FF"/>
      </dataBar>
    </cfRule>
    <cfRule type="dataBar" priority="10">
      <dataBar>
        <cfvo type="min"/>
        <cfvo type="max"/>
        <color rgb="FF63C384"/>
      </dataBar>
    </cfRule>
  </conditionalFormatting>
  <conditionalFormatting sqref="AV5:AV22">
    <cfRule type="dataBar" priority="8">
      <dataBar>
        <cfvo type="min"/>
        <cfvo type="max"/>
        <color rgb="FF63C384"/>
      </dataBar>
    </cfRule>
    <cfRule type="dataBar" priority="7">
      <dataBar>
        <cfvo type="min"/>
        <cfvo type="max"/>
        <color rgb="FFD883FF"/>
      </dataBar>
    </cfRule>
  </conditionalFormatting>
  <conditionalFormatting sqref="AX5:AX22">
    <cfRule type="dataBar" priority="6">
      <dataBar>
        <cfvo type="min"/>
        <cfvo type="max"/>
        <color rgb="FF63C384"/>
      </dataBar>
    </cfRule>
    <cfRule type="dataBar" priority="5">
      <dataBar>
        <cfvo type="min"/>
        <cfvo type="max"/>
        <color rgb="FFD883FF"/>
      </dataBar>
    </cfRule>
  </conditionalFormatting>
  <conditionalFormatting sqref="AZ5:AZ22">
    <cfRule type="dataBar" priority="3">
      <dataBar>
        <cfvo type="min"/>
        <cfvo type="max"/>
        <color rgb="FFD883FF"/>
      </dataBar>
    </cfRule>
    <cfRule type="dataBar" priority="4">
      <dataBar>
        <cfvo type="min"/>
        <cfvo type="max"/>
        <color rgb="FF63C384"/>
      </dataBar>
    </cfRule>
  </conditionalFormatting>
  <conditionalFormatting sqref="BB5:BB22">
    <cfRule type="dataBar" priority="1">
      <dataBar>
        <cfvo type="min"/>
        <cfvo type="max"/>
        <color rgb="FFD883FF"/>
      </dataBar>
    </cfRule>
    <cfRule type="dataBar" priority="2">
      <dataBar>
        <cfvo type="min"/>
        <cfvo type="max"/>
        <color rgb="FF63C384"/>
      </dataBar>
    </cfRule>
  </conditionalFormatting>
  <conditionalFormatting sqref="BE5:BE22">
    <cfRule type="dataBar" priority="41">
      <dataBar>
        <cfvo type="min"/>
        <cfvo type="max"/>
        <color rgb="FF63C384"/>
      </dataBar>
    </cfRule>
    <cfRule type="dataBar" priority="40">
      <dataBar>
        <cfvo type="min"/>
        <cfvo type="max"/>
        <color theme="1" tint="0.499984740745262"/>
      </dataBar>
    </cfRule>
  </conditionalFormatting>
  <conditionalFormatting sqref="BG5:BG22">
    <cfRule type="dataBar" priority="38">
      <dataBar>
        <cfvo type="min"/>
        <cfvo type="max"/>
        <color theme="1" tint="0.499984740745262"/>
      </dataBar>
    </cfRule>
    <cfRule type="dataBar" priority="39">
      <dataBar>
        <cfvo type="min"/>
        <cfvo type="max"/>
        <color rgb="FF63C384"/>
      </dataBar>
    </cfRule>
  </conditionalFormatting>
  <conditionalFormatting sqref="BI5:BI22">
    <cfRule type="dataBar" priority="36">
      <dataBar>
        <cfvo type="min"/>
        <cfvo type="max"/>
        <color theme="1" tint="0.499984740745262"/>
      </dataBar>
    </cfRule>
    <cfRule type="dataBar" priority="37">
      <dataBar>
        <cfvo type="min"/>
        <cfvo type="max"/>
        <color rgb="FF63C384"/>
      </dataBar>
    </cfRule>
  </conditionalFormatting>
  <conditionalFormatting sqref="BK5:BK22">
    <cfRule type="dataBar" priority="34">
      <dataBar>
        <cfvo type="min"/>
        <cfvo type="max"/>
        <color theme="1" tint="0.499984740745262"/>
      </dataBar>
    </cfRule>
    <cfRule type="dataBar" priority="35">
      <dataBar>
        <cfvo type="min"/>
        <cfvo type="max"/>
        <color rgb="FF63C384"/>
      </dataBar>
    </cfRule>
  </conditionalFormatting>
  <conditionalFormatting sqref="BM5:BM22">
    <cfRule type="dataBar" priority="32">
      <dataBar>
        <cfvo type="min"/>
        <cfvo type="max"/>
        <color theme="1" tint="0.499984740745262"/>
      </dataBar>
    </cfRule>
    <cfRule type="dataBar" priority="33">
      <dataBar>
        <cfvo type="min"/>
        <cfvo type="max"/>
        <color rgb="FF63C384"/>
      </dataBar>
    </cfRule>
  </conditionalFormatting>
  <conditionalFormatting sqref="BO5:BO22">
    <cfRule type="dataBar" priority="30">
      <dataBar>
        <cfvo type="min"/>
        <cfvo type="max"/>
        <color theme="1" tint="0.499984740745262"/>
      </dataBar>
    </cfRule>
    <cfRule type="dataBar" priority="31">
      <dataBar>
        <cfvo type="min"/>
        <cfvo type="max"/>
        <color rgb="FF63C384"/>
      </dataBar>
    </cfRule>
  </conditionalFormatting>
  <conditionalFormatting sqref="BQ5:BQ22">
    <cfRule type="dataBar" priority="22">
      <dataBar>
        <cfvo type="min"/>
        <cfvo type="max"/>
        <color rgb="FF63C384"/>
      </dataBar>
    </cfRule>
    <cfRule type="dataBar" priority="21">
      <dataBar>
        <cfvo type="min"/>
        <cfvo type="max"/>
        <color theme="1" tint="0.499984740745262"/>
      </dataBar>
    </cfRule>
  </conditionalFormatting>
  <conditionalFormatting sqref="BT5:BT22">
    <cfRule type="dataBar" priority="29">
      <dataBar>
        <cfvo type="min"/>
        <cfvo type="max"/>
        <color theme="5"/>
      </dataBar>
    </cfRule>
  </conditionalFormatting>
  <conditionalFormatting sqref="BV5:BV22">
    <cfRule type="dataBar" priority="28">
      <dataBar>
        <cfvo type="min"/>
        <cfvo type="max"/>
        <color theme="5"/>
      </dataBar>
    </cfRule>
  </conditionalFormatting>
  <conditionalFormatting sqref="BX5:BX22">
    <cfRule type="dataBar" priority="27">
      <dataBar>
        <cfvo type="min"/>
        <cfvo type="max"/>
        <color theme="5"/>
      </dataBar>
    </cfRule>
  </conditionalFormatting>
  <dataValidations count="2">
    <dataValidation sqref="AD1" showDropDown="0" showInputMessage="0" showErrorMessage="1" allowBlank="1" type="list">
      <formula1>"2025, 2024, 2023, 2022, 2021, 2020, 2019, 2018"</formula1>
    </dataValidation>
    <dataValidation sqref="B1" showDropDown="0" showInputMessage="1" showErrorMessage="1" allowBlank="1" type="list">
      <formula1>"2025, 2024, 2023, 2022, 2021"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1" summaryRight="1"/>
    <pageSetUpPr/>
  </sheetPr>
  <dimension ref="A1:BZ46"/>
  <sheetViews>
    <sheetView topLeftCell="A7" zoomScaleNormal="100" workbookViewId="0">
      <pane xSplit="1" topLeftCell="B1" activePane="topRight" state="frozen"/>
      <selection activeCell="A4" sqref="A4"/>
      <selection pane="topRight" activeCell="B24" sqref="B24"/>
    </sheetView>
  </sheetViews>
  <sheetFormatPr baseColWidth="10" defaultRowHeight="16"/>
  <cols>
    <col width="30.33203125" bestFit="1" customWidth="1" min="1" max="1"/>
    <col width="11.1640625" bestFit="1" customWidth="1" min="2" max="2"/>
    <col width="3.6640625" customWidth="1" min="3" max="3"/>
    <col width="3.6640625" customWidth="1" min="5" max="5"/>
    <col width="3.6640625" customWidth="1" min="7" max="7"/>
    <col width="3.6640625" customWidth="1" min="9" max="9"/>
    <col width="11" customWidth="1" min="10" max="10"/>
    <col width="3.6640625" customWidth="1" min="11" max="12"/>
    <col width="3.6640625" customWidth="1" min="14" max="14"/>
    <col width="3.6640625" customWidth="1" min="16" max="16"/>
    <col width="3.6640625" customWidth="1" min="18" max="18"/>
    <col width="3.6640625" customWidth="1" min="20" max="20"/>
    <col width="11" customWidth="1" min="21" max="21"/>
    <col width="3.6640625" customWidth="1" min="22" max="23"/>
    <col width="3.6640625" customWidth="1" min="25" max="25"/>
    <col width="3.6640625" customWidth="1" min="27" max="27"/>
    <col width="3.6640625" customWidth="1" min="29" max="29"/>
    <col width="3.6640625" customWidth="1" min="31" max="31"/>
    <col width="11" customWidth="1" min="32" max="32"/>
    <col width="3.6640625" customWidth="1" min="33" max="34"/>
    <col width="3.6640625" customWidth="1" min="36" max="36"/>
    <col width="3.6640625" customWidth="1" min="38" max="38"/>
    <col width="3.6640625" customWidth="1" min="40" max="40"/>
    <col width="3.6640625" customWidth="1" min="42" max="42"/>
    <col width="11" customWidth="1" min="43" max="43"/>
    <col width="3.6640625" customWidth="1" min="44" max="45"/>
    <col width="3.6640625" customWidth="1" min="47" max="47"/>
    <col width="3.6640625" customWidth="1" min="49" max="49"/>
    <col width="3.6640625" customWidth="1" min="51" max="51"/>
    <col width="3.6640625" customWidth="1" min="53" max="53"/>
    <col width="11" customWidth="1" min="54" max="54"/>
    <col width="3.6640625" customWidth="1" min="55" max="56"/>
    <col width="3.6640625" customWidth="1" min="58" max="58"/>
    <col width="3.6640625" customWidth="1" min="60" max="60"/>
    <col width="3.6640625" customWidth="1" min="62" max="62"/>
    <col width="3.6640625" customWidth="1" min="64" max="64"/>
    <col width="3.6640625" customWidth="1" min="66" max="66"/>
    <col width="3.6640625" customWidth="1" min="68" max="68"/>
    <col width="11" customWidth="1" min="69" max="69"/>
    <col width="3.6640625" customWidth="1" min="70" max="71"/>
    <col width="3.6640625" customWidth="1" min="73" max="73"/>
    <col width="3.6640625" customWidth="1" min="75" max="75"/>
    <col width="3.6640625" customWidth="1" min="77" max="77"/>
  </cols>
  <sheetData>
    <row r="1" ht="35" customHeight="1">
      <c r="A1" s="68" t="inlineStr">
        <is>
          <t>SEASON TOTAL</t>
        </is>
      </c>
      <c r="B1" s="154" t="n">
        <v>2022</v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  <c r="Z1" s="69" t="n"/>
      <c r="AA1" s="69" t="n"/>
      <c r="AB1" s="69" t="n"/>
      <c r="AC1" s="69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  <c r="AQ1" s="69" t="n"/>
      <c r="AR1" s="69" t="n"/>
      <c r="AS1" s="69" t="n"/>
      <c r="AT1" s="69" t="n"/>
      <c r="AU1" s="69" t="n"/>
      <c r="AV1" s="69" t="n"/>
      <c r="AW1" s="69" t="n"/>
      <c r="AX1" s="69" t="n"/>
      <c r="AY1" s="69" t="n"/>
      <c r="AZ1" s="69" t="n"/>
      <c r="BA1" s="69" t="n"/>
      <c r="BB1" s="69" t="n"/>
      <c r="BC1" s="69" t="n"/>
      <c r="BD1" s="69" t="n"/>
      <c r="BE1" s="69" t="n"/>
      <c r="BF1" s="69" t="n"/>
      <c r="BG1" s="69" t="n"/>
      <c r="BH1" s="69" t="n"/>
      <c r="BI1" s="69" t="n"/>
      <c r="BJ1" s="69" t="n"/>
      <c r="BK1" s="69" t="n"/>
      <c r="BL1" s="69" t="n"/>
      <c r="BM1" s="69" t="n"/>
      <c r="BN1" s="69" t="n"/>
      <c r="BO1" s="69" t="n"/>
      <c r="BP1" s="69" t="n"/>
      <c r="BQ1" s="69" t="n"/>
      <c r="BR1" s="69" t="n"/>
      <c r="BS1" s="69" t="n"/>
      <c r="BT1" s="69" t="n"/>
      <c r="BU1" s="69" t="n"/>
      <c r="BV1" s="69" t="n"/>
      <c r="BW1" s="69" t="n"/>
      <c r="BX1" s="69" t="n"/>
      <c r="BY1" s="69" t="n"/>
      <c r="BZ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  <c r="Z2" s="69" t="n"/>
      <c r="AA2" s="69" t="n"/>
      <c r="AB2" s="69" t="n"/>
      <c r="AC2" s="69" t="n"/>
      <c r="AD2" s="6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  <c r="AQ2" s="69" t="n"/>
      <c r="AR2" s="69" t="n"/>
      <c r="AS2" s="69" t="n"/>
      <c r="AT2" s="69" t="n"/>
      <c r="AU2" s="69" t="n"/>
      <c r="AV2" s="69" t="n"/>
      <c r="AW2" s="69" t="n"/>
      <c r="AX2" s="69" t="n"/>
      <c r="AY2" s="69" t="n"/>
      <c r="AZ2" s="69" t="n"/>
      <c r="BA2" s="69" t="n"/>
      <c r="BB2" s="69" t="n"/>
      <c r="BC2" s="69" t="n"/>
      <c r="BD2" s="69" t="n"/>
      <c r="BE2" s="69" t="n"/>
      <c r="BF2" s="69" t="n"/>
      <c r="BG2" s="69" t="n"/>
      <c r="BH2" s="69" t="n"/>
      <c r="BI2" s="69" t="n"/>
      <c r="BJ2" s="69" t="n"/>
      <c r="BK2" s="69" t="n"/>
      <c r="BL2" s="69" t="n"/>
      <c r="BM2" s="69" t="n"/>
      <c r="BN2" s="69" t="n"/>
      <c r="BO2" s="69" t="n"/>
      <c r="BP2" s="69" t="n"/>
      <c r="BQ2" s="69" t="n"/>
      <c r="BR2" s="69" t="n"/>
      <c r="BS2" s="69" t="n"/>
      <c r="BT2" s="69" t="n"/>
      <c r="BU2" s="69" t="n"/>
      <c r="BV2" s="69" t="n"/>
      <c r="BW2" s="69" t="n"/>
      <c r="BX2" s="69" t="n"/>
      <c r="BY2" s="69" t="n"/>
      <c r="BZ2" s="69" t="n"/>
    </row>
    <row r="3" ht="25" customFormat="1" customHeight="1" s="25" thickBot="1">
      <c r="A3" s="240" t="inlineStr">
        <is>
          <t>Team</t>
        </is>
      </c>
      <c r="B3" s="242" t="inlineStr">
        <is>
          <t>Ball Winning</t>
        </is>
      </c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9" t="n"/>
      <c r="M3" s="245" t="inlineStr">
        <is>
          <t>Ball Movement</t>
        </is>
      </c>
      <c r="N3" s="321" t="n"/>
      <c r="O3" s="321" t="n"/>
      <c r="P3" s="321" t="n"/>
      <c r="Q3" s="321" t="n"/>
      <c r="R3" s="321" t="n"/>
      <c r="S3" s="321" t="n"/>
      <c r="T3" s="321" t="n"/>
      <c r="U3" s="321" t="n"/>
      <c r="V3" s="321" t="n"/>
      <c r="W3" s="39" t="n"/>
      <c r="X3" s="248" t="inlineStr">
        <is>
          <t>Scoring</t>
        </is>
      </c>
      <c r="Y3" s="321" t="n"/>
      <c r="Z3" s="321" t="n"/>
      <c r="AA3" s="321" t="n"/>
      <c r="AB3" s="321" t="n"/>
      <c r="AC3" s="321" t="n"/>
      <c r="AD3" s="321" t="n"/>
      <c r="AE3" s="321" t="n"/>
      <c r="AF3" s="321" t="n"/>
      <c r="AG3" s="321" t="n"/>
      <c r="AH3" s="39" t="n"/>
      <c r="AI3" s="251" t="inlineStr">
        <is>
          <t>Defence</t>
        </is>
      </c>
      <c r="AJ3" s="321" t="n"/>
      <c r="AK3" s="321" t="n"/>
      <c r="AL3" s="321" t="n"/>
      <c r="AM3" s="321" t="n"/>
      <c r="AN3" s="321" t="n"/>
      <c r="AO3" s="321" t="n"/>
      <c r="AP3" s="321" t="n"/>
      <c r="AQ3" s="321" t="n"/>
      <c r="AR3" s="321" t="n"/>
      <c r="AS3" s="39" t="n"/>
      <c r="AT3" s="254" t="inlineStr">
        <is>
          <t>Pressure</t>
        </is>
      </c>
      <c r="AU3" s="321" t="n"/>
      <c r="AV3" s="321" t="n"/>
      <c r="AW3" s="321" t="n"/>
      <c r="AX3" s="321" t="n"/>
      <c r="AY3" s="321" t="n"/>
      <c r="AZ3" s="321" t="n"/>
      <c r="BA3" s="321" t="n"/>
      <c r="BB3" s="321" t="n"/>
      <c r="BC3" s="321" t="n"/>
      <c r="BD3" s="39" t="n"/>
      <c r="BE3" s="322" t="inlineStr">
        <is>
          <t>Health Check</t>
        </is>
      </c>
      <c r="BF3" s="321" t="n"/>
      <c r="BG3" s="321" t="n"/>
      <c r="BH3" s="321" t="n"/>
      <c r="BI3" s="321" t="n"/>
      <c r="BJ3" s="321" t="n"/>
      <c r="BK3" s="321" t="n"/>
      <c r="BL3" s="321" t="n"/>
      <c r="BM3" s="321" t="n"/>
      <c r="BN3" s="321" t="n"/>
      <c r="BO3" s="321" t="n"/>
      <c r="BP3" s="321" t="n"/>
      <c r="BQ3" s="321" t="n"/>
      <c r="BR3" s="323" t="n"/>
      <c r="BS3" s="39" t="n"/>
      <c r="BT3" s="237" t="inlineStr">
        <is>
          <t>Wheelo Ratings</t>
        </is>
      </c>
      <c r="BU3" s="321" t="n"/>
      <c r="BV3" s="321" t="n"/>
      <c r="BW3" s="321" t="n"/>
      <c r="BX3" s="321" t="n"/>
      <c r="BY3" s="324" t="n"/>
      <c r="BZ3" s="70" t="n"/>
    </row>
    <row r="4" ht="69" customFormat="1" customHeight="1" s="2" thickBot="1">
      <c r="A4" s="325" t="n"/>
      <c r="B4" s="4" t="inlineStr">
        <is>
          <t>Post Clear CP Diff</t>
        </is>
      </c>
      <c r="C4" s="5" t="inlineStr">
        <is>
          <t>Rank</t>
        </is>
      </c>
      <c r="D4" s="5" t="inlineStr">
        <is>
          <t>Ground Ball Diff</t>
        </is>
      </c>
      <c r="E4" s="5" t="inlineStr">
        <is>
          <t>Rank</t>
        </is>
      </c>
      <c r="F4" s="5" t="inlineStr">
        <is>
          <t>1st Poss to Clear %</t>
        </is>
      </c>
      <c r="G4" s="5" t="inlineStr">
        <is>
          <t>Rank</t>
        </is>
      </c>
      <c r="H4" s="5" t="inlineStr">
        <is>
          <t>Clearance Diff</t>
        </is>
      </c>
      <c r="I4" s="6" t="inlineStr">
        <is>
          <t>Rank</t>
        </is>
      </c>
      <c r="J4" s="27" t="inlineStr">
        <is>
          <t>Ball Winning Ranking</t>
        </is>
      </c>
      <c r="K4" s="38" t="inlineStr">
        <is>
          <t>Rank</t>
        </is>
      </c>
      <c r="L4" s="40" t="n"/>
      <c r="M4" s="7" t="inlineStr">
        <is>
          <t>Def Half to Score %</t>
        </is>
      </c>
      <c r="N4" s="8" t="inlineStr">
        <is>
          <t>Rank</t>
        </is>
      </c>
      <c r="O4" s="8" t="inlineStr">
        <is>
          <t>Chain to Score %</t>
        </is>
      </c>
      <c r="P4" s="8" t="inlineStr">
        <is>
          <t>Rank</t>
        </is>
      </c>
      <c r="Q4" s="8" t="inlineStr">
        <is>
          <t>D50 to F50 %</t>
        </is>
      </c>
      <c r="R4" s="8" t="inlineStr">
        <is>
          <t>Rank</t>
        </is>
      </c>
      <c r="S4" s="8" t="inlineStr">
        <is>
          <t>Kick Rating</t>
        </is>
      </c>
      <c r="T4" s="9" t="inlineStr">
        <is>
          <t>Rank</t>
        </is>
      </c>
      <c r="U4" s="30" t="inlineStr">
        <is>
          <t>Ball Movement Ranking</t>
        </is>
      </c>
      <c r="V4" s="31" t="inlineStr">
        <is>
          <t>Rank</t>
        </is>
      </c>
      <c r="W4" s="40" t="n"/>
      <c r="X4" s="41" t="inlineStr">
        <is>
          <t>Scores per I50 %</t>
        </is>
      </c>
      <c r="Y4" s="23" t="inlineStr">
        <is>
          <t>Rank</t>
        </is>
      </c>
      <c r="Z4" s="23" t="inlineStr">
        <is>
          <t>Goals Per I 50 %</t>
        </is>
      </c>
      <c r="AA4" s="23" t="inlineStr">
        <is>
          <t>Rank</t>
        </is>
      </c>
      <c r="AB4" s="23" t="inlineStr">
        <is>
          <t>Accuracy %</t>
        </is>
      </c>
      <c r="AC4" s="23" t="inlineStr">
        <is>
          <t>Rank</t>
        </is>
      </c>
      <c r="AD4" s="42" t="inlineStr">
        <is>
          <t>+/- Exp Score</t>
        </is>
      </c>
      <c r="AE4" s="43" t="inlineStr">
        <is>
          <t>Rank</t>
        </is>
      </c>
      <c r="AF4" s="44" t="inlineStr">
        <is>
          <t>Scoring Ranking</t>
        </is>
      </c>
      <c r="AG4" s="45" t="inlineStr">
        <is>
          <t>Rank</t>
        </is>
      </c>
      <c r="AH4" s="40" t="n"/>
      <c r="AI4" s="13" t="inlineStr">
        <is>
          <t>Def Half to Score Ag %</t>
        </is>
      </c>
      <c r="AJ4" s="14" t="inlineStr">
        <is>
          <t>Rank</t>
        </is>
      </c>
      <c r="AK4" s="14" t="inlineStr">
        <is>
          <t>Chain to Score Ag %</t>
        </is>
      </c>
      <c r="AL4" s="14" t="inlineStr">
        <is>
          <t>Rank</t>
        </is>
      </c>
      <c r="AM4" s="14" t="inlineStr">
        <is>
          <t>D50 to F50 Ag %</t>
        </is>
      </c>
      <c r="AN4" s="14" t="inlineStr">
        <is>
          <t>Rank</t>
        </is>
      </c>
      <c r="AO4" s="14" t="inlineStr">
        <is>
          <t>Goals per I50 Ag %</t>
        </is>
      </c>
      <c r="AP4" s="15" t="inlineStr">
        <is>
          <t>Rank</t>
        </is>
      </c>
      <c r="AQ4" s="33" t="inlineStr">
        <is>
          <t>Defence Ranking</t>
        </is>
      </c>
      <c r="AR4" s="34" t="inlineStr">
        <is>
          <t>Rank</t>
        </is>
      </c>
      <c r="AS4" s="40" t="n"/>
      <c r="AT4" s="183" t="inlineStr">
        <is>
          <t>Tackle Diff</t>
        </is>
      </c>
      <c r="AU4" s="184" t="inlineStr">
        <is>
          <t>Rank</t>
        </is>
      </c>
      <c r="AV4" s="184" t="inlineStr">
        <is>
          <t>F50 Tackles</t>
        </is>
      </c>
      <c r="AW4" s="184" t="inlineStr">
        <is>
          <t>Rank</t>
        </is>
      </c>
      <c r="AX4" s="184" t="inlineStr">
        <is>
          <t>Pressure Acts</t>
        </is>
      </c>
      <c r="AY4" s="184" t="inlineStr">
        <is>
          <t>Rank</t>
        </is>
      </c>
      <c r="AZ4" s="184" t="inlineStr">
        <is>
          <t>1%'ers</t>
        </is>
      </c>
      <c r="BA4" s="185" t="inlineStr">
        <is>
          <t>Rank</t>
        </is>
      </c>
      <c r="BB4" s="186" t="inlineStr">
        <is>
          <t>Pressure Ranking</t>
        </is>
      </c>
      <c r="BC4" s="187" t="inlineStr">
        <is>
          <t>Rank</t>
        </is>
      </c>
      <c r="BD4" s="40" t="n"/>
      <c r="BE4" s="16" t="inlineStr">
        <is>
          <t>Score from Turnover For</t>
        </is>
      </c>
      <c r="BF4" s="17" t="inlineStr">
        <is>
          <t>Rank</t>
        </is>
      </c>
      <c r="BG4" s="17" t="inlineStr">
        <is>
          <t>Scores from Turnover Ag</t>
        </is>
      </c>
      <c r="BH4" s="17" t="inlineStr">
        <is>
          <t>Rank</t>
        </is>
      </c>
      <c r="BI4" s="17" t="inlineStr">
        <is>
          <t>Scores from Stoppages For</t>
        </is>
      </c>
      <c r="BJ4" s="17" t="inlineStr">
        <is>
          <t>Rank</t>
        </is>
      </c>
      <c r="BK4" s="17" t="inlineStr">
        <is>
          <t>Scores from Stoppage Ag</t>
        </is>
      </c>
      <c r="BL4" s="17" t="inlineStr">
        <is>
          <t>Rank</t>
        </is>
      </c>
      <c r="BM4" s="17" t="inlineStr">
        <is>
          <t>Territory %</t>
        </is>
      </c>
      <c r="BN4" s="17" t="inlineStr">
        <is>
          <t>Rank</t>
        </is>
      </c>
      <c r="BO4" s="17" t="inlineStr">
        <is>
          <t>Post-Clearance CP Diff</t>
        </is>
      </c>
      <c r="BP4" s="35" t="inlineStr">
        <is>
          <t>Rank</t>
        </is>
      </c>
      <c r="BQ4" s="36" t="inlineStr">
        <is>
          <t>Health Check Ranking</t>
        </is>
      </c>
      <c r="BR4" s="37" t="inlineStr">
        <is>
          <t>Rank</t>
        </is>
      </c>
      <c r="BS4" s="40" t="n"/>
      <c r="BT4" s="41" t="inlineStr">
        <is>
          <t>Attack Rating</t>
        </is>
      </c>
      <c r="BU4" s="23" t="inlineStr">
        <is>
          <t>Rank</t>
        </is>
      </c>
      <c r="BV4" s="23" t="inlineStr">
        <is>
          <t>Defence Rating</t>
        </is>
      </c>
      <c r="BW4" s="23" t="inlineStr">
        <is>
          <t>Rank</t>
        </is>
      </c>
      <c r="BX4" s="23" t="inlineStr">
        <is>
          <t>Overall Rating</t>
        </is>
      </c>
      <c r="BY4" s="24" t="inlineStr">
        <is>
          <t>Rank</t>
        </is>
      </c>
      <c r="BZ4" s="71" t="n"/>
    </row>
    <row r="5" ht="25" customFormat="1" customHeight="1" s="3">
      <c r="A5" s="75" t="inlineStr">
        <is>
          <t>Adelaide</t>
        </is>
      </c>
      <c r="B5" s="46">
        <f>VLOOKUP($A5,INDIRECT("'"&amp;$B$1&amp;"'!$A:$IZ"),222,FALSE)</f>
        <v/>
      </c>
      <c r="C5" s="47">
        <f>RANK(B5,B$5:B$22)</f>
        <v/>
      </c>
      <c r="D5" s="48">
        <f>VLOOKUP($A5,INDIRECT("'"&amp;$B$1&amp;"'!$A:$IZ"),218,FALSE)</f>
        <v/>
      </c>
      <c r="E5" s="47">
        <f>RANK(D5,D$5:D$22)</f>
        <v/>
      </c>
      <c r="F5" s="48">
        <f>VLOOKUP($A5,INDIRECT("'"&amp;$B$1&amp;"'!$A:$IZ"),49,FALSE)</f>
        <v/>
      </c>
      <c r="G5" s="47">
        <f>RANK(F5,F$5:F$22)</f>
        <v/>
      </c>
      <c r="H5" s="48">
        <f>VLOOKUP($A5,INDIRECT("'"&amp;$B$1&amp;"'!$A:$IZ"),229,FALSE)</f>
        <v/>
      </c>
      <c r="I5" s="47">
        <f>RANK(H5,H$5:H$22)</f>
        <v/>
      </c>
      <c r="J5" s="49">
        <f>104-(C5+E5+G5+I5)</f>
        <v/>
      </c>
      <c r="K5" s="47">
        <f>RANK(J5,J$5:J$22)</f>
        <v/>
      </c>
      <c r="L5" s="50" t="n"/>
      <c r="M5" s="46">
        <f>VLOOKUP($A5,INDIRECT("'"&amp;$B$1&amp;"'!$A:$IZ"),88,FALSE)</f>
        <v/>
      </c>
      <c r="N5" s="47">
        <f>RANK(M5,M$5:M$22)</f>
        <v/>
      </c>
      <c r="O5" s="46">
        <f>VLOOKUP($A5,INDIRECT("'"&amp;$B$1&amp;"'!$A:$IZ"),84,FALSE)</f>
        <v/>
      </c>
      <c r="P5" s="47">
        <f>RANK(O5,O$5:O$22)</f>
        <v/>
      </c>
      <c r="Q5" s="46">
        <f>VLOOKUP($A5,INDIRECT("'"&amp;$B$1&amp;"'!$A:$IZ"),85,FALSE)</f>
        <v/>
      </c>
      <c r="R5" s="47">
        <f>RANK(Q5,Q$5:Q$22)</f>
        <v/>
      </c>
      <c r="S5" s="48">
        <f>VLOOKUP($A5,INDIRECT("'"&amp;$B$1&amp;"'!$A:$IZ"),29,FALSE)</f>
        <v/>
      </c>
      <c r="T5" s="47">
        <f>RANK(S5,S$5:S$22)</f>
        <v/>
      </c>
      <c r="U5" s="49">
        <f>104-(N5+P5+R5+T5)</f>
        <v/>
      </c>
      <c r="V5" s="47">
        <f>RANK(U5,U$5:U$22)</f>
        <v/>
      </c>
      <c r="W5" s="50" t="n"/>
      <c r="X5" s="46">
        <f>VLOOKUP($A5,INDIRECT("'"&amp;$B$1&amp;"'!$A:$IZ"),65,FALSE)</f>
        <v/>
      </c>
      <c r="Y5" s="47">
        <f>RANK(X5,X$5:X$22)</f>
        <v/>
      </c>
      <c r="Z5" s="46">
        <f>VLOOKUP($A5,INDIRECT("'"&amp;$B$1&amp;"'!$A:$IZ"),64,FALSE)</f>
        <v/>
      </c>
      <c r="AA5" s="47">
        <f>RANK(Z5,Z$5:Z$22)</f>
        <v/>
      </c>
      <c r="AB5" s="46">
        <f>VLOOKUP($A5,INDIRECT("'"&amp;$B$1&amp;"'!$A:$IZ"),63,FALSE)</f>
        <v/>
      </c>
      <c r="AC5" s="47">
        <f>RANK(AB5,AB$5:AB$22)</f>
        <v/>
      </c>
      <c r="AD5" s="46">
        <f>VLOOKUP($A5,INDIRECT("'"&amp;$B$1&amp;"'!$A:$IZ"),71,FALSE)</f>
        <v/>
      </c>
      <c r="AE5" s="47">
        <f>RANK(AD5,AD$5:AD$22)</f>
        <v/>
      </c>
      <c r="AF5" s="49">
        <f>104-(Y5+AA5+AC5+AE5)</f>
        <v/>
      </c>
      <c r="AG5" s="47">
        <f>RANK(AF5,AF$5:AF$22)</f>
        <v/>
      </c>
      <c r="AH5" s="50" t="n"/>
      <c r="AI5" s="46">
        <f>VLOOKUP($A5,INDIRECT("'"&amp;$B$1&amp;"'!$A:$IZ"),183,FALSE)</f>
        <v/>
      </c>
      <c r="AJ5" s="47">
        <f>RANK(AI5,AI$5:AI$22,1)</f>
        <v/>
      </c>
      <c r="AK5" s="46">
        <f>VLOOKUP($A5,INDIRECT("'"&amp;$B$1&amp;"'!$A:$IZ"),181,FALSE)</f>
        <v/>
      </c>
      <c r="AL5" s="47">
        <f>RANK(AK5,AK$5:AK$22,1)</f>
        <v/>
      </c>
      <c r="AM5" s="46">
        <f>VLOOKUP($A5,INDIRECT("'"&amp;$B$1&amp;"'!$A:$IZ"),182,FALSE)</f>
        <v/>
      </c>
      <c r="AN5" s="47">
        <f>RANK(AM5,AM$5:AM$22,1)</f>
        <v/>
      </c>
      <c r="AO5" s="46">
        <f>VLOOKUP($A5,INDIRECT("'"&amp;$B$1&amp;"'!$A:$IZ"),163,FALSE)</f>
        <v/>
      </c>
      <c r="AP5" s="47">
        <f>RANK(AO5,AO$5:AO$22,1)</f>
        <v/>
      </c>
      <c r="AQ5" s="49">
        <f>104-(AJ5+AL5+AN5+AP5)</f>
        <v/>
      </c>
      <c r="AR5" s="47">
        <f>RANK(AQ5,AQ$5:AQ$22)</f>
        <v/>
      </c>
      <c r="AS5" s="50" t="n"/>
      <c r="AT5" s="46">
        <f>VLOOKUP($A5,INDIRECT("'"&amp;$B$1&amp;"'!$A:$IZ"),250,FALSE)</f>
        <v/>
      </c>
      <c r="AU5" s="47">
        <f>RANK(AT5,AT$5:AT$22,0)</f>
        <v/>
      </c>
      <c r="AV5" s="46">
        <f>VLOOKUP($A5,INDIRECT("'"&amp;$B$1&amp;"'!$A:$IZ"),92,FALSE)</f>
        <v/>
      </c>
      <c r="AW5" s="47">
        <f>RANK(AV5,AV$5:AV$22,0)</f>
        <v/>
      </c>
      <c r="AX5" s="46">
        <f>VLOOKUP($A5,INDIRECT("'"&amp;$B$1&amp;"'!$A:$IZ"),93,FALSE)</f>
        <v/>
      </c>
      <c r="AY5" s="47">
        <f>RANK(AX5,AX$5:AX$22,0)</f>
        <v/>
      </c>
      <c r="AZ5" s="46">
        <f>VLOOKUP($A5,INDIRECT("'"&amp;$B$1&amp;"'!$A:$IZ"),108,FALSE)</f>
        <v/>
      </c>
      <c r="BA5" s="47">
        <f>RANK(AZ5,AZ$5:AZ$22,0)</f>
        <v/>
      </c>
      <c r="BB5" s="46">
        <f>104-(AU5+AW5+AY5+BA5)</f>
        <v/>
      </c>
      <c r="BC5" s="47">
        <f>RANK(BB5,BB$5:BB$22)</f>
        <v/>
      </c>
      <c r="BD5" s="50" t="n"/>
      <c r="BE5" s="46">
        <f>VLOOKUP($A5,INDIRECT("'"&amp;$B$1&amp;"'!$A:$IZ"),80,FALSE)</f>
        <v/>
      </c>
      <c r="BF5" s="47">
        <f>RANK(BE5,BE$5:BE$22)</f>
        <v/>
      </c>
      <c r="BG5" s="46">
        <f>VLOOKUP($A5,INDIRECT("'"&amp;$B$1&amp;"'!$A:$IZ"),177,FALSE)</f>
        <v/>
      </c>
      <c r="BH5" s="47">
        <f>RANK(BG5,BG$5:BG$22,1)</f>
        <v/>
      </c>
      <c r="BI5" s="46">
        <f>VLOOKUP($A5,INDIRECT("'"&amp;$B$1&amp;"'!$A:$IZ"),79,FALSE)</f>
        <v/>
      </c>
      <c r="BJ5" s="47">
        <f>RANK(BI5,BI$5:BI$22)</f>
        <v/>
      </c>
      <c r="BK5" s="46">
        <f>VLOOKUP($A5,INDIRECT("'"&amp;$B$1&amp;"'!$A:$IZ"),176,FALSE)</f>
        <v/>
      </c>
      <c r="BL5" s="47">
        <f>RANK(BK5,BK$5:BK$22,1)</f>
        <v/>
      </c>
      <c r="BM5" s="46">
        <f>VLOOKUP($A5,INDIRECT("'"&amp;$B$1&amp;"'!$A:$IZ"),11,FALSE)</f>
        <v/>
      </c>
      <c r="BN5" s="47">
        <f>RANK(BM5,BM$5:BM$22)</f>
        <v/>
      </c>
      <c r="BO5" s="46">
        <f>VLOOKUP($A5,INDIRECT("'"&amp;$B$1&amp;"'!$A:$IZ"),222,FALSE)</f>
        <v/>
      </c>
      <c r="BP5" s="47">
        <f>RANK(BO5,BO$5:BO$22)</f>
        <v/>
      </c>
      <c r="BQ5" s="49">
        <f>106-(BF5+BH5+BN5+BP5+BJ5+BL5)</f>
        <v/>
      </c>
      <c r="BR5" s="47">
        <f>RANK(BQ5,BQ$5:BQ$22)</f>
        <v/>
      </c>
      <c r="BS5" s="50" t="n"/>
      <c r="BT5" s="51">
        <f>VLOOKUP($A5,'Ratings Season'!$A:$M,10,FALSE)</f>
        <v/>
      </c>
      <c r="BU5" s="47">
        <f>RANK(BT5,BT$5:BT$22)</f>
        <v/>
      </c>
      <c r="BV5" s="51">
        <f>VLOOKUP($A5,'Ratings Season'!$A:$M,12,FALSE)</f>
        <v/>
      </c>
      <c r="BW5" s="47">
        <f>RANK(BV5,BV$5:BV$22)</f>
        <v/>
      </c>
      <c r="BX5" s="51">
        <f>VLOOKUP($A5,'Ratings Season'!$A:$M,8,FALSE)</f>
        <v/>
      </c>
      <c r="BY5" s="52">
        <f>RANK(BX5,BX$5:BX$22)</f>
        <v/>
      </c>
      <c r="BZ5" s="72" t="n"/>
    </row>
    <row r="6" ht="25" customFormat="1" customHeight="1" s="3">
      <c r="A6" s="76" t="inlineStr">
        <is>
          <t>Brisbane</t>
        </is>
      </c>
      <c r="B6" s="53">
        <f>VLOOKUP($A6,INDIRECT("'"&amp;$B$1&amp;"'!$A:$IZ"),222,FALSE)</f>
        <v/>
      </c>
      <c r="C6" s="54">
        <f>RANK(B6,B$5:B$22)</f>
        <v/>
      </c>
      <c r="D6" s="55">
        <f>VLOOKUP($A6,INDIRECT("'"&amp;$B$1&amp;"'!$A:$IZ"),218,FALSE)</f>
        <v/>
      </c>
      <c r="E6" s="54">
        <f>RANK(D6,D$5:D$22)</f>
        <v/>
      </c>
      <c r="F6" s="55">
        <f>VLOOKUP($A6,INDIRECT("'"&amp;$B$1&amp;"'!$A:$IZ"),49,FALSE)</f>
        <v/>
      </c>
      <c r="G6" s="54">
        <f>RANK(F6,F$5:F$22)</f>
        <v/>
      </c>
      <c r="H6" s="55">
        <f>VLOOKUP($A6,INDIRECT("'"&amp;$B$1&amp;"'!$A:$IZ"),229,FALSE)</f>
        <v/>
      </c>
      <c r="I6" s="54">
        <f>RANK(H6,H$5:H$22)</f>
        <v/>
      </c>
      <c r="J6" s="49">
        <f>104-(C6+E6+G6+I6)</f>
        <v/>
      </c>
      <c r="K6" s="47">
        <f>RANK(J6,J$5:J$22)</f>
        <v/>
      </c>
      <c r="L6" s="56" t="n"/>
      <c r="M6" s="53">
        <f>VLOOKUP($A6,INDIRECT("'"&amp;$B$1&amp;"'!$A:$IZ"),88,FALSE)</f>
        <v/>
      </c>
      <c r="N6" s="54">
        <f>RANK(M6,M$5:M$22)</f>
        <v/>
      </c>
      <c r="O6" s="53">
        <f>VLOOKUP($A6,INDIRECT("'"&amp;$B$1&amp;"'!$A:$IZ"),84,FALSE)</f>
        <v/>
      </c>
      <c r="P6" s="54">
        <f>RANK(O6,O$5:O$22)</f>
        <v/>
      </c>
      <c r="Q6" s="53">
        <f>VLOOKUP($A6,INDIRECT("'"&amp;$B$1&amp;"'!$A:$IZ"),85,FALSE)</f>
        <v/>
      </c>
      <c r="R6" s="54">
        <f>RANK(Q6,Q$5:Q$22)</f>
        <v/>
      </c>
      <c r="S6" s="55">
        <f>VLOOKUP($A6,INDIRECT("'"&amp;$B$1&amp;"'!$A:$IZ"),29,FALSE)</f>
        <v/>
      </c>
      <c r="T6" s="54">
        <f>RANK(S6,S$5:S$22)</f>
        <v/>
      </c>
      <c r="U6" s="49">
        <f>104-(N6+P6+R6+T6)</f>
        <v/>
      </c>
      <c r="V6" s="47">
        <f>RANK(U6,U$5:U$22)</f>
        <v/>
      </c>
      <c r="W6" s="56" t="n"/>
      <c r="X6" s="53">
        <f>VLOOKUP($A6,INDIRECT("'"&amp;$B$1&amp;"'!$A:$IZ"),65,FALSE)</f>
        <v/>
      </c>
      <c r="Y6" s="54">
        <f>RANK(X6,X$5:X$22)</f>
        <v/>
      </c>
      <c r="Z6" s="53">
        <f>VLOOKUP($A6,INDIRECT("'"&amp;$B$1&amp;"'!$A:$IZ"),64,FALSE)</f>
        <v/>
      </c>
      <c r="AA6" s="54">
        <f>RANK(Z6,Z$5:Z$22)</f>
        <v/>
      </c>
      <c r="AB6" s="53">
        <f>VLOOKUP($A6,INDIRECT("'"&amp;$B$1&amp;"'!$A:$IZ"),63,FALSE)</f>
        <v/>
      </c>
      <c r="AC6" s="54">
        <f>RANK(AB6,AB$5:AB$22)</f>
        <v/>
      </c>
      <c r="AD6" s="53">
        <f>VLOOKUP($A6,INDIRECT("'"&amp;$B$1&amp;"'!$A:$IZ"),71,FALSE)</f>
        <v/>
      </c>
      <c r="AE6" s="54">
        <f>RANK(AD6,AD$5:AD$22)</f>
        <v/>
      </c>
      <c r="AF6" s="65">
        <f>104-(Y6+AA6+AC6+AE6)</f>
        <v/>
      </c>
      <c r="AG6" s="47">
        <f>RANK(AF6,AF$5:AF$22)</f>
        <v/>
      </c>
      <c r="AH6" s="56" t="n"/>
      <c r="AI6" s="53">
        <f>VLOOKUP($A6,INDIRECT("'"&amp;$B$1&amp;"'!$A:$IZ"),183,FALSE)</f>
        <v/>
      </c>
      <c r="AJ6" s="54">
        <f>RANK(AI6,AI$5:AI$22,1)</f>
        <v/>
      </c>
      <c r="AK6" s="53">
        <f>VLOOKUP($A6,INDIRECT("'"&amp;$B$1&amp;"'!$A:$IZ"),181,FALSE)</f>
        <v/>
      </c>
      <c r="AL6" s="54">
        <f>RANK(AK6,AK$5:AK$22,1)</f>
        <v/>
      </c>
      <c r="AM6" s="53">
        <f>VLOOKUP($A6,INDIRECT("'"&amp;$B$1&amp;"'!$A:$IZ"),182,FALSE)</f>
        <v/>
      </c>
      <c r="AN6" s="54">
        <f>RANK(AM6,AM$5:AM$22,1)</f>
        <v/>
      </c>
      <c r="AO6" s="53">
        <f>VLOOKUP($A6,INDIRECT("'"&amp;$B$1&amp;"'!$A:$IZ"),163,FALSE)</f>
        <v/>
      </c>
      <c r="AP6" s="54">
        <f>RANK(AO6,AO$5:AO$22,1)</f>
        <v/>
      </c>
      <c r="AQ6" s="65">
        <f>104-(AJ6+AL6+AN6+AP6)</f>
        <v/>
      </c>
      <c r="AR6" s="47">
        <f>RANK(AQ6,AQ$5:AQ$22)</f>
        <v/>
      </c>
      <c r="AS6" s="56" t="n"/>
      <c r="AT6" s="46">
        <f>VLOOKUP($A6,INDIRECT("'"&amp;$B$1&amp;"'!$A:$IZ"),250,FALSE)</f>
        <v/>
      </c>
      <c r="AU6" s="47">
        <f>RANK(AT6,AT$5:AT$22,0)</f>
        <v/>
      </c>
      <c r="AV6" s="46">
        <f>VLOOKUP($A6,INDIRECT("'"&amp;$B$1&amp;"'!$A:$IZ"),92,FALSE)</f>
        <v/>
      </c>
      <c r="AW6" s="47">
        <f>RANK(AV6,AV$5:AV$22,0)</f>
        <v/>
      </c>
      <c r="AX6" s="46">
        <f>VLOOKUP($A6,INDIRECT("'"&amp;$B$1&amp;"'!$A:$IZ"),93,FALSE)</f>
        <v/>
      </c>
      <c r="AY6" s="47">
        <f>RANK(AX6,AX$5:AX$22,0)</f>
        <v/>
      </c>
      <c r="AZ6" s="46">
        <f>VLOOKUP($A6,INDIRECT("'"&amp;$B$1&amp;"'!$A:$IZ"),108,FALSE)</f>
        <v/>
      </c>
      <c r="BA6" s="47">
        <f>RANK(AZ6,AZ$5:AZ$22,0)</f>
        <v/>
      </c>
      <c r="BB6" s="46">
        <f>104-(AU6+AW6+AY6+BA6)</f>
        <v/>
      </c>
      <c r="BC6" s="47">
        <f>RANK(BB6,BB$5:BB$22)</f>
        <v/>
      </c>
      <c r="BD6" s="56" t="n"/>
      <c r="BE6" s="53">
        <f>VLOOKUP($A6,INDIRECT("'"&amp;$B$1&amp;"'!$A:$IZ"),80,FALSE)</f>
        <v/>
      </c>
      <c r="BF6" s="54">
        <f>RANK(BE6,BE$5:BE$22)</f>
        <v/>
      </c>
      <c r="BG6" s="53">
        <f>VLOOKUP($A6,INDIRECT("'"&amp;$B$1&amp;"'!$A:$IZ"),177,FALSE)</f>
        <v/>
      </c>
      <c r="BH6" s="54">
        <f>RANK(BG6,BG$5:BG$22,1)</f>
        <v/>
      </c>
      <c r="BI6" s="53">
        <f>VLOOKUP($A6,INDIRECT("'"&amp;$B$1&amp;"'!$A:$IZ"),79,FALSE)</f>
        <v/>
      </c>
      <c r="BJ6" s="54">
        <f>RANK(BI6,BI$5:BI$22)</f>
        <v/>
      </c>
      <c r="BK6" s="53">
        <f>VLOOKUP($A6,INDIRECT("'"&amp;$B$1&amp;"'!$A:$IZ"),176,FALSE)</f>
        <v/>
      </c>
      <c r="BL6" s="54">
        <f>RANK(BK6,BK$5:BK$22,1)</f>
        <v/>
      </c>
      <c r="BM6" s="53">
        <f>VLOOKUP($A6,INDIRECT("'"&amp;$B$1&amp;"'!$A:$IZ"),11,FALSE)</f>
        <v/>
      </c>
      <c r="BN6" s="54">
        <f>RANK(BM6,BM$5:BM$22)</f>
        <v/>
      </c>
      <c r="BO6" s="53">
        <f>VLOOKUP($A6,INDIRECT("'"&amp;$B$1&amp;"'!$A:$IZ"),222,FALSE)</f>
        <v/>
      </c>
      <c r="BP6" s="54">
        <f>RANK(BO6,BO$5:BO$22)</f>
        <v/>
      </c>
      <c r="BQ6" s="65">
        <f>106-(BF6+BH6+BN6+BP6+BJ6+BL6)</f>
        <v/>
      </c>
      <c r="BR6" s="47">
        <f>RANK(BQ6,BQ$5:BQ$22)</f>
        <v/>
      </c>
      <c r="BS6" s="56" t="n"/>
      <c r="BT6" s="57">
        <f>VLOOKUP($A6,'Ratings Season'!$A:$M,10,FALSE)</f>
        <v/>
      </c>
      <c r="BU6" s="54">
        <f>RANK(BT6,BT$5:BT$22)</f>
        <v/>
      </c>
      <c r="BV6" s="57">
        <f>VLOOKUP($A6,'Ratings Season'!$A:$M,12,FALSE)</f>
        <v/>
      </c>
      <c r="BW6" s="54">
        <f>RANK(BV6,BV$5:BV$22)</f>
        <v/>
      </c>
      <c r="BX6" s="57">
        <f>VLOOKUP($A6,'Ratings Season'!$A:$M,8,FALSE)</f>
        <v/>
      </c>
      <c r="BY6" s="58">
        <f>RANK(BX6,BX$5:BX$22)</f>
        <v/>
      </c>
      <c r="BZ6" s="72" t="n"/>
    </row>
    <row r="7" ht="25" customFormat="1" customHeight="1" s="3">
      <c r="A7" s="77" t="inlineStr">
        <is>
          <t>Carlton</t>
        </is>
      </c>
      <c r="B7" s="53">
        <f>VLOOKUP($A7,INDIRECT("'"&amp;$B$1&amp;"'!$A:$IZ"),222,FALSE)</f>
        <v/>
      </c>
      <c r="C7" s="54">
        <f>RANK(B7,B$5:B$22)</f>
        <v/>
      </c>
      <c r="D7" s="55">
        <f>VLOOKUP($A7,INDIRECT("'"&amp;$B$1&amp;"'!$A:$IZ"),218,FALSE)</f>
        <v/>
      </c>
      <c r="E7" s="54">
        <f>RANK(D7,D$5:D$22)</f>
        <v/>
      </c>
      <c r="F7" s="55">
        <f>VLOOKUP($A7,INDIRECT("'"&amp;$B$1&amp;"'!$A:$IZ"),49,FALSE)</f>
        <v/>
      </c>
      <c r="G7" s="54">
        <f>RANK(F7,F$5:F$22)</f>
        <v/>
      </c>
      <c r="H7" s="55">
        <f>VLOOKUP($A7,INDIRECT("'"&amp;$B$1&amp;"'!$A:$IZ"),229,FALSE)</f>
        <v/>
      </c>
      <c r="I7" s="54">
        <f>RANK(H7,H$5:H$22)</f>
        <v/>
      </c>
      <c r="J7" s="49">
        <f>104-(C7+E7+G7+I7)</f>
        <v/>
      </c>
      <c r="K7" s="47">
        <f>RANK(J7,J$5:J$22)</f>
        <v/>
      </c>
      <c r="L7" s="56" t="n"/>
      <c r="M7" s="53">
        <f>VLOOKUP($A7,INDIRECT("'"&amp;$B$1&amp;"'!$A:$IZ"),88,FALSE)</f>
        <v/>
      </c>
      <c r="N7" s="54">
        <f>RANK(M7,M$5:M$22)</f>
        <v/>
      </c>
      <c r="O7" s="53">
        <f>VLOOKUP($A7,INDIRECT("'"&amp;$B$1&amp;"'!$A:$IZ"),84,FALSE)</f>
        <v/>
      </c>
      <c r="P7" s="54">
        <f>RANK(O7,O$5:O$22)</f>
        <v/>
      </c>
      <c r="Q7" s="53">
        <f>VLOOKUP($A7,INDIRECT("'"&amp;$B$1&amp;"'!$A:$IZ"),85,FALSE)</f>
        <v/>
      </c>
      <c r="R7" s="54">
        <f>RANK(Q7,Q$5:Q$22)</f>
        <v/>
      </c>
      <c r="S7" s="55">
        <f>VLOOKUP($A7,INDIRECT("'"&amp;$B$1&amp;"'!$A:$IZ"),29,FALSE)</f>
        <v/>
      </c>
      <c r="T7" s="54">
        <f>RANK(S7,S$5:S$22)</f>
        <v/>
      </c>
      <c r="U7" s="49">
        <f>104-(N7+P7+R7+T7)</f>
        <v/>
      </c>
      <c r="V7" s="47">
        <f>RANK(U7,U$5:U$22)</f>
        <v/>
      </c>
      <c r="W7" s="56" t="n"/>
      <c r="X7" s="53">
        <f>VLOOKUP($A7,INDIRECT("'"&amp;$B$1&amp;"'!$A:$IZ"),65,FALSE)</f>
        <v/>
      </c>
      <c r="Y7" s="54">
        <f>RANK(X7,X$5:X$22)</f>
        <v/>
      </c>
      <c r="Z7" s="53">
        <f>VLOOKUP($A7,INDIRECT("'"&amp;$B$1&amp;"'!$A:$IZ"),64,FALSE)</f>
        <v/>
      </c>
      <c r="AA7" s="54">
        <f>RANK(Z7,Z$5:Z$22)</f>
        <v/>
      </c>
      <c r="AB7" s="53">
        <f>VLOOKUP($A7,INDIRECT("'"&amp;$B$1&amp;"'!$A:$IZ"),63,FALSE)</f>
        <v/>
      </c>
      <c r="AC7" s="54">
        <f>RANK(AB7,AB$5:AB$22)</f>
        <v/>
      </c>
      <c r="AD7" s="53">
        <f>VLOOKUP($A7,INDIRECT("'"&amp;$B$1&amp;"'!$A:$IZ"),71,FALSE)</f>
        <v/>
      </c>
      <c r="AE7" s="54">
        <f>RANK(AD7,AD$5:AD$22)</f>
        <v/>
      </c>
      <c r="AF7" s="65">
        <f>104-(Y7+AA7+AC7+AE7)</f>
        <v/>
      </c>
      <c r="AG7" s="47">
        <f>RANK(AF7,AF$5:AF$22)</f>
        <v/>
      </c>
      <c r="AH7" s="56" t="n"/>
      <c r="AI7" s="53">
        <f>VLOOKUP($A7,INDIRECT("'"&amp;$B$1&amp;"'!$A:$IZ"),183,FALSE)</f>
        <v/>
      </c>
      <c r="AJ7" s="54">
        <f>RANK(AI7,AI$5:AI$22,1)</f>
        <v/>
      </c>
      <c r="AK7" s="53">
        <f>VLOOKUP($A7,INDIRECT("'"&amp;$B$1&amp;"'!$A:$IZ"),181,FALSE)</f>
        <v/>
      </c>
      <c r="AL7" s="54">
        <f>RANK(AK7,AK$5:AK$22,1)</f>
        <v/>
      </c>
      <c r="AM7" s="53">
        <f>VLOOKUP($A7,INDIRECT("'"&amp;$B$1&amp;"'!$A:$IZ"),182,FALSE)</f>
        <v/>
      </c>
      <c r="AN7" s="54">
        <f>RANK(AM7,AM$5:AM$22,1)</f>
        <v/>
      </c>
      <c r="AO7" s="53">
        <f>VLOOKUP($A7,INDIRECT("'"&amp;$B$1&amp;"'!$A:$IZ"),163,FALSE)</f>
        <v/>
      </c>
      <c r="AP7" s="54">
        <f>RANK(AO7,AO$5:AO$22,1)</f>
        <v/>
      </c>
      <c r="AQ7" s="65">
        <f>104-(AJ7+AL7+AN7+AP7)</f>
        <v/>
      </c>
      <c r="AR7" s="47">
        <f>RANK(AQ7,AQ$5:AQ$22)</f>
        <v/>
      </c>
      <c r="AS7" s="56" t="n"/>
      <c r="AT7" s="46">
        <f>VLOOKUP($A7,INDIRECT("'"&amp;$B$1&amp;"'!$A:$IZ"),250,FALSE)</f>
        <v/>
      </c>
      <c r="AU7" s="47">
        <f>RANK(AT7,AT$5:AT$22,0)</f>
        <v/>
      </c>
      <c r="AV7" s="46">
        <f>VLOOKUP($A7,INDIRECT("'"&amp;$B$1&amp;"'!$A:$IZ"),92,FALSE)</f>
        <v/>
      </c>
      <c r="AW7" s="47">
        <f>RANK(AV7,AV$5:AV$22,0)</f>
        <v/>
      </c>
      <c r="AX7" s="46">
        <f>VLOOKUP($A7,INDIRECT("'"&amp;$B$1&amp;"'!$A:$IZ"),93,FALSE)</f>
        <v/>
      </c>
      <c r="AY7" s="47">
        <f>RANK(AX7,AX$5:AX$22,0)</f>
        <v/>
      </c>
      <c r="AZ7" s="46">
        <f>VLOOKUP($A7,INDIRECT("'"&amp;$B$1&amp;"'!$A:$IZ"),108,FALSE)</f>
        <v/>
      </c>
      <c r="BA7" s="47">
        <f>RANK(AZ7,AZ$5:AZ$22,0)</f>
        <v/>
      </c>
      <c r="BB7" s="46">
        <f>104-(AU7+AW7+AY7+BA7)</f>
        <v/>
      </c>
      <c r="BC7" s="47">
        <f>RANK(BB7,BB$5:BB$22)</f>
        <v/>
      </c>
      <c r="BD7" s="56" t="n"/>
      <c r="BE7" s="53">
        <f>VLOOKUP($A7,INDIRECT("'"&amp;$B$1&amp;"'!$A:$IZ"),80,FALSE)</f>
        <v/>
      </c>
      <c r="BF7" s="54">
        <f>RANK(BE7,BE$5:BE$22)</f>
        <v/>
      </c>
      <c r="BG7" s="53">
        <f>VLOOKUP($A7,INDIRECT("'"&amp;$B$1&amp;"'!$A:$IZ"),177,FALSE)</f>
        <v/>
      </c>
      <c r="BH7" s="54">
        <f>RANK(BG7,BG$5:BG$22,1)</f>
        <v/>
      </c>
      <c r="BI7" s="53">
        <f>VLOOKUP($A7,INDIRECT("'"&amp;$B$1&amp;"'!$A:$IZ"),79,FALSE)</f>
        <v/>
      </c>
      <c r="BJ7" s="54">
        <f>RANK(BI7,BI$5:BI$22)</f>
        <v/>
      </c>
      <c r="BK7" s="53">
        <f>VLOOKUP($A7,INDIRECT("'"&amp;$B$1&amp;"'!$A:$IZ"),176,FALSE)</f>
        <v/>
      </c>
      <c r="BL7" s="54">
        <f>RANK(BK7,BK$5:BK$22,1)</f>
        <v/>
      </c>
      <c r="BM7" s="53">
        <f>VLOOKUP($A7,INDIRECT("'"&amp;$B$1&amp;"'!$A:$IZ"),11,FALSE)</f>
        <v/>
      </c>
      <c r="BN7" s="54">
        <f>RANK(BM7,BM$5:BM$22)</f>
        <v/>
      </c>
      <c r="BO7" s="53">
        <f>VLOOKUP($A7,INDIRECT("'"&amp;$B$1&amp;"'!$A:$IZ"),222,FALSE)</f>
        <v/>
      </c>
      <c r="BP7" s="54">
        <f>RANK(BO7,BO$5:BO$22)</f>
        <v/>
      </c>
      <c r="BQ7" s="65">
        <f>106-(BF7+BH7+BN7+BP7+BJ7+BL7)</f>
        <v/>
      </c>
      <c r="BR7" s="47">
        <f>RANK(BQ7,BQ$5:BQ$22)</f>
        <v/>
      </c>
      <c r="BS7" s="56" t="n"/>
      <c r="BT7" s="57">
        <f>VLOOKUP($A7,'Ratings Season'!$A:$M,10,FALSE)</f>
        <v/>
      </c>
      <c r="BU7" s="54">
        <f>RANK(BT7,BT$5:BT$22)</f>
        <v/>
      </c>
      <c r="BV7" s="57">
        <f>VLOOKUP($A7,'Ratings Season'!$A:$M,12,FALSE)</f>
        <v/>
      </c>
      <c r="BW7" s="54">
        <f>RANK(BV7,BV$5:BV$22)</f>
        <v/>
      </c>
      <c r="BX7" s="57">
        <f>VLOOKUP($A7,'Ratings Season'!$A:$M,8,FALSE)</f>
        <v/>
      </c>
      <c r="BY7" s="58">
        <f>RANK(BX7,BX$5:BX$22)</f>
        <v/>
      </c>
      <c r="BZ7" s="72" t="n"/>
    </row>
    <row r="8" ht="25" customFormat="1" customHeight="1" s="3">
      <c r="A8" s="78" t="inlineStr">
        <is>
          <t>Collingwood</t>
        </is>
      </c>
      <c r="B8" s="53">
        <f>VLOOKUP($A8,INDIRECT("'"&amp;$B$1&amp;"'!$A:$IZ"),222,FALSE)</f>
        <v/>
      </c>
      <c r="C8" s="54">
        <f>RANK(B8,B$5:B$22)</f>
        <v/>
      </c>
      <c r="D8" s="55">
        <f>VLOOKUP($A8,INDIRECT("'"&amp;$B$1&amp;"'!$A:$IZ"),218,FALSE)</f>
        <v/>
      </c>
      <c r="E8" s="54">
        <f>RANK(D8,D$5:D$22)</f>
        <v/>
      </c>
      <c r="F8" s="55">
        <f>VLOOKUP($A8,INDIRECT("'"&amp;$B$1&amp;"'!$A:$IZ"),49,FALSE)</f>
        <v/>
      </c>
      <c r="G8" s="54">
        <f>RANK(F8,F$5:F$22)</f>
        <v/>
      </c>
      <c r="H8" s="55">
        <f>VLOOKUP($A8,INDIRECT("'"&amp;$B$1&amp;"'!$A:$IZ"),229,FALSE)</f>
        <v/>
      </c>
      <c r="I8" s="54">
        <f>RANK(H8,H$5:H$22)</f>
        <v/>
      </c>
      <c r="J8" s="49">
        <f>104-(C8+E8+G8+I8)</f>
        <v/>
      </c>
      <c r="K8" s="47">
        <f>RANK(J8,J$5:J$22)</f>
        <v/>
      </c>
      <c r="L8" s="56" t="n"/>
      <c r="M8" s="53">
        <f>VLOOKUP($A8,INDIRECT("'"&amp;$B$1&amp;"'!$A:$IZ"),88,FALSE)</f>
        <v/>
      </c>
      <c r="N8" s="54">
        <f>RANK(M8,M$5:M$22)</f>
        <v/>
      </c>
      <c r="O8" s="53">
        <f>VLOOKUP($A8,INDIRECT("'"&amp;$B$1&amp;"'!$A:$IZ"),84,FALSE)</f>
        <v/>
      </c>
      <c r="P8" s="54">
        <f>RANK(O8,O$5:O$22)</f>
        <v/>
      </c>
      <c r="Q8" s="53">
        <f>VLOOKUP($A8,INDIRECT("'"&amp;$B$1&amp;"'!$A:$IZ"),85,FALSE)</f>
        <v/>
      </c>
      <c r="R8" s="54">
        <f>RANK(Q8,Q$5:Q$22)</f>
        <v/>
      </c>
      <c r="S8" s="55">
        <f>VLOOKUP($A8,INDIRECT("'"&amp;$B$1&amp;"'!$A:$IZ"),29,FALSE)</f>
        <v/>
      </c>
      <c r="T8" s="54">
        <f>RANK(S8,S$5:S$22)</f>
        <v/>
      </c>
      <c r="U8" s="49">
        <f>104-(N8+P8+R8+T8)</f>
        <v/>
      </c>
      <c r="V8" s="47">
        <f>RANK(U8,U$5:U$22)</f>
        <v/>
      </c>
      <c r="W8" s="56" t="n"/>
      <c r="X8" s="53">
        <f>VLOOKUP($A8,INDIRECT("'"&amp;$B$1&amp;"'!$A:$IZ"),65,FALSE)</f>
        <v/>
      </c>
      <c r="Y8" s="54">
        <f>RANK(X8,X$5:X$22)</f>
        <v/>
      </c>
      <c r="Z8" s="53">
        <f>VLOOKUP($A8,INDIRECT("'"&amp;$B$1&amp;"'!$A:$IZ"),64,FALSE)</f>
        <v/>
      </c>
      <c r="AA8" s="54">
        <f>RANK(Z8,Z$5:Z$22)</f>
        <v/>
      </c>
      <c r="AB8" s="53">
        <f>VLOOKUP($A8,INDIRECT("'"&amp;$B$1&amp;"'!$A:$IZ"),63,FALSE)</f>
        <v/>
      </c>
      <c r="AC8" s="54">
        <f>RANK(AB8,AB$5:AB$22)</f>
        <v/>
      </c>
      <c r="AD8" s="53">
        <f>VLOOKUP($A8,INDIRECT("'"&amp;$B$1&amp;"'!$A:$IZ"),71,FALSE)</f>
        <v/>
      </c>
      <c r="AE8" s="54">
        <f>RANK(AD8,AD$5:AD$22)</f>
        <v/>
      </c>
      <c r="AF8" s="65">
        <f>104-(Y8+AA8+AC8+AE8)</f>
        <v/>
      </c>
      <c r="AG8" s="47">
        <f>RANK(AF8,AF$5:AF$22)</f>
        <v/>
      </c>
      <c r="AH8" s="56" t="n"/>
      <c r="AI8" s="53">
        <f>VLOOKUP($A8,INDIRECT("'"&amp;$B$1&amp;"'!$A:$IZ"),183,FALSE)</f>
        <v/>
      </c>
      <c r="AJ8" s="54">
        <f>RANK(AI8,AI$5:AI$22,1)</f>
        <v/>
      </c>
      <c r="AK8" s="53">
        <f>VLOOKUP($A8,INDIRECT("'"&amp;$B$1&amp;"'!$A:$IZ"),181,FALSE)</f>
        <v/>
      </c>
      <c r="AL8" s="54">
        <f>RANK(AK8,AK$5:AK$22,1)</f>
        <v/>
      </c>
      <c r="AM8" s="53">
        <f>VLOOKUP($A8,INDIRECT("'"&amp;$B$1&amp;"'!$A:$IZ"),182,FALSE)</f>
        <v/>
      </c>
      <c r="AN8" s="54">
        <f>RANK(AM8,AM$5:AM$22,1)</f>
        <v/>
      </c>
      <c r="AO8" s="53">
        <f>VLOOKUP($A8,INDIRECT("'"&amp;$B$1&amp;"'!$A:$IZ"),163,FALSE)</f>
        <v/>
      </c>
      <c r="AP8" s="54">
        <f>RANK(AO8,AO$5:AO$22,1)</f>
        <v/>
      </c>
      <c r="AQ8" s="65">
        <f>104-(AJ8+AL8+AN8+AP8)</f>
        <v/>
      </c>
      <c r="AR8" s="47">
        <f>RANK(AQ8,AQ$5:AQ$22)</f>
        <v/>
      </c>
      <c r="AS8" s="56" t="n"/>
      <c r="AT8" s="46">
        <f>VLOOKUP($A8,INDIRECT("'"&amp;$B$1&amp;"'!$A:$IZ"),250,FALSE)</f>
        <v/>
      </c>
      <c r="AU8" s="47">
        <f>RANK(AT8,AT$5:AT$22,0)</f>
        <v/>
      </c>
      <c r="AV8" s="46">
        <f>VLOOKUP($A8,INDIRECT("'"&amp;$B$1&amp;"'!$A:$IZ"),92,FALSE)</f>
        <v/>
      </c>
      <c r="AW8" s="47">
        <f>RANK(AV8,AV$5:AV$22,0)</f>
        <v/>
      </c>
      <c r="AX8" s="46">
        <f>VLOOKUP($A8,INDIRECT("'"&amp;$B$1&amp;"'!$A:$IZ"),93,FALSE)</f>
        <v/>
      </c>
      <c r="AY8" s="47">
        <f>RANK(AX8,AX$5:AX$22,0)</f>
        <v/>
      </c>
      <c r="AZ8" s="46">
        <f>VLOOKUP($A8,INDIRECT("'"&amp;$B$1&amp;"'!$A:$IZ"),108,FALSE)</f>
        <v/>
      </c>
      <c r="BA8" s="47">
        <f>RANK(AZ8,AZ$5:AZ$22,0)</f>
        <v/>
      </c>
      <c r="BB8" s="46">
        <f>104-(AU8+AW8+AY8+BA8)</f>
        <v/>
      </c>
      <c r="BC8" s="47">
        <f>RANK(BB8,BB$5:BB$22)</f>
        <v/>
      </c>
      <c r="BD8" s="56" t="n"/>
      <c r="BE8" s="53">
        <f>VLOOKUP($A8,INDIRECT("'"&amp;$B$1&amp;"'!$A:$IZ"),80,FALSE)</f>
        <v/>
      </c>
      <c r="BF8" s="54">
        <f>RANK(BE8,BE$5:BE$22)</f>
        <v/>
      </c>
      <c r="BG8" s="53">
        <f>VLOOKUP($A8,INDIRECT("'"&amp;$B$1&amp;"'!$A:$IZ"),177,FALSE)</f>
        <v/>
      </c>
      <c r="BH8" s="54">
        <f>RANK(BG8,BG$5:BG$22,1)</f>
        <v/>
      </c>
      <c r="BI8" s="53">
        <f>VLOOKUP($A8,INDIRECT("'"&amp;$B$1&amp;"'!$A:$IZ"),79,FALSE)</f>
        <v/>
      </c>
      <c r="BJ8" s="54">
        <f>RANK(BI8,BI$5:BI$22)</f>
        <v/>
      </c>
      <c r="BK8" s="53">
        <f>VLOOKUP($A8,INDIRECT("'"&amp;$B$1&amp;"'!$A:$IZ"),176,FALSE)</f>
        <v/>
      </c>
      <c r="BL8" s="54">
        <f>RANK(BK8,BK$5:BK$22,1)</f>
        <v/>
      </c>
      <c r="BM8" s="53">
        <f>VLOOKUP($A8,INDIRECT("'"&amp;$B$1&amp;"'!$A:$IZ"),11,FALSE)</f>
        <v/>
      </c>
      <c r="BN8" s="54">
        <f>RANK(BM8,BM$5:BM$22)</f>
        <v/>
      </c>
      <c r="BO8" s="53">
        <f>VLOOKUP($A8,INDIRECT("'"&amp;$B$1&amp;"'!$A:$IZ"),222,FALSE)</f>
        <v/>
      </c>
      <c r="BP8" s="54">
        <f>RANK(BO8,BO$5:BO$22)</f>
        <v/>
      </c>
      <c r="BQ8" s="65">
        <f>106-(BF8+BH8+BN8+BP8+BJ8+BL8)</f>
        <v/>
      </c>
      <c r="BR8" s="47">
        <f>RANK(BQ8,BQ$5:BQ$22)</f>
        <v/>
      </c>
      <c r="BS8" s="56" t="n"/>
      <c r="BT8" s="57">
        <f>VLOOKUP($A8,'Ratings Season'!$A:$M,10,FALSE)</f>
        <v/>
      </c>
      <c r="BU8" s="54">
        <f>RANK(BT8,BT$5:BT$22)</f>
        <v/>
      </c>
      <c r="BV8" s="57">
        <f>VLOOKUP($A8,'Ratings Season'!$A:$M,12,FALSE)</f>
        <v/>
      </c>
      <c r="BW8" s="54">
        <f>RANK(BV8,BV$5:BV$22)</f>
        <v/>
      </c>
      <c r="BX8" s="57">
        <f>VLOOKUP($A8,'Ratings Season'!$A:$M,8,FALSE)</f>
        <v/>
      </c>
      <c r="BY8" s="58">
        <f>RANK(BX8,BX$5:BX$22)</f>
        <v/>
      </c>
      <c r="BZ8" s="72" t="n"/>
    </row>
    <row r="9" ht="25" customFormat="1" customHeight="1" s="3">
      <c r="A9" s="79" t="inlineStr">
        <is>
          <t>Essendon</t>
        </is>
      </c>
      <c r="B9" s="53">
        <f>VLOOKUP($A9,INDIRECT("'"&amp;$B$1&amp;"'!$A:$IZ"),222,FALSE)</f>
        <v/>
      </c>
      <c r="C9" s="54">
        <f>RANK(B9,B$5:B$22)</f>
        <v/>
      </c>
      <c r="D9" s="55">
        <f>VLOOKUP($A9,INDIRECT("'"&amp;$B$1&amp;"'!$A:$IZ"),218,FALSE)</f>
        <v/>
      </c>
      <c r="E9" s="54">
        <f>RANK(D9,D$5:D$22)</f>
        <v/>
      </c>
      <c r="F9" s="55">
        <f>VLOOKUP($A9,INDIRECT("'"&amp;$B$1&amp;"'!$A:$IZ"),49,FALSE)</f>
        <v/>
      </c>
      <c r="G9" s="54">
        <f>RANK(F9,F$5:F$22)</f>
        <v/>
      </c>
      <c r="H9" s="55">
        <f>VLOOKUP($A9,INDIRECT("'"&amp;$B$1&amp;"'!$A:$IZ"),229,FALSE)</f>
        <v/>
      </c>
      <c r="I9" s="54">
        <f>RANK(H9,H$5:H$22)</f>
        <v/>
      </c>
      <c r="J9" s="49">
        <f>104-(C9+E9+G9+I9)</f>
        <v/>
      </c>
      <c r="K9" s="47">
        <f>RANK(J9,J$5:J$22)</f>
        <v/>
      </c>
      <c r="L9" s="56" t="n"/>
      <c r="M9" s="53">
        <f>VLOOKUP($A9,INDIRECT("'"&amp;$B$1&amp;"'!$A:$IZ"),88,FALSE)</f>
        <v/>
      </c>
      <c r="N9" s="54">
        <f>RANK(M9,M$5:M$22)</f>
        <v/>
      </c>
      <c r="O9" s="53">
        <f>VLOOKUP($A9,INDIRECT("'"&amp;$B$1&amp;"'!$A:$IZ"),84,FALSE)</f>
        <v/>
      </c>
      <c r="P9" s="54">
        <f>RANK(O9,O$5:O$22)</f>
        <v/>
      </c>
      <c r="Q9" s="53">
        <f>VLOOKUP($A9,INDIRECT("'"&amp;$B$1&amp;"'!$A:$IZ"),85,FALSE)</f>
        <v/>
      </c>
      <c r="R9" s="54">
        <f>RANK(Q9,Q$5:Q$22)</f>
        <v/>
      </c>
      <c r="S9" s="55">
        <f>VLOOKUP($A9,INDIRECT("'"&amp;$B$1&amp;"'!$A:$IZ"),29,FALSE)</f>
        <v/>
      </c>
      <c r="T9" s="54">
        <f>RANK(S9,S$5:S$22)</f>
        <v/>
      </c>
      <c r="U9" s="49">
        <f>104-(N9+P9+R9+T9)</f>
        <v/>
      </c>
      <c r="V9" s="47">
        <f>RANK(U9,U$5:U$22)</f>
        <v/>
      </c>
      <c r="W9" s="56" t="n"/>
      <c r="X9" s="53">
        <f>VLOOKUP($A9,INDIRECT("'"&amp;$B$1&amp;"'!$A:$IZ"),65,FALSE)</f>
        <v/>
      </c>
      <c r="Y9" s="54">
        <f>RANK(X9,X$5:X$22)</f>
        <v/>
      </c>
      <c r="Z9" s="53">
        <f>VLOOKUP($A9,INDIRECT("'"&amp;$B$1&amp;"'!$A:$IZ"),64,FALSE)</f>
        <v/>
      </c>
      <c r="AA9" s="54">
        <f>RANK(Z9,Z$5:Z$22)</f>
        <v/>
      </c>
      <c r="AB9" s="53">
        <f>VLOOKUP($A9,INDIRECT("'"&amp;$B$1&amp;"'!$A:$IZ"),63,FALSE)</f>
        <v/>
      </c>
      <c r="AC9" s="54">
        <f>RANK(AB9,AB$5:AB$22)</f>
        <v/>
      </c>
      <c r="AD9" s="53">
        <f>VLOOKUP($A9,INDIRECT("'"&amp;$B$1&amp;"'!$A:$IZ"),71,FALSE)</f>
        <v/>
      </c>
      <c r="AE9" s="54">
        <f>RANK(AD9,AD$5:AD$22)</f>
        <v/>
      </c>
      <c r="AF9" s="65">
        <f>104-(Y9+AA9+AC9+AE9)</f>
        <v/>
      </c>
      <c r="AG9" s="47">
        <f>RANK(AF9,AF$5:AF$22)</f>
        <v/>
      </c>
      <c r="AH9" s="56" t="n"/>
      <c r="AI9" s="53">
        <f>VLOOKUP($A9,INDIRECT("'"&amp;$B$1&amp;"'!$A:$IZ"),183,FALSE)</f>
        <v/>
      </c>
      <c r="AJ9" s="54">
        <f>RANK(AI9,AI$5:AI$22,1)</f>
        <v/>
      </c>
      <c r="AK9" s="53">
        <f>VLOOKUP($A9,INDIRECT("'"&amp;$B$1&amp;"'!$A:$IZ"),181,FALSE)</f>
        <v/>
      </c>
      <c r="AL9" s="54">
        <f>RANK(AK9,AK$5:AK$22,1)</f>
        <v/>
      </c>
      <c r="AM9" s="53">
        <f>VLOOKUP($A9,INDIRECT("'"&amp;$B$1&amp;"'!$A:$IZ"),182,FALSE)</f>
        <v/>
      </c>
      <c r="AN9" s="54">
        <f>RANK(AM9,AM$5:AM$22,1)</f>
        <v/>
      </c>
      <c r="AO9" s="53">
        <f>VLOOKUP($A9,INDIRECT("'"&amp;$B$1&amp;"'!$A:$IZ"),163,FALSE)</f>
        <v/>
      </c>
      <c r="AP9" s="54">
        <f>RANK(AO9,AO$5:AO$22,1)</f>
        <v/>
      </c>
      <c r="AQ9" s="65">
        <f>104-(AJ9+AL9+AN9+AP9)</f>
        <v/>
      </c>
      <c r="AR9" s="47">
        <f>RANK(AQ9,AQ$5:AQ$22)</f>
        <v/>
      </c>
      <c r="AS9" s="56" t="n"/>
      <c r="AT9" s="46">
        <f>VLOOKUP($A9,INDIRECT("'"&amp;$B$1&amp;"'!$A:$IZ"),250,FALSE)</f>
        <v/>
      </c>
      <c r="AU9" s="47">
        <f>RANK(AT9,AT$5:AT$22,0)</f>
        <v/>
      </c>
      <c r="AV9" s="46">
        <f>VLOOKUP($A9,INDIRECT("'"&amp;$B$1&amp;"'!$A:$IZ"),92,FALSE)</f>
        <v/>
      </c>
      <c r="AW9" s="47">
        <f>RANK(AV9,AV$5:AV$22,0)</f>
        <v/>
      </c>
      <c r="AX9" s="46">
        <f>VLOOKUP($A9,INDIRECT("'"&amp;$B$1&amp;"'!$A:$IZ"),93,FALSE)</f>
        <v/>
      </c>
      <c r="AY9" s="47">
        <f>RANK(AX9,AX$5:AX$22,0)</f>
        <v/>
      </c>
      <c r="AZ9" s="46">
        <f>VLOOKUP($A9,INDIRECT("'"&amp;$B$1&amp;"'!$A:$IZ"),108,FALSE)</f>
        <v/>
      </c>
      <c r="BA9" s="47">
        <f>RANK(AZ9,AZ$5:AZ$22,0)</f>
        <v/>
      </c>
      <c r="BB9" s="46">
        <f>104-(AU9+AW9+AY9+BA9)</f>
        <v/>
      </c>
      <c r="BC9" s="47">
        <f>RANK(BB9,BB$5:BB$22)</f>
        <v/>
      </c>
      <c r="BD9" s="56" t="n"/>
      <c r="BE9" s="53">
        <f>VLOOKUP($A9,INDIRECT("'"&amp;$B$1&amp;"'!$A:$IZ"),80,FALSE)</f>
        <v/>
      </c>
      <c r="BF9" s="54">
        <f>RANK(BE9,BE$5:BE$22)</f>
        <v/>
      </c>
      <c r="BG9" s="53">
        <f>VLOOKUP($A9,INDIRECT("'"&amp;$B$1&amp;"'!$A:$IZ"),177,FALSE)</f>
        <v/>
      </c>
      <c r="BH9" s="54">
        <f>RANK(BG9,BG$5:BG$22,1)</f>
        <v/>
      </c>
      <c r="BI9" s="53">
        <f>VLOOKUP($A9,INDIRECT("'"&amp;$B$1&amp;"'!$A:$IZ"),79,FALSE)</f>
        <v/>
      </c>
      <c r="BJ9" s="54">
        <f>RANK(BI9,BI$5:BI$22)</f>
        <v/>
      </c>
      <c r="BK9" s="53">
        <f>VLOOKUP($A9,INDIRECT("'"&amp;$B$1&amp;"'!$A:$IZ"),176,FALSE)</f>
        <v/>
      </c>
      <c r="BL9" s="54">
        <f>RANK(BK9,BK$5:BK$22,1)</f>
        <v/>
      </c>
      <c r="BM9" s="53">
        <f>VLOOKUP($A9,INDIRECT("'"&amp;$B$1&amp;"'!$A:$IZ"),11,FALSE)</f>
        <v/>
      </c>
      <c r="BN9" s="54">
        <f>RANK(BM9,BM$5:BM$22)</f>
        <v/>
      </c>
      <c r="BO9" s="53">
        <f>VLOOKUP($A9,INDIRECT("'"&amp;$B$1&amp;"'!$A:$IZ"),222,FALSE)</f>
        <v/>
      </c>
      <c r="BP9" s="54">
        <f>RANK(BO9,BO$5:BO$22)</f>
        <v/>
      </c>
      <c r="BQ9" s="65">
        <f>106-(BF9+BH9+BN9+BP9+BJ9+BL9)</f>
        <v/>
      </c>
      <c r="BR9" s="47">
        <f>RANK(BQ9,BQ$5:BQ$22)</f>
        <v/>
      </c>
      <c r="BS9" s="56" t="n"/>
      <c r="BT9" s="57">
        <f>VLOOKUP($A9,'Ratings Season'!$A:$M,10,FALSE)</f>
        <v/>
      </c>
      <c r="BU9" s="54">
        <f>RANK(BT9,BT$5:BT$22)</f>
        <v/>
      </c>
      <c r="BV9" s="57">
        <f>VLOOKUP($A9,'Ratings Season'!$A:$M,12,FALSE)</f>
        <v/>
      </c>
      <c r="BW9" s="54">
        <f>RANK(BV9,BV$5:BV$22)</f>
        <v/>
      </c>
      <c r="BX9" s="57">
        <f>VLOOKUP($A9,'Ratings Season'!$A:$M,8,FALSE)</f>
        <v/>
      </c>
      <c r="BY9" s="58">
        <f>RANK(BX9,BX$5:BX$22)</f>
        <v/>
      </c>
      <c r="BZ9" s="72" t="n"/>
    </row>
    <row r="10" ht="25" customFormat="1" customHeight="1" s="3">
      <c r="A10" s="80" t="inlineStr">
        <is>
          <t>Fremantle</t>
        </is>
      </c>
      <c r="B10" s="53">
        <f>VLOOKUP($A10,INDIRECT("'"&amp;$B$1&amp;"'!$A:$IZ"),222,FALSE)</f>
        <v/>
      </c>
      <c r="C10" s="54">
        <f>RANK(B10,B$5:B$22)</f>
        <v/>
      </c>
      <c r="D10" s="55">
        <f>VLOOKUP($A10,INDIRECT("'"&amp;$B$1&amp;"'!$A:$IZ"),218,FALSE)</f>
        <v/>
      </c>
      <c r="E10" s="54">
        <f>RANK(D10,D$5:D$22)</f>
        <v/>
      </c>
      <c r="F10" s="55">
        <f>VLOOKUP($A10,INDIRECT("'"&amp;$B$1&amp;"'!$A:$IZ"),49,FALSE)</f>
        <v/>
      </c>
      <c r="G10" s="54">
        <f>RANK(F10,F$5:F$22)</f>
        <v/>
      </c>
      <c r="H10" s="55">
        <f>VLOOKUP($A10,INDIRECT("'"&amp;$B$1&amp;"'!$A:$IZ"),229,FALSE)</f>
        <v/>
      </c>
      <c r="I10" s="54">
        <f>RANK(H10,H$5:H$22)</f>
        <v/>
      </c>
      <c r="J10" s="49">
        <f>104-(C10+E10+G10+I10)</f>
        <v/>
      </c>
      <c r="K10" s="47">
        <f>RANK(J10,J$5:J$22)</f>
        <v/>
      </c>
      <c r="L10" s="56" t="n"/>
      <c r="M10" s="53">
        <f>VLOOKUP($A10,INDIRECT("'"&amp;$B$1&amp;"'!$A:$IZ"),88,FALSE)</f>
        <v/>
      </c>
      <c r="N10" s="54">
        <f>RANK(M10,M$5:M$22)</f>
        <v/>
      </c>
      <c r="O10" s="53">
        <f>VLOOKUP($A10,INDIRECT("'"&amp;$B$1&amp;"'!$A:$IZ"),84,FALSE)</f>
        <v/>
      </c>
      <c r="P10" s="54">
        <f>RANK(O10,O$5:O$22)</f>
        <v/>
      </c>
      <c r="Q10" s="53">
        <f>VLOOKUP($A10,INDIRECT("'"&amp;$B$1&amp;"'!$A:$IZ"),85,FALSE)</f>
        <v/>
      </c>
      <c r="R10" s="54">
        <f>RANK(Q10,Q$5:Q$22)</f>
        <v/>
      </c>
      <c r="S10" s="55">
        <f>VLOOKUP($A10,INDIRECT("'"&amp;$B$1&amp;"'!$A:$IZ"),29,FALSE)</f>
        <v/>
      </c>
      <c r="T10" s="54">
        <f>RANK(S10,S$5:S$22)</f>
        <v/>
      </c>
      <c r="U10" s="49">
        <f>104-(N10+P10+R10+T10)</f>
        <v/>
      </c>
      <c r="V10" s="47">
        <f>RANK(U10,U$5:U$22)</f>
        <v/>
      </c>
      <c r="W10" s="56" t="n"/>
      <c r="X10" s="53">
        <f>VLOOKUP($A10,INDIRECT("'"&amp;$B$1&amp;"'!$A:$IZ"),65,FALSE)</f>
        <v/>
      </c>
      <c r="Y10" s="54">
        <f>RANK(X10,X$5:X$22)</f>
        <v/>
      </c>
      <c r="Z10" s="53">
        <f>VLOOKUP($A10,INDIRECT("'"&amp;$B$1&amp;"'!$A:$IZ"),64,FALSE)</f>
        <v/>
      </c>
      <c r="AA10" s="54">
        <f>RANK(Z10,Z$5:Z$22)</f>
        <v/>
      </c>
      <c r="AB10" s="53">
        <f>VLOOKUP($A10,INDIRECT("'"&amp;$B$1&amp;"'!$A:$IZ"),63,FALSE)</f>
        <v/>
      </c>
      <c r="AC10" s="54">
        <f>RANK(AB10,AB$5:AB$22)</f>
        <v/>
      </c>
      <c r="AD10" s="53">
        <f>VLOOKUP($A10,INDIRECT("'"&amp;$B$1&amp;"'!$A:$IZ"),71,FALSE)</f>
        <v/>
      </c>
      <c r="AE10" s="54">
        <f>RANK(AD10,AD$5:AD$22)</f>
        <v/>
      </c>
      <c r="AF10" s="65">
        <f>104-(Y10+AA10+AC10+AE10)</f>
        <v/>
      </c>
      <c r="AG10" s="47">
        <f>RANK(AF10,AF$5:AF$22)</f>
        <v/>
      </c>
      <c r="AH10" s="56" t="n"/>
      <c r="AI10" s="53">
        <f>VLOOKUP($A10,INDIRECT("'"&amp;$B$1&amp;"'!$A:$IZ"),183,FALSE)</f>
        <v/>
      </c>
      <c r="AJ10" s="54">
        <f>RANK(AI10,AI$5:AI$22,1)</f>
        <v/>
      </c>
      <c r="AK10" s="53">
        <f>VLOOKUP($A10,INDIRECT("'"&amp;$B$1&amp;"'!$A:$IZ"),181,FALSE)</f>
        <v/>
      </c>
      <c r="AL10" s="54">
        <f>RANK(AK10,AK$5:AK$22,1)</f>
        <v/>
      </c>
      <c r="AM10" s="53">
        <f>VLOOKUP($A10,INDIRECT("'"&amp;$B$1&amp;"'!$A:$IZ"),182,FALSE)</f>
        <v/>
      </c>
      <c r="AN10" s="54">
        <f>RANK(AM10,AM$5:AM$22,1)</f>
        <v/>
      </c>
      <c r="AO10" s="53">
        <f>VLOOKUP($A10,INDIRECT("'"&amp;$B$1&amp;"'!$A:$IZ"),163,FALSE)</f>
        <v/>
      </c>
      <c r="AP10" s="54">
        <f>RANK(AO10,AO$5:AO$22,1)</f>
        <v/>
      </c>
      <c r="AQ10" s="65">
        <f>104-(AJ10+AL10+AN10+AP10)</f>
        <v/>
      </c>
      <c r="AR10" s="47">
        <f>RANK(AQ10,AQ$5:AQ$22)</f>
        <v/>
      </c>
      <c r="AS10" s="56" t="n"/>
      <c r="AT10" s="46">
        <f>VLOOKUP($A10,INDIRECT("'"&amp;$B$1&amp;"'!$A:$IZ"),250,FALSE)</f>
        <v/>
      </c>
      <c r="AU10" s="47">
        <f>RANK(AT10,AT$5:AT$22,0)</f>
        <v/>
      </c>
      <c r="AV10" s="46">
        <f>VLOOKUP($A10,INDIRECT("'"&amp;$B$1&amp;"'!$A:$IZ"),92,FALSE)</f>
        <v/>
      </c>
      <c r="AW10" s="47">
        <f>RANK(AV10,AV$5:AV$22,0)</f>
        <v/>
      </c>
      <c r="AX10" s="46">
        <f>VLOOKUP($A10,INDIRECT("'"&amp;$B$1&amp;"'!$A:$IZ"),93,FALSE)</f>
        <v/>
      </c>
      <c r="AY10" s="47">
        <f>RANK(AX10,AX$5:AX$22,0)</f>
        <v/>
      </c>
      <c r="AZ10" s="46">
        <f>VLOOKUP($A10,INDIRECT("'"&amp;$B$1&amp;"'!$A:$IZ"),108,FALSE)</f>
        <v/>
      </c>
      <c r="BA10" s="47">
        <f>RANK(AZ10,AZ$5:AZ$22,0)</f>
        <v/>
      </c>
      <c r="BB10" s="46">
        <f>104-(AU10+AW10+AY10+BA10)</f>
        <v/>
      </c>
      <c r="BC10" s="47">
        <f>RANK(BB10,BB$5:BB$22)</f>
        <v/>
      </c>
      <c r="BD10" s="56" t="n"/>
      <c r="BE10" s="53">
        <f>VLOOKUP($A10,INDIRECT("'"&amp;$B$1&amp;"'!$A:$IZ"),80,FALSE)</f>
        <v/>
      </c>
      <c r="BF10" s="54">
        <f>RANK(BE10,BE$5:BE$22)</f>
        <v/>
      </c>
      <c r="BG10" s="53">
        <f>VLOOKUP($A10,INDIRECT("'"&amp;$B$1&amp;"'!$A:$IZ"),177,FALSE)</f>
        <v/>
      </c>
      <c r="BH10" s="54">
        <f>RANK(BG10,BG$5:BG$22,1)</f>
        <v/>
      </c>
      <c r="BI10" s="53">
        <f>VLOOKUP($A10,INDIRECT("'"&amp;$B$1&amp;"'!$A:$IZ"),79,FALSE)</f>
        <v/>
      </c>
      <c r="BJ10" s="54">
        <f>RANK(BI10,BI$5:BI$22)</f>
        <v/>
      </c>
      <c r="BK10" s="53">
        <f>VLOOKUP($A10,INDIRECT("'"&amp;$B$1&amp;"'!$A:$IZ"),176,FALSE)</f>
        <v/>
      </c>
      <c r="BL10" s="54">
        <f>RANK(BK10,BK$5:BK$22,1)</f>
        <v/>
      </c>
      <c r="BM10" s="53">
        <f>VLOOKUP($A10,INDIRECT("'"&amp;$B$1&amp;"'!$A:$IZ"),11,FALSE)</f>
        <v/>
      </c>
      <c r="BN10" s="54">
        <f>RANK(BM10,BM$5:BM$22)</f>
        <v/>
      </c>
      <c r="BO10" s="53">
        <f>VLOOKUP($A10,INDIRECT("'"&amp;$B$1&amp;"'!$A:$IZ"),222,FALSE)</f>
        <v/>
      </c>
      <c r="BP10" s="54">
        <f>RANK(BO10,BO$5:BO$22)</f>
        <v/>
      </c>
      <c r="BQ10" s="65">
        <f>106-(BF10+BH10+BN10+BP10+BJ10+BL10)</f>
        <v/>
      </c>
      <c r="BR10" s="47">
        <f>RANK(BQ10,BQ$5:BQ$22)</f>
        <v/>
      </c>
      <c r="BS10" s="56" t="n"/>
      <c r="BT10" s="57">
        <f>VLOOKUP($A10,'Ratings Season'!$A:$M,10,FALSE)</f>
        <v/>
      </c>
      <c r="BU10" s="54">
        <f>RANK(BT10,BT$5:BT$22)</f>
        <v/>
      </c>
      <c r="BV10" s="57">
        <f>VLOOKUP($A10,'Ratings Season'!$A:$M,12,FALSE)</f>
        <v/>
      </c>
      <c r="BW10" s="54">
        <f>RANK(BV10,BV$5:BV$22)</f>
        <v/>
      </c>
      <c r="BX10" s="57">
        <f>VLOOKUP($A10,'Ratings Season'!$A:$M,8,FALSE)</f>
        <v/>
      </c>
      <c r="BY10" s="58">
        <f>RANK(BX10,BX$5:BX$22)</f>
        <v/>
      </c>
      <c r="BZ10" s="72" t="n"/>
    </row>
    <row r="11" ht="25" customFormat="1" customHeight="1" s="3">
      <c r="A11" s="81" t="inlineStr">
        <is>
          <t>Geelong</t>
        </is>
      </c>
      <c r="B11" s="53">
        <f>VLOOKUP($A11,INDIRECT("'"&amp;$B$1&amp;"'!$A:$IZ"),222,FALSE)</f>
        <v/>
      </c>
      <c r="C11" s="54">
        <f>RANK(B11,B$5:B$22)</f>
        <v/>
      </c>
      <c r="D11" s="55">
        <f>VLOOKUP($A11,INDIRECT("'"&amp;$B$1&amp;"'!$A:$IZ"),218,FALSE)</f>
        <v/>
      </c>
      <c r="E11" s="54">
        <f>RANK(D11,D$5:D$22)</f>
        <v/>
      </c>
      <c r="F11" s="55">
        <f>VLOOKUP($A11,INDIRECT("'"&amp;$B$1&amp;"'!$A:$IZ"),49,FALSE)</f>
        <v/>
      </c>
      <c r="G11" s="54">
        <f>RANK(F11,F$5:F$22)</f>
        <v/>
      </c>
      <c r="H11" s="55">
        <f>VLOOKUP($A11,INDIRECT("'"&amp;$B$1&amp;"'!$A:$IZ"),229,FALSE)</f>
        <v/>
      </c>
      <c r="I11" s="54">
        <f>RANK(H11,H$5:H$22)</f>
        <v/>
      </c>
      <c r="J11" s="49">
        <f>104-(C11+E11+G11+I11)</f>
        <v/>
      </c>
      <c r="K11" s="47">
        <f>RANK(J11,J$5:J$22)</f>
        <v/>
      </c>
      <c r="L11" s="56" t="n"/>
      <c r="M11" s="53">
        <f>VLOOKUP($A11,INDIRECT("'"&amp;$B$1&amp;"'!$A:$IZ"),88,FALSE)</f>
        <v/>
      </c>
      <c r="N11" s="54">
        <f>RANK(M11,M$5:M$22)</f>
        <v/>
      </c>
      <c r="O11" s="53">
        <f>VLOOKUP($A11,INDIRECT("'"&amp;$B$1&amp;"'!$A:$IZ"),84,FALSE)</f>
        <v/>
      </c>
      <c r="P11" s="54">
        <f>RANK(O11,O$5:O$22)</f>
        <v/>
      </c>
      <c r="Q11" s="53">
        <f>VLOOKUP($A11,INDIRECT("'"&amp;$B$1&amp;"'!$A:$IZ"),85,FALSE)</f>
        <v/>
      </c>
      <c r="R11" s="54">
        <f>RANK(Q11,Q$5:Q$22)</f>
        <v/>
      </c>
      <c r="S11" s="55">
        <f>VLOOKUP($A11,INDIRECT("'"&amp;$B$1&amp;"'!$A:$IZ"),29,FALSE)</f>
        <v/>
      </c>
      <c r="T11" s="54">
        <f>RANK(S11,S$5:S$22)</f>
        <v/>
      </c>
      <c r="U11" s="49">
        <f>104-(N11+P11+R11+T11)</f>
        <v/>
      </c>
      <c r="V11" s="47">
        <f>RANK(U11,U$5:U$22)</f>
        <v/>
      </c>
      <c r="W11" s="56" t="n"/>
      <c r="X11" s="53">
        <f>VLOOKUP($A11,INDIRECT("'"&amp;$B$1&amp;"'!$A:$IZ"),65,FALSE)</f>
        <v/>
      </c>
      <c r="Y11" s="54">
        <f>RANK(X11,X$5:X$22)</f>
        <v/>
      </c>
      <c r="Z11" s="53">
        <f>VLOOKUP($A11,INDIRECT("'"&amp;$B$1&amp;"'!$A:$IZ"),64,FALSE)</f>
        <v/>
      </c>
      <c r="AA11" s="54">
        <f>RANK(Z11,Z$5:Z$22)</f>
        <v/>
      </c>
      <c r="AB11" s="53">
        <f>VLOOKUP($A11,INDIRECT("'"&amp;$B$1&amp;"'!$A:$IZ"),63,FALSE)</f>
        <v/>
      </c>
      <c r="AC11" s="54">
        <f>RANK(AB11,AB$5:AB$22)</f>
        <v/>
      </c>
      <c r="AD11" s="53">
        <f>VLOOKUP($A11,INDIRECT("'"&amp;$B$1&amp;"'!$A:$IZ"),71,FALSE)</f>
        <v/>
      </c>
      <c r="AE11" s="54">
        <f>RANK(AD11,AD$5:AD$22)</f>
        <v/>
      </c>
      <c r="AF11" s="65">
        <f>104-(Y11+AA11+AC11+AE11)</f>
        <v/>
      </c>
      <c r="AG11" s="47">
        <f>RANK(AF11,AF$5:AF$22)</f>
        <v/>
      </c>
      <c r="AH11" s="56" t="n"/>
      <c r="AI11" s="53">
        <f>VLOOKUP($A11,INDIRECT("'"&amp;$B$1&amp;"'!$A:$IZ"),183,FALSE)</f>
        <v/>
      </c>
      <c r="AJ11" s="54">
        <f>RANK(AI11,AI$5:AI$22,1)</f>
        <v/>
      </c>
      <c r="AK11" s="53">
        <f>VLOOKUP($A11,INDIRECT("'"&amp;$B$1&amp;"'!$A:$IZ"),181,FALSE)</f>
        <v/>
      </c>
      <c r="AL11" s="54">
        <f>RANK(AK11,AK$5:AK$22,1)</f>
        <v/>
      </c>
      <c r="AM11" s="53">
        <f>VLOOKUP($A11,INDIRECT("'"&amp;$B$1&amp;"'!$A:$IZ"),182,FALSE)</f>
        <v/>
      </c>
      <c r="AN11" s="54">
        <f>RANK(AM11,AM$5:AM$22,1)</f>
        <v/>
      </c>
      <c r="AO11" s="53">
        <f>VLOOKUP($A11,INDIRECT("'"&amp;$B$1&amp;"'!$A:$IZ"),163,FALSE)</f>
        <v/>
      </c>
      <c r="AP11" s="54">
        <f>RANK(AO11,AO$5:AO$22,1)</f>
        <v/>
      </c>
      <c r="AQ11" s="65">
        <f>104-(AJ11+AL11+AN11+AP11)</f>
        <v/>
      </c>
      <c r="AR11" s="47">
        <f>RANK(AQ11,AQ$5:AQ$22)</f>
        <v/>
      </c>
      <c r="AS11" s="56" t="n"/>
      <c r="AT11" s="46">
        <f>VLOOKUP($A11,INDIRECT("'"&amp;$B$1&amp;"'!$A:$IZ"),250,FALSE)</f>
        <v/>
      </c>
      <c r="AU11" s="47">
        <f>RANK(AT11,AT$5:AT$22,0)</f>
        <v/>
      </c>
      <c r="AV11" s="46">
        <f>VLOOKUP($A11,INDIRECT("'"&amp;$B$1&amp;"'!$A:$IZ"),92,FALSE)</f>
        <v/>
      </c>
      <c r="AW11" s="47">
        <f>RANK(AV11,AV$5:AV$22,0)</f>
        <v/>
      </c>
      <c r="AX11" s="46">
        <f>VLOOKUP($A11,INDIRECT("'"&amp;$B$1&amp;"'!$A:$IZ"),93,FALSE)</f>
        <v/>
      </c>
      <c r="AY11" s="47">
        <f>RANK(AX11,AX$5:AX$22,0)</f>
        <v/>
      </c>
      <c r="AZ11" s="46">
        <f>VLOOKUP($A11,INDIRECT("'"&amp;$B$1&amp;"'!$A:$IZ"),108,FALSE)</f>
        <v/>
      </c>
      <c r="BA11" s="47">
        <f>RANK(AZ11,AZ$5:AZ$22,0)</f>
        <v/>
      </c>
      <c r="BB11" s="46">
        <f>104-(AU11+AW11+AY11+BA11)</f>
        <v/>
      </c>
      <c r="BC11" s="47">
        <f>RANK(BB11,BB$5:BB$22)</f>
        <v/>
      </c>
      <c r="BD11" s="56" t="n"/>
      <c r="BE11" s="53">
        <f>VLOOKUP($A11,INDIRECT("'"&amp;$B$1&amp;"'!$A:$IZ"),80,FALSE)</f>
        <v/>
      </c>
      <c r="BF11" s="54">
        <f>RANK(BE11,BE$5:BE$22)</f>
        <v/>
      </c>
      <c r="BG11" s="53">
        <f>VLOOKUP($A11,INDIRECT("'"&amp;$B$1&amp;"'!$A:$IZ"),177,FALSE)</f>
        <v/>
      </c>
      <c r="BH11" s="54">
        <f>RANK(BG11,BG$5:BG$22,1)</f>
        <v/>
      </c>
      <c r="BI11" s="53">
        <f>VLOOKUP($A11,INDIRECT("'"&amp;$B$1&amp;"'!$A:$IZ"),79,FALSE)</f>
        <v/>
      </c>
      <c r="BJ11" s="54">
        <f>RANK(BI11,BI$5:BI$22)</f>
        <v/>
      </c>
      <c r="BK11" s="53">
        <f>VLOOKUP($A11,INDIRECT("'"&amp;$B$1&amp;"'!$A:$IZ"),176,FALSE)</f>
        <v/>
      </c>
      <c r="BL11" s="54">
        <f>RANK(BK11,BK$5:BK$22,1)</f>
        <v/>
      </c>
      <c r="BM11" s="53">
        <f>VLOOKUP($A11,INDIRECT("'"&amp;$B$1&amp;"'!$A:$IZ"),11,FALSE)</f>
        <v/>
      </c>
      <c r="BN11" s="54">
        <f>RANK(BM11,BM$5:BM$22)</f>
        <v/>
      </c>
      <c r="BO11" s="53">
        <f>VLOOKUP($A11,INDIRECT("'"&amp;$B$1&amp;"'!$A:$IZ"),222,FALSE)</f>
        <v/>
      </c>
      <c r="BP11" s="54">
        <f>RANK(BO11,BO$5:BO$22)</f>
        <v/>
      </c>
      <c r="BQ11" s="65">
        <f>106-(BF11+BH11+BN11+BP11+BJ11+BL11)</f>
        <v/>
      </c>
      <c r="BR11" s="47">
        <f>RANK(BQ11,BQ$5:BQ$22)</f>
        <v/>
      </c>
      <c r="BS11" s="56" t="n"/>
      <c r="BT11" s="57">
        <f>VLOOKUP($A11,'Ratings Season'!$A:$M,10,FALSE)</f>
        <v/>
      </c>
      <c r="BU11" s="54">
        <f>RANK(BT11,BT$5:BT$22)</f>
        <v/>
      </c>
      <c r="BV11" s="57">
        <f>VLOOKUP($A11,'Ratings Season'!$A:$M,12,FALSE)</f>
        <v/>
      </c>
      <c r="BW11" s="54">
        <f>RANK(BV11,BV$5:BV$22)</f>
        <v/>
      </c>
      <c r="BX11" s="57">
        <f>VLOOKUP($A11,'Ratings Season'!$A:$M,8,FALSE)</f>
        <v/>
      </c>
      <c r="BY11" s="58">
        <f>RANK(BX11,BX$5:BX$22)</f>
        <v/>
      </c>
      <c r="BZ11" s="72" t="n"/>
    </row>
    <row r="12" ht="25" customFormat="1" customHeight="1" s="3">
      <c r="A12" s="82" t="inlineStr">
        <is>
          <t>Gold Coast</t>
        </is>
      </c>
      <c r="B12" s="53">
        <f>VLOOKUP($A12,INDIRECT("'"&amp;$B$1&amp;"'!$A:$IZ"),222,FALSE)</f>
        <v/>
      </c>
      <c r="C12" s="54">
        <f>RANK(B12,B$5:B$22)</f>
        <v/>
      </c>
      <c r="D12" s="55">
        <f>VLOOKUP($A12,INDIRECT("'"&amp;$B$1&amp;"'!$A:$IZ"),218,FALSE)</f>
        <v/>
      </c>
      <c r="E12" s="54">
        <f>RANK(D12,D$5:D$22)</f>
        <v/>
      </c>
      <c r="F12" s="55">
        <f>VLOOKUP($A12,INDIRECT("'"&amp;$B$1&amp;"'!$A:$IZ"),49,FALSE)</f>
        <v/>
      </c>
      <c r="G12" s="54">
        <f>RANK(F12,F$5:F$22)</f>
        <v/>
      </c>
      <c r="H12" s="55">
        <f>VLOOKUP($A12,INDIRECT("'"&amp;$B$1&amp;"'!$A:$IZ"),229,FALSE)</f>
        <v/>
      </c>
      <c r="I12" s="54">
        <f>RANK(H12,H$5:H$22)</f>
        <v/>
      </c>
      <c r="J12" s="49">
        <f>104-(C12+E12+G12+I12)</f>
        <v/>
      </c>
      <c r="K12" s="47">
        <f>RANK(J12,J$5:J$22)</f>
        <v/>
      </c>
      <c r="L12" s="56" t="n"/>
      <c r="M12" s="53">
        <f>VLOOKUP($A12,INDIRECT("'"&amp;$B$1&amp;"'!$A:$IZ"),88,FALSE)</f>
        <v/>
      </c>
      <c r="N12" s="54">
        <f>RANK(M12,M$5:M$22)</f>
        <v/>
      </c>
      <c r="O12" s="53">
        <f>VLOOKUP($A12,INDIRECT("'"&amp;$B$1&amp;"'!$A:$IZ"),84,FALSE)</f>
        <v/>
      </c>
      <c r="P12" s="54">
        <f>RANK(O12,O$5:O$22)</f>
        <v/>
      </c>
      <c r="Q12" s="53">
        <f>VLOOKUP($A12,INDIRECT("'"&amp;$B$1&amp;"'!$A:$IZ"),85,FALSE)</f>
        <v/>
      </c>
      <c r="R12" s="54">
        <f>RANK(Q12,Q$5:Q$22)</f>
        <v/>
      </c>
      <c r="S12" s="55">
        <f>VLOOKUP($A12,INDIRECT("'"&amp;$B$1&amp;"'!$A:$IZ"),29,FALSE)</f>
        <v/>
      </c>
      <c r="T12" s="54">
        <f>RANK(S12,S$5:S$22)</f>
        <v/>
      </c>
      <c r="U12" s="49">
        <f>104-(N12+P12+R12+T12)</f>
        <v/>
      </c>
      <c r="V12" s="47">
        <f>RANK(U12,U$5:U$22)</f>
        <v/>
      </c>
      <c r="W12" s="56" t="n"/>
      <c r="X12" s="53">
        <f>VLOOKUP($A12,INDIRECT("'"&amp;$B$1&amp;"'!$A:$IZ"),65,FALSE)</f>
        <v/>
      </c>
      <c r="Y12" s="54">
        <f>RANK(X12,X$5:X$22)</f>
        <v/>
      </c>
      <c r="Z12" s="53">
        <f>VLOOKUP($A12,INDIRECT("'"&amp;$B$1&amp;"'!$A:$IZ"),64,FALSE)</f>
        <v/>
      </c>
      <c r="AA12" s="54">
        <f>RANK(Z12,Z$5:Z$22)</f>
        <v/>
      </c>
      <c r="AB12" s="53">
        <f>VLOOKUP($A12,INDIRECT("'"&amp;$B$1&amp;"'!$A:$IZ"),63,FALSE)</f>
        <v/>
      </c>
      <c r="AC12" s="54">
        <f>RANK(AB12,AB$5:AB$22)</f>
        <v/>
      </c>
      <c r="AD12" s="53">
        <f>VLOOKUP($A12,INDIRECT("'"&amp;$B$1&amp;"'!$A:$IZ"),71,FALSE)</f>
        <v/>
      </c>
      <c r="AE12" s="54">
        <f>RANK(AD12,AD$5:AD$22)</f>
        <v/>
      </c>
      <c r="AF12" s="65">
        <f>104-(Y12+AA12+AC12+AE12)</f>
        <v/>
      </c>
      <c r="AG12" s="47">
        <f>RANK(AF12,AF$5:AF$22)</f>
        <v/>
      </c>
      <c r="AH12" s="56" t="n"/>
      <c r="AI12" s="53">
        <f>VLOOKUP($A12,INDIRECT("'"&amp;$B$1&amp;"'!$A:$IZ"),183,FALSE)</f>
        <v/>
      </c>
      <c r="AJ12" s="54">
        <f>RANK(AI12,AI$5:AI$22,1)</f>
        <v/>
      </c>
      <c r="AK12" s="53">
        <f>VLOOKUP($A12,INDIRECT("'"&amp;$B$1&amp;"'!$A:$IZ"),181,FALSE)</f>
        <v/>
      </c>
      <c r="AL12" s="54">
        <f>RANK(AK12,AK$5:AK$22,1)</f>
        <v/>
      </c>
      <c r="AM12" s="53">
        <f>VLOOKUP($A12,INDIRECT("'"&amp;$B$1&amp;"'!$A:$IZ"),182,FALSE)</f>
        <v/>
      </c>
      <c r="AN12" s="54">
        <f>RANK(AM12,AM$5:AM$22,1)</f>
        <v/>
      </c>
      <c r="AO12" s="53">
        <f>VLOOKUP($A12,INDIRECT("'"&amp;$B$1&amp;"'!$A:$IZ"),163,FALSE)</f>
        <v/>
      </c>
      <c r="AP12" s="54">
        <f>RANK(AO12,AO$5:AO$22,1)</f>
        <v/>
      </c>
      <c r="AQ12" s="65">
        <f>104-(AJ12+AL12+AN12+AP12)</f>
        <v/>
      </c>
      <c r="AR12" s="47">
        <f>RANK(AQ12,AQ$5:AQ$22)</f>
        <v/>
      </c>
      <c r="AS12" s="56" t="n"/>
      <c r="AT12" s="46">
        <f>VLOOKUP($A12,INDIRECT("'"&amp;$B$1&amp;"'!$A:$IZ"),250,FALSE)</f>
        <v/>
      </c>
      <c r="AU12" s="47">
        <f>RANK(AT12,AT$5:AT$22,0)</f>
        <v/>
      </c>
      <c r="AV12" s="46">
        <f>VLOOKUP($A12,INDIRECT("'"&amp;$B$1&amp;"'!$A:$IZ"),92,FALSE)</f>
        <v/>
      </c>
      <c r="AW12" s="47">
        <f>RANK(AV12,AV$5:AV$22,0)</f>
        <v/>
      </c>
      <c r="AX12" s="46">
        <f>VLOOKUP($A12,INDIRECT("'"&amp;$B$1&amp;"'!$A:$IZ"),93,FALSE)</f>
        <v/>
      </c>
      <c r="AY12" s="47">
        <f>RANK(AX12,AX$5:AX$22,0)</f>
        <v/>
      </c>
      <c r="AZ12" s="46">
        <f>VLOOKUP($A12,INDIRECT("'"&amp;$B$1&amp;"'!$A:$IZ"),108,FALSE)</f>
        <v/>
      </c>
      <c r="BA12" s="47">
        <f>RANK(AZ12,AZ$5:AZ$22,0)</f>
        <v/>
      </c>
      <c r="BB12" s="46">
        <f>104-(AU12+AW12+AY12+BA12)</f>
        <v/>
      </c>
      <c r="BC12" s="47">
        <f>RANK(BB12,BB$5:BB$22)</f>
        <v/>
      </c>
      <c r="BD12" s="56" t="n"/>
      <c r="BE12" s="53">
        <f>VLOOKUP($A12,INDIRECT("'"&amp;$B$1&amp;"'!$A:$IZ"),80,FALSE)</f>
        <v/>
      </c>
      <c r="BF12" s="54">
        <f>RANK(BE12,BE$5:BE$22)</f>
        <v/>
      </c>
      <c r="BG12" s="53">
        <f>VLOOKUP($A12,INDIRECT("'"&amp;$B$1&amp;"'!$A:$IZ"),177,FALSE)</f>
        <v/>
      </c>
      <c r="BH12" s="54">
        <f>RANK(BG12,BG$5:BG$22,1)</f>
        <v/>
      </c>
      <c r="BI12" s="53">
        <f>VLOOKUP($A12,INDIRECT("'"&amp;$B$1&amp;"'!$A:$IZ"),79,FALSE)</f>
        <v/>
      </c>
      <c r="BJ12" s="54">
        <f>RANK(BI12,BI$5:BI$22)</f>
        <v/>
      </c>
      <c r="BK12" s="53">
        <f>VLOOKUP($A12,INDIRECT("'"&amp;$B$1&amp;"'!$A:$IZ"),176,FALSE)</f>
        <v/>
      </c>
      <c r="BL12" s="54">
        <f>RANK(BK12,BK$5:BK$22,1)</f>
        <v/>
      </c>
      <c r="BM12" s="53">
        <f>VLOOKUP($A12,INDIRECT("'"&amp;$B$1&amp;"'!$A:$IZ"),11,FALSE)</f>
        <v/>
      </c>
      <c r="BN12" s="54">
        <f>RANK(BM12,BM$5:BM$22)</f>
        <v/>
      </c>
      <c r="BO12" s="53">
        <f>VLOOKUP($A12,INDIRECT("'"&amp;$B$1&amp;"'!$A:$IZ"),222,FALSE)</f>
        <v/>
      </c>
      <c r="BP12" s="54">
        <f>RANK(BO12,BO$5:BO$22)</f>
        <v/>
      </c>
      <c r="BQ12" s="65">
        <f>106-(BF12+BH12+BN12+BP12+BJ12+BL12)</f>
        <v/>
      </c>
      <c r="BR12" s="47">
        <f>RANK(BQ12,BQ$5:BQ$22)</f>
        <v/>
      </c>
      <c r="BS12" s="56" t="n"/>
      <c r="BT12" s="57">
        <f>VLOOKUP($A12,'Ratings Season'!$A:$M,10,FALSE)</f>
        <v/>
      </c>
      <c r="BU12" s="54">
        <f>RANK(BT12,BT$5:BT$22)</f>
        <v/>
      </c>
      <c r="BV12" s="57">
        <f>VLOOKUP($A12,'Ratings Season'!$A:$M,12,FALSE)</f>
        <v/>
      </c>
      <c r="BW12" s="54">
        <f>RANK(BV12,BV$5:BV$22)</f>
        <v/>
      </c>
      <c r="BX12" s="57">
        <f>VLOOKUP($A12,'Ratings Season'!$A:$M,8,FALSE)</f>
        <v/>
      </c>
      <c r="BY12" s="58">
        <f>RANK(BX12,BX$5:BX$22)</f>
        <v/>
      </c>
      <c r="BZ12" s="72" t="n"/>
    </row>
    <row r="13" ht="25" customFormat="1" customHeight="1" s="3">
      <c r="A13" s="83" t="inlineStr">
        <is>
          <t>Greater Western Sydney</t>
        </is>
      </c>
      <c r="B13" s="53">
        <f>VLOOKUP($A13,INDIRECT("'"&amp;$B$1&amp;"'!$A:$IZ"),222,FALSE)</f>
        <v/>
      </c>
      <c r="C13" s="54">
        <f>RANK(B13,B$5:B$22)</f>
        <v/>
      </c>
      <c r="D13" s="55">
        <f>VLOOKUP($A13,INDIRECT("'"&amp;$B$1&amp;"'!$A:$IZ"),218,FALSE)</f>
        <v/>
      </c>
      <c r="E13" s="54">
        <f>RANK(D13,D$5:D$22)</f>
        <v/>
      </c>
      <c r="F13" s="55">
        <f>VLOOKUP($A13,INDIRECT("'"&amp;$B$1&amp;"'!$A:$IZ"),49,FALSE)</f>
        <v/>
      </c>
      <c r="G13" s="54">
        <f>RANK(F13,F$5:F$22)</f>
        <v/>
      </c>
      <c r="H13" s="55">
        <f>VLOOKUP($A13,INDIRECT("'"&amp;$B$1&amp;"'!$A:$IZ"),229,FALSE)</f>
        <v/>
      </c>
      <c r="I13" s="54">
        <f>RANK(H13,H$5:H$22)</f>
        <v/>
      </c>
      <c r="J13" s="49">
        <f>104-(C13+E13+G13+I13)</f>
        <v/>
      </c>
      <c r="K13" s="47">
        <f>RANK(J13,J$5:J$22)</f>
        <v/>
      </c>
      <c r="L13" s="56" t="n"/>
      <c r="M13" s="53">
        <f>VLOOKUP($A13,INDIRECT("'"&amp;$B$1&amp;"'!$A:$IZ"),88,FALSE)</f>
        <v/>
      </c>
      <c r="N13" s="54">
        <f>RANK(M13,M$5:M$22)</f>
        <v/>
      </c>
      <c r="O13" s="53">
        <f>VLOOKUP($A13,INDIRECT("'"&amp;$B$1&amp;"'!$A:$IZ"),84,FALSE)</f>
        <v/>
      </c>
      <c r="P13" s="54">
        <f>RANK(O13,O$5:O$22)</f>
        <v/>
      </c>
      <c r="Q13" s="53">
        <f>VLOOKUP($A13,INDIRECT("'"&amp;$B$1&amp;"'!$A:$IZ"),85,FALSE)</f>
        <v/>
      </c>
      <c r="R13" s="54">
        <f>RANK(Q13,Q$5:Q$22)</f>
        <v/>
      </c>
      <c r="S13" s="55">
        <f>VLOOKUP($A13,INDIRECT("'"&amp;$B$1&amp;"'!$A:$IZ"),29,FALSE)</f>
        <v/>
      </c>
      <c r="T13" s="54">
        <f>RANK(S13,S$5:S$22)</f>
        <v/>
      </c>
      <c r="U13" s="49">
        <f>104-(N13+P13+R13+T13)</f>
        <v/>
      </c>
      <c r="V13" s="47">
        <f>RANK(U13,U$5:U$22)</f>
        <v/>
      </c>
      <c r="W13" s="56" t="n"/>
      <c r="X13" s="53">
        <f>VLOOKUP($A13,INDIRECT("'"&amp;$B$1&amp;"'!$A:$IZ"),65,FALSE)</f>
        <v/>
      </c>
      <c r="Y13" s="54">
        <f>RANK(X13,X$5:X$22)</f>
        <v/>
      </c>
      <c r="Z13" s="53">
        <f>VLOOKUP($A13,INDIRECT("'"&amp;$B$1&amp;"'!$A:$IZ"),64,FALSE)</f>
        <v/>
      </c>
      <c r="AA13" s="54">
        <f>RANK(Z13,Z$5:Z$22)</f>
        <v/>
      </c>
      <c r="AB13" s="53">
        <f>VLOOKUP($A13,INDIRECT("'"&amp;$B$1&amp;"'!$A:$IZ"),63,FALSE)</f>
        <v/>
      </c>
      <c r="AC13" s="54">
        <f>RANK(AB13,AB$5:AB$22)</f>
        <v/>
      </c>
      <c r="AD13" s="53">
        <f>VLOOKUP($A13,INDIRECT("'"&amp;$B$1&amp;"'!$A:$IZ"),71,FALSE)</f>
        <v/>
      </c>
      <c r="AE13" s="54">
        <f>RANK(AD13,AD$5:AD$22)</f>
        <v/>
      </c>
      <c r="AF13" s="65">
        <f>104-(Y13+AA13+AC13+AE13)</f>
        <v/>
      </c>
      <c r="AG13" s="47">
        <f>RANK(AF13,AF$5:AF$22)</f>
        <v/>
      </c>
      <c r="AH13" s="56" t="n"/>
      <c r="AI13" s="53">
        <f>VLOOKUP($A13,INDIRECT("'"&amp;$B$1&amp;"'!$A:$IZ"),183,FALSE)</f>
        <v/>
      </c>
      <c r="AJ13" s="54">
        <f>RANK(AI13,AI$5:AI$22,1)</f>
        <v/>
      </c>
      <c r="AK13" s="53">
        <f>VLOOKUP($A13,INDIRECT("'"&amp;$B$1&amp;"'!$A:$IZ"),181,FALSE)</f>
        <v/>
      </c>
      <c r="AL13" s="54">
        <f>RANK(AK13,AK$5:AK$22,1)</f>
        <v/>
      </c>
      <c r="AM13" s="53">
        <f>VLOOKUP($A13,INDIRECT("'"&amp;$B$1&amp;"'!$A:$IZ"),182,FALSE)</f>
        <v/>
      </c>
      <c r="AN13" s="54">
        <f>RANK(AM13,AM$5:AM$22,1)</f>
        <v/>
      </c>
      <c r="AO13" s="53">
        <f>VLOOKUP($A13,INDIRECT("'"&amp;$B$1&amp;"'!$A:$IZ"),163,FALSE)</f>
        <v/>
      </c>
      <c r="AP13" s="54">
        <f>RANK(AO13,AO$5:AO$22,1)</f>
        <v/>
      </c>
      <c r="AQ13" s="65">
        <f>104-(AJ13+AL13+AN13+AP13)</f>
        <v/>
      </c>
      <c r="AR13" s="47">
        <f>RANK(AQ13,AQ$5:AQ$22)</f>
        <v/>
      </c>
      <c r="AS13" s="56" t="n"/>
      <c r="AT13" s="46">
        <f>VLOOKUP($A13,INDIRECT("'"&amp;$B$1&amp;"'!$A:$IZ"),250,FALSE)</f>
        <v/>
      </c>
      <c r="AU13" s="47">
        <f>RANK(AT13,AT$5:AT$22,0)</f>
        <v/>
      </c>
      <c r="AV13" s="46">
        <f>VLOOKUP($A13,INDIRECT("'"&amp;$B$1&amp;"'!$A:$IZ"),92,FALSE)</f>
        <v/>
      </c>
      <c r="AW13" s="47">
        <f>RANK(AV13,AV$5:AV$22,0)</f>
        <v/>
      </c>
      <c r="AX13" s="46">
        <f>VLOOKUP($A13,INDIRECT("'"&amp;$B$1&amp;"'!$A:$IZ"),93,FALSE)</f>
        <v/>
      </c>
      <c r="AY13" s="47">
        <f>RANK(AX13,AX$5:AX$22,0)</f>
        <v/>
      </c>
      <c r="AZ13" s="46">
        <f>VLOOKUP($A13,INDIRECT("'"&amp;$B$1&amp;"'!$A:$IZ"),108,FALSE)</f>
        <v/>
      </c>
      <c r="BA13" s="47">
        <f>RANK(AZ13,AZ$5:AZ$22,0)</f>
        <v/>
      </c>
      <c r="BB13" s="46">
        <f>104-(AU13+AW13+AY13+BA13)</f>
        <v/>
      </c>
      <c r="BC13" s="47">
        <f>RANK(BB13,BB$5:BB$22)</f>
        <v/>
      </c>
      <c r="BD13" s="56" t="n"/>
      <c r="BE13" s="53">
        <f>VLOOKUP($A13,INDIRECT("'"&amp;$B$1&amp;"'!$A:$IZ"),80,FALSE)</f>
        <v/>
      </c>
      <c r="BF13" s="54">
        <f>RANK(BE13,BE$5:BE$22)</f>
        <v/>
      </c>
      <c r="BG13" s="53">
        <f>VLOOKUP($A13,INDIRECT("'"&amp;$B$1&amp;"'!$A:$IZ"),177,FALSE)</f>
        <v/>
      </c>
      <c r="BH13" s="54">
        <f>RANK(BG13,BG$5:BG$22,1)</f>
        <v/>
      </c>
      <c r="BI13" s="53">
        <f>VLOOKUP($A13,INDIRECT("'"&amp;$B$1&amp;"'!$A:$IZ"),79,FALSE)</f>
        <v/>
      </c>
      <c r="BJ13" s="54">
        <f>RANK(BI13,BI$5:BI$22)</f>
        <v/>
      </c>
      <c r="BK13" s="53">
        <f>VLOOKUP($A13,INDIRECT("'"&amp;$B$1&amp;"'!$A:$IZ"),176,FALSE)</f>
        <v/>
      </c>
      <c r="BL13" s="54">
        <f>RANK(BK13,BK$5:BK$22,1)</f>
        <v/>
      </c>
      <c r="BM13" s="53">
        <f>VLOOKUP($A13,INDIRECT("'"&amp;$B$1&amp;"'!$A:$IZ"),11,FALSE)</f>
        <v/>
      </c>
      <c r="BN13" s="54">
        <f>RANK(BM13,BM$5:BM$22)</f>
        <v/>
      </c>
      <c r="BO13" s="53">
        <f>VLOOKUP($A13,INDIRECT("'"&amp;$B$1&amp;"'!$A:$IZ"),222,FALSE)</f>
        <v/>
      </c>
      <c r="BP13" s="54">
        <f>RANK(BO13,BO$5:BO$22)</f>
        <v/>
      </c>
      <c r="BQ13" s="65">
        <f>106-(BF13+BH13+BN13+BP13+BJ13+BL13)</f>
        <v/>
      </c>
      <c r="BR13" s="47">
        <f>RANK(BQ13,BQ$5:BQ$22)</f>
        <v/>
      </c>
      <c r="BS13" s="56" t="n"/>
      <c r="BT13" s="57">
        <f>VLOOKUP($A13,'Ratings Season'!$A:$M,10,FALSE)</f>
        <v/>
      </c>
      <c r="BU13" s="54">
        <f>RANK(BT13,BT$5:BT$22)</f>
        <v/>
      </c>
      <c r="BV13" s="57">
        <f>VLOOKUP($A13,'Ratings Season'!$A:$M,12,FALSE)</f>
        <v/>
      </c>
      <c r="BW13" s="54">
        <f>RANK(BV13,BV$5:BV$22)</f>
        <v/>
      </c>
      <c r="BX13" s="57">
        <f>VLOOKUP($A13,'Ratings Season'!$A:$M,8,FALSE)</f>
        <v/>
      </c>
      <c r="BY13" s="58">
        <f>RANK(BX13,BX$5:BX$22)</f>
        <v/>
      </c>
      <c r="BZ13" s="72" t="n"/>
    </row>
    <row r="14" ht="25" customFormat="1" customHeight="1" s="3">
      <c r="A14" s="84" t="inlineStr">
        <is>
          <t>Hawthorn</t>
        </is>
      </c>
      <c r="B14" s="53">
        <f>VLOOKUP($A14,INDIRECT("'"&amp;$B$1&amp;"'!$A:$IZ"),222,FALSE)</f>
        <v/>
      </c>
      <c r="C14" s="54">
        <f>RANK(B14,B$5:B$22)</f>
        <v/>
      </c>
      <c r="D14" s="55">
        <f>VLOOKUP($A14,INDIRECT("'"&amp;$B$1&amp;"'!$A:$IZ"),218,FALSE)</f>
        <v/>
      </c>
      <c r="E14" s="54">
        <f>RANK(D14,D$5:D$22)</f>
        <v/>
      </c>
      <c r="F14" s="55">
        <f>VLOOKUP($A14,INDIRECT("'"&amp;$B$1&amp;"'!$A:$IZ"),49,FALSE)</f>
        <v/>
      </c>
      <c r="G14" s="54">
        <f>RANK(F14,F$5:F$22)</f>
        <v/>
      </c>
      <c r="H14" s="55">
        <f>VLOOKUP($A14,INDIRECT("'"&amp;$B$1&amp;"'!$A:$IZ"),229,FALSE)</f>
        <v/>
      </c>
      <c r="I14" s="54">
        <f>RANK(H14,H$5:H$22)</f>
        <v/>
      </c>
      <c r="J14" s="49">
        <f>104-(C14+E14+G14+I14)</f>
        <v/>
      </c>
      <c r="K14" s="47">
        <f>RANK(J14,J$5:J$22)</f>
        <v/>
      </c>
      <c r="L14" s="56" t="n"/>
      <c r="M14" s="53">
        <f>VLOOKUP($A14,INDIRECT("'"&amp;$B$1&amp;"'!$A:$IZ"),88,FALSE)</f>
        <v/>
      </c>
      <c r="N14" s="54">
        <f>RANK(M14,M$5:M$22)</f>
        <v/>
      </c>
      <c r="O14" s="53">
        <f>VLOOKUP($A14,INDIRECT("'"&amp;$B$1&amp;"'!$A:$IZ"),84,FALSE)</f>
        <v/>
      </c>
      <c r="P14" s="54">
        <f>RANK(O14,O$5:O$22)</f>
        <v/>
      </c>
      <c r="Q14" s="53">
        <f>VLOOKUP($A14,INDIRECT("'"&amp;$B$1&amp;"'!$A:$IZ"),85,FALSE)</f>
        <v/>
      </c>
      <c r="R14" s="54">
        <f>RANK(Q14,Q$5:Q$22)</f>
        <v/>
      </c>
      <c r="S14" s="55">
        <f>VLOOKUP($A14,INDIRECT("'"&amp;$B$1&amp;"'!$A:$IZ"),29,FALSE)</f>
        <v/>
      </c>
      <c r="T14" s="54">
        <f>RANK(S14,S$5:S$22)</f>
        <v/>
      </c>
      <c r="U14" s="49">
        <f>104-(N14+P14+R14+T14)</f>
        <v/>
      </c>
      <c r="V14" s="47">
        <f>RANK(U14,U$5:U$22)</f>
        <v/>
      </c>
      <c r="W14" s="56" t="n"/>
      <c r="X14" s="53">
        <f>VLOOKUP($A14,INDIRECT("'"&amp;$B$1&amp;"'!$A:$IZ"),65,FALSE)</f>
        <v/>
      </c>
      <c r="Y14" s="54">
        <f>RANK(X14,X$5:X$22)</f>
        <v/>
      </c>
      <c r="Z14" s="53">
        <f>VLOOKUP($A14,INDIRECT("'"&amp;$B$1&amp;"'!$A:$IZ"),64,FALSE)</f>
        <v/>
      </c>
      <c r="AA14" s="54">
        <f>RANK(Z14,Z$5:Z$22)</f>
        <v/>
      </c>
      <c r="AB14" s="53">
        <f>VLOOKUP($A14,INDIRECT("'"&amp;$B$1&amp;"'!$A:$IZ"),63,FALSE)</f>
        <v/>
      </c>
      <c r="AC14" s="54">
        <f>RANK(AB14,AB$5:AB$22)</f>
        <v/>
      </c>
      <c r="AD14" s="53">
        <f>VLOOKUP($A14,INDIRECT("'"&amp;$B$1&amp;"'!$A:$IZ"),71,FALSE)</f>
        <v/>
      </c>
      <c r="AE14" s="54">
        <f>RANK(AD14,AD$5:AD$22)</f>
        <v/>
      </c>
      <c r="AF14" s="65">
        <f>104-(Y14+AA14+AC14+AE14)</f>
        <v/>
      </c>
      <c r="AG14" s="47">
        <f>RANK(AF14,AF$5:AF$22)</f>
        <v/>
      </c>
      <c r="AH14" s="56" t="n"/>
      <c r="AI14" s="53">
        <f>VLOOKUP($A14,INDIRECT("'"&amp;$B$1&amp;"'!$A:$IZ"),183,FALSE)</f>
        <v/>
      </c>
      <c r="AJ14" s="54">
        <f>RANK(AI14,AI$5:AI$22,1)</f>
        <v/>
      </c>
      <c r="AK14" s="53">
        <f>VLOOKUP($A14,INDIRECT("'"&amp;$B$1&amp;"'!$A:$IZ"),181,FALSE)</f>
        <v/>
      </c>
      <c r="AL14" s="54">
        <f>RANK(AK14,AK$5:AK$22,1)</f>
        <v/>
      </c>
      <c r="AM14" s="53">
        <f>VLOOKUP($A14,INDIRECT("'"&amp;$B$1&amp;"'!$A:$IZ"),182,FALSE)</f>
        <v/>
      </c>
      <c r="AN14" s="54">
        <f>RANK(AM14,AM$5:AM$22,1)</f>
        <v/>
      </c>
      <c r="AO14" s="53">
        <f>VLOOKUP($A14,INDIRECT("'"&amp;$B$1&amp;"'!$A:$IZ"),163,FALSE)</f>
        <v/>
      </c>
      <c r="AP14" s="54">
        <f>RANK(AO14,AO$5:AO$22,1)</f>
        <v/>
      </c>
      <c r="AQ14" s="65">
        <f>104-(AJ14+AL14+AN14+AP14)</f>
        <v/>
      </c>
      <c r="AR14" s="47">
        <f>RANK(AQ14,AQ$5:AQ$22)</f>
        <v/>
      </c>
      <c r="AS14" s="56" t="n"/>
      <c r="AT14" s="46">
        <f>VLOOKUP($A14,INDIRECT("'"&amp;$B$1&amp;"'!$A:$IZ"),250,FALSE)</f>
        <v/>
      </c>
      <c r="AU14" s="47">
        <f>RANK(AT14,AT$5:AT$22,0)</f>
        <v/>
      </c>
      <c r="AV14" s="46">
        <f>VLOOKUP($A14,INDIRECT("'"&amp;$B$1&amp;"'!$A:$IZ"),92,FALSE)</f>
        <v/>
      </c>
      <c r="AW14" s="47">
        <f>RANK(AV14,AV$5:AV$22,0)</f>
        <v/>
      </c>
      <c r="AX14" s="46">
        <f>VLOOKUP($A14,INDIRECT("'"&amp;$B$1&amp;"'!$A:$IZ"),93,FALSE)</f>
        <v/>
      </c>
      <c r="AY14" s="47">
        <f>RANK(AX14,AX$5:AX$22,0)</f>
        <v/>
      </c>
      <c r="AZ14" s="46">
        <f>VLOOKUP($A14,INDIRECT("'"&amp;$B$1&amp;"'!$A:$IZ"),108,FALSE)</f>
        <v/>
      </c>
      <c r="BA14" s="47">
        <f>RANK(AZ14,AZ$5:AZ$22,0)</f>
        <v/>
      </c>
      <c r="BB14" s="46">
        <f>104-(AU14+AW14+AY14+BA14)</f>
        <v/>
      </c>
      <c r="BC14" s="47">
        <f>RANK(BB14,BB$5:BB$22)</f>
        <v/>
      </c>
      <c r="BD14" s="56" t="n"/>
      <c r="BE14" s="53">
        <f>VLOOKUP($A14,INDIRECT("'"&amp;$B$1&amp;"'!$A:$IZ"),80,FALSE)</f>
        <v/>
      </c>
      <c r="BF14" s="54">
        <f>RANK(BE14,BE$5:BE$22)</f>
        <v/>
      </c>
      <c r="BG14" s="53">
        <f>VLOOKUP($A14,INDIRECT("'"&amp;$B$1&amp;"'!$A:$IZ"),177,FALSE)</f>
        <v/>
      </c>
      <c r="BH14" s="54">
        <f>RANK(BG14,BG$5:BG$22,1)</f>
        <v/>
      </c>
      <c r="BI14" s="53">
        <f>VLOOKUP($A14,INDIRECT("'"&amp;$B$1&amp;"'!$A:$IZ"),79,FALSE)</f>
        <v/>
      </c>
      <c r="BJ14" s="54">
        <f>RANK(BI14,BI$5:BI$22)</f>
        <v/>
      </c>
      <c r="BK14" s="53">
        <f>VLOOKUP($A14,INDIRECT("'"&amp;$B$1&amp;"'!$A:$IZ"),176,FALSE)</f>
        <v/>
      </c>
      <c r="BL14" s="54">
        <f>RANK(BK14,BK$5:BK$22,1)</f>
        <v/>
      </c>
      <c r="BM14" s="53">
        <f>VLOOKUP($A14,INDIRECT("'"&amp;$B$1&amp;"'!$A:$IZ"),11,FALSE)</f>
        <v/>
      </c>
      <c r="BN14" s="54">
        <f>RANK(BM14,BM$5:BM$22)</f>
        <v/>
      </c>
      <c r="BO14" s="53">
        <f>VLOOKUP($A14,INDIRECT("'"&amp;$B$1&amp;"'!$A:$IZ"),222,FALSE)</f>
        <v/>
      </c>
      <c r="BP14" s="54">
        <f>RANK(BO14,BO$5:BO$22)</f>
        <v/>
      </c>
      <c r="BQ14" s="65">
        <f>106-(BF14+BH14+BN14+BP14+BJ14+BL14)</f>
        <v/>
      </c>
      <c r="BR14" s="47">
        <f>RANK(BQ14,BQ$5:BQ$22)</f>
        <v/>
      </c>
      <c r="BS14" s="56" t="n"/>
      <c r="BT14" s="57">
        <f>VLOOKUP($A14,'Ratings Season'!$A:$M,10,FALSE)</f>
        <v/>
      </c>
      <c r="BU14" s="54">
        <f>RANK(BT14,BT$5:BT$22)</f>
        <v/>
      </c>
      <c r="BV14" s="57">
        <f>VLOOKUP($A14,'Ratings Season'!$A:$M,12,FALSE)</f>
        <v/>
      </c>
      <c r="BW14" s="54">
        <f>RANK(BV14,BV$5:BV$22)</f>
        <v/>
      </c>
      <c r="BX14" s="57">
        <f>VLOOKUP($A14,'Ratings Season'!$A:$M,8,FALSE)</f>
        <v/>
      </c>
      <c r="BY14" s="58">
        <f>RANK(BX14,BX$5:BX$22)</f>
        <v/>
      </c>
      <c r="BZ14" s="72" t="n"/>
    </row>
    <row r="15" ht="25" customFormat="1" customHeight="1" s="3">
      <c r="A15" s="85" t="inlineStr">
        <is>
          <t>Melbourne</t>
        </is>
      </c>
      <c r="B15" s="53">
        <f>VLOOKUP($A15,INDIRECT("'"&amp;$B$1&amp;"'!$A:$IZ"),222,FALSE)</f>
        <v/>
      </c>
      <c r="C15" s="54">
        <f>RANK(B15,B$5:B$22)</f>
        <v/>
      </c>
      <c r="D15" s="55">
        <f>VLOOKUP($A15,INDIRECT("'"&amp;$B$1&amp;"'!$A:$IZ"),218,FALSE)</f>
        <v/>
      </c>
      <c r="E15" s="54">
        <f>RANK(D15,D$5:D$22)</f>
        <v/>
      </c>
      <c r="F15" s="55">
        <f>VLOOKUP($A15,INDIRECT("'"&amp;$B$1&amp;"'!$A:$IZ"),49,FALSE)</f>
        <v/>
      </c>
      <c r="G15" s="54">
        <f>RANK(F15,F$5:F$22)</f>
        <v/>
      </c>
      <c r="H15" s="55">
        <f>VLOOKUP($A15,INDIRECT("'"&amp;$B$1&amp;"'!$A:$IZ"),229,FALSE)</f>
        <v/>
      </c>
      <c r="I15" s="54">
        <f>RANK(H15,H$5:H$22)</f>
        <v/>
      </c>
      <c r="J15" s="49">
        <f>104-(C15+E15+G15+I15)</f>
        <v/>
      </c>
      <c r="K15" s="47">
        <f>RANK(J15,J$5:J$22)</f>
        <v/>
      </c>
      <c r="L15" s="56" t="n"/>
      <c r="M15" s="53">
        <f>VLOOKUP($A15,INDIRECT("'"&amp;$B$1&amp;"'!$A:$IZ"),88,FALSE)</f>
        <v/>
      </c>
      <c r="N15" s="54">
        <f>RANK(M15,M$5:M$22)</f>
        <v/>
      </c>
      <c r="O15" s="53">
        <f>VLOOKUP($A15,INDIRECT("'"&amp;$B$1&amp;"'!$A:$IZ"),84,FALSE)</f>
        <v/>
      </c>
      <c r="P15" s="54">
        <f>RANK(O15,O$5:O$22)</f>
        <v/>
      </c>
      <c r="Q15" s="53">
        <f>VLOOKUP($A15,INDIRECT("'"&amp;$B$1&amp;"'!$A:$IZ"),85,FALSE)</f>
        <v/>
      </c>
      <c r="R15" s="54">
        <f>RANK(Q15,Q$5:Q$22)</f>
        <v/>
      </c>
      <c r="S15" s="55">
        <f>VLOOKUP($A15,INDIRECT("'"&amp;$B$1&amp;"'!$A:$IZ"),29,FALSE)</f>
        <v/>
      </c>
      <c r="T15" s="54">
        <f>RANK(S15,S$5:S$22)</f>
        <v/>
      </c>
      <c r="U15" s="49">
        <f>104-(N15+P15+R15+T15)</f>
        <v/>
      </c>
      <c r="V15" s="47">
        <f>RANK(U15,U$5:U$22)</f>
        <v/>
      </c>
      <c r="W15" s="56" t="n"/>
      <c r="X15" s="53">
        <f>VLOOKUP($A15,INDIRECT("'"&amp;$B$1&amp;"'!$A:$IZ"),65,FALSE)</f>
        <v/>
      </c>
      <c r="Y15" s="54">
        <f>RANK(X15,X$5:X$22)</f>
        <v/>
      </c>
      <c r="Z15" s="53">
        <f>VLOOKUP($A15,INDIRECT("'"&amp;$B$1&amp;"'!$A:$IZ"),64,FALSE)</f>
        <v/>
      </c>
      <c r="AA15" s="54">
        <f>RANK(Z15,Z$5:Z$22)</f>
        <v/>
      </c>
      <c r="AB15" s="53">
        <f>VLOOKUP($A15,INDIRECT("'"&amp;$B$1&amp;"'!$A:$IZ"),63,FALSE)</f>
        <v/>
      </c>
      <c r="AC15" s="54">
        <f>RANK(AB15,AB$5:AB$22)</f>
        <v/>
      </c>
      <c r="AD15" s="53">
        <f>VLOOKUP($A15,INDIRECT("'"&amp;$B$1&amp;"'!$A:$IZ"),71,FALSE)</f>
        <v/>
      </c>
      <c r="AE15" s="54">
        <f>RANK(AD15,AD$5:AD$22)</f>
        <v/>
      </c>
      <c r="AF15" s="65">
        <f>104-(Y15+AA15+AC15+AE15)</f>
        <v/>
      </c>
      <c r="AG15" s="47">
        <f>RANK(AF15,AF$5:AF$22)</f>
        <v/>
      </c>
      <c r="AH15" s="56" t="n"/>
      <c r="AI15" s="53">
        <f>VLOOKUP($A15,INDIRECT("'"&amp;$B$1&amp;"'!$A:$IZ"),183,FALSE)</f>
        <v/>
      </c>
      <c r="AJ15" s="54">
        <f>RANK(AI15,AI$5:AI$22,1)</f>
        <v/>
      </c>
      <c r="AK15" s="53">
        <f>VLOOKUP($A15,INDIRECT("'"&amp;$B$1&amp;"'!$A:$IZ"),181,FALSE)</f>
        <v/>
      </c>
      <c r="AL15" s="54">
        <f>RANK(AK15,AK$5:AK$22,1)</f>
        <v/>
      </c>
      <c r="AM15" s="53">
        <f>VLOOKUP($A15,INDIRECT("'"&amp;$B$1&amp;"'!$A:$IZ"),182,FALSE)</f>
        <v/>
      </c>
      <c r="AN15" s="54">
        <f>RANK(AM15,AM$5:AM$22,1)</f>
        <v/>
      </c>
      <c r="AO15" s="53">
        <f>VLOOKUP($A15,INDIRECT("'"&amp;$B$1&amp;"'!$A:$IZ"),163,FALSE)</f>
        <v/>
      </c>
      <c r="AP15" s="54">
        <f>RANK(AO15,AO$5:AO$22,1)</f>
        <v/>
      </c>
      <c r="AQ15" s="65">
        <f>104-(AJ15+AL15+AN15+AP15)</f>
        <v/>
      </c>
      <c r="AR15" s="47">
        <f>RANK(AQ15,AQ$5:AQ$22)</f>
        <v/>
      </c>
      <c r="AS15" s="56" t="n"/>
      <c r="AT15" s="46">
        <f>VLOOKUP($A15,INDIRECT("'"&amp;$B$1&amp;"'!$A:$IZ"),250,FALSE)</f>
        <v/>
      </c>
      <c r="AU15" s="47">
        <f>RANK(AT15,AT$5:AT$22,0)</f>
        <v/>
      </c>
      <c r="AV15" s="46">
        <f>VLOOKUP($A15,INDIRECT("'"&amp;$B$1&amp;"'!$A:$IZ"),92,FALSE)</f>
        <v/>
      </c>
      <c r="AW15" s="47">
        <f>RANK(AV15,AV$5:AV$22,0)</f>
        <v/>
      </c>
      <c r="AX15" s="46">
        <f>VLOOKUP($A15,INDIRECT("'"&amp;$B$1&amp;"'!$A:$IZ"),93,FALSE)</f>
        <v/>
      </c>
      <c r="AY15" s="47">
        <f>RANK(AX15,AX$5:AX$22,0)</f>
        <v/>
      </c>
      <c r="AZ15" s="46">
        <f>VLOOKUP($A15,INDIRECT("'"&amp;$B$1&amp;"'!$A:$IZ"),108,FALSE)</f>
        <v/>
      </c>
      <c r="BA15" s="47">
        <f>RANK(AZ15,AZ$5:AZ$22,0)</f>
        <v/>
      </c>
      <c r="BB15" s="46">
        <f>104-(AU15+AW15+AY15+BA15)</f>
        <v/>
      </c>
      <c r="BC15" s="47">
        <f>RANK(BB15,BB$5:BB$22)</f>
        <v/>
      </c>
      <c r="BD15" s="56" t="n"/>
      <c r="BE15" s="53">
        <f>VLOOKUP($A15,INDIRECT("'"&amp;$B$1&amp;"'!$A:$IZ"),80,FALSE)</f>
        <v/>
      </c>
      <c r="BF15" s="54">
        <f>RANK(BE15,BE$5:BE$22)</f>
        <v/>
      </c>
      <c r="BG15" s="53">
        <f>VLOOKUP($A15,INDIRECT("'"&amp;$B$1&amp;"'!$A:$IZ"),177,FALSE)</f>
        <v/>
      </c>
      <c r="BH15" s="54">
        <f>RANK(BG15,BG$5:BG$22,1)</f>
        <v/>
      </c>
      <c r="BI15" s="53">
        <f>VLOOKUP($A15,INDIRECT("'"&amp;$B$1&amp;"'!$A:$IZ"),79,FALSE)</f>
        <v/>
      </c>
      <c r="BJ15" s="54">
        <f>RANK(BI15,BI$5:BI$22)</f>
        <v/>
      </c>
      <c r="BK15" s="53">
        <f>VLOOKUP($A15,INDIRECT("'"&amp;$B$1&amp;"'!$A:$IZ"),176,FALSE)</f>
        <v/>
      </c>
      <c r="BL15" s="54">
        <f>RANK(BK15,BK$5:BK$22,1)</f>
        <v/>
      </c>
      <c r="BM15" s="53">
        <f>VLOOKUP($A15,INDIRECT("'"&amp;$B$1&amp;"'!$A:$IZ"),11,FALSE)</f>
        <v/>
      </c>
      <c r="BN15" s="54">
        <f>RANK(BM15,BM$5:BM$22)</f>
        <v/>
      </c>
      <c r="BO15" s="53">
        <f>VLOOKUP($A15,INDIRECT("'"&amp;$B$1&amp;"'!$A:$IZ"),222,FALSE)</f>
        <v/>
      </c>
      <c r="BP15" s="54">
        <f>RANK(BO15,BO$5:BO$22)</f>
        <v/>
      </c>
      <c r="BQ15" s="65">
        <f>106-(BF15+BH15+BN15+BP15+BJ15+BL15)</f>
        <v/>
      </c>
      <c r="BR15" s="47">
        <f>RANK(BQ15,BQ$5:BQ$22)</f>
        <v/>
      </c>
      <c r="BS15" s="56" t="n"/>
      <c r="BT15" s="57">
        <f>VLOOKUP($A15,'Ratings Season'!$A:$M,10,FALSE)</f>
        <v/>
      </c>
      <c r="BU15" s="54">
        <f>RANK(BT15,BT$5:BT$22)</f>
        <v/>
      </c>
      <c r="BV15" s="57">
        <f>VLOOKUP($A15,'Ratings Season'!$A:$M,12,FALSE)</f>
        <v/>
      </c>
      <c r="BW15" s="54">
        <f>RANK(BV15,BV$5:BV$22)</f>
        <v/>
      </c>
      <c r="BX15" s="57">
        <f>VLOOKUP($A15,'Ratings Season'!$A:$M,8,FALSE)</f>
        <v/>
      </c>
      <c r="BY15" s="58">
        <f>RANK(BX15,BX$5:BX$22)</f>
        <v/>
      </c>
      <c r="BZ15" s="72" t="n"/>
    </row>
    <row r="16" ht="25" customFormat="1" customHeight="1" s="3">
      <c r="A16" s="86" t="inlineStr">
        <is>
          <t>North Melbourne</t>
        </is>
      </c>
      <c r="B16" s="53">
        <f>VLOOKUP($A16,INDIRECT("'"&amp;$B$1&amp;"'!$A:$IZ"),222,FALSE)</f>
        <v/>
      </c>
      <c r="C16" s="54">
        <f>RANK(B16,B$5:B$22)</f>
        <v/>
      </c>
      <c r="D16" s="55">
        <f>VLOOKUP($A16,INDIRECT("'"&amp;$B$1&amp;"'!$A:$IZ"),218,FALSE)</f>
        <v/>
      </c>
      <c r="E16" s="54">
        <f>RANK(D16,D$5:D$22)</f>
        <v/>
      </c>
      <c r="F16" s="55">
        <f>VLOOKUP($A16,INDIRECT("'"&amp;$B$1&amp;"'!$A:$IZ"),49,FALSE)</f>
        <v/>
      </c>
      <c r="G16" s="54">
        <f>RANK(F16,F$5:F$22)</f>
        <v/>
      </c>
      <c r="H16" s="55">
        <f>VLOOKUP($A16,INDIRECT("'"&amp;$B$1&amp;"'!$A:$IZ"),229,FALSE)</f>
        <v/>
      </c>
      <c r="I16" s="54">
        <f>RANK(H16,H$5:H$22)</f>
        <v/>
      </c>
      <c r="J16" s="49">
        <f>104-(C16+E16+G16+I16)</f>
        <v/>
      </c>
      <c r="K16" s="47">
        <f>RANK(J16,J$5:J$22)</f>
        <v/>
      </c>
      <c r="L16" s="56" t="n"/>
      <c r="M16" s="53">
        <f>VLOOKUP($A16,INDIRECT("'"&amp;$B$1&amp;"'!$A:$IZ"),88,FALSE)</f>
        <v/>
      </c>
      <c r="N16" s="54">
        <f>RANK(M16,M$5:M$22)</f>
        <v/>
      </c>
      <c r="O16" s="53">
        <f>VLOOKUP($A16,INDIRECT("'"&amp;$B$1&amp;"'!$A:$IZ"),84,FALSE)</f>
        <v/>
      </c>
      <c r="P16" s="54">
        <f>RANK(O16,O$5:O$22)</f>
        <v/>
      </c>
      <c r="Q16" s="53">
        <f>VLOOKUP($A16,INDIRECT("'"&amp;$B$1&amp;"'!$A:$IZ"),85,FALSE)</f>
        <v/>
      </c>
      <c r="R16" s="54">
        <f>RANK(Q16,Q$5:Q$22)</f>
        <v/>
      </c>
      <c r="S16" s="55">
        <f>VLOOKUP($A16,INDIRECT("'"&amp;$B$1&amp;"'!$A:$IZ"),29,FALSE)</f>
        <v/>
      </c>
      <c r="T16" s="54">
        <f>RANK(S16,S$5:S$22)</f>
        <v/>
      </c>
      <c r="U16" s="49">
        <f>104-(N16+P16+R16+T16)</f>
        <v/>
      </c>
      <c r="V16" s="47">
        <f>RANK(U16,U$5:U$22)</f>
        <v/>
      </c>
      <c r="W16" s="56" t="n"/>
      <c r="X16" s="53">
        <f>VLOOKUP($A16,INDIRECT("'"&amp;$B$1&amp;"'!$A:$IZ"),65,FALSE)</f>
        <v/>
      </c>
      <c r="Y16" s="54">
        <f>RANK(X16,X$5:X$22)</f>
        <v/>
      </c>
      <c r="Z16" s="53">
        <f>VLOOKUP($A16,INDIRECT("'"&amp;$B$1&amp;"'!$A:$IZ"),64,FALSE)</f>
        <v/>
      </c>
      <c r="AA16" s="54">
        <f>RANK(Z16,Z$5:Z$22)</f>
        <v/>
      </c>
      <c r="AB16" s="53">
        <f>VLOOKUP($A16,INDIRECT("'"&amp;$B$1&amp;"'!$A:$IZ"),63,FALSE)</f>
        <v/>
      </c>
      <c r="AC16" s="54">
        <f>RANK(AB16,AB$5:AB$22)</f>
        <v/>
      </c>
      <c r="AD16" s="53">
        <f>VLOOKUP($A16,INDIRECT("'"&amp;$B$1&amp;"'!$A:$IZ"),71,FALSE)</f>
        <v/>
      </c>
      <c r="AE16" s="54">
        <f>RANK(AD16,AD$5:AD$22)</f>
        <v/>
      </c>
      <c r="AF16" s="65">
        <f>104-(Y16+AA16+AC16+AE16)</f>
        <v/>
      </c>
      <c r="AG16" s="47">
        <f>RANK(AF16,AF$5:AF$22)</f>
        <v/>
      </c>
      <c r="AH16" s="56" t="n"/>
      <c r="AI16" s="53">
        <f>VLOOKUP($A16,INDIRECT("'"&amp;$B$1&amp;"'!$A:$IZ"),183,FALSE)</f>
        <v/>
      </c>
      <c r="AJ16" s="54">
        <f>RANK(AI16,AI$5:AI$22,1)</f>
        <v/>
      </c>
      <c r="AK16" s="53">
        <f>VLOOKUP($A16,INDIRECT("'"&amp;$B$1&amp;"'!$A:$IZ"),181,FALSE)</f>
        <v/>
      </c>
      <c r="AL16" s="54">
        <f>RANK(AK16,AK$5:AK$22,1)</f>
        <v/>
      </c>
      <c r="AM16" s="53">
        <f>VLOOKUP($A16,INDIRECT("'"&amp;$B$1&amp;"'!$A:$IZ"),182,FALSE)</f>
        <v/>
      </c>
      <c r="AN16" s="54">
        <f>RANK(AM16,AM$5:AM$22,1)</f>
        <v/>
      </c>
      <c r="AO16" s="53">
        <f>VLOOKUP($A16,INDIRECT("'"&amp;$B$1&amp;"'!$A:$IZ"),163,FALSE)</f>
        <v/>
      </c>
      <c r="AP16" s="54">
        <f>RANK(AO16,AO$5:AO$22,1)</f>
        <v/>
      </c>
      <c r="AQ16" s="65">
        <f>104-(AJ16+AL16+AN16+AP16)</f>
        <v/>
      </c>
      <c r="AR16" s="47">
        <f>RANK(AQ16,AQ$5:AQ$22)</f>
        <v/>
      </c>
      <c r="AS16" s="56" t="n"/>
      <c r="AT16" s="46">
        <f>VLOOKUP($A16,INDIRECT("'"&amp;$B$1&amp;"'!$A:$IZ"),250,FALSE)</f>
        <v/>
      </c>
      <c r="AU16" s="47">
        <f>RANK(AT16,AT$5:AT$22,0)</f>
        <v/>
      </c>
      <c r="AV16" s="46">
        <f>VLOOKUP($A16,INDIRECT("'"&amp;$B$1&amp;"'!$A:$IZ"),92,FALSE)</f>
        <v/>
      </c>
      <c r="AW16" s="47">
        <f>RANK(AV16,AV$5:AV$22,0)</f>
        <v/>
      </c>
      <c r="AX16" s="46">
        <f>VLOOKUP($A16,INDIRECT("'"&amp;$B$1&amp;"'!$A:$IZ"),93,FALSE)</f>
        <v/>
      </c>
      <c r="AY16" s="47">
        <f>RANK(AX16,AX$5:AX$22,0)</f>
        <v/>
      </c>
      <c r="AZ16" s="46">
        <f>VLOOKUP($A16,INDIRECT("'"&amp;$B$1&amp;"'!$A:$IZ"),108,FALSE)</f>
        <v/>
      </c>
      <c r="BA16" s="47">
        <f>RANK(AZ16,AZ$5:AZ$22,0)</f>
        <v/>
      </c>
      <c r="BB16" s="46">
        <f>104-(AU16+AW16+AY16+BA16)</f>
        <v/>
      </c>
      <c r="BC16" s="47">
        <f>RANK(BB16,BB$5:BB$22)</f>
        <v/>
      </c>
      <c r="BD16" s="56" t="n"/>
      <c r="BE16" s="53">
        <f>VLOOKUP($A16,INDIRECT("'"&amp;$B$1&amp;"'!$A:$IZ"),80,FALSE)</f>
        <v/>
      </c>
      <c r="BF16" s="54">
        <f>RANK(BE16,BE$5:BE$22)</f>
        <v/>
      </c>
      <c r="BG16" s="53">
        <f>VLOOKUP($A16,INDIRECT("'"&amp;$B$1&amp;"'!$A:$IZ"),177,FALSE)</f>
        <v/>
      </c>
      <c r="BH16" s="54">
        <f>RANK(BG16,BG$5:BG$22,1)</f>
        <v/>
      </c>
      <c r="BI16" s="53">
        <f>VLOOKUP($A16,INDIRECT("'"&amp;$B$1&amp;"'!$A:$IZ"),79,FALSE)</f>
        <v/>
      </c>
      <c r="BJ16" s="54">
        <f>RANK(BI16,BI$5:BI$22)</f>
        <v/>
      </c>
      <c r="BK16" s="53">
        <f>VLOOKUP($A16,INDIRECT("'"&amp;$B$1&amp;"'!$A:$IZ"),176,FALSE)</f>
        <v/>
      </c>
      <c r="BL16" s="54">
        <f>RANK(BK16,BK$5:BK$22,1)</f>
        <v/>
      </c>
      <c r="BM16" s="53">
        <f>VLOOKUP($A16,INDIRECT("'"&amp;$B$1&amp;"'!$A:$IZ"),11,FALSE)</f>
        <v/>
      </c>
      <c r="BN16" s="54">
        <f>RANK(BM16,BM$5:BM$22)</f>
        <v/>
      </c>
      <c r="BO16" s="53">
        <f>VLOOKUP($A16,INDIRECT("'"&amp;$B$1&amp;"'!$A:$IZ"),222,FALSE)</f>
        <v/>
      </c>
      <c r="BP16" s="54">
        <f>RANK(BO16,BO$5:BO$22)</f>
        <v/>
      </c>
      <c r="BQ16" s="65">
        <f>106-(BF16+BH16+BN16+BP16+BJ16+BL16)</f>
        <v/>
      </c>
      <c r="BR16" s="47">
        <f>RANK(BQ16,BQ$5:BQ$22)</f>
        <v/>
      </c>
      <c r="BS16" s="56" t="n"/>
      <c r="BT16" s="57">
        <f>VLOOKUP($A16,'Ratings Season'!$A:$M,10,FALSE)</f>
        <v/>
      </c>
      <c r="BU16" s="54">
        <f>RANK(BT16,BT$5:BT$22)</f>
        <v/>
      </c>
      <c r="BV16" s="57">
        <f>VLOOKUP($A16,'Ratings Season'!$A:$M,12,FALSE)</f>
        <v/>
      </c>
      <c r="BW16" s="54">
        <f>RANK(BV16,BV$5:BV$22)</f>
        <v/>
      </c>
      <c r="BX16" s="57">
        <f>VLOOKUP($A16,'Ratings Season'!$A:$M,8,FALSE)</f>
        <v/>
      </c>
      <c r="BY16" s="58">
        <f>RANK(BX16,BX$5:BX$22)</f>
        <v/>
      </c>
      <c r="BZ16" s="72" t="n"/>
    </row>
    <row r="17" ht="25" customFormat="1" customHeight="1" s="3">
      <c r="A17" s="87" t="inlineStr">
        <is>
          <t>Port Adelaide</t>
        </is>
      </c>
      <c r="B17" s="53">
        <f>VLOOKUP($A17,INDIRECT("'"&amp;$B$1&amp;"'!$A:$IZ"),222,FALSE)</f>
        <v/>
      </c>
      <c r="C17" s="54">
        <f>RANK(B17,B$5:B$22)</f>
        <v/>
      </c>
      <c r="D17" s="55">
        <f>VLOOKUP($A17,INDIRECT("'"&amp;$B$1&amp;"'!$A:$IZ"),218,FALSE)</f>
        <v/>
      </c>
      <c r="E17" s="54">
        <f>RANK(D17,D$5:D$22)</f>
        <v/>
      </c>
      <c r="F17" s="55">
        <f>VLOOKUP($A17,INDIRECT("'"&amp;$B$1&amp;"'!$A:$IZ"),49,FALSE)</f>
        <v/>
      </c>
      <c r="G17" s="54">
        <f>RANK(F17,F$5:F$22)</f>
        <v/>
      </c>
      <c r="H17" s="55">
        <f>VLOOKUP($A17,INDIRECT("'"&amp;$B$1&amp;"'!$A:$IZ"),229,FALSE)</f>
        <v/>
      </c>
      <c r="I17" s="54">
        <f>RANK(H17,H$5:H$22)</f>
        <v/>
      </c>
      <c r="J17" s="49">
        <f>104-(C17+E17+G17+I17)</f>
        <v/>
      </c>
      <c r="K17" s="47">
        <f>RANK(J17,J$5:J$22)</f>
        <v/>
      </c>
      <c r="L17" s="56" t="n"/>
      <c r="M17" s="53">
        <f>VLOOKUP($A17,INDIRECT("'"&amp;$B$1&amp;"'!$A:$IZ"),88,FALSE)</f>
        <v/>
      </c>
      <c r="N17" s="54">
        <f>RANK(M17,M$5:M$22)</f>
        <v/>
      </c>
      <c r="O17" s="53">
        <f>VLOOKUP($A17,INDIRECT("'"&amp;$B$1&amp;"'!$A:$IZ"),84,FALSE)</f>
        <v/>
      </c>
      <c r="P17" s="54">
        <f>RANK(O17,O$5:O$22)</f>
        <v/>
      </c>
      <c r="Q17" s="53">
        <f>VLOOKUP($A17,INDIRECT("'"&amp;$B$1&amp;"'!$A:$IZ"),85,FALSE)</f>
        <v/>
      </c>
      <c r="R17" s="54">
        <f>RANK(Q17,Q$5:Q$22)</f>
        <v/>
      </c>
      <c r="S17" s="55">
        <f>VLOOKUP($A17,INDIRECT("'"&amp;$B$1&amp;"'!$A:$IZ"),29,FALSE)</f>
        <v/>
      </c>
      <c r="T17" s="54">
        <f>RANK(S17,S$5:S$22)</f>
        <v/>
      </c>
      <c r="U17" s="49">
        <f>104-(N17+P17+R17+T17)</f>
        <v/>
      </c>
      <c r="V17" s="47">
        <f>RANK(U17,U$5:U$22)</f>
        <v/>
      </c>
      <c r="W17" s="56" t="n"/>
      <c r="X17" s="53">
        <f>VLOOKUP($A17,INDIRECT("'"&amp;$B$1&amp;"'!$A:$IZ"),65,FALSE)</f>
        <v/>
      </c>
      <c r="Y17" s="54">
        <f>RANK(X17,X$5:X$22)</f>
        <v/>
      </c>
      <c r="Z17" s="53">
        <f>VLOOKUP($A17,INDIRECT("'"&amp;$B$1&amp;"'!$A:$IZ"),64,FALSE)</f>
        <v/>
      </c>
      <c r="AA17" s="54">
        <f>RANK(Z17,Z$5:Z$22)</f>
        <v/>
      </c>
      <c r="AB17" s="53">
        <f>VLOOKUP($A17,INDIRECT("'"&amp;$B$1&amp;"'!$A:$IZ"),63,FALSE)</f>
        <v/>
      </c>
      <c r="AC17" s="54">
        <f>RANK(AB17,AB$5:AB$22)</f>
        <v/>
      </c>
      <c r="AD17" s="53">
        <f>VLOOKUP($A17,INDIRECT("'"&amp;$B$1&amp;"'!$A:$IZ"),71,FALSE)</f>
        <v/>
      </c>
      <c r="AE17" s="54">
        <f>RANK(AD17,AD$5:AD$22)</f>
        <v/>
      </c>
      <c r="AF17" s="65">
        <f>104-(Y17+AA17+AC17+AE17)</f>
        <v/>
      </c>
      <c r="AG17" s="47">
        <f>RANK(AF17,AF$5:AF$22)</f>
        <v/>
      </c>
      <c r="AH17" s="56" t="n"/>
      <c r="AI17" s="53">
        <f>VLOOKUP($A17,INDIRECT("'"&amp;$B$1&amp;"'!$A:$IZ"),183,FALSE)</f>
        <v/>
      </c>
      <c r="AJ17" s="54">
        <f>RANK(AI17,AI$5:AI$22,1)</f>
        <v/>
      </c>
      <c r="AK17" s="53">
        <f>VLOOKUP($A17,INDIRECT("'"&amp;$B$1&amp;"'!$A:$IZ"),181,FALSE)</f>
        <v/>
      </c>
      <c r="AL17" s="54">
        <f>RANK(AK17,AK$5:AK$22,1)</f>
        <v/>
      </c>
      <c r="AM17" s="53">
        <f>VLOOKUP($A17,INDIRECT("'"&amp;$B$1&amp;"'!$A:$IZ"),182,FALSE)</f>
        <v/>
      </c>
      <c r="AN17" s="54">
        <f>RANK(AM17,AM$5:AM$22,1)</f>
        <v/>
      </c>
      <c r="AO17" s="53">
        <f>VLOOKUP($A17,INDIRECT("'"&amp;$B$1&amp;"'!$A:$IZ"),163,FALSE)</f>
        <v/>
      </c>
      <c r="AP17" s="54">
        <f>RANK(AO17,AO$5:AO$22,1)</f>
        <v/>
      </c>
      <c r="AQ17" s="65">
        <f>104-(AJ17+AL17+AN17+AP17)</f>
        <v/>
      </c>
      <c r="AR17" s="47">
        <f>RANK(AQ17,AQ$5:AQ$22)</f>
        <v/>
      </c>
      <c r="AS17" s="56" t="n"/>
      <c r="AT17" s="46">
        <f>VLOOKUP($A17,INDIRECT("'"&amp;$B$1&amp;"'!$A:$IZ"),250,FALSE)</f>
        <v/>
      </c>
      <c r="AU17" s="47">
        <f>RANK(AT17,AT$5:AT$22,0)</f>
        <v/>
      </c>
      <c r="AV17" s="46">
        <f>VLOOKUP($A17,INDIRECT("'"&amp;$B$1&amp;"'!$A:$IZ"),92,FALSE)</f>
        <v/>
      </c>
      <c r="AW17" s="47">
        <f>RANK(AV17,AV$5:AV$22,0)</f>
        <v/>
      </c>
      <c r="AX17" s="46">
        <f>VLOOKUP($A17,INDIRECT("'"&amp;$B$1&amp;"'!$A:$IZ"),93,FALSE)</f>
        <v/>
      </c>
      <c r="AY17" s="47">
        <f>RANK(AX17,AX$5:AX$22,0)</f>
        <v/>
      </c>
      <c r="AZ17" s="46">
        <f>VLOOKUP($A17,INDIRECT("'"&amp;$B$1&amp;"'!$A:$IZ"),108,FALSE)</f>
        <v/>
      </c>
      <c r="BA17" s="47">
        <f>RANK(AZ17,AZ$5:AZ$22,0)</f>
        <v/>
      </c>
      <c r="BB17" s="46">
        <f>104-(AU17+AW17+AY17+BA17)</f>
        <v/>
      </c>
      <c r="BC17" s="47">
        <f>RANK(BB17,BB$5:BB$22)</f>
        <v/>
      </c>
      <c r="BD17" s="56" t="n"/>
      <c r="BE17" s="53">
        <f>VLOOKUP($A17,INDIRECT("'"&amp;$B$1&amp;"'!$A:$IZ"),80,FALSE)</f>
        <v/>
      </c>
      <c r="BF17" s="54">
        <f>RANK(BE17,BE$5:BE$22)</f>
        <v/>
      </c>
      <c r="BG17" s="53">
        <f>VLOOKUP($A17,INDIRECT("'"&amp;$B$1&amp;"'!$A:$IZ"),177,FALSE)</f>
        <v/>
      </c>
      <c r="BH17" s="54">
        <f>RANK(BG17,BG$5:BG$22,1)</f>
        <v/>
      </c>
      <c r="BI17" s="53">
        <f>VLOOKUP($A17,INDIRECT("'"&amp;$B$1&amp;"'!$A:$IZ"),79,FALSE)</f>
        <v/>
      </c>
      <c r="BJ17" s="54">
        <f>RANK(BI17,BI$5:BI$22)</f>
        <v/>
      </c>
      <c r="BK17" s="53">
        <f>VLOOKUP($A17,INDIRECT("'"&amp;$B$1&amp;"'!$A:$IZ"),176,FALSE)</f>
        <v/>
      </c>
      <c r="BL17" s="54">
        <f>RANK(BK17,BK$5:BK$22,1)</f>
        <v/>
      </c>
      <c r="BM17" s="53">
        <f>VLOOKUP($A17,INDIRECT("'"&amp;$B$1&amp;"'!$A:$IZ"),11,FALSE)</f>
        <v/>
      </c>
      <c r="BN17" s="54">
        <f>RANK(BM17,BM$5:BM$22)</f>
        <v/>
      </c>
      <c r="BO17" s="53">
        <f>VLOOKUP($A17,INDIRECT("'"&amp;$B$1&amp;"'!$A:$IZ"),222,FALSE)</f>
        <v/>
      </c>
      <c r="BP17" s="54">
        <f>RANK(BO17,BO$5:BO$22)</f>
        <v/>
      </c>
      <c r="BQ17" s="65">
        <f>106-(BF17+BH17+BN17+BP17+BJ17+BL17)</f>
        <v/>
      </c>
      <c r="BR17" s="47">
        <f>RANK(BQ17,BQ$5:BQ$22)</f>
        <v/>
      </c>
      <c r="BS17" s="56" t="n"/>
      <c r="BT17" s="57">
        <f>VLOOKUP($A17,'Ratings Season'!$A:$M,10,FALSE)</f>
        <v/>
      </c>
      <c r="BU17" s="54">
        <f>RANK(BT17,BT$5:BT$22)</f>
        <v/>
      </c>
      <c r="BV17" s="57">
        <f>VLOOKUP($A17,'Ratings Season'!$A:$M,12,FALSE)</f>
        <v/>
      </c>
      <c r="BW17" s="54">
        <f>RANK(BV17,BV$5:BV$22)</f>
        <v/>
      </c>
      <c r="BX17" s="57">
        <f>VLOOKUP($A17,'Ratings Season'!$A:$M,8,FALSE)</f>
        <v/>
      </c>
      <c r="BY17" s="58">
        <f>RANK(BX17,BX$5:BX$22)</f>
        <v/>
      </c>
      <c r="BZ17" s="72" t="n"/>
    </row>
    <row r="18" ht="25" customFormat="1" customHeight="1" s="3">
      <c r="A18" s="88" t="inlineStr">
        <is>
          <t>Richmond</t>
        </is>
      </c>
      <c r="B18" s="53">
        <f>VLOOKUP($A18,INDIRECT("'"&amp;$B$1&amp;"'!$A:$IZ"),222,FALSE)</f>
        <v/>
      </c>
      <c r="C18" s="54">
        <f>RANK(B18,B$5:B$22)</f>
        <v/>
      </c>
      <c r="D18" s="55">
        <f>VLOOKUP($A18,INDIRECT("'"&amp;$B$1&amp;"'!$A:$IZ"),218,FALSE)</f>
        <v/>
      </c>
      <c r="E18" s="54">
        <f>RANK(D18,D$5:D$22)</f>
        <v/>
      </c>
      <c r="F18" s="55">
        <f>VLOOKUP($A18,INDIRECT("'"&amp;$B$1&amp;"'!$A:$IZ"),49,FALSE)</f>
        <v/>
      </c>
      <c r="G18" s="54">
        <f>RANK(F18,F$5:F$22)</f>
        <v/>
      </c>
      <c r="H18" s="55">
        <f>VLOOKUP($A18,INDIRECT("'"&amp;$B$1&amp;"'!$A:$IZ"),229,FALSE)</f>
        <v/>
      </c>
      <c r="I18" s="54">
        <f>RANK(H18,H$5:H$22)</f>
        <v/>
      </c>
      <c r="J18" s="49">
        <f>104-(C18+E18+G18+I18)</f>
        <v/>
      </c>
      <c r="K18" s="47">
        <f>RANK(J18,J$5:J$22)</f>
        <v/>
      </c>
      <c r="L18" s="56" t="n"/>
      <c r="M18" s="53">
        <f>VLOOKUP($A18,INDIRECT("'"&amp;$B$1&amp;"'!$A:$IZ"),88,FALSE)</f>
        <v/>
      </c>
      <c r="N18" s="54">
        <f>RANK(M18,M$5:M$22)</f>
        <v/>
      </c>
      <c r="O18" s="53">
        <f>VLOOKUP($A18,INDIRECT("'"&amp;$B$1&amp;"'!$A:$IZ"),84,FALSE)</f>
        <v/>
      </c>
      <c r="P18" s="54">
        <f>RANK(O18,O$5:O$22)</f>
        <v/>
      </c>
      <c r="Q18" s="53">
        <f>VLOOKUP($A18,INDIRECT("'"&amp;$B$1&amp;"'!$A:$IZ"),85,FALSE)</f>
        <v/>
      </c>
      <c r="R18" s="54">
        <f>RANK(Q18,Q$5:Q$22)</f>
        <v/>
      </c>
      <c r="S18" s="55">
        <f>VLOOKUP($A18,INDIRECT("'"&amp;$B$1&amp;"'!$A:$IZ"),29,FALSE)</f>
        <v/>
      </c>
      <c r="T18" s="54">
        <f>RANK(S18,S$5:S$22)</f>
        <v/>
      </c>
      <c r="U18" s="49">
        <f>104-(N18+P18+R18+T18)</f>
        <v/>
      </c>
      <c r="V18" s="47">
        <f>RANK(U18,U$5:U$22)</f>
        <v/>
      </c>
      <c r="W18" s="56" t="n"/>
      <c r="X18" s="53">
        <f>VLOOKUP($A18,INDIRECT("'"&amp;$B$1&amp;"'!$A:$IZ"),65,FALSE)</f>
        <v/>
      </c>
      <c r="Y18" s="54">
        <f>RANK(X18,X$5:X$22)</f>
        <v/>
      </c>
      <c r="Z18" s="53">
        <f>VLOOKUP($A18,INDIRECT("'"&amp;$B$1&amp;"'!$A:$IZ"),64,FALSE)</f>
        <v/>
      </c>
      <c r="AA18" s="54">
        <f>RANK(Z18,Z$5:Z$22)</f>
        <v/>
      </c>
      <c r="AB18" s="53">
        <f>VLOOKUP($A18,INDIRECT("'"&amp;$B$1&amp;"'!$A:$IZ"),63,FALSE)</f>
        <v/>
      </c>
      <c r="AC18" s="54">
        <f>RANK(AB18,AB$5:AB$22)</f>
        <v/>
      </c>
      <c r="AD18" s="53">
        <f>VLOOKUP($A18,INDIRECT("'"&amp;$B$1&amp;"'!$A:$IZ"),71,FALSE)</f>
        <v/>
      </c>
      <c r="AE18" s="54">
        <f>RANK(AD18,AD$5:AD$22)</f>
        <v/>
      </c>
      <c r="AF18" s="65">
        <f>104-(Y18+AA18+AC18+AE18)</f>
        <v/>
      </c>
      <c r="AG18" s="47">
        <f>RANK(AF18,AF$5:AF$22)</f>
        <v/>
      </c>
      <c r="AH18" s="56" t="n"/>
      <c r="AI18" s="53">
        <f>VLOOKUP($A18,INDIRECT("'"&amp;$B$1&amp;"'!$A:$IZ"),183,FALSE)</f>
        <v/>
      </c>
      <c r="AJ18" s="54">
        <f>RANK(AI18,AI$5:AI$22,1)</f>
        <v/>
      </c>
      <c r="AK18" s="53">
        <f>VLOOKUP($A18,INDIRECT("'"&amp;$B$1&amp;"'!$A:$IZ"),181,FALSE)</f>
        <v/>
      </c>
      <c r="AL18" s="54">
        <f>RANK(AK18,AK$5:AK$22,1)</f>
        <v/>
      </c>
      <c r="AM18" s="53">
        <f>VLOOKUP($A18,INDIRECT("'"&amp;$B$1&amp;"'!$A:$IZ"),182,FALSE)</f>
        <v/>
      </c>
      <c r="AN18" s="54">
        <f>RANK(AM18,AM$5:AM$22,1)</f>
        <v/>
      </c>
      <c r="AO18" s="53">
        <f>VLOOKUP($A18,INDIRECT("'"&amp;$B$1&amp;"'!$A:$IZ"),163,FALSE)</f>
        <v/>
      </c>
      <c r="AP18" s="54">
        <f>RANK(AO18,AO$5:AO$22,1)</f>
        <v/>
      </c>
      <c r="AQ18" s="65">
        <f>104-(AJ18+AL18+AN18+AP18)</f>
        <v/>
      </c>
      <c r="AR18" s="47">
        <f>RANK(AQ18,AQ$5:AQ$22)</f>
        <v/>
      </c>
      <c r="AS18" s="56" t="n"/>
      <c r="AT18" s="46">
        <f>VLOOKUP($A18,INDIRECT("'"&amp;$B$1&amp;"'!$A:$IZ"),250,FALSE)</f>
        <v/>
      </c>
      <c r="AU18" s="47">
        <f>RANK(AT18,AT$5:AT$22,0)</f>
        <v/>
      </c>
      <c r="AV18" s="46">
        <f>VLOOKUP($A18,INDIRECT("'"&amp;$B$1&amp;"'!$A:$IZ"),92,FALSE)</f>
        <v/>
      </c>
      <c r="AW18" s="47">
        <f>RANK(AV18,AV$5:AV$22,0)</f>
        <v/>
      </c>
      <c r="AX18" s="46">
        <f>VLOOKUP($A18,INDIRECT("'"&amp;$B$1&amp;"'!$A:$IZ"),93,FALSE)</f>
        <v/>
      </c>
      <c r="AY18" s="47">
        <f>RANK(AX18,AX$5:AX$22,0)</f>
        <v/>
      </c>
      <c r="AZ18" s="46">
        <f>VLOOKUP($A18,INDIRECT("'"&amp;$B$1&amp;"'!$A:$IZ"),108,FALSE)</f>
        <v/>
      </c>
      <c r="BA18" s="47">
        <f>RANK(AZ18,AZ$5:AZ$22,0)</f>
        <v/>
      </c>
      <c r="BB18" s="46">
        <f>104-(AU18+AW18+AY18+BA18)</f>
        <v/>
      </c>
      <c r="BC18" s="47">
        <f>RANK(BB18,BB$5:BB$22)</f>
        <v/>
      </c>
      <c r="BD18" s="56" t="n"/>
      <c r="BE18" s="53">
        <f>VLOOKUP($A18,INDIRECT("'"&amp;$B$1&amp;"'!$A:$IZ"),80,FALSE)</f>
        <v/>
      </c>
      <c r="BF18" s="54">
        <f>RANK(BE18,BE$5:BE$22)</f>
        <v/>
      </c>
      <c r="BG18" s="53">
        <f>VLOOKUP($A18,INDIRECT("'"&amp;$B$1&amp;"'!$A:$IZ"),177,FALSE)</f>
        <v/>
      </c>
      <c r="BH18" s="54">
        <f>RANK(BG18,BG$5:BG$22,1)</f>
        <v/>
      </c>
      <c r="BI18" s="53">
        <f>VLOOKUP($A18,INDIRECT("'"&amp;$B$1&amp;"'!$A:$IZ"),79,FALSE)</f>
        <v/>
      </c>
      <c r="BJ18" s="54">
        <f>RANK(BI18,BI$5:BI$22)</f>
        <v/>
      </c>
      <c r="BK18" s="53">
        <f>VLOOKUP($A18,INDIRECT("'"&amp;$B$1&amp;"'!$A:$IZ"),176,FALSE)</f>
        <v/>
      </c>
      <c r="BL18" s="54">
        <f>RANK(BK18,BK$5:BK$22,1)</f>
        <v/>
      </c>
      <c r="BM18" s="53">
        <f>VLOOKUP($A18,INDIRECT("'"&amp;$B$1&amp;"'!$A:$IZ"),11,FALSE)</f>
        <v/>
      </c>
      <c r="BN18" s="54">
        <f>RANK(BM18,BM$5:BM$22)</f>
        <v/>
      </c>
      <c r="BO18" s="53">
        <f>VLOOKUP($A18,INDIRECT("'"&amp;$B$1&amp;"'!$A:$IZ"),222,FALSE)</f>
        <v/>
      </c>
      <c r="BP18" s="54">
        <f>RANK(BO18,BO$5:BO$22)</f>
        <v/>
      </c>
      <c r="BQ18" s="65">
        <f>106-(BF18+BH18+BN18+BP18+BJ18+BL18)</f>
        <v/>
      </c>
      <c r="BR18" s="47">
        <f>RANK(BQ18,BQ$5:BQ$22)</f>
        <v/>
      </c>
      <c r="BS18" s="56" t="n"/>
      <c r="BT18" s="57">
        <f>VLOOKUP($A18,'Ratings Season'!$A:$M,10,FALSE)</f>
        <v/>
      </c>
      <c r="BU18" s="54">
        <f>RANK(BT18,BT$5:BT$22)</f>
        <v/>
      </c>
      <c r="BV18" s="57">
        <f>VLOOKUP($A18,'Ratings Season'!$A:$M,12,FALSE)</f>
        <v/>
      </c>
      <c r="BW18" s="54">
        <f>RANK(BV18,BV$5:BV$22)</f>
        <v/>
      </c>
      <c r="BX18" s="57">
        <f>VLOOKUP($A18,'Ratings Season'!$A:$M,8,FALSE)</f>
        <v/>
      </c>
      <c r="BY18" s="58">
        <f>RANK(BX18,BX$5:BX$22)</f>
        <v/>
      </c>
      <c r="BZ18" s="72" t="n"/>
    </row>
    <row r="19" ht="25" customFormat="1" customHeight="1" s="3">
      <c r="A19" s="89" t="inlineStr">
        <is>
          <t>St Kilda</t>
        </is>
      </c>
      <c r="B19" s="53">
        <f>VLOOKUP($A19,INDIRECT("'"&amp;$B$1&amp;"'!$A:$IZ"),222,FALSE)</f>
        <v/>
      </c>
      <c r="C19" s="54">
        <f>RANK(B19,B$5:B$22)</f>
        <v/>
      </c>
      <c r="D19" s="55">
        <f>VLOOKUP($A19,INDIRECT("'"&amp;$B$1&amp;"'!$A:$IZ"),218,FALSE)</f>
        <v/>
      </c>
      <c r="E19" s="54">
        <f>RANK(D19,D$5:D$22)</f>
        <v/>
      </c>
      <c r="F19" s="55">
        <f>VLOOKUP($A19,INDIRECT("'"&amp;$B$1&amp;"'!$A:$IZ"),49,FALSE)</f>
        <v/>
      </c>
      <c r="G19" s="54">
        <f>RANK(F19,F$5:F$22)</f>
        <v/>
      </c>
      <c r="H19" s="55">
        <f>VLOOKUP($A19,INDIRECT("'"&amp;$B$1&amp;"'!$A:$IZ"),229,FALSE)</f>
        <v/>
      </c>
      <c r="I19" s="54">
        <f>RANK(H19,H$5:H$22)</f>
        <v/>
      </c>
      <c r="J19" s="49">
        <f>104-(C19+E19+G19+I19)</f>
        <v/>
      </c>
      <c r="K19" s="47">
        <f>RANK(J19,J$5:J$22)</f>
        <v/>
      </c>
      <c r="L19" s="56" t="n"/>
      <c r="M19" s="53">
        <f>VLOOKUP($A19,INDIRECT("'"&amp;$B$1&amp;"'!$A:$IZ"),88,FALSE)</f>
        <v/>
      </c>
      <c r="N19" s="54">
        <f>RANK(M19,M$5:M$22)</f>
        <v/>
      </c>
      <c r="O19" s="53">
        <f>VLOOKUP($A19,INDIRECT("'"&amp;$B$1&amp;"'!$A:$IZ"),84,FALSE)</f>
        <v/>
      </c>
      <c r="P19" s="54">
        <f>RANK(O19,O$5:O$22)</f>
        <v/>
      </c>
      <c r="Q19" s="53">
        <f>VLOOKUP($A19,INDIRECT("'"&amp;$B$1&amp;"'!$A:$IZ"),85,FALSE)</f>
        <v/>
      </c>
      <c r="R19" s="54">
        <f>RANK(Q19,Q$5:Q$22)</f>
        <v/>
      </c>
      <c r="S19" s="55">
        <f>VLOOKUP($A19,INDIRECT("'"&amp;$B$1&amp;"'!$A:$IZ"),29,FALSE)</f>
        <v/>
      </c>
      <c r="T19" s="54">
        <f>RANK(S19,S$5:S$22)</f>
        <v/>
      </c>
      <c r="U19" s="49">
        <f>104-(N19+P19+R19+T19)</f>
        <v/>
      </c>
      <c r="V19" s="47">
        <f>RANK(U19,U$5:U$22)</f>
        <v/>
      </c>
      <c r="W19" s="56" t="n"/>
      <c r="X19" s="53">
        <f>VLOOKUP($A19,INDIRECT("'"&amp;$B$1&amp;"'!$A:$IZ"),65,FALSE)</f>
        <v/>
      </c>
      <c r="Y19" s="54">
        <f>RANK(X19,X$5:X$22)</f>
        <v/>
      </c>
      <c r="Z19" s="53">
        <f>VLOOKUP($A19,INDIRECT("'"&amp;$B$1&amp;"'!$A:$IZ"),64,FALSE)</f>
        <v/>
      </c>
      <c r="AA19" s="54">
        <f>RANK(Z19,Z$5:Z$22)</f>
        <v/>
      </c>
      <c r="AB19" s="53">
        <f>VLOOKUP($A19,INDIRECT("'"&amp;$B$1&amp;"'!$A:$IZ"),63,FALSE)</f>
        <v/>
      </c>
      <c r="AC19" s="54">
        <f>RANK(AB19,AB$5:AB$22)</f>
        <v/>
      </c>
      <c r="AD19" s="53">
        <f>VLOOKUP($A19,INDIRECT("'"&amp;$B$1&amp;"'!$A:$IZ"),71,FALSE)</f>
        <v/>
      </c>
      <c r="AE19" s="54">
        <f>RANK(AD19,AD$5:AD$22)</f>
        <v/>
      </c>
      <c r="AF19" s="65">
        <f>104-(Y19+AA19+AC19+AE19)</f>
        <v/>
      </c>
      <c r="AG19" s="47">
        <f>RANK(AF19,AF$5:AF$22)</f>
        <v/>
      </c>
      <c r="AH19" s="56" t="n"/>
      <c r="AI19" s="53">
        <f>VLOOKUP($A19,INDIRECT("'"&amp;$B$1&amp;"'!$A:$IZ"),183,FALSE)</f>
        <v/>
      </c>
      <c r="AJ19" s="54">
        <f>RANK(AI19,AI$5:AI$22,1)</f>
        <v/>
      </c>
      <c r="AK19" s="53">
        <f>VLOOKUP($A19,INDIRECT("'"&amp;$B$1&amp;"'!$A:$IZ"),181,FALSE)</f>
        <v/>
      </c>
      <c r="AL19" s="54">
        <f>RANK(AK19,AK$5:AK$22,1)</f>
        <v/>
      </c>
      <c r="AM19" s="53">
        <f>VLOOKUP($A19,INDIRECT("'"&amp;$B$1&amp;"'!$A:$IZ"),182,FALSE)</f>
        <v/>
      </c>
      <c r="AN19" s="54">
        <f>RANK(AM19,AM$5:AM$22,1)</f>
        <v/>
      </c>
      <c r="AO19" s="53">
        <f>VLOOKUP($A19,INDIRECT("'"&amp;$B$1&amp;"'!$A:$IZ"),163,FALSE)</f>
        <v/>
      </c>
      <c r="AP19" s="54">
        <f>RANK(AO19,AO$5:AO$22,1)</f>
        <v/>
      </c>
      <c r="AQ19" s="65">
        <f>104-(AJ19+AL19+AN19+AP19)</f>
        <v/>
      </c>
      <c r="AR19" s="47">
        <f>RANK(AQ19,AQ$5:AQ$22)</f>
        <v/>
      </c>
      <c r="AS19" s="56" t="n"/>
      <c r="AT19" s="46">
        <f>VLOOKUP($A19,INDIRECT("'"&amp;$B$1&amp;"'!$A:$IZ"),250,FALSE)</f>
        <v/>
      </c>
      <c r="AU19" s="47">
        <f>RANK(AT19,AT$5:AT$22,0)</f>
        <v/>
      </c>
      <c r="AV19" s="46">
        <f>VLOOKUP($A19,INDIRECT("'"&amp;$B$1&amp;"'!$A:$IZ"),92,FALSE)</f>
        <v/>
      </c>
      <c r="AW19" s="47">
        <f>RANK(AV19,AV$5:AV$22,0)</f>
        <v/>
      </c>
      <c r="AX19" s="46">
        <f>VLOOKUP($A19,INDIRECT("'"&amp;$B$1&amp;"'!$A:$IZ"),93,FALSE)</f>
        <v/>
      </c>
      <c r="AY19" s="47">
        <f>RANK(AX19,AX$5:AX$22,0)</f>
        <v/>
      </c>
      <c r="AZ19" s="46">
        <f>VLOOKUP($A19,INDIRECT("'"&amp;$B$1&amp;"'!$A:$IZ"),108,FALSE)</f>
        <v/>
      </c>
      <c r="BA19" s="47">
        <f>RANK(AZ19,AZ$5:AZ$22,0)</f>
        <v/>
      </c>
      <c r="BB19" s="46">
        <f>104-(AU19+AW19+AY19+BA19)</f>
        <v/>
      </c>
      <c r="BC19" s="47">
        <f>RANK(BB19,BB$5:BB$22)</f>
        <v/>
      </c>
      <c r="BD19" s="56" t="n"/>
      <c r="BE19" s="53">
        <f>VLOOKUP($A19,INDIRECT("'"&amp;$B$1&amp;"'!$A:$IZ"),80,FALSE)</f>
        <v/>
      </c>
      <c r="BF19" s="54">
        <f>RANK(BE19,BE$5:BE$22)</f>
        <v/>
      </c>
      <c r="BG19" s="53">
        <f>VLOOKUP($A19,INDIRECT("'"&amp;$B$1&amp;"'!$A:$IZ"),177,FALSE)</f>
        <v/>
      </c>
      <c r="BH19" s="54">
        <f>RANK(BG19,BG$5:BG$22,1)</f>
        <v/>
      </c>
      <c r="BI19" s="53">
        <f>VLOOKUP($A19,INDIRECT("'"&amp;$B$1&amp;"'!$A:$IZ"),79,FALSE)</f>
        <v/>
      </c>
      <c r="BJ19" s="54">
        <f>RANK(BI19,BI$5:BI$22)</f>
        <v/>
      </c>
      <c r="BK19" s="53">
        <f>VLOOKUP($A19,INDIRECT("'"&amp;$B$1&amp;"'!$A:$IZ"),176,FALSE)</f>
        <v/>
      </c>
      <c r="BL19" s="54">
        <f>RANK(BK19,BK$5:BK$22,1)</f>
        <v/>
      </c>
      <c r="BM19" s="53">
        <f>VLOOKUP($A19,INDIRECT("'"&amp;$B$1&amp;"'!$A:$IZ"),11,FALSE)</f>
        <v/>
      </c>
      <c r="BN19" s="54">
        <f>RANK(BM19,BM$5:BM$22)</f>
        <v/>
      </c>
      <c r="BO19" s="53">
        <f>VLOOKUP($A19,INDIRECT("'"&amp;$B$1&amp;"'!$A:$IZ"),222,FALSE)</f>
        <v/>
      </c>
      <c r="BP19" s="54">
        <f>RANK(BO19,BO$5:BO$22)</f>
        <v/>
      </c>
      <c r="BQ19" s="65">
        <f>106-(BF19+BH19+BN19+BP19+BJ19+BL19)</f>
        <v/>
      </c>
      <c r="BR19" s="47">
        <f>RANK(BQ19,BQ$5:BQ$22)</f>
        <v/>
      </c>
      <c r="BS19" s="56" t="n"/>
      <c r="BT19" s="57">
        <f>VLOOKUP($A19,'Ratings Season'!$A:$M,10,FALSE)</f>
        <v/>
      </c>
      <c r="BU19" s="54">
        <f>RANK(BT19,BT$5:BT$22)</f>
        <v/>
      </c>
      <c r="BV19" s="57">
        <f>VLOOKUP($A19,'Ratings Season'!$A:$M,12,FALSE)</f>
        <v/>
      </c>
      <c r="BW19" s="54">
        <f>RANK(BV19,BV$5:BV$22)</f>
        <v/>
      </c>
      <c r="BX19" s="57">
        <f>VLOOKUP($A19,'Ratings Season'!$A:$M,8,FALSE)</f>
        <v/>
      </c>
      <c r="BY19" s="58">
        <f>RANK(BX19,BX$5:BX$22)</f>
        <v/>
      </c>
      <c r="BZ19" s="72" t="n"/>
    </row>
    <row r="20" ht="25" customFormat="1" customHeight="1" s="3">
      <c r="A20" s="90" t="inlineStr">
        <is>
          <t>Sydney</t>
        </is>
      </c>
      <c r="B20" s="53">
        <f>VLOOKUP($A20,INDIRECT("'"&amp;$B$1&amp;"'!$A:$IZ"),222,FALSE)</f>
        <v/>
      </c>
      <c r="C20" s="54">
        <f>RANK(B20,B$5:B$22)</f>
        <v/>
      </c>
      <c r="D20" s="55">
        <f>VLOOKUP($A20,INDIRECT("'"&amp;$B$1&amp;"'!$A:$IZ"),218,FALSE)</f>
        <v/>
      </c>
      <c r="E20" s="54">
        <f>RANK(D20,D$5:D$22)</f>
        <v/>
      </c>
      <c r="F20" s="55">
        <f>VLOOKUP($A20,INDIRECT("'"&amp;$B$1&amp;"'!$A:$IZ"),49,FALSE)</f>
        <v/>
      </c>
      <c r="G20" s="54">
        <f>RANK(F20,F$5:F$22)</f>
        <v/>
      </c>
      <c r="H20" s="55">
        <f>VLOOKUP($A20,INDIRECT("'"&amp;$B$1&amp;"'!$A:$IZ"),229,FALSE)</f>
        <v/>
      </c>
      <c r="I20" s="54">
        <f>RANK(H20,H$5:H$22)</f>
        <v/>
      </c>
      <c r="J20" s="49">
        <f>104-(C20+E20+G20+I20)</f>
        <v/>
      </c>
      <c r="K20" s="47">
        <f>RANK(J20,J$5:J$22)</f>
        <v/>
      </c>
      <c r="L20" s="56" t="n"/>
      <c r="M20" s="53">
        <f>VLOOKUP($A20,INDIRECT("'"&amp;$B$1&amp;"'!$A:$IZ"),88,FALSE)</f>
        <v/>
      </c>
      <c r="N20" s="54">
        <f>RANK(M20,M$5:M$22)</f>
        <v/>
      </c>
      <c r="O20" s="53">
        <f>VLOOKUP($A20,INDIRECT("'"&amp;$B$1&amp;"'!$A:$IZ"),84,FALSE)</f>
        <v/>
      </c>
      <c r="P20" s="54">
        <f>RANK(O20,O$5:O$22)</f>
        <v/>
      </c>
      <c r="Q20" s="53">
        <f>VLOOKUP($A20,INDIRECT("'"&amp;$B$1&amp;"'!$A:$IZ"),85,FALSE)</f>
        <v/>
      </c>
      <c r="R20" s="54">
        <f>RANK(Q20,Q$5:Q$22)</f>
        <v/>
      </c>
      <c r="S20" s="55">
        <f>VLOOKUP($A20,INDIRECT("'"&amp;$B$1&amp;"'!$A:$IZ"),29,FALSE)</f>
        <v/>
      </c>
      <c r="T20" s="54">
        <f>RANK(S20,S$5:S$22)</f>
        <v/>
      </c>
      <c r="U20" s="49">
        <f>104-(N20+P20+R20+T20)</f>
        <v/>
      </c>
      <c r="V20" s="47">
        <f>RANK(U20,U$5:U$22)</f>
        <v/>
      </c>
      <c r="W20" s="56" t="n"/>
      <c r="X20" s="53">
        <f>VLOOKUP($A20,INDIRECT("'"&amp;$B$1&amp;"'!$A:$IZ"),65,FALSE)</f>
        <v/>
      </c>
      <c r="Y20" s="54">
        <f>RANK(X20,X$5:X$22)</f>
        <v/>
      </c>
      <c r="Z20" s="53">
        <f>VLOOKUP($A20,INDIRECT("'"&amp;$B$1&amp;"'!$A:$IZ"),64,FALSE)</f>
        <v/>
      </c>
      <c r="AA20" s="54">
        <f>RANK(Z20,Z$5:Z$22)</f>
        <v/>
      </c>
      <c r="AB20" s="53">
        <f>VLOOKUP($A20,INDIRECT("'"&amp;$B$1&amp;"'!$A:$IZ"),63,FALSE)</f>
        <v/>
      </c>
      <c r="AC20" s="54">
        <f>RANK(AB20,AB$5:AB$22)</f>
        <v/>
      </c>
      <c r="AD20" s="53">
        <f>VLOOKUP($A20,INDIRECT("'"&amp;$B$1&amp;"'!$A:$IZ"),71,FALSE)</f>
        <v/>
      </c>
      <c r="AE20" s="54">
        <f>RANK(AD20,AD$5:AD$22)</f>
        <v/>
      </c>
      <c r="AF20" s="65">
        <f>104-(Y20+AA20+AC20+AE20)</f>
        <v/>
      </c>
      <c r="AG20" s="47">
        <f>RANK(AF20,AF$5:AF$22)</f>
        <v/>
      </c>
      <c r="AH20" s="56" t="n"/>
      <c r="AI20" s="53">
        <f>VLOOKUP($A20,INDIRECT("'"&amp;$B$1&amp;"'!$A:$IZ"),183,FALSE)</f>
        <v/>
      </c>
      <c r="AJ20" s="54">
        <f>RANK(AI20,AI$5:AI$22,1)</f>
        <v/>
      </c>
      <c r="AK20" s="53">
        <f>VLOOKUP($A20,INDIRECT("'"&amp;$B$1&amp;"'!$A:$IZ"),181,FALSE)</f>
        <v/>
      </c>
      <c r="AL20" s="54">
        <f>RANK(AK20,AK$5:AK$22,1)</f>
        <v/>
      </c>
      <c r="AM20" s="53">
        <f>VLOOKUP($A20,INDIRECT("'"&amp;$B$1&amp;"'!$A:$IZ"),182,FALSE)</f>
        <v/>
      </c>
      <c r="AN20" s="54">
        <f>RANK(AM20,AM$5:AM$22,1)</f>
        <v/>
      </c>
      <c r="AO20" s="53">
        <f>VLOOKUP($A20,INDIRECT("'"&amp;$B$1&amp;"'!$A:$IZ"),163,FALSE)</f>
        <v/>
      </c>
      <c r="AP20" s="54">
        <f>RANK(AO20,AO$5:AO$22,1)</f>
        <v/>
      </c>
      <c r="AQ20" s="65">
        <f>104-(AJ20+AL20+AN20+AP20)</f>
        <v/>
      </c>
      <c r="AR20" s="47">
        <f>RANK(AQ20,AQ$5:AQ$22)</f>
        <v/>
      </c>
      <c r="AS20" s="56" t="n"/>
      <c r="AT20" s="46">
        <f>VLOOKUP($A20,INDIRECT("'"&amp;$B$1&amp;"'!$A:$IZ"),250,FALSE)</f>
        <v/>
      </c>
      <c r="AU20" s="47">
        <f>RANK(AT20,AT$5:AT$22,0)</f>
        <v/>
      </c>
      <c r="AV20" s="46">
        <f>VLOOKUP($A20,INDIRECT("'"&amp;$B$1&amp;"'!$A:$IZ"),92,FALSE)</f>
        <v/>
      </c>
      <c r="AW20" s="47">
        <f>RANK(AV20,AV$5:AV$22,0)</f>
        <v/>
      </c>
      <c r="AX20" s="46">
        <f>VLOOKUP($A20,INDIRECT("'"&amp;$B$1&amp;"'!$A:$IZ"),93,FALSE)</f>
        <v/>
      </c>
      <c r="AY20" s="47">
        <f>RANK(AX20,AX$5:AX$22,0)</f>
        <v/>
      </c>
      <c r="AZ20" s="46">
        <f>VLOOKUP($A20,INDIRECT("'"&amp;$B$1&amp;"'!$A:$IZ"),108,FALSE)</f>
        <v/>
      </c>
      <c r="BA20" s="47">
        <f>RANK(AZ20,AZ$5:AZ$22,0)</f>
        <v/>
      </c>
      <c r="BB20" s="46">
        <f>104-(AU20+AW20+AY20+BA20)</f>
        <v/>
      </c>
      <c r="BC20" s="47">
        <f>RANK(BB20,BB$5:BB$22)</f>
        <v/>
      </c>
      <c r="BD20" s="56" t="n"/>
      <c r="BE20" s="53">
        <f>VLOOKUP($A20,INDIRECT("'"&amp;$B$1&amp;"'!$A:$IZ"),80,FALSE)</f>
        <v/>
      </c>
      <c r="BF20" s="54">
        <f>RANK(BE20,BE$5:BE$22)</f>
        <v/>
      </c>
      <c r="BG20" s="53">
        <f>VLOOKUP($A20,INDIRECT("'"&amp;$B$1&amp;"'!$A:$IZ"),177,FALSE)</f>
        <v/>
      </c>
      <c r="BH20" s="54">
        <f>RANK(BG20,BG$5:BG$22,1)</f>
        <v/>
      </c>
      <c r="BI20" s="53">
        <f>VLOOKUP($A20,INDIRECT("'"&amp;$B$1&amp;"'!$A:$IZ"),79,FALSE)</f>
        <v/>
      </c>
      <c r="BJ20" s="54">
        <f>RANK(BI20,BI$5:BI$22)</f>
        <v/>
      </c>
      <c r="BK20" s="53">
        <f>VLOOKUP($A20,INDIRECT("'"&amp;$B$1&amp;"'!$A:$IZ"),176,FALSE)</f>
        <v/>
      </c>
      <c r="BL20" s="54">
        <f>RANK(BK20,BK$5:BK$22,1)</f>
        <v/>
      </c>
      <c r="BM20" s="53">
        <f>VLOOKUP($A20,INDIRECT("'"&amp;$B$1&amp;"'!$A:$IZ"),11,FALSE)</f>
        <v/>
      </c>
      <c r="BN20" s="54">
        <f>RANK(BM20,BM$5:BM$22)</f>
        <v/>
      </c>
      <c r="BO20" s="53">
        <f>VLOOKUP($A20,INDIRECT("'"&amp;$B$1&amp;"'!$A:$IZ"),222,FALSE)</f>
        <v/>
      </c>
      <c r="BP20" s="54">
        <f>RANK(BO20,BO$5:BO$22)</f>
        <v/>
      </c>
      <c r="BQ20" s="65">
        <f>106-(BF20+BH20+BN20+BP20+BJ20+BL20)</f>
        <v/>
      </c>
      <c r="BR20" s="47">
        <f>RANK(BQ20,BQ$5:BQ$22)</f>
        <v/>
      </c>
      <c r="BS20" s="56" t="n"/>
      <c r="BT20" s="57">
        <f>VLOOKUP($A20,'Ratings Season'!$A:$M,10,FALSE)</f>
        <v/>
      </c>
      <c r="BU20" s="54">
        <f>RANK(BT20,BT$5:BT$22)</f>
        <v/>
      </c>
      <c r="BV20" s="57">
        <f>VLOOKUP($A20,'Ratings Season'!$A:$M,12,FALSE)</f>
        <v/>
      </c>
      <c r="BW20" s="54">
        <f>RANK(BV20,BV$5:BV$22)</f>
        <v/>
      </c>
      <c r="BX20" s="57">
        <f>VLOOKUP($A20,'Ratings Season'!$A:$M,8,FALSE)</f>
        <v/>
      </c>
      <c r="BY20" s="58">
        <f>RANK(BX20,BX$5:BX$22)</f>
        <v/>
      </c>
      <c r="BZ20" s="72" t="n"/>
    </row>
    <row r="21" ht="25" customFormat="1" customHeight="1" s="3">
      <c r="A21" s="91" t="inlineStr">
        <is>
          <t>West Coast</t>
        </is>
      </c>
      <c r="B21" s="53">
        <f>VLOOKUP($A21,INDIRECT("'"&amp;$B$1&amp;"'!$A:$IZ"),222,FALSE)</f>
        <v/>
      </c>
      <c r="C21" s="54">
        <f>RANK(B21,B$5:B$22)</f>
        <v/>
      </c>
      <c r="D21" s="55">
        <f>VLOOKUP($A21,INDIRECT("'"&amp;$B$1&amp;"'!$A:$IZ"),218,FALSE)</f>
        <v/>
      </c>
      <c r="E21" s="54">
        <f>RANK(D21,D$5:D$22)</f>
        <v/>
      </c>
      <c r="F21" s="55">
        <f>VLOOKUP($A21,INDIRECT("'"&amp;$B$1&amp;"'!$A:$IZ"),49,FALSE)</f>
        <v/>
      </c>
      <c r="G21" s="54">
        <f>RANK(F21,F$5:F$22)</f>
        <v/>
      </c>
      <c r="H21" s="55">
        <f>VLOOKUP($A21,INDIRECT("'"&amp;$B$1&amp;"'!$A:$IZ"),229,FALSE)</f>
        <v/>
      </c>
      <c r="I21" s="54">
        <f>RANK(H21,H$5:H$22)</f>
        <v/>
      </c>
      <c r="J21" s="49">
        <f>104-(C21+E21+G21+I21)</f>
        <v/>
      </c>
      <c r="K21" s="47">
        <f>RANK(J21,J$5:J$22)</f>
        <v/>
      </c>
      <c r="L21" s="56" t="n"/>
      <c r="M21" s="53">
        <f>VLOOKUP($A21,INDIRECT("'"&amp;$B$1&amp;"'!$A:$IZ"),88,FALSE)</f>
        <v/>
      </c>
      <c r="N21" s="54">
        <f>RANK(M21,M$5:M$22)</f>
        <v/>
      </c>
      <c r="O21" s="53">
        <f>VLOOKUP($A21,INDIRECT("'"&amp;$B$1&amp;"'!$A:$IZ"),84,FALSE)</f>
        <v/>
      </c>
      <c r="P21" s="54">
        <f>RANK(O21,O$5:O$22)</f>
        <v/>
      </c>
      <c r="Q21" s="53">
        <f>VLOOKUP($A21,INDIRECT("'"&amp;$B$1&amp;"'!$A:$IZ"),85,FALSE)</f>
        <v/>
      </c>
      <c r="R21" s="54">
        <f>RANK(Q21,Q$5:Q$22)</f>
        <v/>
      </c>
      <c r="S21" s="55">
        <f>VLOOKUP($A21,INDIRECT("'"&amp;$B$1&amp;"'!$A:$IZ"),29,FALSE)</f>
        <v/>
      </c>
      <c r="T21" s="54">
        <f>RANK(S21,S$5:S$22)</f>
        <v/>
      </c>
      <c r="U21" s="49">
        <f>104-(N21+P21+R21+T21)</f>
        <v/>
      </c>
      <c r="V21" s="47">
        <f>RANK(U21,U$5:U$22)</f>
        <v/>
      </c>
      <c r="W21" s="56" t="n"/>
      <c r="X21" s="53">
        <f>VLOOKUP($A21,INDIRECT("'"&amp;$B$1&amp;"'!$A:$IZ"),65,FALSE)</f>
        <v/>
      </c>
      <c r="Y21" s="54">
        <f>RANK(X21,X$5:X$22)</f>
        <v/>
      </c>
      <c r="Z21" s="53">
        <f>VLOOKUP($A21,INDIRECT("'"&amp;$B$1&amp;"'!$A:$IZ"),64,FALSE)</f>
        <v/>
      </c>
      <c r="AA21" s="54">
        <f>RANK(Z21,Z$5:Z$22)</f>
        <v/>
      </c>
      <c r="AB21" s="53">
        <f>VLOOKUP($A21,INDIRECT("'"&amp;$B$1&amp;"'!$A:$IZ"),63,FALSE)</f>
        <v/>
      </c>
      <c r="AC21" s="54">
        <f>RANK(AB21,AB$5:AB$22)</f>
        <v/>
      </c>
      <c r="AD21" s="53">
        <f>VLOOKUP($A21,INDIRECT("'"&amp;$B$1&amp;"'!$A:$IZ"),71,FALSE)</f>
        <v/>
      </c>
      <c r="AE21" s="54">
        <f>RANK(AD21,AD$5:AD$22)</f>
        <v/>
      </c>
      <c r="AF21" s="65">
        <f>104-(Y21+AA21+AC21+AE21)</f>
        <v/>
      </c>
      <c r="AG21" s="47">
        <f>RANK(AF21,AF$5:AF$22)</f>
        <v/>
      </c>
      <c r="AH21" s="56" t="n"/>
      <c r="AI21" s="53">
        <f>VLOOKUP($A21,INDIRECT("'"&amp;$B$1&amp;"'!$A:$IZ"),183,FALSE)</f>
        <v/>
      </c>
      <c r="AJ21" s="54">
        <f>RANK(AI21,AI$5:AI$22,1)</f>
        <v/>
      </c>
      <c r="AK21" s="53">
        <f>VLOOKUP($A21,INDIRECT("'"&amp;$B$1&amp;"'!$A:$IZ"),181,FALSE)</f>
        <v/>
      </c>
      <c r="AL21" s="54">
        <f>RANK(AK21,AK$5:AK$22,1)</f>
        <v/>
      </c>
      <c r="AM21" s="53">
        <f>VLOOKUP($A21,INDIRECT("'"&amp;$B$1&amp;"'!$A:$IZ"),182,FALSE)</f>
        <v/>
      </c>
      <c r="AN21" s="54">
        <f>RANK(AM21,AM$5:AM$22,1)</f>
        <v/>
      </c>
      <c r="AO21" s="53">
        <f>VLOOKUP($A21,INDIRECT("'"&amp;$B$1&amp;"'!$A:$IZ"),163,FALSE)</f>
        <v/>
      </c>
      <c r="AP21" s="54">
        <f>RANK(AO21,AO$5:AO$22,1)</f>
        <v/>
      </c>
      <c r="AQ21" s="65">
        <f>104-(AJ21+AL21+AN21+AP21)</f>
        <v/>
      </c>
      <c r="AR21" s="47">
        <f>RANK(AQ21,AQ$5:AQ$22)</f>
        <v/>
      </c>
      <c r="AS21" s="56" t="n"/>
      <c r="AT21" s="46">
        <f>VLOOKUP($A21,INDIRECT("'"&amp;$B$1&amp;"'!$A:$IZ"),250,FALSE)</f>
        <v/>
      </c>
      <c r="AU21" s="47">
        <f>RANK(AT21,AT$5:AT$22,0)</f>
        <v/>
      </c>
      <c r="AV21" s="46">
        <f>VLOOKUP($A21,INDIRECT("'"&amp;$B$1&amp;"'!$A:$IZ"),92,FALSE)</f>
        <v/>
      </c>
      <c r="AW21" s="47">
        <f>RANK(AV21,AV$5:AV$22,0)</f>
        <v/>
      </c>
      <c r="AX21" s="46">
        <f>VLOOKUP($A21,INDIRECT("'"&amp;$B$1&amp;"'!$A:$IZ"),93,FALSE)</f>
        <v/>
      </c>
      <c r="AY21" s="47">
        <f>RANK(AX21,AX$5:AX$22,0)</f>
        <v/>
      </c>
      <c r="AZ21" s="46">
        <f>VLOOKUP($A21,INDIRECT("'"&amp;$B$1&amp;"'!$A:$IZ"),108,FALSE)</f>
        <v/>
      </c>
      <c r="BA21" s="47">
        <f>RANK(AZ21,AZ$5:AZ$22,0)</f>
        <v/>
      </c>
      <c r="BB21" s="46">
        <f>104-(AU21+AW21+AY21+BA21)</f>
        <v/>
      </c>
      <c r="BC21" s="47">
        <f>RANK(BB21,BB$5:BB$22)</f>
        <v/>
      </c>
      <c r="BD21" s="56" t="n"/>
      <c r="BE21" s="53">
        <f>VLOOKUP($A21,INDIRECT("'"&amp;$B$1&amp;"'!$A:$IZ"),80,FALSE)</f>
        <v/>
      </c>
      <c r="BF21" s="54">
        <f>RANK(BE21,BE$5:BE$22)</f>
        <v/>
      </c>
      <c r="BG21" s="53">
        <f>VLOOKUP($A21,INDIRECT("'"&amp;$B$1&amp;"'!$A:$IZ"),177,FALSE)</f>
        <v/>
      </c>
      <c r="BH21" s="54">
        <f>RANK(BG21,BG$5:BG$22,1)</f>
        <v/>
      </c>
      <c r="BI21" s="53">
        <f>VLOOKUP($A21,INDIRECT("'"&amp;$B$1&amp;"'!$A:$IZ"),79,FALSE)</f>
        <v/>
      </c>
      <c r="BJ21" s="54">
        <f>RANK(BI21,BI$5:BI$22)</f>
        <v/>
      </c>
      <c r="BK21" s="53">
        <f>VLOOKUP($A21,INDIRECT("'"&amp;$B$1&amp;"'!$A:$IZ"),176,FALSE)</f>
        <v/>
      </c>
      <c r="BL21" s="54">
        <f>RANK(BK21,BK$5:BK$22,1)</f>
        <v/>
      </c>
      <c r="BM21" s="53">
        <f>VLOOKUP($A21,INDIRECT("'"&amp;$B$1&amp;"'!$A:$IZ"),11,FALSE)</f>
        <v/>
      </c>
      <c r="BN21" s="54">
        <f>RANK(BM21,BM$5:BM$22)</f>
        <v/>
      </c>
      <c r="BO21" s="53">
        <f>VLOOKUP($A21,INDIRECT("'"&amp;$B$1&amp;"'!$A:$IZ"),222,FALSE)</f>
        <v/>
      </c>
      <c r="BP21" s="54">
        <f>RANK(BO21,BO$5:BO$22)</f>
        <v/>
      </c>
      <c r="BQ21" s="65">
        <f>106-(BF21+BH21+BN21+BP21+BJ21+BL21)</f>
        <v/>
      </c>
      <c r="BR21" s="47">
        <f>RANK(BQ21,BQ$5:BQ$22)</f>
        <v/>
      </c>
      <c r="BS21" s="56" t="n"/>
      <c r="BT21" s="57">
        <f>VLOOKUP($A21,'Ratings Season'!$A:$M,10,FALSE)</f>
        <v/>
      </c>
      <c r="BU21" s="54">
        <f>RANK(BT21,BT$5:BT$22)</f>
        <v/>
      </c>
      <c r="BV21" s="57">
        <f>VLOOKUP($A21,'Ratings Season'!$A:$M,12,FALSE)</f>
        <v/>
      </c>
      <c r="BW21" s="54">
        <f>RANK(BV21,BV$5:BV$22)</f>
        <v/>
      </c>
      <c r="BX21" s="57">
        <f>VLOOKUP($A21,'Ratings Season'!$A:$M,8,FALSE)</f>
        <v/>
      </c>
      <c r="BY21" s="58">
        <f>RANK(BX21,BX$5:BX$22)</f>
        <v/>
      </c>
      <c r="BZ21" s="72" t="n"/>
    </row>
    <row r="22" ht="25" customFormat="1" customHeight="1" s="3" thickBot="1">
      <c r="A22" s="92" t="inlineStr">
        <is>
          <t>Western Bulldogs</t>
        </is>
      </c>
      <c r="B22" s="59">
        <f>VLOOKUP($A22,INDIRECT("'"&amp;$B$1&amp;"'!$A:$IZ"),222,FALSE)</f>
        <v/>
      </c>
      <c r="C22" s="60">
        <f>RANK(B22,B$5:B$22)</f>
        <v/>
      </c>
      <c r="D22" s="61">
        <f>VLOOKUP($A22,INDIRECT("'"&amp;$B$1&amp;"'!$A:$IZ"),218,FALSE)</f>
        <v/>
      </c>
      <c r="E22" s="60">
        <f>RANK(D22,D$5:D$22)</f>
        <v/>
      </c>
      <c r="F22" s="61">
        <f>VLOOKUP($A22,INDIRECT("'"&amp;$B$1&amp;"'!$A:$IZ"),49,FALSE)</f>
        <v/>
      </c>
      <c r="G22" s="60">
        <f>RANK(F22,F$5:F$22)</f>
        <v/>
      </c>
      <c r="H22" s="61">
        <f>VLOOKUP($A22,INDIRECT("'"&amp;$B$1&amp;"'!$A:$IZ"),229,FALSE)</f>
        <v/>
      </c>
      <c r="I22" s="60">
        <f>RANK(H22,H$5:H$22)</f>
        <v/>
      </c>
      <c r="J22" s="49">
        <f>104-(C22+E22+G22+I22)</f>
        <v/>
      </c>
      <c r="K22" s="47">
        <f>RANK(J22,J$5:J$22)</f>
        <v/>
      </c>
      <c r="L22" s="62" t="n"/>
      <c r="M22" s="59">
        <f>VLOOKUP($A22,INDIRECT("'"&amp;$B$1&amp;"'!$A:$IZ"),88,FALSE)</f>
        <v/>
      </c>
      <c r="N22" s="60">
        <f>RANK(M22,M$5:M$22)</f>
        <v/>
      </c>
      <c r="O22" s="59">
        <f>VLOOKUP($A22,INDIRECT("'"&amp;$B$1&amp;"'!$A:$IZ"),84,FALSE)</f>
        <v/>
      </c>
      <c r="P22" s="60">
        <f>RANK(O22,O$5:O$22)</f>
        <v/>
      </c>
      <c r="Q22" s="59">
        <f>VLOOKUP($A22,INDIRECT("'"&amp;$B$1&amp;"'!$A:$IZ"),85,FALSE)</f>
        <v/>
      </c>
      <c r="R22" s="60">
        <f>RANK(Q22,Q$5:Q$22)</f>
        <v/>
      </c>
      <c r="S22" s="61">
        <f>VLOOKUP($A22,INDIRECT("'"&amp;$B$1&amp;"'!$A:$IZ"),29,FALSE)</f>
        <v/>
      </c>
      <c r="T22" s="60">
        <f>RANK(S22,S$5:S$22)</f>
        <v/>
      </c>
      <c r="U22" s="49">
        <f>104-(N22+P22+R22+T22)</f>
        <v/>
      </c>
      <c r="V22" s="47">
        <f>RANK(U22,U$5:U$22)</f>
        <v/>
      </c>
      <c r="W22" s="62" t="n"/>
      <c r="X22" s="59">
        <f>VLOOKUP($A22,INDIRECT("'"&amp;$B$1&amp;"'!$A:$IZ"),65,FALSE)</f>
        <v/>
      </c>
      <c r="Y22" s="60">
        <f>RANK(X22,X$5:X$22)</f>
        <v/>
      </c>
      <c r="Z22" s="59">
        <f>VLOOKUP($A22,INDIRECT("'"&amp;$B$1&amp;"'!$A:$IZ"),64,FALSE)</f>
        <v/>
      </c>
      <c r="AA22" s="60">
        <f>RANK(Z22,Z$5:Z$22)</f>
        <v/>
      </c>
      <c r="AB22" s="59">
        <f>VLOOKUP($A22,INDIRECT("'"&amp;$B$1&amp;"'!$A:$IZ"),63,FALSE)</f>
        <v/>
      </c>
      <c r="AC22" s="60">
        <f>RANK(AB22,AB$5:AB$22)</f>
        <v/>
      </c>
      <c r="AD22" s="59">
        <f>VLOOKUP($A22,INDIRECT("'"&amp;$B$1&amp;"'!$A:$IZ"),71,FALSE)</f>
        <v/>
      </c>
      <c r="AE22" s="60">
        <f>RANK(AD22,AD$5:AD$22)</f>
        <v/>
      </c>
      <c r="AF22" s="66">
        <f>104-(Y22+AA22+AC22+AE22)</f>
        <v/>
      </c>
      <c r="AG22" s="47">
        <f>RANK(AF22,AF$5:AF$22)</f>
        <v/>
      </c>
      <c r="AH22" s="62" t="n"/>
      <c r="AI22" s="59">
        <f>VLOOKUP($A22,INDIRECT("'"&amp;$B$1&amp;"'!$A:$IZ"),183,FALSE)</f>
        <v/>
      </c>
      <c r="AJ22" s="60">
        <f>RANK(AI22,AI$5:AI$22,1)</f>
        <v/>
      </c>
      <c r="AK22" s="59">
        <f>VLOOKUP($A22,INDIRECT("'"&amp;$B$1&amp;"'!$A:$IZ"),181,FALSE)</f>
        <v/>
      </c>
      <c r="AL22" s="60">
        <f>RANK(AK22,AK$5:AK$22,1)</f>
        <v/>
      </c>
      <c r="AM22" s="59">
        <f>VLOOKUP($A22,INDIRECT("'"&amp;$B$1&amp;"'!$A:$IZ"),182,FALSE)</f>
        <v/>
      </c>
      <c r="AN22" s="60">
        <f>RANK(AM22,AM$5:AM$22,1)</f>
        <v/>
      </c>
      <c r="AO22" s="59">
        <f>VLOOKUP($A22,INDIRECT("'"&amp;$B$1&amp;"'!$A:$IZ"),163,FALSE)</f>
        <v/>
      </c>
      <c r="AP22" s="60">
        <f>RANK(AO22,AO$5:AO$22,1)</f>
        <v/>
      </c>
      <c r="AQ22" s="66">
        <f>104-(AJ22+AL22+AN22+AP22)</f>
        <v/>
      </c>
      <c r="AR22" s="47">
        <f>RANK(AQ22,AQ$5:AQ$22)</f>
        <v/>
      </c>
      <c r="AS22" s="62" t="n"/>
      <c r="AT22" s="46">
        <f>VLOOKUP($A22,INDIRECT("'"&amp;$B$1&amp;"'!$A:$IZ"),250,FALSE)</f>
        <v/>
      </c>
      <c r="AU22" s="47">
        <f>RANK(AT22,AT$5:AT$22,0)</f>
        <v/>
      </c>
      <c r="AV22" s="46">
        <f>VLOOKUP($A22,INDIRECT("'"&amp;$B$1&amp;"'!$A:$IZ"),92,FALSE)</f>
        <v/>
      </c>
      <c r="AW22" s="47">
        <f>RANK(AV22,AV$5:AV$22,0)</f>
        <v/>
      </c>
      <c r="AX22" s="46">
        <f>VLOOKUP($A22,INDIRECT("'"&amp;$B$1&amp;"'!$A:$IZ"),93,FALSE)</f>
        <v/>
      </c>
      <c r="AY22" s="47">
        <f>RANK(AX22,AX$5:AX$22,0)</f>
        <v/>
      </c>
      <c r="AZ22" s="46">
        <f>VLOOKUP($A22,INDIRECT("'"&amp;$B$1&amp;"'!$A:$IZ"),108,FALSE)</f>
        <v/>
      </c>
      <c r="BA22" s="47">
        <f>RANK(AZ22,AZ$5:AZ$22,0)</f>
        <v/>
      </c>
      <c r="BB22" s="46">
        <f>104-(AU22+AW22+AY22+BA22)</f>
        <v/>
      </c>
      <c r="BC22" s="47">
        <f>RANK(BB22,BB$5:BB$22)</f>
        <v/>
      </c>
      <c r="BD22" s="62" t="n"/>
      <c r="BE22" s="59">
        <f>VLOOKUP($A22,INDIRECT("'"&amp;$B$1&amp;"'!$A:$IZ"),80,FALSE)</f>
        <v/>
      </c>
      <c r="BF22" s="60">
        <f>RANK(BE22,BE$5:BE$22)</f>
        <v/>
      </c>
      <c r="BG22" s="59">
        <f>VLOOKUP($A22,INDIRECT("'"&amp;$B$1&amp;"'!$A:$IZ"),177,FALSE)</f>
        <v/>
      </c>
      <c r="BH22" s="60">
        <f>RANK(BG22,BG$5:BG$22,1)</f>
        <v/>
      </c>
      <c r="BI22" s="59">
        <f>VLOOKUP($A22,INDIRECT("'"&amp;$B$1&amp;"'!$A:$IZ"),79,FALSE)</f>
        <v/>
      </c>
      <c r="BJ22" s="60">
        <f>RANK(BI22,BI$5:BI$22)</f>
        <v/>
      </c>
      <c r="BK22" s="59">
        <f>VLOOKUP($A22,INDIRECT("'"&amp;$B$1&amp;"'!$A:$IZ"),176,FALSE)</f>
        <v/>
      </c>
      <c r="BL22" s="60">
        <f>RANK(BK22,BK$5:BK$22,1)</f>
        <v/>
      </c>
      <c r="BM22" s="59">
        <f>VLOOKUP($A22,INDIRECT("'"&amp;$B$1&amp;"'!$A:$IZ"),11,FALSE)</f>
        <v/>
      </c>
      <c r="BN22" s="60">
        <f>RANK(BM22,BM$5:BM$22)</f>
        <v/>
      </c>
      <c r="BO22" s="59">
        <f>VLOOKUP($A22,INDIRECT("'"&amp;$B$1&amp;"'!$A:$IZ"),222,FALSE)</f>
        <v/>
      </c>
      <c r="BP22" s="60">
        <f>RANK(BO22,BO$5:BO$22)</f>
        <v/>
      </c>
      <c r="BQ22" s="66">
        <f>106-(BF22+BH22+BN22+BP22+BJ22+BL22)</f>
        <v/>
      </c>
      <c r="BR22" s="47">
        <f>RANK(BQ22,BQ$5:BQ$22)</f>
        <v/>
      </c>
      <c r="BS22" s="62" t="n"/>
      <c r="BT22" s="63">
        <f>VLOOKUP($A22,'Ratings Season'!$A:$M,10,FALSE)</f>
        <v/>
      </c>
      <c r="BU22" s="60">
        <f>RANK(BT22,BT$5:BT$22)</f>
        <v/>
      </c>
      <c r="BV22" s="63">
        <f>VLOOKUP($A22,'Ratings Season'!$A:$M,12,FALSE)</f>
        <v/>
      </c>
      <c r="BW22" s="60">
        <f>RANK(BV22,BV$5:BV$22)</f>
        <v/>
      </c>
      <c r="BX22" s="63">
        <f>VLOOKUP($A22,'Ratings Season'!$A:$M,8,FALSE)</f>
        <v/>
      </c>
      <c r="BY22" s="64">
        <f>RANK(BX22,BX$5:BX$22)</f>
        <v/>
      </c>
      <c r="BZ22" s="72" t="n"/>
    </row>
    <row r="23">
      <c r="BZ23" s="69" t="n"/>
    </row>
    <row r="24" ht="35" customHeight="1">
      <c r="A24" s="67" t="inlineStr">
        <is>
          <t>SEASON TOTAL</t>
        </is>
      </c>
      <c r="B24" s="154" t="n">
        <v>2021</v>
      </c>
    </row>
    <row r="25" ht="17" customHeight="1" thickBot="1"/>
    <row r="26" ht="22" customHeight="1" thickBot="1">
      <c r="A26" s="240" t="inlineStr">
        <is>
          <t>Team</t>
        </is>
      </c>
      <c r="B26" s="242" t="inlineStr">
        <is>
          <t>Ball Winning</t>
        </is>
      </c>
      <c r="C26" s="321" t="n"/>
      <c r="D26" s="321" t="n"/>
      <c r="E26" s="321" t="n"/>
      <c r="F26" s="321" t="n"/>
      <c r="G26" s="321" t="n"/>
      <c r="H26" s="321" t="n"/>
      <c r="I26" s="321" t="n"/>
      <c r="J26" s="321" t="n"/>
      <c r="K26" s="321" t="n"/>
      <c r="L26" s="39" t="n"/>
      <c r="M26" s="245" t="inlineStr">
        <is>
          <t>Ball Movement</t>
        </is>
      </c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9" t="n"/>
      <c r="X26" s="248" t="inlineStr">
        <is>
          <t>Scoring</t>
        </is>
      </c>
      <c r="Y26" s="321" t="n"/>
      <c r="Z26" s="321" t="n"/>
      <c r="AA26" s="321" t="n"/>
      <c r="AB26" s="321" t="n"/>
      <c r="AC26" s="321" t="n"/>
      <c r="AD26" s="321" t="n"/>
      <c r="AE26" s="321" t="n"/>
      <c r="AF26" s="321" t="n"/>
      <c r="AG26" s="321" t="n"/>
      <c r="AH26" s="39" t="n"/>
      <c r="AI26" s="251" t="inlineStr">
        <is>
          <t>Defence</t>
        </is>
      </c>
      <c r="AJ26" s="321" t="n"/>
      <c r="AK26" s="321" t="n"/>
      <c r="AL26" s="321" t="n"/>
      <c r="AM26" s="321" t="n"/>
      <c r="AN26" s="321" t="n"/>
      <c r="AO26" s="321" t="n"/>
      <c r="AP26" s="321" t="n"/>
      <c r="AQ26" s="321" t="n"/>
      <c r="AR26" s="321" t="n"/>
      <c r="AS26" s="39" t="n"/>
      <c r="AT26" s="254" t="inlineStr">
        <is>
          <t>Pressure</t>
        </is>
      </c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9" t="n"/>
      <c r="BE26" s="322" t="inlineStr">
        <is>
          <t>Health Check</t>
        </is>
      </c>
      <c r="BF26" s="321" t="n"/>
      <c r="BG26" s="321" t="n"/>
      <c r="BH26" s="321" t="n"/>
      <c r="BI26" s="321" t="n"/>
      <c r="BJ26" s="321" t="n"/>
      <c r="BK26" s="321" t="n"/>
      <c r="BL26" s="321" t="n"/>
      <c r="BM26" s="321" t="n"/>
      <c r="BN26" s="321" t="n"/>
      <c r="BO26" s="321" t="n"/>
      <c r="BP26" s="321" t="n"/>
      <c r="BQ26" s="321" t="n"/>
      <c r="BR26" s="323" t="n"/>
      <c r="BS26" s="39" t="n"/>
      <c r="BT26" s="237" t="inlineStr">
        <is>
          <t>Wheelo Ratings</t>
        </is>
      </c>
      <c r="BU26" s="321" t="n"/>
      <c r="BV26" s="321" t="n"/>
      <c r="BW26" s="321" t="n"/>
      <c r="BX26" s="321" t="n"/>
      <c r="BY26" s="324" t="n"/>
    </row>
    <row r="27" ht="69" customHeight="1" thickBot="1">
      <c r="A27" s="325" t="n"/>
      <c r="B27" s="21" t="inlineStr">
        <is>
          <t>Post Clear CP Diff</t>
        </is>
      </c>
      <c r="C27" s="20" t="inlineStr">
        <is>
          <t>#</t>
        </is>
      </c>
      <c r="D27" s="20" t="inlineStr">
        <is>
          <t>Ground Ball Diff</t>
        </is>
      </c>
      <c r="E27" s="20" t="inlineStr">
        <is>
          <t>#</t>
        </is>
      </c>
      <c r="F27" s="20" t="inlineStr">
        <is>
          <t>1st Poss to Clear %</t>
        </is>
      </c>
      <c r="G27" s="20" t="inlineStr">
        <is>
          <t>#</t>
        </is>
      </c>
      <c r="H27" s="20" t="inlineStr">
        <is>
          <t>Clearance Diff</t>
        </is>
      </c>
      <c r="I27" s="29" t="inlineStr">
        <is>
          <t>#</t>
        </is>
      </c>
      <c r="J27" s="27" t="inlineStr">
        <is>
          <t>Ball Winning Ranking</t>
        </is>
      </c>
      <c r="K27" s="28" t="inlineStr">
        <is>
          <t>#</t>
        </is>
      </c>
      <c r="L27" s="40" t="n"/>
      <c r="M27" s="19" t="inlineStr">
        <is>
          <t>Def Half to Score %</t>
        </is>
      </c>
      <c r="N27" s="8" t="inlineStr">
        <is>
          <t>#</t>
        </is>
      </c>
      <c r="O27" s="8" t="inlineStr">
        <is>
          <t>Chain to Score %</t>
        </is>
      </c>
      <c r="P27" s="8" t="inlineStr">
        <is>
          <t>#</t>
        </is>
      </c>
      <c r="Q27" s="8" t="inlineStr">
        <is>
          <t>D50 to F50 %</t>
        </is>
      </c>
      <c r="R27" s="8" t="inlineStr">
        <is>
          <t>#</t>
        </is>
      </c>
      <c r="S27" s="8" t="inlineStr">
        <is>
          <t>Kick Rating</t>
        </is>
      </c>
      <c r="T27" s="9" t="inlineStr">
        <is>
          <t>#</t>
        </is>
      </c>
      <c r="U27" s="30" t="inlineStr">
        <is>
          <t>Ball Movement Ranking</t>
        </is>
      </c>
      <c r="V27" s="31" t="inlineStr">
        <is>
          <t>#</t>
        </is>
      </c>
      <c r="W27" s="40" t="n"/>
      <c r="X27" s="41" t="inlineStr">
        <is>
          <t>Scores per I50 %</t>
        </is>
      </c>
      <c r="Y27" s="23" t="inlineStr">
        <is>
          <t>#</t>
        </is>
      </c>
      <c r="Z27" s="23" t="inlineStr">
        <is>
          <t>Goals Per I 50 %</t>
        </is>
      </c>
      <c r="AA27" s="23" t="inlineStr">
        <is>
          <t>#</t>
        </is>
      </c>
      <c r="AB27" s="23" t="inlineStr">
        <is>
          <t>Accuracy %</t>
        </is>
      </c>
      <c r="AC27" s="23" t="inlineStr">
        <is>
          <t>#</t>
        </is>
      </c>
      <c r="AD27" s="42" t="inlineStr">
        <is>
          <t>+/- Exp Score</t>
        </is>
      </c>
      <c r="AE27" s="43" t="inlineStr">
        <is>
          <t>#</t>
        </is>
      </c>
      <c r="AF27" s="44" t="inlineStr">
        <is>
          <t>Scoring Ranking</t>
        </is>
      </c>
      <c r="AG27" s="45" t="inlineStr">
        <is>
          <t>#</t>
        </is>
      </c>
      <c r="AH27" s="40" t="n"/>
      <c r="AI27" s="13" t="inlineStr">
        <is>
          <t>Def Half to Score Ag %</t>
        </is>
      </c>
      <c r="AJ27" s="14" t="inlineStr">
        <is>
          <t>#</t>
        </is>
      </c>
      <c r="AK27" s="14" t="inlineStr">
        <is>
          <t>Chain to Score Ag %</t>
        </is>
      </c>
      <c r="AL27" s="14" t="inlineStr">
        <is>
          <t>#</t>
        </is>
      </c>
      <c r="AM27" s="14" t="inlineStr">
        <is>
          <t>D50 to F50 Ag %</t>
        </is>
      </c>
      <c r="AN27" s="14" t="inlineStr">
        <is>
          <t>#</t>
        </is>
      </c>
      <c r="AO27" s="14" t="inlineStr">
        <is>
          <t>Goals per I50 Ag %</t>
        </is>
      </c>
      <c r="AP27" s="15" t="inlineStr">
        <is>
          <t>#</t>
        </is>
      </c>
      <c r="AQ27" s="33" t="inlineStr">
        <is>
          <t>Defence Ranking</t>
        </is>
      </c>
      <c r="AR27" s="34" t="inlineStr">
        <is>
          <t>#</t>
        </is>
      </c>
      <c r="AS27" s="40" t="n"/>
      <c r="AT27" s="183" t="inlineStr">
        <is>
          <t>Tackle Diff</t>
        </is>
      </c>
      <c r="AU27" s="184" t="inlineStr">
        <is>
          <t>#</t>
        </is>
      </c>
      <c r="AV27" s="184" t="inlineStr">
        <is>
          <t>F50 Tackles</t>
        </is>
      </c>
      <c r="AW27" s="184" t="inlineStr">
        <is>
          <t>#</t>
        </is>
      </c>
      <c r="AX27" s="184" t="inlineStr">
        <is>
          <t>Pressure Acts</t>
        </is>
      </c>
      <c r="AY27" s="184" t="inlineStr">
        <is>
          <t>#</t>
        </is>
      </c>
      <c r="AZ27" s="184" t="inlineStr">
        <is>
          <t>1%'ers</t>
        </is>
      </c>
      <c r="BA27" s="185" t="inlineStr">
        <is>
          <t>#</t>
        </is>
      </c>
      <c r="BB27" s="186" t="inlineStr">
        <is>
          <t>Pressure Ranking</t>
        </is>
      </c>
      <c r="BC27" s="187" t="inlineStr">
        <is>
          <t>#</t>
        </is>
      </c>
      <c r="BD27" s="40" t="n"/>
      <c r="BE27" s="16" t="inlineStr">
        <is>
          <t>Score from Turnover For</t>
        </is>
      </c>
      <c r="BF27" s="17" t="inlineStr">
        <is>
          <t>#</t>
        </is>
      </c>
      <c r="BG27" s="17" t="inlineStr">
        <is>
          <t>Scores from Turnover Ag</t>
        </is>
      </c>
      <c r="BH27" s="17" t="inlineStr">
        <is>
          <t>#</t>
        </is>
      </c>
      <c r="BI27" s="17" t="inlineStr">
        <is>
          <t>Scores from Stoppages For</t>
        </is>
      </c>
      <c r="BJ27" s="17" t="inlineStr">
        <is>
          <t>#</t>
        </is>
      </c>
      <c r="BK27" s="17" t="inlineStr">
        <is>
          <t>Scores from Stoppage Ag</t>
        </is>
      </c>
      <c r="BL27" s="17" t="inlineStr">
        <is>
          <t>#</t>
        </is>
      </c>
      <c r="BM27" s="17" t="inlineStr">
        <is>
          <t>Territory %</t>
        </is>
      </c>
      <c r="BN27" s="17" t="inlineStr">
        <is>
          <t>#</t>
        </is>
      </c>
      <c r="BO27" s="17" t="inlineStr">
        <is>
          <t>Post-Clearance CP Diff</t>
        </is>
      </c>
      <c r="BP27" s="35" t="inlineStr">
        <is>
          <t>#</t>
        </is>
      </c>
      <c r="BQ27" s="36" t="inlineStr">
        <is>
          <t>Health Check Ranking</t>
        </is>
      </c>
      <c r="BR27" s="37" t="inlineStr">
        <is>
          <t>#</t>
        </is>
      </c>
      <c r="BS27" s="40" t="n"/>
      <c r="BT27" s="22" t="inlineStr">
        <is>
          <t>Attack Rating</t>
        </is>
      </c>
      <c r="BU27" s="23" t="inlineStr">
        <is>
          <t>#</t>
        </is>
      </c>
      <c r="BV27" s="23" t="inlineStr">
        <is>
          <t>Defence Rating</t>
        </is>
      </c>
      <c r="BW27" s="23" t="inlineStr">
        <is>
          <t>#</t>
        </is>
      </c>
      <c r="BX27" s="23" t="inlineStr">
        <is>
          <t>Overall Rating</t>
        </is>
      </c>
      <c r="BY27" s="24" t="inlineStr">
        <is>
          <t>#</t>
        </is>
      </c>
    </row>
    <row r="28" ht="25" customHeight="1">
      <c r="A28" s="75" t="inlineStr">
        <is>
          <t>Adelaide</t>
        </is>
      </c>
      <c r="B28" s="46">
        <f>VLOOKUP($A28,INDIRECT("'"&amp;$B$24&amp;"'!$A:$IZ"),222,FALSE)</f>
        <v/>
      </c>
      <c r="C28" s="47">
        <f>RANK(B28,B$28:B$45)</f>
        <v/>
      </c>
      <c r="D28" s="48">
        <f>VLOOKUP($A28,INDIRECT("'"&amp;$B$24&amp;"'!$A:$IZ"),218,FALSE)</f>
        <v/>
      </c>
      <c r="E28" s="47">
        <f>RANK(D28,D$28:D$45)</f>
        <v/>
      </c>
      <c r="F28" s="48">
        <f>VLOOKUP($A28,INDIRECT("'"&amp;$B$24&amp;"'!$A:$IZ"),49,FALSE)</f>
        <v/>
      </c>
      <c r="G28" s="47">
        <f>RANK(F28,F$28:F$45)</f>
        <v/>
      </c>
      <c r="H28" s="48">
        <f>VLOOKUP($A28,INDIRECT("'"&amp;$B$24&amp;"'!$A:$IZ"),229,FALSE)</f>
        <v/>
      </c>
      <c r="I28" s="47">
        <f>RANK(H28,H$28:H$45)</f>
        <v/>
      </c>
      <c r="J28" s="49">
        <f>104-(C28+E28+G28+I28)</f>
        <v/>
      </c>
      <c r="K28" s="47">
        <f>RANK(J28,J$28:J$45)</f>
        <v/>
      </c>
      <c r="L28" s="50" t="n"/>
      <c r="M28" s="46">
        <f>VLOOKUP($A28,INDIRECT("'"&amp;$B$24&amp;"'!$A:$IZ"),88,FALSE)</f>
        <v/>
      </c>
      <c r="N28" s="47">
        <f>RANK(M28,M$28:M$45)</f>
        <v/>
      </c>
      <c r="O28" s="46">
        <f>VLOOKUP($A28,INDIRECT("'"&amp;$B$24&amp;"'!$A:$IZ"),84,FALSE)</f>
        <v/>
      </c>
      <c r="P28" s="47">
        <f>RANK(O28,O$28:O$45)</f>
        <v/>
      </c>
      <c r="Q28" s="46">
        <f>VLOOKUP($A28,INDIRECT("'"&amp;$B$24&amp;"'!$A:$IZ"),85,FALSE)</f>
        <v/>
      </c>
      <c r="R28" s="47">
        <f>RANK(Q28,Q$28:Q$45)</f>
        <v/>
      </c>
      <c r="S28" s="48">
        <f>VLOOKUP($A28,INDIRECT("'"&amp;$B$24&amp;"'!$A:$IZ"),29,FALSE)</f>
        <v/>
      </c>
      <c r="T28" s="47">
        <f>RANK(S28,S$28:S$45)</f>
        <v/>
      </c>
      <c r="U28" s="49">
        <f>104-(N28+P28+R28+T28)</f>
        <v/>
      </c>
      <c r="V28" s="47">
        <f>RANK(U28,U$28:U$45)</f>
        <v/>
      </c>
      <c r="W28" s="50" t="n"/>
      <c r="X28" s="46">
        <f>VLOOKUP($A28,INDIRECT("'"&amp;$B$24&amp;"'!$A:$IZ"),65,FALSE)</f>
        <v/>
      </c>
      <c r="Y28" s="47">
        <f>RANK(X28,X$28:X$45)</f>
        <v/>
      </c>
      <c r="Z28" s="46">
        <f>VLOOKUP($A28,INDIRECT("'"&amp;$B$24&amp;"'!$A:$IZ"),64,FALSE)</f>
        <v/>
      </c>
      <c r="AA28" s="47">
        <f>RANK(Z28,Z$28:Z$45)</f>
        <v/>
      </c>
      <c r="AB28" s="46">
        <f>VLOOKUP($A28,INDIRECT("'"&amp;$B$24&amp;"'!$A:$IZ"),63,FALSE)</f>
        <v/>
      </c>
      <c r="AC28" s="47">
        <f>RANK(AB28,AB$28:AB$45)</f>
        <v/>
      </c>
      <c r="AD28" s="46">
        <f>VLOOKUP($A28,INDIRECT("'"&amp;$B$24&amp;"'!$A:$IZ"),71,FALSE)</f>
        <v/>
      </c>
      <c r="AE28" s="47">
        <f>RANK(AD28,AD$28:AD$45)</f>
        <v/>
      </c>
      <c r="AF28" s="49">
        <f>104-(Y28+AA28+AC28+AE28)</f>
        <v/>
      </c>
      <c r="AG28" s="47">
        <f>RANK(AF28,AF$28:AF$45)</f>
        <v/>
      </c>
      <c r="AH28" s="50" t="n"/>
      <c r="AI28" s="46">
        <f>VLOOKUP($A28,INDIRECT("'"&amp;$B$24&amp;"'!$A:$IZ"),183,FALSE)</f>
        <v/>
      </c>
      <c r="AJ28" s="47">
        <f>RANK(AI28,AI$28:AI$45,1)</f>
        <v/>
      </c>
      <c r="AK28" s="46">
        <f>VLOOKUP($A28,INDIRECT("'"&amp;$B$24&amp;"'!$A:$IZ"),181,FALSE)</f>
        <v/>
      </c>
      <c r="AL28" s="47">
        <f>RANK(AK28,AK$28:AK$45,1)</f>
        <v/>
      </c>
      <c r="AM28" s="46">
        <f>VLOOKUP($A28,INDIRECT("'"&amp;$B$24&amp;"'!$A:$IZ"),182,FALSE)</f>
        <v/>
      </c>
      <c r="AN28" s="47">
        <f>RANK(AM28,AM$28:AM$45,1)</f>
        <v/>
      </c>
      <c r="AO28" s="46">
        <f>VLOOKUP($A28,INDIRECT("'"&amp;$B$24&amp;"'!$A:$IZ"),163,FALSE)</f>
        <v/>
      </c>
      <c r="AP28" s="47">
        <f>RANK(AO28,AO$28:AO$45,1)</f>
        <v/>
      </c>
      <c r="AQ28" s="49">
        <f>104-(AJ28+AL28+AN28+AP28)</f>
        <v/>
      </c>
      <c r="AR28" s="47">
        <f>RANK(AQ28,AQ$28:AQ$45)</f>
        <v/>
      </c>
      <c r="AS28" s="50" t="n"/>
      <c r="AT28" s="46">
        <f>VLOOKUP($A28,INDIRECT("'"&amp;$B$24&amp;"'!$A:$IZ"),250,FALSE)</f>
        <v/>
      </c>
      <c r="AU28" s="47">
        <f>RANK(AT28,AT$28:AT$45,0)</f>
        <v/>
      </c>
      <c r="AV28" s="46">
        <f>VLOOKUP($A28,INDIRECT("'"&amp;$B$24&amp;"'!$A:$IZ"),92,FALSE)</f>
        <v/>
      </c>
      <c r="AW28" s="47">
        <f>RANK(AV28,AV$28:AV$45,0)</f>
        <v/>
      </c>
      <c r="AX28" s="46">
        <f>VLOOKUP($A28,INDIRECT("'"&amp;$B$24&amp;"'!$A:$IZ"),93,FALSE)</f>
        <v/>
      </c>
      <c r="AY28" s="47">
        <f>RANK(AX28,AX$28:AX$45,0)</f>
        <v/>
      </c>
      <c r="AZ28" s="46">
        <f>VLOOKUP($A28,INDIRECT("'"&amp;$B$24&amp;"'!$A:$IZ"),108,FALSE)</f>
        <v/>
      </c>
      <c r="BA28" s="47">
        <f>RANK(AZ28,AZ$28:AZ$45,0)</f>
        <v/>
      </c>
      <c r="BB28" s="46">
        <f>104-(AU28+AW28+AY28+BA28)</f>
        <v/>
      </c>
      <c r="BC28" s="47">
        <f>RANK(BB28,BB$28:BB$45)</f>
        <v/>
      </c>
      <c r="BD28" s="50" t="n"/>
      <c r="BE28" s="46">
        <f>VLOOKUP($A28,INDIRECT("'"&amp;$B$24&amp;"'!$A:$IZ"),80,FALSE)</f>
        <v/>
      </c>
      <c r="BF28" s="47">
        <f>RANK(BE28,BE$28:BE$45)</f>
        <v/>
      </c>
      <c r="BG28" s="46">
        <f>VLOOKUP($A28,INDIRECT("'"&amp;$B$24&amp;"'!$A:$IZ"),177,FALSE)</f>
        <v/>
      </c>
      <c r="BH28" s="47">
        <f>RANK(BG28,BG$28:BG$45,1)</f>
        <v/>
      </c>
      <c r="BI28" s="46">
        <f>VLOOKUP($A28,INDIRECT("'"&amp;$B$24&amp;"'!$A:$IZ"),79,FALSE)</f>
        <v/>
      </c>
      <c r="BJ28" s="47">
        <f>RANK(BI28,BI$28:BI$45)</f>
        <v/>
      </c>
      <c r="BK28" s="46">
        <f>VLOOKUP($A28,INDIRECT("'"&amp;$B$24&amp;"'!$A:$IZ"),176,FALSE)</f>
        <v/>
      </c>
      <c r="BL28" s="47">
        <f>RANK(BK28,BK$28:BK$45,1)</f>
        <v/>
      </c>
      <c r="BM28" s="46">
        <f>VLOOKUP($A28,INDIRECT("'"&amp;$B$24&amp;"'!$A:$IZ"),11,FALSE)</f>
        <v/>
      </c>
      <c r="BN28" s="47">
        <f>RANK(BM28,BM$28:BM$45)</f>
        <v/>
      </c>
      <c r="BO28" s="46">
        <f>VLOOKUP($A28,INDIRECT("'"&amp;$B$24&amp;"'!$A:$IZ"),222,FALSE)</f>
        <v/>
      </c>
      <c r="BP28" s="47">
        <f>RANK(BO28,BO$28:BO$45)</f>
        <v/>
      </c>
      <c r="BQ28" s="49">
        <f>104-(BJ28+BL28+BN28+BP28)</f>
        <v/>
      </c>
      <c r="BR28" s="47">
        <f>RANK(BQ28,BQ$28:BQ$45)</f>
        <v/>
      </c>
      <c r="BS28" s="50" t="n"/>
      <c r="BT28" s="51">
        <f>VLOOKUP($A28,'Ratings Season'!$A:$M,8,FALSE)</f>
        <v/>
      </c>
      <c r="BU28" s="47">
        <f>RANK(BT28,BT$28:BT$45)</f>
        <v/>
      </c>
      <c r="BV28" s="51">
        <f>VLOOKUP($A28,'Ratings Season'!$A:$M,4,FALSE)</f>
        <v/>
      </c>
      <c r="BW28" s="47">
        <f>RANK(BV28,BV$28:BV$45)</f>
        <v/>
      </c>
      <c r="BX28" s="51">
        <f>VLOOKUP($A28,'Ratings Season'!$A:$M,2,FALSE)</f>
        <v/>
      </c>
      <c r="BY28" s="52">
        <f>RANK(BX28,BX$28:BX$45)</f>
        <v/>
      </c>
    </row>
    <row r="29" ht="25" customHeight="1">
      <c r="A29" s="76" t="inlineStr">
        <is>
          <t>Brisbane</t>
        </is>
      </c>
      <c r="B29" s="53">
        <f>VLOOKUP($A29,INDIRECT("'"&amp;$B$24&amp;"'!$A:$IZ"),222,FALSE)</f>
        <v/>
      </c>
      <c r="C29" s="54">
        <f>RANK(B29,B$28:B$45)</f>
        <v/>
      </c>
      <c r="D29" s="55">
        <f>VLOOKUP($A29,INDIRECT("'"&amp;$B$24&amp;"'!$A:$IZ"),218,FALSE)</f>
        <v/>
      </c>
      <c r="E29" s="54">
        <f>RANK(D29,D$28:D$45)</f>
        <v/>
      </c>
      <c r="F29" s="55">
        <f>VLOOKUP($A29,INDIRECT("'"&amp;$B$24&amp;"'!$A:$IZ"),49,FALSE)</f>
        <v/>
      </c>
      <c r="G29" s="54">
        <f>RANK(F29,F$28:F$45)</f>
        <v/>
      </c>
      <c r="H29" s="55">
        <f>VLOOKUP($A29,INDIRECT("'"&amp;$B$24&amp;"'!$A:$IZ"),229,FALSE)</f>
        <v/>
      </c>
      <c r="I29" s="54">
        <f>RANK(H29,H$28:H$45)</f>
        <v/>
      </c>
      <c r="J29" s="49">
        <f>104-(C29+E29+G29+I29)</f>
        <v/>
      </c>
      <c r="K29" s="47">
        <f>RANK(J29,J$28:J$45)</f>
        <v/>
      </c>
      <c r="L29" s="56" t="n"/>
      <c r="M29" s="53">
        <f>VLOOKUP($A29,INDIRECT("'"&amp;$B$24&amp;"'!$A:$IZ"),88,FALSE)</f>
        <v/>
      </c>
      <c r="N29" s="54">
        <f>RANK(M29,M$28:M$45)</f>
        <v/>
      </c>
      <c r="O29" s="53">
        <f>VLOOKUP($A29,INDIRECT("'"&amp;$B$24&amp;"'!$A:$IZ"),84,FALSE)</f>
        <v/>
      </c>
      <c r="P29" s="54">
        <f>RANK(O29,O$28:O$45)</f>
        <v/>
      </c>
      <c r="Q29" s="53">
        <f>VLOOKUP($A29,INDIRECT("'"&amp;$B$24&amp;"'!$A:$IZ"),85,FALSE)</f>
        <v/>
      </c>
      <c r="R29" s="54">
        <f>RANK(Q29,Q$28:Q$45)</f>
        <v/>
      </c>
      <c r="S29" s="55">
        <f>VLOOKUP($A29,INDIRECT("'"&amp;$B$24&amp;"'!$A:$IZ"),29,FALSE)</f>
        <v/>
      </c>
      <c r="T29" s="54">
        <f>RANK(S29,S$28:S$45)</f>
        <v/>
      </c>
      <c r="U29" s="49">
        <f>104-(N29+P29+R29+T29)</f>
        <v/>
      </c>
      <c r="V29" s="47">
        <f>RANK(U29,U$28:U$45)</f>
        <v/>
      </c>
      <c r="W29" s="56" t="n"/>
      <c r="X29" s="53">
        <f>VLOOKUP($A29,INDIRECT("'"&amp;$B$24&amp;"'!$A:$IZ"),65,FALSE)</f>
        <v/>
      </c>
      <c r="Y29" s="54">
        <f>RANK(X29,X$28:X$45)</f>
        <v/>
      </c>
      <c r="Z29" s="53">
        <f>VLOOKUP($A29,INDIRECT("'"&amp;$B$24&amp;"'!$A:$IZ"),64,FALSE)</f>
        <v/>
      </c>
      <c r="AA29" s="54">
        <f>RANK(Z29,Z$28:Z$45)</f>
        <v/>
      </c>
      <c r="AB29" s="53">
        <f>VLOOKUP($A29,INDIRECT("'"&amp;$B$24&amp;"'!$A:$IZ"),63,FALSE)</f>
        <v/>
      </c>
      <c r="AC29" s="54">
        <f>RANK(AB29,AB$28:AB$45)</f>
        <v/>
      </c>
      <c r="AD29" s="53">
        <f>VLOOKUP($A29,INDIRECT("'"&amp;$B$24&amp;"'!$A:$IZ"),71,FALSE)</f>
        <v/>
      </c>
      <c r="AE29" s="54">
        <f>RANK(AD29,AD$28:AD$45)</f>
        <v/>
      </c>
      <c r="AF29" s="65">
        <f>104-(Y29+AA29+AC29+AE29)</f>
        <v/>
      </c>
      <c r="AG29" s="47">
        <f>RANK(AF29,AF$28:AF$45)</f>
        <v/>
      </c>
      <c r="AH29" s="56" t="n"/>
      <c r="AI29" s="53">
        <f>VLOOKUP($A29,INDIRECT("'"&amp;$B$24&amp;"'!$A:$IZ"),183,FALSE)</f>
        <v/>
      </c>
      <c r="AJ29" s="54">
        <f>RANK(AI29,AI$28:AI$45,1)</f>
        <v/>
      </c>
      <c r="AK29" s="53">
        <f>VLOOKUP($A29,INDIRECT("'"&amp;$B$24&amp;"'!$A:$IZ"),181,FALSE)</f>
        <v/>
      </c>
      <c r="AL29" s="54">
        <f>RANK(AK29,AK$28:AK$45,1)</f>
        <v/>
      </c>
      <c r="AM29" s="53">
        <f>VLOOKUP($A29,INDIRECT("'"&amp;$B$24&amp;"'!$A:$IZ"),182,FALSE)</f>
        <v/>
      </c>
      <c r="AN29" s="54">
        <f>RANK(AM29,AM$28:AM$45,1)</f>
        <v/>
      </c>
      <c r="AO29" s="53">
        <f>VLOOKUP($A29,INDIRECT("'"&amp;$B$24&amp;"'!$A:$IZ"),163,FALSE)</f>
        <v/>
      </c>
      <c r="AP29" s="54">
        <f>RANK(AO29,AO$28:AO$45,1)</f>
        <v/>
      </c>
      <c r="AQ29" s="65">
        <f>104-(AJ29+AL29+AN29+AP29)</f>
        <v/>
      </c>
      <c r="AR29" s="47">
        <f>RANK(AQ29,AQ$28:AQ$45)</f>
        <v/>
      </c>
      <c r="AS29" s="56" t="n"/>
      <c r="AT29" s="46">
        <f>VLOOKUP($A29,INDIRECT("'"&amp;$B$24&amp;"'!$A:$IZ"),250,FALSE)</f>
        <v/>
      </c>
      <c r="AU29" s="47">
        <f>RANK(AT29,AT$28:AT$45,0)</f>
        <v/>
      </c>
      <c r="AV29" s="46">
        <f>VLOOKUP($A29,INDIRECT("'"&amp;$B$24&amp;"'!$A:$IZ"),92,FALSE)</f>
        <v/>
      </c>
      <c r="AW29" s="47">
        <f>RANK(AV29,AV$28:AV$45,0)</f>
        <v/>
      </c>
      <c r="AX29" s="46">
        <f>VLOOKUP($A29,INDIRECT("'"&amp;$B$24&amp;"'!$A:$IZ"),93,FALSE)</f>
        <v/>
      </c>
      <c r="AY29" s="47">
        <f>RANK(AX29,AX$28:AX$45,0)</f>
        <v/>
      </c>
      <c r="AZ29" s="46">
        <f>VLOOKUP($A29,INDIRECT("'"&amp;$B$24&amp;"'!$A:$IZ"),108,FALSE)</f>
        <v/>
      </c>
      <c r="BA29" s="47">
        <f>RANK(AZ29,AZ$28:AZ$45,0)</f>
        <v/>
      </c>
      <c r="BB29" s="46">
        <f>104-(AU29+AW29+AY29+BA29)</f>
        <v/>
      </c>
      <c r="BC29" s="47">
        <f>RANK(BB29,BB$28:BB$45)</f>
        <v/>
      </c>
      <c r="BD29" s="56" t="n"/>
      <c r="BE29" s="53">
        <f>VLOOKUP($A29,INDIRECT("'"&amp;$B$24&amp;"'!$A:$IZ"),80,FALSE)</f>
        <v/>
      </c>
      <c r="BF29" s="54">
        <f>RANK(BE29,BE$28:BE$45)</f>
        <v/>
      </c>
      <c r="BG29" s="53">
        <f>VLOOKUP($A29,INDIRECT("'"&amp;$B$24&amp;"'!$A:$IZ"),177,FALSE)</f>
        <v/>
      </c>
      <c r="BH29" s="54">
        <f>RANK(BG29,BG$28:BG$45,1)</f>
        <v/>
      </c>
      <c r="BI29" s="53">
        <f>VLOOKUP($A29,INDIRECT("'"&amp;$B$24&amp;"'!$A:$IZ"),79,FALSE)</f>
        <v/>
      </c>
      <c r="BJ29" s="54">
        <f>RANK(BI29,BI$28:BI$45)</f>
        <v/>
      </c>
      <c r="BK29" s="53">
        <f>VLOOKUP($A29,INDIRECT("'"&amp;$B$24&amp;"'!$A:$IZ"),176,FALSE)</f>
        <v/>
      </c>
      <c r="BL29" s="54">
        <f>RANK(BK29,BK$28:BK$45,1)</f>
        <v/>
      </c>
      <c r="BM29" s="53">
        <f>VLOOKUP($A29,INDIRECT("'"&amp;$B$24&amp;"'!$A:$IZ"),11,FALSE)</f>
        <v/>
      </c>
      <c r="BN29" s="54">
        <f>RANK(BM29,BM$28:BM$45)</f>
        <v/>
      </c>
      <c r="BO29" s="53">
        <f>VLOOKUP($A29,INDIRECT("'"&amp;$B$24&amp;"'!$A:$IZ"),222,FALSE)</f>
        <v/>
      </c>
      <c r="BP29" s="54">
        <f>RANK(BO29,BO$28:BO$45)</f>
        <v/>
      </c>
      <c r="BQ29" s="65">
        <f>104-(BJ29+BL29+BN29+BP29)</f>
        <v/>
      </c>
      <c r="BR29" s="47">
        <f>RANK(BQ29,BQ$28:BQ$45)</f>
        <v/>
      </c>
      <c r="BS29" s="56" t="n"/>
      <c r="BT29" s="57">
        <f>VLOOKUP($A29,'Ratings Season'!$A:$M,8,FALSE)</f>
        <v/>
      </c>
      <c r="BU29" s="54">
        <f>RANK(BT29,BT$28:BT$45)</f>
        <v/>
      </c>
      <c r="BV29" s="57">
        <f>VLOOKUP($A29,'Ratings Season'!$A:$M,4,FALSE)</f>
        <v/>
      </c>
      <c r="BW29" s="54">
        <f>RANK(BV29,BV$28:BV$45)</f>
        <v/>
      </c>
      <c r="BX29" s="57">
        <f>VLOOKUP($A29,'Ratings Season'!$A:$M,2,FALSE)</f>
        <v/>
      </c>
      <c r="BY29" s="58">
        <f>RANK(BX29,BX$28:BX$45)</f>
        <v/>
      </c>
    </row>
    <row r="30" ht="25" customHeight="1">
      <c r="A30" s="77" t="inlineStr">
        <is>
          <t>Carlton</t>
        </is>
      </c>
      <c r="B30" s="53">
        <f>VLOOKUP($A30,INDIRECT("'"&amp;$B$24&amp;"'!$A:$IZ"),222,FALSE)</f>
        <v/>
      </c>
      <c r="C30" s="54">
        <f>RANK(B30,B$28:B$45)</f>
        <v/>
      </c>
      <c r="D30" s="55">
        <f>VLOOKUP($A30,INDIRECT("'"&amp;$B$24&amp;"'!$A:$IZ"),218,FALSE)</f>
        <v/>
      </c>
      <c r="E30" s="54">
        <f>RANK(D30,D$28:D$45)</f>
        <v/>
      </c>
      <c r="F30" s="55">
        <f>VLOOKUP($A30,INDIRECT("'"&amp;$B$24&amp;"'!$A:$IZ"),49,FALSE)</f>
        <v/>
      </c>
      <c r="G30" s="54">
        <f>RANK(F30,F$28:F$45)</f>
        <v/>
      </c>
      <c r="H30" s="55">
        <f>VLOOKUP($A30,INDIRECT("'"&amp;$B$24&amp;"'!$A:$IZ"),229,FALSE)</f>
        <v/>
      </c>
      <c r="I30" s="54">
        <f>RANK(H30,H$28:H$45)</f>
        <v/>
      </c>
      <c r="J30" s="49">
        <f>104-(C30+E30+G30+I30)</f>
        <v/>
      </c>
      <c r="K30" s="47">
        <f>RANK(J30,J$28:J$45)</f>
        <v/>
      </c>
      <c r="L30" s="56" t="n"/>
      <c r="M30" s="53">
        <f>VLOOKUP($A30,INDIRECT("'"&amp;$B$24&amp;"'!$A:$IZ"),88,FALSE)</f>
        <v/>
      </c>
      <c r="N30" s="54">
        <f>RANK(M30,M$28:M$45)</f>
        <v/>
      </c>
      <c r="O30" s="53">
        <f>VLOOKUP($A30,INDIRECT("'"&amp;$B$24&amp;"'!$A:$IZ"),84,FALSE)</f>
        <v/>
      </c>
      <c r="P30" s="54">
        <f>RANK(O30,O$28:O$45)</f>
        <v/>
      </c>
      <c r="Q30" s="53">
        <f>VLOOKUP($A30,INDIRECT("'"&amp;$B$24&amp;"'!$A:$IZ"),85,FALSE)</f>
        <v/>
      </c>
      <c r="R30" s="54">
        <f>RANK(Q30,Q$28:Q$45)</f>
        <v/>
      </c>
      <c r="S30" s="55">
        <f>VLOOKUP($A30,INDIRECT("'"&amp;$B$24&amp;"'!$A:$IZ"),29,FALSE)</f>
        <v/>
      </c>
      <c r="T30" s="54">
        <f>RANK(S30,S$28:S$45)</f>
        <v/>
      </c>
      <c r="U30" s="49">
        <f>104-(N30+P30+R30+T30)</f>
        <v/>
      </c>
      <c r="V30" s="47">
        <f>RANK(U30,U$28:U$45)</f>
        <v/>
      </c>
      <c r="W30" s="56" t="n"/>
      <c r="X30" s="53">
        <f>VLOOKUP($A30,INDIRECT("'"&amp;$B$24&amp;"'!$A:$IZ"),65,FALSE)</f>
        <v/>
      </c>
      <c r="Y30" s="54">
        <f>RANK(X30,X$28:X$45)</f>
        <v/>
      </c>
      <c r="Z30" s="53">
        <f>VLOOKUP($A30,INDIRECT("'"&amp;$B$24&amp;"'!$A:$IZ"),64,FALSE)</f>
        <v/>
      </c>
      <c r="AA30" s="54">
        <f>RANK(Z30,Z$28:Z$45)</f>
        <v/>
      </c>
      <c r="AB30" s="53">
        <f>VLOOKUP($A30,INDIRECT("'"&amp;$B$24&amp;"'!$A:$IZ"),63,FALSE)</f>
        <v/>
      </c>
      <c r="AC30" s="54">
        <f>RANK(AB30,AB$28:AB$45)</f>
        <v/>
      </c>
      <c r="AD30" s="53">
        <f>VLOOKUP($A30,INDIRECT("'"&amp;$B$24&amp;"'!$A:$IZ"),71,FALSE)</f>
        <v/>
      </c>
      <c r="AE30" s="54">
        <f>RANK(AD30,AD$28:AD$45)</f>
        <v/>
      </c>
      <c r="AF30" s="65">
        <f>104-(Y30+AA30+AC30+AE30)</f>
        <v/>
      </c>
      <c r="AG30" s="47">
        <f>RANK(AF30,AF$28:AF$45)</f>
        <v/>
      </c>
      <c r="AH30" s="56" t="n"/>
      <c r="AI30" s="53">
        <f>VLOOKUP($A30,INDIRECT("'"&amp;$B$24&amp;"'!$A:$IZ"),183,FALSE)</f>
        <v/>
      </c>
      <c r="AJ30" s="54">
        <f>RANK(AI30,AI$28:AI$45,1)</f>
        <v/>
      </c>
      <c r="AK30" s="53">
        <f>VLOOKUP($A30,INDIRECT("'"&amp;$B$24&amp;"'!$A:$IZ"),181,FALSE)</f>
        <v/>
      </c>
      <c r="AL30" s="54">
        <f>RANK(AK30,AK$28:AK$45,1)</f>
        <v/>
      </c>
      <c r="AM30" s="53">
        <f>VLOOKUP($A30,INDIRECT("'"&amp;$B$24&amp;"'!$A:$IZ"),182,FALSE)</f>
        <v/>
      </c>
      <c r="AN30" s="54">
        <f>RANK(AM30,AM$28:AM$45,1)</f>
        <v/>
      </c>
      <c r="AO30" s="53">
        <f>VLOOKUP($A30,INDIRECT("'"&amp;$B$24&amp;"'!$A:$IZ"),163,FALSE)</f>
        <v/>
      </c>
      <c r="AP30" s="54">
        <f>RANK(AO30,AO$28:AO$45,1)</f>
        <v/>
      </c>
      <c r="AQ30" s="65">
        <f>104-(AJ30+AL30+AN30+AP30)</f>
        <v/>
      </c>
      <c r="AR30" s="47">
        <f>RANK(AQ30,AQ$28:AQ$45)</f>
        <v/>
      </c>
      <c r="AS30" s="56" t="n"/>
      <c r="AT30" s="46">
        <f>VLOOKUP($A30,INDIRECT("'"&amp;$B$24&amp;"'!$A:$IZ"),250,FALSE)</f>
        <v/>
      </c>
      <c r="AU30" s="47">
        <f>RANK(AT30,AT$28:AT$45,0)</f>
        <v/>
      </c>
      <c r="AV30" s="46">
        <f>VLOOKUP($A30,INDIRECT("'"&amp;$B$24&amp;"'!$A:$IZ"),92,FALSE)</f>
        <v/>
      </c>
      <c r="AW30" s="47">
        <f>RANK(AV30,AV$28:AV$45,0)</f>
        <v/>
      </c>
      <c r="AX30" s="46">
        <f>VLOOKUP($A30,INDIRECT("'"&amp;$B$24&amp;"'!$A:$IZ"),93,FALSE)</f>
        <v/>
      </c>
      <c r="AY30" s="47">
        <f>RANK(AX30,AX$28:AX$45,0)</f>
        <v/>
      </c>
      <c r="AZ30" s="46">
        <f>VLOOKUP($A30,INDIRECT("'"&amp;$B$24&amp;"'!$A:$IZ"),108,FALSE)</f>
        <v/>
      </c>
      <c r="BA30" s="47">
        <f>RANK(AZ30,AZ$28:AZ$45,0)</f>
        <v/>
      </c>
      <c r="BB30" s="46">
        <f>104-(AU30+AW30+AY30+BA30)</f>
        <v/>
      </c>
      <c r="BC30" s="47">
        <f>RANK(BB30,BB$28:BB$45)</f>
        <v/>
      </c>
      <c r="BD30" s="56" t="n"/>
      <c r="BE30" s="53">
        <f>VLOOKUP($A30,INDIRECT("'"&amp;$B$24&amp;"'!$A:$IZ"),80,FALSE)</f>
        <v/>
      </c>
      <c r="BF30" s="54">
        <f>RANK(BE30,BE$28:BE$45)</f>
        <v/>
      </c>
      <c r="BG30" s="53">
        <f>VLOOKUP($A30,INDIRECT("'"&amp;$B$24&amp;"'!$A:$IZ"),177,FALSE)</f>
        <v/>
      </c>
      <c r="BH30" s="54">
        <f>RANK(BG30,BG$28:BG$45,1)</f>
        <v/>
      </c>
      <c r="BI30" s="53">
        <f>VLOOKUP($A30,INDIRECT("'"&amp;$B$24&amp;"'!$A:$IZ"),79,FALSE)</f>
        <v/>
      </c>
      <c r="BJ30" s="54">
        <f>RANK(BI30,BI$28:BI$45)</f>
        <v/>
      </c>
      <c r="BK30" s="53">
        <f>VLOOKUP($A30,INDIRECT("'"&amp;$B$24&amp;"'!$A:$IZ"),176,FALSE)</f>
        <v/>
      </c>
      <c r="BL30" s="54">
        <f>RANK(BK30,BK$28:BK$45,1)</f>
        <v/>
      </c>
      <c r="BM30" s="53">
        <f>VLOOKUP($A30,INDIRECT("'"&amp;$B$24&amp;"'!$A:$IZ"),11,FALSE)</f>
        <v/>
      </c>
      <c r="BN30" s="54">
        <f>RANK(BM30,BM$28:BM$45)</f>
        <v/>
      </c>
      <c r="BO30" s="53">
        <f>VLOOKUP($A30,INDIRECT("'"&amp;$B$24&amp;"'!$A:$IZ"),222,FALSE)</f>
        <v/>
      </c>
      <c r="BP30" s="54">
        <f>RANK(BO30,BO$28:BO$45)</f>
        <v/>
      </c>
      <c r="BQ30" s="65">
        <f>104-(BJ30+BL30+BN30+BP30)</f>
        <v/>
      </c>
      <c r="BR30" s="47">
        <f>RANK(BQ30,BQ$28:BQ$45)</f>
        <v/>
      </c>
      <c r="BS30" s="56" t="n"/>
      <c r="BT30" s="57">
        <f>VLOOKUP($A30,'Ratings Season'!$A:$M,8,FALSE)</f>
        <v/>
      </c>
      <c r="BU30" s="54">
        <f>RANK(BT30,BT$28:BT$45)</f>
        <v/>
      </c>
      <c r="BV30" s="57">
        <f>VLOOKUP($A30,'Ratings Season'!$A:$M,4,FALSE)</f>
        <v/>
      </c>
      <c r="BW30" s="54">
        <f>RANK(BV30,BV$28:BV$45)</f>
        <v/>
      </c>
      <c r="BX30" s="57">
        <f>VLOOKUP($A30,'Ratings Season'!$A:$M,2,FALSE)</f>
        <v/>
      </c>
      <c r="BY30" s="58">
        <f>RANK(BX30,BX$28:BX$45)</f>
        <v/>
      </c>
    </row>
    <row r="31" ht="25" customHeight="1">
      <c r="A31" s="78" t="inlineStr">
        <is>
          <t>Collingwood</t>
        </is>
      </c>
      <c r="B31" s="53">
        <f>VLOOKUP($A31,INDIRECT("'"&amp;$B$24&amp;"'!$A:$IZ"),222,FALSE)</f>
        <v/>
      </c>
      <c r="C31" s="54">
        <f>RANK(B31,B$28:B$45)</f>
        <v/>
      </c>
      <c r="D31" s="55">
        <f>VLOOKUP($A31,INDIRECT("'"&amp;$B$24&amp;"'!$A:$IZ"),218,FALSE)</f>
        <v/>
      </c>
      <c r="E31" s="54">
        <f>RANK(D31,D$28:D$45)</f>
        <v/>
      </c>
      <c r="F31" s="55">
        <f>VLOOKUP($A31,INDIRECT("'"&amp;$B$24&amp;"'!$A:$IZ"),49,FALSE)</f>
        <v/>
      </c>
      <c r="G31" s="54">
        <f>RANK(F31,F$28:F$45)</f>
        <v/>
      </c>
      <c r="H31" s="55">
        <f>VLOOKUP($A31,INDIRECT("'"&amp;$B$24&amp;"'!$A:$IZ"),229,FALSE)</f>
        <v/>
      </c>
      <c r="I31" s="54">
        <f>RANK(H31,H$28:H$45)</f>
        <v/>
      </c>
      <c r="J31" s="49">
        <f>104-(C31+E31+G31+I31)</f>
        <v/>
      </c>
      <c r="K31" s="47">
        <f>RANK(J31,J$28:J$45)</f>
        <v/>
      </c>
      <c r="L31" s="56" t="n"/>
      <c r="M31" s="53">
        <f>VLOOKUP($A31,INDIRECT("'"&amp;$B$24&amp;"'!$A:$IZ"),88,FALSE)</f>
        <v/>
      </c>
      <c r="N31" s="54">
        <f>RANK(M31,M$28:M$45)</f>
        <v/>
      </c>
      <c r="O31" s="53">
        <f>VLOOKUP($A31,INDIRECT("'"&amp;$B$24&amp;"'!$A:$IZ"),84,FALSE)</f>
        <v/>
      </c>
      <c r="P31" s="54">
        <f>RANK(O31,O$28:O$45)</f>
        <v/>
      </c>
      <c r="Q31" s="53">
        <f>VLOOKUP($A31,INDIRECT("'"&amp;$B$24&amp;"'!$A:$IZ"),85,FALSE)</f>
        <v/>
      </c>
      <c r="R31" s="54">
        <f>RANK(Q31,Q$28:Q$45)</f>
        <v/>
      </c>
      <c r="S31" s="55">
        <f>VLOOKUP($A31,INDIRECT("'"&amp;$B$24&amp;"'!$A:$IZ"),29,FALSE)</f>
        <v/>
      </c>
      <c r="T31" s="54">
        <f>RANK(S31,S$28:S$45)</f>
        <v/>
      </c>
      <c r="U31" s="49">
        <f>104-(N31+P31+R31+T31)</f>
        <v/>
      </c>
      <c r="V31" s="47">
        <f>RANK(U31,U$28:U$45)</f>
        <v/>
      </c>
      <c r="W31" s="56" t="n"/>
      <c r="X31" s="53">
        <f>VLOOKUP($A31,INDIRECT("'"&amp;$B$24&amp;"'!$A:$IZ"),65,FALSE)</f>
        <v/>
      </c>
      <c r="Y31" s="54">
        <f>RANK(X31,X$28:X$45)</f>
        <v/>
      </c>
      <c r="Z31" s="53">
        <f>VLOOKUP($A31,INDIRECT("'"&amp;$B$24&amp;"'!$A:$IZ"),64,FALSE)</f>
        <v/>
      </c>
      <c r="AA31" s="54">
        <f>RANK(Z31,Z$28:Z$45)</f>
        <v/>
      </c>
      <c r="AB31" s="53">
        <f>VLOOKUP($A31,INDIRECT("'"&amp;$B$24&amp;"'!$A:$IZ"),63,FALSE)</f>
        <v/>
      </c>
      <c r="AC31" s="54">
        <f>RANK(AB31,AB$28:AB$45)</f>
        <v/>
      </c>
      <c r="AD31" s="53">
        <f>VLOOKUP($A31,INDIRECT("'"&amp;$B$24&amp;"'!$A:$IZ"),71,FALSE)</f>
        <v/>
      </c>
      <c r="AE31" s="54">
        <f>RANK(AD31,AD$28:AD$45)</f>
        <v/>
      </c>
      <c r="AF31" s="65">
        <f>104-(Y31+AA31+AC31+AE31)</f>
        <v/>
      </c>
      <c r="AG31" s="47">
        <f>RANK(AF31,AF$28:AF$45)</f>
        <v/>
      </c>
      <c r="AH31" s="56" t="n"/>
      <c r="AI31" s="53">
        <f>VLOOKUP($A31,INDIRECT("'"&amp;$B$24&amp;"'!$A:$IZ"),183,FALSE)</f>
        <v/>
      </c>
      <c r="AJ31" s="54">
        <f>RANK(AI31,AI$28:AI$45,1)</f>
        <v/>
      </c>
      <c r="AK31" s="53">
        <f>VLOOKUP($A31,INDIRECT("'"&amp;$B$24&amp;"'!$A:$IZ"),181,FALSE)</f>
        <v/>
      </c>
      <c r="AL31" s="54">
        <f>RANK(AK31,AK$28:AK$45,1)</f>
        <v/>
      </c>
      <c r="AM31" s="53">
        <f>VLOOKUP($A31,INDIRECT("'"&amp;$B$24&amp;"'!$A:$IZ"),182,FALSE)</f>
        <v/>
      </c>
      <c r="AN31" s="54">
        <f>RANK(AM31,AM$28:AM$45,1)</f>
        <v/>
      </c>
      <c r="AO31" s="53">
        <f>VLOOKUP($A31,INDIRECT("'"&amp;$B$24&amp;"'!$A:$IZ"),163,FALSE)</f>
        <v/>
      </c>
      <c r="AP31" s="54">
        <f>RANK(AO31,AO$28:AO$45,1)</f>
        <v/>
      </c>
      <c r="AQ31" s="65">
        <f>104-(AJ31+AL31+AN31+AP31)</f>
        <v/>
      </c>
      <c r="AR31" s="47">
        <f>RANK(AQ31,AQ$28:AQ$45)</f>
        <v/>
      </c>
      <c r="AS31" s="56" t="n"/>
      <c r="AT31" s="46">
        <f>VLOOKUP($A31,INDIRECT("'"&amp;$B$24&amp;"'!$A:$IZ"),250,FALSE)</f>
        <v/>
      </c>
      <c r="AU31" s="47">
        <f>RANK(AT31,AT$28:AT$45,0)</f>
        <v/>
      </c>
      <c r="AV31" s="46">
        <f>VLOOKUP($A31,INDIRECT("'"&amp;$B$24&amp;"'!$A:$IZ"),92,FALSE)</f>
        <v/>
      </c>
      <c r="AW31" s="47">
        <f>RANK(AV31,AV$28:AV$45,0)</f>
        <v/>
      </c>
      <c r="AX31" s="46">
        <f>VLOOKUP($A31,INDIRECT("'"&amp;$B$24&amp;"'!$A:$IZ"),93,FALSE)</f>
        <v/>
      </c>
      <c r="AY31" s="47">
        <f>RANK(AX31,AX$28:AX$45,0)</f>
        <v/>
      </c>
      <c r="AZ31" s="46">
        <f>VLOOKUP($A31,INDIRECT("'"&amp;$B$24&amp;"'!$A:$IZ"),108,FALSE)</f>
        <v/>
      </c>
      <c r="BA31" s="47">
        <f>RANK(AZ31,AZ$28:AZ$45,0)</f>
        <v/>
      </c>
      <c r="BB31" s="46">
        <f>104-(AU31+AW31+AY31+BA31)</f>
        <v/>
      </c>
      <c r="BC31" s="47">
        <f>RANK(BB31,BB$28:BB$45)</f>
        <v/>
      </c>
      <c r="BD31" s="56" t="n"/>
      <c r="BE31" s="53">
        <f>VLOOKUP($A31,INDIRECT("'"&amp;$B$24&amp;"'!$A:$IZ"),80,FALSE)</f>
        <v/>
      </c>
      <c r="BF31" s="54">
        <f>RANK(BE31,BE$28:BE$45)</f>
        <v/>
      </c>
      <c r="BG31" s="53">
        <f>VLOOKUP($A31,INDIRECT("'"&amp;$B$24&amp;"'!$A:$IZ"),177,FALSE)</f>
        <v/>
      </c>
      <c r="BH31" s="54">
        <f>RANK(BG31,BG$28:BG$45,1)</f>
        <v/>
      </c>
      <c r="BI31" s="53">
        <f>VLOOKUP($A31,INDIRECT("'"&amp;$B$24&amp;"'!$A:$IZ"),79,FALSE)</f>
        <v/>
      </c>
      <c r="BJ31" s="54">
        <f>RANK(BI31,BI$28:BI$45)</f>
        <v/>
      </c>
      <c r="BK31" s="53">
        <f>VLOOKUP($A31,INDIRECT("'"&amp;$B$24&amp;"'!$A:$IZ"),176,FALSE)</f>
        <v/>
      </c>
      <c r="BL31" s="54">
        <f>RANK(BK31,BK$28:BK$45,1)</f>
        <v/>
      </c>
      <c r="BM31" s="53">
        <f>VLOOKUP($A31,INDIRECT("'"&amp;$B$24&amp;"'!$A:$IZ"),11,FALSE)</f>
        <v/>
      </c>
      <c r="BN31" s="54">
        <f>RANK(BM31,BM$28:BM$45)</f>
        <v/>
      </c>
      <c r="BO31" s="53">
        <f>VLOOKUP($A31,INDIRECT("'"&amp;$B$24&amp;"'!$A:$IZ"),222,FALSE)</f>
        <v/>
      </c>
      <c r="BP31" s="54">
        <f>RANK(BO31,BO$28:BO$45)</f>
        <v/>
      </c>
      <c r="BQ31" s="65">
        <f>104-(BJ31+BL31+BN31+BP31)</f>
        <v/>
      </c>
      <c r="BR31" s="47">
        <f>RANK(BQ31,BQ$28:BQ$45)</f>
        <v/>
      </c>
      <c r="BS31" s="56" t="n"/>
      <c r="BT31" s="57">
        <f>VLOOKUP($A31,'Ratings Season'!$A:$M,8,FALSE)</f>
        <v/>
      </c>
      <c r="BU31" s="54">
        <f>RANK(BT31,BT$28:BT$45)</f>
        <v/>
      </c>
      <c r="BV31" s="57">
        <f>VLOOKUP($A31,'Ratings Season'!$A:$M,4,FALSE)</f>
        <v/>
      </c>
      <c r="BW31" s="54">
        <f>RANK(BV31,BV$28:BV$45)</f>
        <v/>
      </c>
      <c r="BX31" s="57">
        <f>VLOOKUP($A31,'Ratings Season'!$A:$M,2,FALSE)</f>
        <v/>
      </c>
      <c r="BY31" s="58">
        <f>RANK(BX31,BX$28:BX$45)</f>
        <v/>
      </c>
    </row>
    <row r="32" ht="25" customHeight="1">
      <c r="A32" s="79" t="inlineStr">
        <is>
          <t>Essendon</t>
        </is>
      </c>
      <c r="B32" s="53">
        <f>VLOOKUP($A32,INDIRECT("'"&amp;$B$24&amp;"'!$A:$IZ"),222,FALSE)</f>
        <v/>
      </c>
      <c r="C32" s="54">
        <f>RANK(B32,B$28:B$45)</f>
        <v/>
      </c>
      <c r="D32" s="55">
        <f>VLOOKUP($A32,INDIRECT("'"&amp;$B$24&amp;"'!$A:$IZ"),218,FALSE)</f>
        <v/>
      </c>
      <c r="E32" s="54">
        <f>RANK(D32,D$28:D$45)</f>
        <v/>
      </c>
      <c r="F32" s="55">
        <f>VLOOKUP($A32,INDIRECT("'"&amp;$B$24&amp;"'!$A:$IZ"),49,FALSE)</f>
        <v/>
      </c>
      <c r="G32" s="54">
        <f>RANK(F32,F$28:F$45)</f>
        <v/>
      </c>
      <c r="H32" s="55">
        <f>VLOOKUP($A32,INDIRECT("'"&amp;$B$24&amp;"'!$A:$IZ"),229,FALSE)</f>
        <v/>
      </c>
      <c r="I32" s="54">
        <f>RANK(H32,H$28:H$45)</f>
        <v/>
      </c>
      <c r="J32" s="49">
        <f>104-(C32+E32+G32+I32)</f>
        <v/>
      </c>
      <c r="K32" s="47">
        <f>RANK(J32,J$28:J$45)</f>
        <v/>
      </c>
      <c r="L32" s="56" t="n"/>
      <c r="M32" s="53">
        <f>VLOOKUP($A32,INDIRECT("'"&amp;$B$24&amp;"'!$A:$IZ"),88,FALSE)</f>
        <v/>
      </c>
      <c r="N32" s="54">
        <f>RANK(M32,M$28:M$45)</f>
        <v/>
      </c>
      <c r="O32" s="53">
        <f>VLOOKUP($A32,INDIRECT("'"&amp;$B$24&amp;"'!$A:$IZ"),84,FALSE)</f>
        <v/>
      </c>
      <c r="P32" s="54">
        <f>RANK(O32,O$28:O$45)</f>
        <v/>
      </c>
      <c r="Q32" s="53">
        <f>VLOOKUP($A32,INDIRECT("'"&amp;$B$24&amp;"'!$A:$IZ"),85,FALSE)</f>
        <v/>
      </c>
      <c r="R32" s="54">
        <f>RANK(Q32,Q$28:Q$45)</f>
        <v/>
      </c>
      <c r="S32" s="55">
        <f>VLOOKUP($A32,INDIRECT("'"&amp;$B$24&amp;"'!$A:$IZ"),29,FALSE)</f>
        <v/>
      </c>
      <c r="T32" s="54">
        <f>RANK(S32,S$28:S$45)</f>
        <v/>
      </c>
      <c r="U32" s="49">
        <f>104-(N32+P32+R32+T32)</f>
        <v/>
      </c>
      <c r="V32" s="47">
        <f>RANK(U32,U$28:U$45)</f>
        <v/>
      </c>
      <c r="W32" s="56" t="n"/>
      <c r="X32" s="53">
        <f>VLOOKUP($A32,INDIRECT("'"&amp;$B$24&amp;"'!$A:$IZ"),65,FALSE)</f>
        <v/>
      </c>
      <c r="Y32" s="54">
        <f>RANK(X32,X$28:X$45)</f>
        <v/>
      </c>
      <c r="Z32" s="53">
        <f>VLOOKUP($A32,INDIRECT("'"&amp;$B$24&amp;"'!$A:$IZ"),64,FALSE)</f>
        <v/>
      </c>
      <c r="AA32" s="54">
        <f>RANK(Z32,Z$28:Z$45)</f>
        <v/>
      </c>
      <c r="AB32" s="53">
        <f>VLOOKUP($A32,INDIRECT("'"&amp;$B$24&amp;"'!$A:$IZ"),63,FALSE)</f>
        <v/>
      </c>
      <c r="AC32" s="54">
        <f>RANK(AB32,AB$28:AB$45)</f>
        <v/>
      </c>
      <c r="AD32" s="53">
        <f>VLOOKUP($A32,INDIRECT("'"&amp;$B$24&amp;"'!$A:$IZ"),71,FALSE)</f>
        <v/>
      </c>
      <c r="AE32" s="54">
        <f>RANK(AD32,AD$28:AD$45)</f>
        <v/>
      </c>
      <c r="AF32" s="65">
        <f>104-(Y32+AA32+AC32+AE32)</f>
        <v/>
      </c>
      <c r="AG32" s="47">
        <f>RANK(AF32,AF$28:AF$45)</f>
        <v/>
      </c>
      <c r="AH32" s="56" t="n"/>
      <c r="AI32" s="53">
        <f>VLOOKUP($A32,INDIRECT("'"&amp;$B$24&amp;"'!$A:$IZ"),183,FALSE)</f>
        <v/>
      </c>
      <c r="AJ32" s="54">
        <f>RANK(AI32,AI$28:AI$45,1)</f>
        <v/>
      </c>
      <c r="AK32" s="53">
        <f>VLOOKUP($A32,INDIRECT("'"&amp;$B$24&amp;"'!$A:$IZ"),181,FALSE)</f>
        <v/>
      </c>
      <c r="AL32" s="54">
        <f>RANK(AK32,AK$28:AK$45,1)</f>
        <v/>
      </c>
      <c r="AM32" s="53">
        <f>VLOOKUP($A32,INDIRECT("'"&amp;$B$24&amp;"'!$A:$IZ"),182,FALSE)</f>
        <v/>
      </c>
      <c r="AN32" s="54">
        <f>RANK(AM32,AM$28:AM$45,1)</f>
        <v/>
      </c>
      <c r="AO32" s="53">
        <f>VLOOKUP($A32,INDIRECT("'"&amp;$B$24&amp;"'!$A:$IZ"),163,FALSE)</f>
        <v/>
      </c>
      <c r="AP32" s="54">
        <f>RANK(AO32,AO$28:AO$45,1)</f>
        <v/>
      </c>
      <c r="AQ32" s="65">
        <f>104-(AJ32+AL32+AN32+AP32)</f>
        <v/>
      </c>
      <c r="AR32" s="47">
        <f>RANK(AQ32,AQ$28:AQ$45)</f>
        <v/>
      </c>
      <c r="AS32" s="56" t="n"/>
      <c r="AT32" s="46">
        <f>VLOOKUP($A32,INDIRECT("'"&amp;$B$24&amp;"'!$A:$IZ"),250,FALSE)</f>
        <v/>
      </c>
      <c r="AU32" s="47">
        <f>RANK(AT32,AT$28:AT$45,0)</f>
        <v/>
      </c>
      <c r="AV32" s="46">
        <f>VLOOKUP($A32,INDIRECT("'"&amp;$B$24&amp;"'!$A:$IZ"),92,FALSE)</f>
        <v/>
      </c>
      <c r="AW32" s="47">
        <f>RANK(AV32,AV$28:AV$45,0)</f>
        <v/>
      </c>
      <c r="AX32" s="46">
        <f>VLOOKUP($A32,INDIRECT("'"&amp;$B$24&amp;"'!$A:$IZ"),93,FALSE)</f>
        <v/>
      </c>
      <c r="AY32" s="47">
        <f>RANK(AX32,AX$28:AX$45,0)</f>
        <v/>
      </c>
      <c r="AZ32" s="46">
        <f>VLOOKUP($A32,INDIRECT("'"&amp;$B$24&amp;"'!$A:$IZ"),108,FALSE)</f>
        <v/>
      </c>
      <c r="BA32" s="47">
        <f>RANK(AZ32,AZ$28:AZ$45,0)</f>
        <v/>
      </c>
      <c r="BB32" s="46">
        <f>104-(AU32+AW32+AY32+BA32)</f>
        <v/>
      </c>
      <c r="BC32" s="47">
        <f>RANK(BB32,BB$28:BB$45)</f>
        <v/>
      </c>
      <c r="BD32" s="56" t="n"/>
      <c r="BE32" s="53">
        <f>VLOOKUP($A32,INDIRECT("'"&amp;$B$24&amp;"'!$A:$IZ"),80,FALSE)</f>
        <v/>
      </c>
      <c r="BF32" s="54">
        <f>RANK(BE32,BE$28:BE$45)</f>
        <v/>
      </c>
      <c r="BG32" s="53">
        <f>VLOOKUP($A32,INDIRECT("'"&amp;$B$24&amp;"'!$A:$IZ"),177,FALSE)</f>
        <v/>
      </c>
      <c r="BH32" s="54">
        <f>RANK(BG32,BG$28:BG$45,1)</f>
        <v/>
      </c>
      <c r="BI32" s="53">
        <f>VLOOKUP($A32,INDIRECT("'"&amp;$B$24&amp;"'!$A:$IZ"),79,FALSE)</f>
        <v/>
      </c>
      <c r="BJ32" s="54">
        <f>RANK(BI32,BI$28:BI$45)</f>
        <v/>
      </c>
      <c r="BK32" s="53">
        <f>VLOOKUP($A32,INDIRECT("'"&amp;$B$24&amp;"'!$A:$IZ"),176,FALSE)</f>
        <v/>
      </c>
      <c r="BL32" s="54">
        <f>RANK(BK32,BK$28:BK$45,1)</f>
        <v/>
      </c>
      <c r="BM32" s="53">
        <f>VLOOKUP($A32,INDIRECT("'"&amp;$B$24&amp;"'!$A:$IZ"),11,FALSE)</f>
        <v/>
      </c>
      <c r="BN32" s="54">
        <f>RANK(BM32,BM$28:BM$45)</f>
        <v/>
      </c>
      <c r="BO32" s="53">
        <f>VLOOKUP($A32,INDIRECT("'"&amp;$B$24&amp;"'!$A:$IZ"),222,FALSE)</f>
        <v/>
      </c>
      <c r="BP32" s="54">
        <f>RANK(BO32,BO$28:BO$45)</f>
        <v/>
      </c>
      <c r="BQ32" s="65">
        <f>104-(BJ32+BL32+BN32+BP32)</f>
        <v/>
      </c>
      <c r="BR32" s="47">
        <f>RANK(BQ32,BQ$28:BQ$45)</f>
        <v/>
      </c>
      <c r="BS32" s="56" t="n"/>
      <c r="BT32" s="57">
        <f>VLOOKUP($A32,'Ratings Season'!$A:$M,8,FALSE)</f>
        <v/>
      </c>
      <c r="BU32" s="54">
        <f>RANK(BT32,BT$28:BT$45)</f>
        <v/>
      </c>
      <c r="BV32" s="57">
        <f>VLOOKUP($A32,'Ratings Season'!$A:$M,4,FALSE)</f>
        <v/>
      </c>
      <c r="BW32" s="54">
        <f>RANK(BV32,BV$28:BV$45)</f>
        <v/>
      </c>
      <c r="BX32" s="57">
        <f>VLOOKUP($A32,'Ratings Season'!$A:$M,2,FALSE)</f>
        <v/>
      </c>
      <c r="BY32" s="58">
        <f>RANK(BX32,BX$28:BX$45)</f>
        <v/>
      </c>
    </row>
    <row r="33" ht="25" customHeight="1">
      <c r="A33" s="80" t="inlineStr">
        <is>
          <t>Fremantle</t>
        </is>
      </c>
      <c r="B33" s="53">
        <f>VLOOKUP($A33,INDIRECT("'"&amp;$B$24&amp;"'!$A:$IZ"),222,FALSE)</f>
        <v/>
      </c>
      <c r="C33" s="54">
        <f>RANK(B33,B$28:B$45)</f>
        <v/>
      </c>
      <c r="D33" s="55">
        <f>VLOOKUP($A33,INDIRECT("'"&amp;$B$24&amp;"'!$A:$IZ"),218,FALSE)</f>
        <v/>
      </c>
      <c r="E33" s="54">
        <f>RANK(D33,D$28:D$45)</f>
        <v/>
      </c>
      <c r="F33" s="55">
        <f>VLOOKUP($A33,INDIRECT("'"&amp;$B$24&amp;"'!$A:$IZ"),49,FALSE)</f>
        <v/>
      </c>
      <c r="G33" s="54">
        <f>RANK(F33,F$28:F$45)</f>
        <v/>
      </c>
      <c r="H33" s="55">
        <f>VLOOKUP($A33,INDIRECT("'"&amp;$B$24&amp;"'!$A:$IZ"),229,FALSE)</f>
        <v/>
      </c>
      <c r="I33" s="54">
        <f>RANK(H33,H$28:H$45)</f>
        <v/>
      </c>
      <c r="J33" s="49">
        <f>104-(C33+E33+G33+I33)</f>
        <v/>
      </c>
      <c r="K33" s="47">
        <f>RANK(J33,J$28:J$45)</f>
        <v/>
      </c>
      <c r="L33" s="56" t="n"/>
      <c r="M33" s="53">
        <f>VLOOKUP($A33,INDIRECT("'"&amp;$B$24&amp;"'!$A:$IZ"),88,FALSE)</f>
        <v/>
      </c>
      <c r="N33" s="54">
        <f>RANK(M33,M$28:M$45)</f>
        <v/>
      </c>
      <c r="O33" s="53">
        <f>VLOOKUP($A33,INDIRECT("'"&amp;$B$24&amp;"'!$A:$IZ"),84,FALSE)</f>
        <v/>
      </c>
      <c r="P33" s="54">
        <f>RANK(O33,O$28:O$45)</f>
        <v/>
      </c>
      <c r="Q33" s="53">
        <f>VLOOKUP($A33,INDIRECT("'"&amp;$B$24&amp;"'!$A:$IZ"),85,FALSE)</f>
        <v/>
      </c>
      <c r="R33" s="54">
        <f>RANK(Q33,Q$28:Q$45)</f>
        <v/>
      </c>
      <c r="S33" s="55">
        <f>VLOOKUP($A33,INDIRECT("'"&amp;$B$24&amp;"'!$A:$IZ"),29,FALSE)</f>
        <v/>
      </c>
      <c r="T33" s="54">
        <f>RANK(S33,S$28:S$45)</f>
        <v/>
      </c>
      <c r="U33" s="49">
        <f>104-(N33+P33+R33+T33)</f>
        <v/>
      </c>
      <c r="V33" s="47">
        <f>RANK(U33,U$28:U$45)</f>
        <v/>
      </c>
      <c r="W33" s="56" t="n"/>
      <c r="X33" s="53">
        <f>VLOOKUP($A33,INDIRECT("'"&amp;$B$24&amp;"'!$A:$IZ"),65,FALSE)</f>
        <v/>
      </c>
      <c r="Y33" s="54">
        <f>RANK(X33,X$28:X$45)</f>
        <v/>
      </c>
      <c r="Z33" s="53">
        <f>VLOOKUP($A33,INDIRECT("'"&amp;$B$24&amp;"'!$A:$IZ"),64,FALSE)</f>
        <v/>
      </c>
      <c r="AA33" s="54">
        <f>RANK(Z33,Z$28:Z$45)</f>
        <v/>
      </c>
      <c r="AB33" s="53">
        <f>VLOOKUP($A33,INDIRECT("'"&amp;$B$24&amp;"'!$A:$IZ"),63,FALSE)</f>
        <v/>
      </c>
      <c r="AC33" s="54">
        <f>RANK(AB33,AB$28:AB$45)</f>
        <v/>
      </c>
      <c r="AD33" s="53">
        <f>VLOOKUP($A33,INDIRECT("'"&amp;$B$24&amp;"'!$A:$IZ"),71,FALSE)</f>
        <v/>
      </c>
      <c r="AE33" s="54">
        <f>RANK(AD33,AD$28:AD$45)</f>
        <v/>
      </c>
      <c r="AF33" s="65">
        <f>104-(Y33+AA33+AC33+AE33)</f>
        <v/>
      </c>
      <c r="AG33" s="47">
        <f>RANK(AF33,AF$28:AF$45)</f>
        <v/>
      </c>
      <c r="AH33" s="56" t="n"/>
      <c r="AI33" s="53">
        <f>VLOOKUP($A33,INDIRECT("'"&amp;$B$24&amp;"'!$A:$IZ"),183,FALSE)</f>
        <v/>
      </c>
      <c r="AJ33" s="54">
        <f>RANK(AI33,AI$28:AI$45,1)</f>
        <v/>
      </c>
      <c r="AK33" s="53">
        <f>VLOOKUP($A33,INDIRECT("'"&amp;$B$24&amp;"'!$A:$IZ"),181,FALSE)</f>
        <v/>
      </c>
      <c r="AL33" s="54">
        <f>RANK(AK33,AK$28:AK$45,1)</f>
        <v/>
      </c>
      <c r="AM33" s="53">
        <f>VLOOKUP($A33,INDIRECT("'"&amp;$B$24&amp;"'!$A:$IZ"),182,FALSE)</f>
        <v/>
      </c>
      <c r="AN33" s="54">
        <f>RANK(AM33,AM$28:AM$45,1)</f>
        <v/>
      </c>
      <c r="AO33" s="53">
        <f>VLOOKUP($A33,INDIRECT("'"&amp;$B$24&amp;"'!$A:$IZ"),163,FALSE)</f>
        <v/>
      </c>
      <c r="AP33" s="54">
        <f>RANK(AO33,AO$28:AO$45,1)</f>
        <v/>
      </c>
      <c r="AQ33" s="65">
        <f>104-(AJ33+AL33+AN33+AP33)</f>
        <v/>
      </c>
      <c r="AR33" s="47">
        <f>RANK(AQ33,AQ$28:AQ$45)</f>
        <v/>
      </c>
      <c r="AS33" s="56" t="n"/>
      <c r="AT33" s="46">
        <f>VLOOKUP($A33,INDIRECT("'"&amp;$B$24&amp;"'!$A:$IZ"),250,FALSE)</f>
        <v/>
      </c>
      <c r="AU33" s="47">
        <f>RANK(AT33,AT$28:AT$45,0)</f>
        <v/>
      </c>
      <c r="AV33" s="46">
        <f>VLOOKUP($A33,INDIRECT("'"&amp;$B$24&amp;"'!$A:$IZ"),92,FALSE)</f>
        <v/>
      </c>
      <c r="AW33" s="47">
        <f>RANK(AV33,AV$28:AV$45,0)</f>
        <v/>
      </c>
      <c r="AX33" s="46">
        <f>VLOOKUP($A33,INDIRECT("'"&amp;$B$24&amp;"'!$A:$IZ"),93,FALSE)</f>
        <v/>
      </c>
      <c r="AY33" s="47">
        <f>RANK(AX33,AX$28:AX$45,0)</f>
        <v/>
      </c>
      <c r="AZ33" s="46">
        <f>VLOOKUP($A33,INDIRECT("'"&amp;$B$24&amp;"'!$A:$IZ"),108,FALSE)</f>
        <v/>
      </c>
      <c r="BA33" s="47">
        <f>RANK(AZ33,AZ$28:AZ$45,0)</f>
        <v/>
      </c>
      <c r="BB33" s="46">
        <f>104-(AU33+AW33+AY33+BA33)</f>
        <v/>
      </c>
      <c r="BC33" s="47">
        <f>RANK(BB33,BB$28:BB$45)</f>
        <v/>
      </c>
      <c r="BD33" s="56" t="n"/>
      <c r="BE33" s="53">
        <f>VLOOKUP($A33,INDIRECT("'"&amp;$B$24&amp;"'!$A:$IZ"),80,FALSE)</f>
        <v/>
      </c>
      <c r="BF33" s="54">
        <f>RANK(BE33,BE$28:BE$45)</f>
        <v/>
      </c>
      <c r="BG33" s="53">
        <f>VLOOKUP($A33,INDIRECT("'"&amp;$B$24&amp;"'!$A:$IZ"),177,FALSE)</f>
        <v/>
      </c>
      <c r="BH33" s="54">
        <f>RANK(BG33,BG$28:BG$45,1)</f>
        <v/>
      </c>
      <c r="BI33" s="53">
        <f>VLOOKUP($A33,INDIRECT("'"&amp;$B$24&amp;"'!$A:$IZ"),79,FALSE)</f>
        <v/>
      </c>
      <c r="BJ33" s="54">
        <f>RANK(BI33,BI$28:BI$45)</f>
        <v/>
      </c>
      <c r="BK33" s="53">
        <f>VLOOKUP($A33,INDIRECT("'"&amp;$B$24&amp;"'!$A:$IZ"),176,FALSE)</f>
        <v/>
      </c>
      <c r="BL33" s="54">
        <f>RANK(BK33,BK$28:BK$45,1)</f>
        <v/>
      </c>
      <c r="BM33" s="53">
        <f>VLOOKUP($A33,INDIRECT("'"&amp;$B$24&amp;"'!$A:$IZ"),11,FALSE)</f>
        <v/>
      </c>
      <c r="BN33" s="54">
        <f>RANK(BM33,BM$28:BM$45)</f>
        <v/>
      </c>
      <c r="BO33" s="53">
        <f>VLOOKUP($A33,INDIRECT("'"&amp;$B$24&amp;"'!$A:$IZ"),222,FALSE)</f>
        <v/>
      </c>
      <c r="BP33" s="54">
        <f>RANK(BO33,BO$28:BO$45)</f>
        <v/>
      </c>
      <c r="BQ33" s="65">
        <f>104-(BJ33+BL33+BN33+BP33)</f>
        <v/>
      </c>
      <c r="BR33" s="47">
        <f>RANK(BQ33,BQ$28:BQ$45)</f>
        <v/>
      </c>
      <c r="BS33" s="56" t="n"/>
      <c r="BT33" s="57">
        <f>VLOOKUP($A33,'Ratings Season'!$A:$M,8,FALSE)</f>
        <v/>
      </c>
      <c r="BU33" s="54">
        <f>RANK(BT33,BT$28:BT$45)</f>
        <v/>
      </c>
      <c r="BV33" s="57">
        <f>VLOOKUP($A33,'Ratings Season'!$A:$M,4,FALSE)</f>
        <v/>
      </c>
      <c r="BW33" s="54">
        <f>RANK(BV33,BV$28:BV$45)</f>
        <v/>
      </c>
      <c r="BX33" s="57">
        <f>VLOOKUP($A33,'Ratings Season'!$A:$M,2,FALSE)</f>
        <v/>
      </c>
      <c r="BY33" s="58">
        <f>RANK(BX33,BX$28:BX$45)</f>
        <v/>
      </c>
    </row>
    <row r="34" ht="25" customHeight="1">
      <c r="A34" s="81" t="inlineStr">
        <is>
          <t>Geelong</t>
        </is>
      </c>
      <c r="B34" s="53">
        <f>VLOOKUP($A34,INDIRECT("'"&amp;$B$24&amp;"'!$A:$IZ"),222,FALSE)</f>
        <v/>
      </c>
      <c r="C34" s="54">
        <f>RANK(B34,B$28:B$45)</f>
        <v/>
      </c>
      <c r="D34" s="55">
        <f>VLOOKUP($A34,INDIRECT("'"&amp;$B$24&amp;"'!$A:$IZ"),218,FALSE)</f>
        <v/>
      </c>
      <c r="E34" s="54">
        <f>RANK(D34,D$28:D$45)</f>
        <v/>
      </c>
      <c r="F34" s="55">
        <f>VLOOKUP($A34,INDIRECT("'"&amp;$B$24&amp;"'!$A:$IZ"),49,FALSE)</f>
        <v/>
      </c>
      <c r="G34" s="54">
        <f>RANK(F34,F$28:F$45)</f>
        <v/>
      </c>
      <c r="H34" s="55">
        <f>VLOOKUP($A34,INDIRECT("'"&amp;$B$24&amp;"'!$A:$IZ"),229,FALSE)</f>
        <v/>
      </c>
      <c r="I34" s="54">
        <f>RANK(H34,H$28:H$45)</f>
        <v/>
      </c>
      <c r="J34" s="49">
        <f>104-(C34+E34+G34+I34)</f>
        <v/>
      </c>
      <c r="K34" s="47">
        <f>RANK(J34,J$28:J$45)</f>
        <v/>
      </c>
      <c r="L34" s="56" t="n"/>
      <c r="M34" s="53">
        <f>VLOOKUP($A34,INDIRECT("'"&amp;$B$24&amp;"'!$A:$IZ"),88,FALSE)</f>
        <v/>
      </c>
      <c r="N34" s="54">
        <f>RANK(M34,M$28:M$45)</f>
        <v/>
      </c>
      <c r="O34" s="53">
        <f>VLOOKUP($A34,INDIRECT("'"&amp;$B$24&amp;"'!$A:$IZ"),84,FALSE)</f>
        <v/>
      </c>
      <c r="P34" s="54">
        <f>RANK(O34,O$28:O$45)</f>
        <v/>
      </c>
      <c r="Q34" s="53">
        <f>VLOOKUP($A34,INDIRECT("'"&amp;$B$24&amp;"'!$A:$IZ"),85,FALSE)</f>
        <v/>
      </c>
      <c r="R34" s="54">
        <f>RANK(Q34,Q$28:Q$45)</f>
        <v/>
      </c>
      <c r="S34" s="55">
        <f>VLOOKUP($A34,INDIRECT("'"&amp;$B$24&amp;"'!$A:$IZ"),29,FALSE)</f>
        <v/>
      </c>
      <c r="T34" s="54">
        <f>RANK(S34,S$28:S$45)</f>
        <v/>
      </c>
      <c r="U34" s="49">
        <f>104-(N34+P34+R34+T34)</f>
        <v/>
      </c>
      <c r="V34" s="47">
        <f>RANK(U34,U$28:U$45)</f>
        <v/>
      </c>
      <c r="W34" s="56" t="n"/>
      <c r="X34" s="53">
        <f>VLOOKUP($A34,INDIRECT("'"&amp;$B$24&amp;"'!$A:$IZ"),65,FALSE)</f>
        <v/>
      </c>
      <c r="Y34" s="54">
        <f>RANK(X34,X$28:X$45)</f>
        <v/>
      </c>
      <c r="Z34" s="53">
        <f>VLOOKUP($A34,INDIRECT("'"&amp;$B$24&amp;"'!$A:$IZ"),64,FALSE)</f>
        <v/>
      </c>
      <c r="AA34" s="54">
        <f>RANK(Z34,Z$28:Z$45)</f>
        <v/>
      </c>
      <c r="AB34" s="53">
        <f>VLOOKUP($A34,INDIRECT("'"&amp;$B$24&amp;"'!$A:$IZ"),63,FALSE)</f>
        <v/>
      </c>
      <c r="AC34" s="54">
        <f>RANK(AB34,AB$28:AB$45)</f>
        <v/>
      </c>
      <c r="AD34" s="53">
        <f>VLOOKUP($A34,INDIRECT("'"&amp;$B$24&amp;"'!$A:$IZ"),71,FALSE)</f>
        <v/>
      </c>
      <c r="AE34" s="54">
        <f>RANK(AD34,AD$28:AD$45)</f>
        <v/>
      </c>
      <c r="AF34" s="65">
        <f>104-(Y34+AA34+AC34+AE34)</f>
        <v/>
      </c>
      <c r="AG34" s="47">
        <f>RANK(AF34,AF$28:AF$45)</f>
        <v/>
      </c>
      <c r="AH34" s="56" t="n"/>
      <c r="AI34" s="53">
        <f>VLOOKUP($A34,INDIRECT("'"&amp;$B$24&amp;"'!$A:$IZ"),183,FALSE)</f>
        <v/>
      </c>
      <c r="AJ34" s="54">
        <f>RANK(AI34,AI$28:AI$45,1)</f>
        <v/>
      </c>
      <c r="AK34" s="53">
        <f>VLOOKUP($A34,INDIRECT("'"&amp;$B$24&amp;"'!$A:$IZ"),181,FALSE)</f>
        <v/>
      </c>
      <c r="AL34" s="54">
        <f>RANK(AK34,AK$28:AK$45,1)</f>
        <v/>
      </c>
      <c r="AM34" s="53">
        <f>VLOOKUP($A34,INDIRECT("'"&amp;$B$24&amp;"'!$A:$IZ"),182,FALSE)</f>
        <v/>
      </c>
      <c r="AN34" s="54">
        <f>RANK(AM34,AM$28:AM$45,1)</f>
        <v/>
      </c>
      <c r="AO34" s="53">
        <f>VLOOKUP($A34,INDIRECT("'"&amp;$B$24&amp;"'!$A:$IZ"),163,FALSE)</f>
        <v/>
      </c>
      <c r="AP34" s="54">
        <f>RANK(AO34,AO$28:AO$45,1)</f>
        <v/>
      </c>
      <c r="AQ34" s="65">
        <f>104-(AJ34+AL34+AN34+AP34)</f>
        <v/>
      </c>
      <c r="AR34" s="47">
        <f>RANK(AQ34,AQ$28:AQ$45)</f>
        <v/>
      </c>
      <c r="AS34" s="56" t="n"/>
      <c r="AT34" s="46">
        <f>VLOOKUP($A34,INDIRECT("'"&amp;$B$24&amp;"'!$A:$IZ"),250,FALSE)</f>
        <v/>
      </c>
      <c r="AU34" s="47">
        <f>RANK(AT34,AT$28:AT$45,0)</f>
        <v/>
      </c>
      <c r="AV34" s="46">
        <f>VLOOKUP($A34,INDIRECT("'"&amp;$B$24&amp;"'!$A:$IZ"),92,FALSE)</f>
        <v/>
      </c>
      <c r="AW34" s="47">
        <f>RANK(AV34,AV$28:AV$45,0)</f>
        <v/>
      </c>
      <c r="AX34" s="46">
        <f>VLOOKUP($A34,INDIRECT("'"&amp;$B$24&amp;"'!$A:$IZ"),93,FALSE)</f>
        <v/>
      </c>
      <c r="AY34" s="47">
        <f>RANK(AX34,AX$28:AX$45,0)</f>
        <v/>
      </c>
      <c r="AZ34" s="46">
        <f>VLOOKUP($A34,INDIRECT("'"&amp;$B$24&amp;"'!$A:$IZ"),108,FALSE)</f>
        <v/>
      </c>
      <c r="BA34" s="47">
        <f>RANK(AZ34,AZ$28:AZ$45,0)</f>
        <v/>
      </c>
      <c r="BB34" s="46">
        <f>104-(AU34+AW34+AY34+BA34)</f>
        <v/>
      </c>
      <c r="BC34" s="47">
        <f>RANK(BB34,BB$28:BB$45)</f>
        <v/>
      </c>
      <c r="BD34" s="56" t="n"/>
      <c r="BE34" s="53">
        <f>VLOOKUP($A34,INDIRECT("'"&amp;$B$24&amp;"'!$A:$IZ"),80,FALSE)</f>
        <v/>
      </c>
      <c r="BF34" s="54">
        <f>RANK(BE34,BE$28:BE$45)</f>
        <v/>
      </c>
      <c r="BG34" s="53">
        <f>VLOOKUP($A34,INDIRECT("'"&amp;$B$24&amp;"'!$A:$IZ"),177,FALSE)</f>
        <v/>
      </c>
      <c r="BH34" s="54">
        <f>RANK(BG34,BG$28:BG$45,1)</f>
        <v/>
      </c>
      <c r="BI34" s="53">
        <f>VLOOKUP($A34,INDIRECT("'"&amp;$B$24&amp;"'!$A:$IZ"),79,FALSE)</f>
        <v/>
      </c>
      <c r="BJ34" s="54">
        <f>RANK(BI34,BI$28:BI$45)</f>
        <v/>
      </c>
      <c r="BK34" s="53">
        <f>VLOOKUP($A34,INDIRECT("'"&amp;$B$24&amp;"'!$A:$IZ"),176,FALSE)</f>
        <v/>
      </c>
      <c r="BL34" s="54">
        <f>RANK(BK34,BK$28:BK$45,1)</f>
        <v/>
      </c>
      <c r="BM34" s="53">
        <f>VLOOKUP($A34,INDIRECT("'"&amp;$B$24&amp;"'!$A:$IZ"),11,FALSE)</f>
        <v/>
      </c>
      <c r="BN34" s="54">
        <f>RANK(BM34,BM$28:BM$45)</f>
        <v/>
      </c>
      <c r="BO34" s="53">
        <f>VLOOKUP($A34,INDIRECT("'"&amp;$B$24&amp;"'!$A:$IZ"),222,FALSE)</f>
        <v/>
      </c>
      <c r="BP34" s="54">
        <f>RANK(BO34,BO$28:BO$45)</f>
        <v/>
      </c>
      <c r="BQ34" s="65">
        <f>104-(BJ34+BL34+BN34+BP34)</f>
        <v/>
      </c>
      <c r="BR34" s="47">
        <f>RANK(BQ34,BQ$28:BQ$45)</f>
        <v/>
      </c>
      <c r="BS34" s="56" t="n"/>
      <c r="BT34" s="57">
        <f>VLOOKUP($A34,'Ratings Season'!$A:$M,8,FALSE)</f>
        <v/>
      </c>
      <c r="BU34" s="54">
        <f>RANK(BT34,BT$28:BT$45)</f>
        <v/>
      </c>
      <c r="BV34" s="57">
        <f>VLOOKUP($A34,'Ratings Season'!$A:$M,4,FALSE)</f>
        <v/>
      </c>
      <c r="BW34" s="54">
        <f>RANK(BV34,BV$28:BV$45)</f>
        <v/>
      </c>
      <c r="BX34" s="57">
        <f>VLOOKUP($A34,'Ratings Season'!$A:$M,2,FALSE)</f>
        <v/>
      </c>
      <c r="BY34" s="58">
        <f>RANK(BX34,BX$28:BX$45)</f>
        <v/>
      </c>
    </row>
    <row r="35" ht="25" customHeight="1">
      <c r="A35" s="82" t="inlineStr">
        <is>
          <t>Gold Coast</t>
        </is>
      </c>
      <c r="B35" s="53">
        <f>VLOOKUP($A35,INDIRECT("'"&amp;$B$24&amp;"'!$A:$IZ"),222,FALSE)</f>
        <v/>
      </c>
      <c r="C35" s="54">
        <f>RANK(B35,B$28:B$45)</f>
        <v/>
      </c>
      <c r="D35" s="55">
        <f>VLOOKUP($A35,INDIRECT("'"&amp;$B$24&amp;"'!$A:$IZ"),218,FALSE)</f>
        <v/>
      </c>
      <c r="E35" s="54">
        <f>RANK(D35,D$28:D$45)</f>
        <v/>
      </c>
      <c r="F35" s="55">
        <f>VLOOKUP($A35,INDIRECT("'"&amp;$B$24&amp;"'!$A:$IZ"),49,FALSE)</f>
        <v/>
      </c>
      <c r="G35" s="54">
        <f>RANK(F35,F$28:F$45)</f>
        <v/>
      </c>
      <c r="H35" s="55">
        <f>VLOOKUP($A35,INDIRECT("'"&amp;$B$24&amp;"'!$A:$IZ"),229,FALSE)</f>
        <v/>
      </c>
      <c r="I35" s="54">
        <f>RANK(H35,H$28:H$45)</f>
        <v/>
      </c>
      <c r="J35" s="49">
        <f>104-(C35+E35+G35+I35)</f>
        <v/>
      </c>
      <c r="K35" s="47">
        <f>RANK(J35,J$28:J$45)</f>
        <v/>
      </c>
      <c r="L35" s="56" t="n"/>
      <c r="M35" s="53">
        <f>VLOOKUP($A35,INDIRECT("'"&amp;$B$24&amp;"'!$A:$IZ"),88,FALSE)</f>
        <v/>
      </c>
      <c r="N35" s="54">
        <f>RANK(M35,M$28:M$45)</f>
        <v/>
      </c>
      <c r="O35" s="53">
        <f>VLOOKUP($A35,INDIRECT("'"&amp;$B$24&amp;"'!$A:$IZ"),84,FALSE)</f>
        <v/>
      </c>
      <c r="P35" s="54">
        <f>RANK(O35,O$28:O$45)</f>
        <v/>
      </c>
      <c r="Q35" s="53">
        <f>VLOOKUP($A35,INDIRECT("'"&amp;$B$24&amp;"'!$A:$IZ"),85,FALSE)</f>
        <v/>
      </c>
      <c r="R35" s="54">
        <f>RANK(Q35,Q$28:Q$45)</f>
        <v/>
      </c>
      <c r="S35" s="55">
        <f>VLOOKUP($A35,INDIRECT("'"&amp;$B$24&amp;"'!$A:$IZ"),29,FALSE)</f>
        <v/>
      </c>
      <c r="T35" s="54">
        <f>RANK(S35,S$28:S$45)</f>
        <v/>
      </c>
      <c r="U35" s="49">
        <f>104-(N35+P35+R35+T35)</f>
        <v/>
      </c>
      <c r="V35" s="47">
        <f>RANK(U35,U$28:U$45)</f>
        <v/>
      </c>
      <c r="W35" s="56" t="n"/>
      <c r="X35" s="53">
        <f>VLOOKUP($A35,INDIRECT("'"&amp;$B$24&amp;"'!$A:$IZ"),65,FALSE)</f>
        <v/>
      </c>
      <c r="Y35" s="54">
        <f>RANK(X35,X$28:X$45)</f>
        <v/>
      </c>
      <c r="Z35" s="53">
        <f>VLOOKUP($A35,INDIRECT("'"&amp;$B$24&amp;"'!$A:$IZ"),64,FALSE)</f>
        <v/>
      </c>
      <c r="AA35" s="54">
        <f>RANK(Z35,Z$28:Z$45)</f>
        <v/>
      </c>
      <c r="AB35" s="53">
        <f>VLOOKUP($A35,INDIRECT("'"&amp;$B$24&amp;"'!$A:$IZ"),63,FALSE)</f>
        <v/>
      </c>
      <c r="AC35" s="54">
        <f>RANK(AB35,AB$28:AB$45)</f>
        <v/>
      </c>
      <c r="AD35" s="53">
        <f>VLOOKUP($A35,INDIRECT("'"&amp;$B$24&amp;"'!$A:$IZ"),71,FALSE)</f>
        <v/>
      </c>
      <c r="AE35" s="54">
        <f>RANK(AD35,AD$28:AD$45)</f>
        <v/>
      </c>
      <c r="AF35" s="65">
        <f>104-(Y35+AA35+AC35+AE35)</f>
        <v/>
      </c>
      <c r="AG35" s="47">
        <f>RANK(AF35,AF$28:AF$45)</f>
        <v/>
      </c>
      <c r="AH35" s="56" t="n"/>
      <c r="AI35" s="53">
        <f>VLOOKUP($A35,INDIRECT("'"&amp;$B$24&amp;"'!$A:$IZ"),183,FALSE)</f>
        <v/>
      </c>
      <c r="AJ35" s="54">
        <f>RANK(AI35,AI$28:AI$45,1)</f>
        <v/>
      </c>
      <c r="AK35" s="53">
        <f>VLOOKUP($A35,INDIRECT("'"&amp;$B$24&amp;"'!$A:$IZ"),181,FALSE)</f>
        <v/>
      </c>
      <c r="AL35" s="54">
        <f>RANK(AK35,AK$28:AK$45,1)</f>
        <v/>
      </c>
      <c r="AM35" s="53">
        <f>VLOOKUP($A35,INDIRECT("'"&amp;$B$24&amp;"'!$A:$IZ"),182,FALSE)</f>
        <v/>
      </c>
      <c r="AN35" s="54">
        <f>RANK(AM35,AM$28:AM$45,1)</f>
        <v/>
      </c>
      <c r="AO35" s="53">
        <f>VLOOKUP($A35,INDIRECT("'"&amp;$B$24&amp;"'!$A:$IZ"),163,FALSE)</f>
        <v/>
      </c>
      <c r="AP35" s="54">
        <f>RANK(AO35,AO$28:AO$45,1)</f>
        <v/>
      </c>
      <c r="AQ35" s="65">
        <f>104-(AJ35+AL35+AN35+AP35)</f>
        <v/>
      </c>
      <c r="AR35" s="47">
        <f>RANK(AQ35,AQ$28:AQ$45)</f>
        <v/>
      </c>
      <c r="AS35" s="56" t="n"/>
      <c r="AT35" s="46">
        <f>VLOOKUP($A35,INDIRECT("'"&amp;$B$24&amp;"'!$A:$IZ"),250,FALSE)</f>
        <v/>
      </c>
      <c r="AU35" s="47">
        <f>RANK(AT35,AT$28:AT$45,0)</f>
        <v/>
      </c>
      <c r="AV35" s="46">
        <f>VLOOKUP($A35,INDIRECT("'"&amp;$B$24&amp;"'!$A:$IZ"),92,FALSE)</f>
        <v/>
      </c>
      <c r="AW35" s="47">
        <f>RANK(AV35,AV$28:AV$45,0)</f>
        <v/>
      </c>
      <c r="AX35" s="46">
        <f>VLOOKUP($A35,INDIRECT("'"&amp;$B$24&amp;"'!$A:$IZ"),93,FALSE)</f>
        <v/>
      </c>
      <c r="AY35" s="47">
        <f>RANK(AX35,AX$28:AX$45,0)</f>
        <v/>
      </c>
      <c r="AZ35" s="46">
        <f>VLOOKUP($A35,INDIRECT("'"&amp;$B$24&amp;"'!$A:$IZ"),108,FALSE)</f>
        <v/>
      </c>
      <c r="BA35" s="47">
        <f>RANK(AZ35,AZ$28:AZ$45,0)</f>
        <v/>
      </c>
      <c r="BB35" s="46">
        <f>104-(AU35+AW35+AY35+BA35)</f>
        <v/>
      </c>
      <c r="BC35" s="47">
        <f>RANK(BB35,BB$28:BB$45)</f>
        <v/>
      </c>
      <c r="BD35" s="56" t="n"/>
      <c r="BE35" s="53">
        <f>VLOOKUP($A35,INDIRECT("'"&amp;$B$24&amp;"'!$A:$IZ"),80,FALSE)</f>
        <v/>
      </c>
      <c r="BF35" s="54">
        <f>RANK(BE35,BE$28:BE$45)</f>
        <v/>
      </c>
      <c r="BG35" s="53">
        <f>VLOOKUP($A35,INDIRECT("'"&amp;$B$24&amp;"'!$A:$IZ"),177,FALSE)</f>
        <v/>
      </c>
      <c r="BH35" s="54">
        <f>RANK(BG35,BG$28:BG$45,1)</f>
        <v/>
      </c>
      <c r="BI35" s="53">
        <f>VLOOKUP($A35,INDIRECT("'"&amp;$B$24&amp;"'!$A:$IZ"),79,FALSE)</f>
        <v/>
      </c>
      <c r="BJ35" s="54">
        <f>RANK(BI35,BI$28:BI$45)</f>
        <v/>
      </c>
      <c r="BK35" s="53">
        <f>VLOOKUP($A35,INDIRECT("'"&amp;$B$24&amp;"'!$A:$IZ"),176,FALSE)</f>
        <v/>
      </c>
      <c r="BL35" s="54">
        <f>RANK(BK35,BK$28:BK$45,1)</f>
        <v/>
      </c>
      <c r="BM35" s="53">
        <f>VLOOKUP($A35,INDIRECT("'"&amp;$B$24&amp;"'!$A:$IZ"),11,FALSE)</f>
        <v/>
      </c>
      <c r="BN35" s="54">
        <f>RANK(BM35,BM$28:BM$45)</f>
        <v/>
      </c>
      <c r="BO35" s="53">
        <f>VLOOKUP($A35,INDIRECT("'"&amp;$B$24&amp;"'!$A:$IZ"),222,FALSE)</f>
        <v/>
      </c>
      <c r="BP35" s="54">
        <f>RANK(BO35,BO$28:BO$45)</f>
        <v/>
      </c>
      <c r="BQ35" s="65">
        <f>104-(BJ35+BL35+BN35+BP35)</f>
        <v/>
      </c>
      <c r="BR35" s="47">
        <f>RANK(BQ35,BQ$28:BQ$45)</f>
        <v/>
      </c>
      <c r="BS35" s="56" t="n"/>
      <c r="BT35" s="57">
        <f>VLOOKUP($A35,'Ratings Season'!$A:$M,8,FALSE)</f>
        <v/>
      </c>
      <c r="BU35" s="54">
        <f>RANK(BT35,BT$28:BT$45)</f>
        <v/>
      </c>
      <c r="BV35" s="57">
        <f>VLOOKUP($A35,'Ratings Season'!$A:$M,4,FALSE)</f>
        <v/>
      </c>
      <c r="BW35" s="54">
        <f>RANK(BV35,BV$28:BV$45)</f>
        <v/>
      </c>
      <c r="BX35" s="57">
        <f>VLOOKUP($A35,'Ratings Season'!$A:$M,2,FALSE)</f>
        <v/>
      </c>
      <c r="BY35" s="58">
        <f>RANK(BX35,BX$28:BX$45)</f>
        <v/>
      </c>
    </row>
    <row r="36" ht="25" customHeight="1">
      <c r="A36" s="83" t="inlineStr">
        <is>
          <t>Greater Western Sydney</t>
        </is>
      </c>
      <c r="B36" s="53">
        <f>VLOOKUP($A36,INDIRECT("'"&amp;$B$24&amp;"'!$A:$IZ"),222,FALSE)</f>
        <v/>
      </c>
      <c r="C36" s="54">
        <f>RANK(B36,B$28:B$45)</f>
        <v/>
      </c>
      <c r="D36" s="55">
        <f>VLOOKUP($A36,INDIRECT("'"&amp;$B$24&amp;"'!$A:$IZ"),218,FALSE)</f>
        <v/>
      </c>
      <c r="E36" s="54">
        <f>RANK(D36,D$28:D$45)</f>
        <v/>
      </c>
      <c r="F36" s="55">
        <f>VLOOKUP($A36,INDIRECT("'"&amp;$B$24&amp;"'!$A:$IZ"),49,FALSE)</f>
        <v/>
      </c>
      <c r="G36" s="54">
        <f>RANK(F36,F$28:F$45)</f>
        <v/>
      </c>
      <c r="H36" s="55">
        <f>VLOOKUP($A36,INDIRECT("'"&amp;$B$24&amp;"'!$A:$IZ"),229,FALSE)</f>
        <v/>
      </c>
      <c r="I36" s="54">
        <f>RANK(H36,H$28:H$45)</f>
        <v/>
      </c>
      <c r="J36" s="49">
        <f>104-(C36+E36+G36+I36)</f>
        <v/>
      </c>
      <c r="K36" s="47">
        <f>RANK(J36,J$28:J$45)</f>
        <v/>
      </c>
      <c r="L36" s="56" t="n"/>
      <c r="M36" s="53">
        <f>VLOOKUP($A36,INDIRECT("'"&amp;$B$24&amp;"'!$A:$IZ"),88,FALSE)</f>
        <v/>
      </c>
      <c r="N36" s="54">
        <f>RANK(M36,M$28:M$45)</f>
        <v/>
      </c>
      <c r="O36" s="53">
        <f>VLOOKUP($A36,INDIRECT("'"&amp;$B$24&amp;"'!$A:$IZ"),84,FALSE)</f>
        <v/>
      </c>
      <c r="P36" s="54">
        <f>RANK(O36,O$28:O$45)</f>
        <v/>
      </c>
      <c r="Q36" s="53">
        <f>VLOOKUP($A36,INDIRECT("'"&amp;$B$24&amp;"'!$A:$IZ"),85,FALSE)</f>
        <v/>
      </c>
      <c r="R36" s="54">
        <f>RANK(Q36,Q$28:Q$45)</f>
        <v/>
      </c>
      <c r="S36" s="55">
        <f>VLOOKUP($A36,INDIRECT("'"&amp;$B$24&amp;"'!$A:$IZ"),29,FALSE)</f>
        <v/>
      </c>
      <c r="T36" s="54">
        <f>RANK(S36,S$28:S$45)</f>
        <v/>
      </c>
      <c r="U36" s="49">
        <f>104-(N36+P36+R36+T36)</f>
        <v/>
      </c>
      <c r="V36" s="47">
        <f>RANK(U36,U$28:U$45)</f>
        <v/>
      </c>
      <c r="W36" s="56" t="n"/>
      <c r="X36" s="53">
        <f>VLOOKUP($A36,INDIRECT("'"&amp;$B$24&amp;"'!$A:$IZ"),65,FALSE)</f>
        <v/>
      </c>
      <c r="Y36" s="54">
        <f>RANK(X36,X$28:X$45)</f>
        <v/>
      </c>
      <c r="Z36" s="53">
        <f>VLOOKUP($A36,INDIRECT("'"&amp;$B$24&amp;"'!$A:$IZ"),64,FALSE)</f>
        <v/>
      </c>
      <c r="AA36" s="54">
        <f>RANK(Z36,Z$28:Z$45)</f>
        <v/>
      </c>
      <c r="AB36" s="53">
        <f>VLOOKUP($A36,INDIRECT("'"&amp;$B$24&amp;"'!$A:$IZ"),63,FALSE)</f>
        <v/>
      </c>
      <c r="AC36" s="54">
        <f>RANK(AB36,AB$28:AB$45)</f>
        <v/>
      </c>
      <c r="AD36" s="53">
        <f>VLOOKUP($A36,INDIRECT("'"&amp;$B$24&amp;"'!$A:$IZ"),71,FALSE)</f>
        <v/>
      </c>
      <c r="AE36" s="54">
        <f>RANK(AD36,AD$28:AD$45)</f>
        <v/>
      </c>
      <c r="AF36" s="65">
        <f>104-(Y36+AA36+AC36+AE36)</f>
        <v/>
      </c>
      <c r="AG36" s="47">
        <f>RANK(AF36,AF$28:AF$45)</f>
        <v/>
      </c>
      <c r="AH36" s="56" t="n"/>
      <c r="AI36" s="53">
        <f>VLOOKUP($A36,INDIRECT("'"&amp;$B$24&amp;"'!$A:$IZ"),183,FALSE)</f>
        <v/>
      </c>
      <c r="AJ36" s="54">
        <f>RANK(AI36,AI$28:AI$45,1)</f>
        <v/>
      </c>
      <c r="AK36" s="53">
        <f>VLOOKUP($A36,INDIRECT("'"&amp;$B$24&amp;"'!$A:$IZ"),181,FALSE)</f>
        <v/>
      </c>
      <c r="AL36" s="54">
        <f>RANK(AK36,AK$28:AK$45,1)</f>
        <v/>
      </c>
      <c r="AM36" s="53">
        <f>VLOOKUP($A36,INDIRECT("'"&amp;$B$24&amp;"'!$A:$IZ"),182,FALSE)</f>
        <v/>
      </c>
      <c r="AN36" s="54">
        <f>RANK(AM36,AM$28:AM$45,1)</f>
        <v/>
      </c>
      <c r="AO36" s="53">
        <f>VLOOKUP($A36,INDIRECT("'"&amp;$B$24&amp;"'!$A:$IZ"),163,FALSE)</f>
        <v/>
      </c>
      <c r="AP36" s="54">
        <f>RANK(AO36,AO$28:AO$45,1)</f>
        <v/>
      </c>
      <c r="AQ36" s="65">
        <f>104-(AJ36+AL36+AN36+AP36)</f>
        <v/>
      </c>
      <c r="AR36" s="47">
        <f>RANK(AQ36,AQ$28:AQ$45)</f>
        <v/>
      </c>
      <c r="AS36" s="56" t="n"/>
      <c r="AT36" s="46">
        <f>VLOOKUP($A36,INDIRECT("'"&amp;$B$24&amp;"'!$A:$IZ"),250,FALSE)</f>
        <v/>
      </c>
      <c r="AU36" s="47">
        <f>RANK(AT36,AT$28:AT$45,0)</f>
        <v/>
      </c>
      <c r="AV36" s="46">
        <f>VLOOKUP($A36,INDIRECT("'"&amp;$B$24&amp;"'!$A:$IZ"),92,FALSE)</f>
        <v/>
      </c>
      <c r="AW36" s="47">
        <f>RANK(AV36,AV$28:AV$45,0)</f>
        <v/>
      </c>
      <c r="AX36" s="46">
        <f>VLOOKUP($A36,INDIRECT("'"&amp;$B$24&amp;"'!$A:$IZ"),93,FALSE)</f>
        <v/>
      </c>
      <c r="AY36" s="47">
        <f>RANK(AX36,AX$28:AX$45,0)</f>
        <v/>
      </c>
      <c r="AZ36" s="46">
        <f>VLOOKUP($A36,INDIRECT("'"&amp;$B$24&amp;"'!$A:$IZ"),108,FALSE)</f>
        <v/>
      </c>
      <c r="BA36" s="47">
        <f>RANK(AZ36,AZ$28:AZ$45,0)</f>
        <v/>
      </c>
      <c r="BB36" s="46">
        <f>104-(AU36+AW36+AY36+BA36)</f>
        <v/>
      </c>
      <c r="BC36" s="47">
        <f>RANK(BB36,BB$28:BB$45)</f>
        <v/>
      </c>
      <c r="BD36" s="56" t="n"/>
      <c r="BE36" s="53">
        <f>VLOOKUP($A36,INDIRECT("'"&amp;$B$24&amp;"'!$A:$IZ"),80,FALSE)</f>
        <v/>
      </c>
      <c r="BF36" s="54">
        <f>RANK(BE36,BE$28:BE$45)</f>
        <v/>
      </c>
      <c r="BG36" s="53">
        <f>VLOOKUP($A36,INDIRECT("'"&amp;$B$24&amp;"'!$A:$IZ"),177,FALSE)</f>
        <v/>
      </c>
      <c r="BH36" s="54">
        <f>RANK(BG36,BG$28:BG$45,1)</f>
        <v/>
      </c>
      <c r="BI36" s="53">
        <f>VLOOKUP($A36,INDIRECT("'"&amp;$B$24&amp;"'!$A:$IZ"),79,FALSE)</f>
        <v/>
      </c>
      <c r="BJ36" s="54">
        <f>RANK(BI36,BI$28:BI$45)</f>
        <v/>
      </c>
      <c r="BK36" s="53">
        <f>VLOOKUP($A36,INDIRECT("'"&amp;$B$24&amp;"'!$A:$IZ"),176,FALSE)</f>
        <v/>
      </c>
      <c r="BL36" s="54">
        <f>RANK(BK36,BK$28:BK$45,1)</f>
        <v/>
      </c>
      <c r="BM36" s="53">
        <f>VLOOKUP($A36,INDIRECT("'"&amp;$B$24&amp;"'!$A:$IZ"),11,FALSE)</f>
        <v/>
      </c>
      <c r="BN36" s="54">
        <f>RANK(BM36,BM$28:BM$45)</f>
        <v/>
      </c>
      <c r="BO36" s="53">
        <f>VLOOKUP($A36,INDIRECT("'"&amp;$B$24&amp;"'!$A:$IZ"),222,FALSE)</f>
        <v/>
      </c>
      <c r="BP36" s="54">
        <f>RANK(BO36,BO$28:BO$45)</f>
        <v/>
      </c>
      <c r="BQ36" s="65">
        <f>104-(BJ36+BL36+BN36+BP36)</f>
        <v/>
      </c>
      <c r="BR36" s="47">
        <f>RANK(BQ36,BQ$28:BQ$45)</f>
        <v/>
      </c>
      <c r="BS36" s="56" t="n"/>
      <c r="BT36" s="57">
        <f>VLOOKUP($A36,'Ratings Season'!$A:$M,8,FALSE)</f>
        <v/>
      </c>
      <c r="BU36" s="54">
        <f>RANK(BT36,BT$28:BT$45)</f>
        <v/>
      </c>
      <c r="BV36" s="57">
        <f>VLOOKUP($A36,'Ratings Season'!$A:$M,4,FALSE)</f>
        <v/>
      </c>
      <c r="BW36" s="54">
        <f>RANK(BV36,BV$28:BV$45)</f>
        <v/>
      </c>
      <c r="BX36" s="57">
        <f>VLOOKUP($A36,'Ratings Season'!$A:$M,2,FALSE)</f>
        <v/>
      </c>
      <c r="BY36" s="58">
        <f>RANK(BX36,BX$28:BX$45)</f>
        <v/>
      </c>
    </row>
    <row r="37" ht="25" customHeight="1">
      <c r="A37" s="84" t="inlineStr">
        <is>
          <t>Hawthorn</t>
        </is>
      </c>
      <c r="B37" s="53">
        <f>VLOOKUP($A37,INDIRECT("'"&amp;$B$24&amp;"'!$A:$IZ"),222,FALSE)</f>
        <v/>
      </c>
      <c r="C37" s="54">
        <f>RANK(B37,B$28:B$45)</f>
        <v/>
      </c>
      <c r="D37" s="55">
        <f>VLOOKUP($A37,INDIRECT("'"&amp;$B$24&amp;"'!$A:$IZ"),218,FALSE)</f>
        <v/>
      </c>
      <c r="E37" s="54">
        <f>RANK(D37,D$28:D$45)</f>
        <v/>
      </c>
      <c r="F37" s="55">
        <f>VLOOKUP($A37,INDIRECT("'"&amp;$B$24&amp;"'!$A:$IZ"),49,FALSE)</f>
        <v/>
      </c>
      <c r="G37" s="54">
        <f>RANK(F37,F$28:F$45)</f>
        <v/>
      </c>
      <c r="H37" s="55">
        <f>VLOOKUP($A37,INDIRECT("'"&amp;$B$24&amp;"'!$A:$IZ"),229,FALSE)</f>
        <v/>
      </c>
      <c r="I37" s="54">
        <f>RANK(H37,H$28:H$45)</f>
        <v/>
      </c>
      <c r="J37" s="49">
        <f>104-(C37+E37+G37+I37)</f>
        <v/>
      </c>
      <c r="K37" s="47">
        <f>RANK(J37,J$28:J$45)</f>
        <v/>
      </c>
      <c r="L37" s="56" t="n"/>
      <c r="M37" s="53">
        <f>VLOOKUP($A37,INDIRECT("'"&amp;$B$24&amp;"'!$A:$IZ"),88,FALSE)</f>
        <v/>
      </c>
      <c r="N37" s="54">
        <f>RANK(M37,M$28:M$45)</f>
        <v/>
      </c>
      <c r="O37" s="53">
        <f>VLOOKUP($A37,INDIRECT("'"&amp;$B$24&amp;"'!$A:$IZ"),84,FALSE)</f>
        <v/>
      </c>
      <c r="P37" s="54">
        <f>RANK(O37,O$28:O$45)</f>
        <v/>
      </c>
      <c r="Q37" s="53">
        <f>VLOOKUP($A37,INDIRECT("'"&amp;$B$24&amp;"'!$A:$IZ"),85,FALSE)</f>
        <v/>
      </c>
      <c r="R37" s="54">
        <f>RANK(Q37,Q$28:Q$45)</f>
        <v/>
      </c>
      <c r="S37" s="55">
        <f>VLOOKUP($A37,INDIRECT("'"&amp;$B$24&amp;"'!$A:$IZ"),29,FALSE)</f>
        <v/>
      </c>
      <c r="T37" s="54">
        <f>RANK(S37,S$28:S$45)</f>
        <v/>
      </c>
      <c r="U37" s="49">
        <f>104-(N37+P37+R37+T37)</f>
        <v/>
      </c>
      <c r="V37" s="47">
        <f>RANK(U37,U$28:U$45)</f>
        <v/>
      </c>
      <c r="W37" s="56" t="n"/>
      <c r="X37" s="53">
        <f>VLOOKUP($A37,INDIRECT("'"&amp;$B$24&amp;"'!$A:$IZ"),65,FALSE)</f>
        <v/>
      </c>
      <c r="Y37" s="54">
        <f>RANK(X37,X$28:X$45)</f>
        <v/>
      </c>
      <c r="Z37" s="53">
        <f>VLOOKUP($A37,INDIRECT("'"&amp;$B$24&amp;"'!$A:$IZ"),64,FALSE)</f>
        <v/>
      </c>
      <c r="AA37" s="54">
        <f>RANK(Z37,Z$28:Z$45)</f>
        <v/>
      </c>
      <c r="AB37" s="53">
        <f>VLOOKUP($A37,INDIRECT("'"&amp;$B$24&amp;"'!$A:$IZ"),63,FALSE)</f>
        <v/>
      </c>
      <c r="AC37" s="54">
        <f>RANK(AB37,AB$28:AB$45)</f>
        <v/>
      </c>
      <c r="AD37" s="53">
        <f>VLOOKUP($A37,INDIRECT("'"&amp;$B$24&amp;"'!$A:$IZ"),71,FALSE)</f>
        <v/>
      </c>
      <c r="AE37" s="54">
        <f>RANK(AD37,AD$28:AD$45)</f>
        <v/>
      </c>
      <c r="AF37" s="65">
        <f>104-(Y37+AA37+AC37+AE37)</f>
        <v/>
      </c>
      <c r="AG37" s="47">
        <f>RANK(AF37,AF$28:AF$45)</f>
        <v/>
      </c>
      <c r="AH37" s="56" t="n"/>
      <c r="AI37" s="53">
        <f>VLOOKUP($A37,INDIRECT("'"&amp;$B$24&amp;"'!$A:$IZ"),183,FALSE)</f>
        <v/>
      </c>
      <c r="AJ37" s="54">
        <f>RANK(AI37,AI$28:AI$45,1)</f>
        <v/>
      </c>
      <c r="AK37" s="53">
        <f>VLOOKUP($A37,INDIRECT("'"&amp;$B$24&amp;"'!$A:$IZ"),181,FALSE)</f>
        <v/>
      </c>
      <c r="AL37" s="54">
        <f>RANK(AK37,AK$28:AK$45,1)</f>
        <v/>
      </c>
      <c r="AM37" s="53">
        <f>VLOOKUP($A37,INDIRECT("'"&amp;$B$24&amp;"'!$A:$IZ"),182,FALSE)</f>
        <v/>
      </c>
      <c r="AN37" s="54">
        <f>RANK(AM37,AM$28:AM$45,1)</f>
        <v/>
      </c>
      <c r="AO37" s="53">
        <f>VLOOKUP($A37,INDIRECT("'"&amp;$B$24&amp;"'!$A:$IZ"),163,FALSE)</f>
        <v/>
      </c>
      <c r="AP37" s="54">
        <f>RANK(AO37,AO$28:AO$45,1)</f>
        <v/>
      </c>
      <c r="AQ37" s="65">
        <f>104-(AJ37+AL37+AN37+AP37)</f>
        <v/>
      </c>
      <c r="AR37" s="47">
        <f>RANK(AQ37,AQ$28:AQ$45)</f>
        <v/>
      </c>
      <c r="AS37" s="56" t="n"/>
      <c r="AT37" s="46">
        <f>VLOOKUP($A37,INDIRECT("'"&amp;$B$24&amp;"'!$A:$IZ"),250,FALSE)</f>
        <v/>
      </c>
      <c r="AU37" s="47">
        <f>RANK(AT37,AT$28:AT$45,0)</f>
        <v/>
      </c>
      <c r="AV37" s="46">
        <f>VLOOKUP($A37,INDIRECT("'"&amp;$B$24&amp;"'!$A:$IZ"),92,FALSE)</f>
        <v/>
      </c>
      <c r="AW37" s="47">
        <f>RANK(AV37,AV$28:AV$45,0)</f>
        <v/>
      </c>
      <c r="AX37" s="46">
        <f>VLOOKUP($A37,INDIRECT("'"&amp;$B$24&amp;"'!$A:$IZ"),93,FALSE)</f>
        <v/>
      </c>
      <c r="AY37" s="47">
        <f>RANK(AX37,AX$28:AX$45,0)</f>
        <v/>
      </c>
      <c r="AZ37" s="46">
        <f>VLOOKUP($A37,INDIRECT("'"&amp;$B$24&amp;"'!$A:$IZ"),108,FALSE)</f>
        <v/>
      </c>
      <c r="BA37" s="47">
        <f>RANK(AZ37,AZ$28:AZ$45,0)</f>
        <v/>
      </c>
      <c r="BB37" s="46">
        <f>104-(AU37+AW37+AY37+BA37)</f>
        <v/>
      </c>
      <c r="BC37" s="47">
        <f>RANK(BB37,BB$28:BB$45)</f>
        <v/>
      </c>
      <c r="BD37" s="56" t="n"/>
      <c r="BE37" s="53">
        <f>VLOOKUP($A37,INDIRECT("'"&amp;$B$24&amp;"'!$A:$IZ"),80,FALSE)</f>
        <v/>
      </c>
      <c r="BF37" s="54">
        <f>RANK(BE37,BE$28:BE$45)</f>
        <v/>
      </c>
      <c r="BG37" s="53">
        <f>VLOOKUP($A37,INDIRECT("'"&amp;$B$24&amp;"'!$A:$IZ"),177,FALSE)</f>
        <v/>
      </c>
      <c r="BH37" s="54">
        <f>RANK(BG37,BG$28:BG$45,1)</f>
        <v/>
      </c>
      <c r="BI37" s="53">
        <f>VLOOKUP($A37,INDIRECT("'"&amp;$B$24&amp;"'!$A:$IZ"),79,FALSE)</f>
        <v/>
      </c>
      <c r="BJ37" s="54">
        <f>RANK(BI37,BI$28:BI$45)</f>
        <v/>
      </c>
      <c r="BK37" s="53">
        <f>VLOOKUP($A37,INDIRECT("'"&amp;$B$24&amp;"'!$A:$IZ"),176,FALSE)</f>
        <v/>
      </c>
      <c r="BL37" s="54">
        <f>RANK(BK37,BK$28:BK$45,1)</f>
        <v/>
      </c>
      <c r="BM37" s="53">
        <f>VLOOKUP($A37,INDIRECT("'"&amp;$B$24&amp;"'!$A:$IZ"),11,FALSE)</f>
        <v/>
      </c>
      <c r="BN37" s="54">
        <f>RANK(BM37,BM$28:BM$45)</f>
        <v/>
      </c>
      <c r="BO37" s="53">
        <f>VLOOKUP($A37,INDIRECT("'"&amp;$B$24&amp;"'!$A:$IZ"),222,FALSE)</f>
        <v/>
      </c>
      <c r="BP37" s="54">
        <f>RANK(BO37,BO$28:BO$45)</f>
        <v/>
      </c>
      <c r="BQ37" s="65">
        <f>104-(BJ37+BL37+BN37+BP37)</f>
        <v/>
      </c>
      <c r="BR37" s="47">
        <f>RANK(BQ37,BQ$28:BQ$45)</f>
        <v/>
      </c>
      <c r="BS37" s="56" t="n"/>
      <c r="BT37" s="57">
        <f>VLOOKUP($A37,'Ratings Season'!$A:$M,8,FALSE)</f>
        <v/>
      </c>
      <c r="BU37" s="54">
        <f>RANK(BT37,BT$28:BT$45)</f>
        <v/>
      </c>
      <c r="BV37" s="57">
        <f>VLOOKUP($A37,'Ratings Season'!$A:$M,4,FALSE)</f>
        <v/>
      </c>
      <c r="BW37" s="54">
        <f>RANK(BV37,BV$28:BV$45)</f>
        <v/>
      </c>
      <c r="BX37" s="57">
        <f>VLOOKUP($A37,'Ratings Season'!$A:$M,2,FALSE)</f>
        <v/>
      </c>
      <c r="BY37" s="58">
        <f>RANK(BX37,BX$28:BX$45)</f>
        <v/>
      </c>
    </row>
    <row r="38" ht="25" customHeight="1">
      <c r="A38" s="85" t="inlineStr">
        <is>
          <t>Melbourne</t>
        </is>
      </c>
      <c r="B38" s="53">
        <f>VLOOKUP($A38,INDIRECT("'"&amp;$B$24&amp;"'!$A:$IZ"),222,FALSE)</f>
        <v/>
      </c>
      <c r="C38" s="54">
        <f>RANK(B38,B$28:B$45)</f>
        <v/>
      </c>
      <c r="D38" s="55">
        <f>VLOOKUP($A38,INDIRECT("'"&amp;$B$24&amp;"'!$A:$IZ"),218,FALSE)</f>
        <v/>
      </c>
      <c r="E38" s="54">
        <f>RANK(D38,D$28:D$45)</f>
        <v/>
      </c>
      <c r="F38" s="55">
        <f>VLOOKUP($A38,INDIRECT("'"&amp;$B$24&amp;"'!$A:$IZ"),49,FALSE)</f>
        <v/>
      </c>
      <c r="G38" s="54">
        <f>RANK(F38,F$28:F$45)</f>
        <v/>
      </c>
      <c r="H38" s="55">
        <f>VLOOKUP($A38,INDIRECT("'"&amp;$B$24&amp;"'!$A:$IZ"),229,FALSE)</f>
        <v/>
      </c>
      <c r="I38" s="54">
        <f>RANK(H38,H$28:H$45)</f>
        <v/>
      </c>
      <c r="J38" s="49">
        <f>104-(C38+E38+G38+I38)</f>
        <v/>
      </c>
      <c r="K38" s="47">
        <f>RANK(J38,J$28:J$45)</f>
        <v/>
      </c>
      <c r="L38" s="56" t="n"/>
      <c r="M38" s="53">
        <f>VLOOKUP($A38,INDIRECT("'"&amp;$B$24&amp;"'!$A:$IZ"),88,FALSE)</f>
        <v/>
      </c>
      <c r="N38" s="54">
        <f>RANK(M38,M$28:M$45)</f>
        <v/>
      </c>
      <c r="O38" s="53">
        <f>VLOOKUP($A38,INDIRECT("'"&amp;$B$24&amp;"'!$A:$IZ"),84,FALSE)</f>
        <v/>
      </c>
      <c r="P38" s="54">
        <f>RANK(O38,O$28:O$45)</f>
        <v/>
      </c>
      <c r="Q38" s="53">
        <f>VLOOKUP($A38,INDIRECT("'"&amp;$B$24&amp;"'!$A:$IZ"),85,FALSE)</f>
        <v/>
      </c>
      <c r="R38" s="54">
        <f>RANK(Q38,Q$28:Q$45)</f>
        <v/>
      </c>
      <c r="S38" s="55">
        <f>VLOOKUP($A38,INDIRECT("'"&amp;$B$24&amp;"'!$A:$IZ"),29,FALSE)</f>
        <v/>
      </c>
      <c r="T38" s="54">
        <f>RANK(S38,S$28:S$45)</f>
        <v/>
      </c>
      <c r="U38" s="49">
        <f>104-(N38+P38+R38+T38)</f>
        <v/>
      </c>
      <c r="V38" s="47">
        <f>RANK(U38,U$28:U$45)</f>
        <v/>
      </c>
      <c r="W38" s="56" t="n"/>
      <c r="X38" s="53">
        <f>VLOOKUP($A38,INDIRECT("'"&amp;$B$24&amp;"'!$A:$IZ"),65,FALSE)</f>
        <v/>
      </c>
      <c r="Y38" s="54">
        <f>RANK(X38,X$28:X$45)</f>
        <v/>
      </c>
      <c r="Z38" s="53">
        <f>VLOOKUP($A38,INDIRECT("'"&amp;$B$24&amp;"'!$A:$IZ"),64,FALSE)</f>
        <v/>
      </c>
      <c r="AA38" s="54">
        <f>RANK(Z38,Z$28:Z$45)</f>
        <v/>
      </c>
      <c r="AB38" s="53">
        <f>VLOOKUP($A38,INDIRECT("'"&amp;$B$24&amp;"'!$A:$IZ"),63,FALSE)</f>
        <v/>
      </c>
      <c r="AC38" s="54">
        <f>RANK(AB38,AB$28:AB$45)</f>
        <v/>
      </c>
      <c r="AD38" s="53">
        <f>VLOOKUP($A38,INDIRECT("'"&amp;$B$24&amp;"'!$A:$IZ"),71,FALSE)</f>
        <v/>
      </c>
      <c r="AE38" s="54">
        <f>RANK(AD38,AD$28:AD$45)</f>
        <v/>
      </c>
      <c r="AF38" s="65">
        <f>104-(Y38+AA38+AC38+AE38)</f>
        <v/>
      </c>
      <c r="AG38" s="47">
        <f>RANK(AF38,AF$28:AF$45)</f>
        <v/>
      </c>
      <c r="AH38" s="56" t="n"/>
      <c r="AI38" s="53">
        <f>VLOOKUP($A38,INDIRECT("'"&amp;$B$24&amp;"'!$A:$IZ"),183,FALSE)</f>
        <v/>
      </c>
      <c r="AJ38" s="54">
        <f>RANK(AI38,AI$28:AI$45,1)</f>
        <v/>
      </c>
      <c r="AK38" s="53">
        <f>VLOOKUP($A38,INDIRECT("'"&amp;$B$24&amp;"'!$A:$IZ"),181,FALSE)</f>
        <v/>
      </c>
      <c r="AL38" s="54">
        <f>RANK(AK38,AK$28:AK$45,1)</f>
        <v/>
      </c>
      <c r="AM38" s="53">
        <f>VLOOKUP($A38,INDIRECT("'"&amp;$B$24&amp;"'!$A:$IZ"),182,FALSE)</f>
        <v/>
      </c>
      <c r="AN38" s="54">
        <f>RANK(AM38,AM$28:AM$45,1)</f>
        <v/>
      </c>
      <c r="AO38" s="53">
        <f>VLOOKUP($A38,INDIRECT("'"&amp;$B$24&amp;"'!$A:$IZ"),163,FALSE)</f>
        <v/>
      </c>
      <c r="AP38" s="54">
        <f>RANK(AO38,AO$28:AO$45,1)</f>
        <v/>
      </c>
      <c r="AQ38" s="65">
        <f>104-(AJ38+AL38+AN38+AP38)</f>
        <v/>
      </c>
      <c r="AR38" s="47">
        <f>RANK(AQ38,AQ$28:AQ$45)</f>
        <v/>
      </c>
      <c r="AS38" s="56" t="n"/>
      <c r="AT38" s="46">
        <f>VLOOKUP($A38,INDIRECT("'"&amp;$B$24&amp;"'!$A:$IZ"),250,FALSE)</f>
        <v/>
      </c>
      <c r="AU38" s="47">
        <f>RANK(AT38,AT$28:AT$45,0)</f>
        <v/>
      </c>
      <c r="AV38" s="46">
        <f>VLOOKUP($A38,INDIRECT("'"&amp;$B$24&amp;"'!$A:$IZ"),92,FALSE)</f>
        <v/>
      </c>
      <c r="AW38" s="47">
        <f>RANK(AV38,AV$28:AV$45,0)</f>
        <v/>
      </c>
      <c r="AX38" s="46">
        <f>VLOOKUP($A38,INDIRECT("'"&amp;$B$24&amp;"'!$A:$IZ"),93,FALSE)</f>
        <v/>
      </c>
      <c r="AY38" s="47">
        <f>RANK(AX38,AX$28:AX$45,0)</f>
        <v/>
      </c>
      <c r="AZ38" s="46">
        <f>VLOOKUP($A38,INDIRECT("'"&amp;$B$24&amp;"'!$A:$IZ"),108,FALSE)</f>
        <v/>
      </c>
      <c r="BA38" s="47">
        <f>RANK(AZ38,AZ$28:AZ$45,0)</f>
        <v/>
      </c>
      <c r="BB38" s="46">
        <f>104-(AU38+AW38+AY38+BA38)</f>
        <v/>
      </c>
      <c r="BC38" s="47">
        <f>RANK(BB38,BB$28:BB$45)</f>
        <v/>
      </c>
      <c r="BD38" s="56" t="n"/>
      <c r="BE38" s="53">
        <f>VLOOKUP($A38,INDIRECT("'"&amp;$B$24&amp;"'!$A:$IZ"),80,FALSE)</f>
        <v/>
      </c>
      <c r="BF38" s="54">
        <f>RANK(BE38,BE$28:BE$45)</f>
        <v/>
      </c>
      <c r="BG38" s="53">
        <f>VLOOKUP($A38,INDIRECT("'"&amp;$B$24&amp;"'!$A:$IZ"),177,FALSE)</f>
        <v/>
      </c>
      <c r="BH38" s="54">
        <f>RANK(BG38,BG$28:BG$45,1)</f>
        <v/>
      </c>
      <c r="BI38" s="53">
        <f>VLOOKUP($A38,INDIRECT("'"&amp;$B$24&amp;"'!$A:$IZ"),79,FALSE)</f>
        <v/>
      </c>
      <c r="BJ38" s="54">
        <f>RANK(BI38,BI$28:BI$45)</f>
        <v/>
      </c>
      <c r="BK38" s="53">
        <f>VLOOKUP($A38,INDIRECT("'"&amp;$B$24&amp;"'!$A:$IZ"),176,FALSE)</f>
        <v/>
      </c>
      <c r="BL38" s="54">
        <f>RANK(BK38,BK$28:BK$45,1)</f>
        <v/>
      </c>
      <c r="BM38" s="53">
        <f>VLOOKUP($A38,INDIRECT("'"&amp;$B$24&amp;"'!$A:$IZ"),11,FALSE)</f>
        <v/>
      </c>
      <c r="BN38" s="54">
        <f>RANK(BM38,BM$28:BM$45)</f>
        <v/>
      </c>
      <c r="BO38" s="53">
        <f>VLOOKUP($A38,INDIRECT("'"&amp;$B$24&amp;"'!$A:$IZ"),222,FALSE)</f>
        <v/>
      </c>
      <c r="BP38" s="54">
        <f>RANK(BO38,BO$28:BO$45)</f>
        <v/>
      </c>
      <c r="BQ38" s="65">
        <f>104-(BJ38+BL38+BN38+BP38)</f>
        <v/>
      </c>
      <c r="BR38" s="47">
        <f>RANK(BQ38,BQ$28:BQ$45)</f>
        <v/>
      </c>
      <c r="BS38" s="56" t="n"/>
      <c r="BT38" s="57">
        <f>VLOOKUP($A38,'Ratings Season'!$A:$M,8,FALSE)</f>
        <v/>
      </c>
      <c r="BU38" s="54">
        <f>RANK(BT38,BT$28:BT$45)</f>
        <v/>
      </c>
      <c r="BV38" s="57">
        <f>VLOOKUP($A38,'Ratings Season'!$A:$M,4,FALSE)</f>
        <v/>
      </c>
      <c r="BW38" s="54">
        <f>RANK(BV38,BV$28:BV$45)</f>
        <v/>
      </c>
      <c r="BX38" s="57">
        <f>VLOOKUP($A38,'Ratings Season'!$A:$M,2,FALSE)</f>
        <v/>
      </c>
      <c r="BY38" s="58">
        <f>RANK(BX38,BX$28:BX$45)</f>
        <v/>
      </c>
    </row>
    <row r="39" ht="25" customHeight="1">
      <c r="A39" s="86" t="inlineStr">
        <is>
          <t>North Melbourne</t>
        </is>
      </c>
      <c r="B39" s="53">
        <f>VLOOKUP($A39,INDIRECT("'"&amp;$B$24&amp;"'!$A:$IZ"),222,FALSE)</f>
        <v/>
      </c>
      <c r="C39" s="54">
        <f>RANK(B39,B$28:B$45)</f>
        <v/>
      </c>
      <c r="D39" s="55">
        <f>VLOOKUP($A39,INDIRECT("'"&amp;$B$24&amp;"'!$A:$IZ"),218,FALSE)</f>
        <v/>
      </c>
      <c r="E39" s="54">
        <f>RANK(D39,D$28:D$45)</f>
        <v/>
      </c>
      <c r="F39" s="55">
        <f>VLOOKUP($A39,INDIRECT("'"&amp;$B$24&amp;"'!$A:$IZ"),49,FALSE)</f>
        <v/>
      </c>
      <c r="G39" s="54">
        <f>RANK(F39,F$28:F$45)</f>
        <v/>
      </c>
      <c r="H39" s="55">
        <f>VLOOKUP($A39,INDIRECT("'"&amp;$B$24&amp;"'!$A:$IZ"),229,FALSE)</f>
        <v/>
      </c>
      <c r="I39" s="54">
        <f>RANK(H39,H$28:H$45)</f>
        <v/>
      </c>
      <c r="J39" s="49">
        <f>104-(C39+E39+G39+I39)</f>
        <v/>
      </c>
      <c r="K39" s="47">
        <f>RANK(J39,J$28:J$45)</f>
        <v/>
      </c>
      <c r="L39" s="56" t="n"/>
      <c r="M39" s="53">
        <f>VLOOKUP($A39,INDIRECT("'"&amp;$B$24&amp;"'!$A:$IZ"),88,FALSE)</f>
        <v/>
      </c>
      <c r="N39" s="54">
        <f>RANK(M39,M$28:M$45)</f>
        <v/>
      </c>
      <c r="O39" s="53">
        <f>VLOOKUP($A39,INDIRECT("'"&amp;$B$24&amp;"'!$A:$IZ"),84,FALSE)</f>
        <v/>
      </c>
      <c r="P39" s="54">
        <f>RANK(O39,O$28:O$45)</f>
        <v/>
      </c>
      <c r="Q39" s="53">
        <f>VLOOKUP($A39,INDIRECT("'"&amp;$B$24&amp;"'!$A:$IZ"),85,FALSE)</f>
        <v/>
      </c>
      <c r="R39" s="54">
        <f>RANK(Q39,Q$28:Q$45)</f>
        <v/>
      </c>
      <c r="S39" s="55">
        <f>VLOOKUP($A39,INDIRECT("'"&amp;$B$24&amp;"'!$A:$IZ"),29,FALSE)</f>
        <v/>
      </c>
      <c r="T39" s="54">
        <f>RANK(S39,S$28:S$45)</f>
        <v/>
      </c>
      <c r="U39" s="49">
        <f>104-(N39+P39+R39+T39)</f>
        <v/>
      </c>
      <c r="V39" s="47">
        <f>RANK(U39,U$28:U$45)</f>
        <v/>
      </c>
      <c r="W39" s="56" t="n"/>
      <c r="X39" s="53">
        <f>VLOOKUP($A39,INDIRECT("'"&amp;$B$24&amp;"'!$A:$IZ"),65,FALSE)</f>
        <v/>
      </c>
      <c r="Y39" s="54">
        <f>RANK(X39,X$28:X$45)</f>
        <v/>
      </c>
      <c r="Z39" s="53">
        <f>VLOOKUP($A39,INDIRECT("'"&amp;$B$24&amp;"'!$A:$IZ"),64,FALSE)</f>
        <v/>
      </c>
      <c r="AA39" s="54">
        <f>RANK(Z39,Z$28:Z$45)</f>
        <v/>
      </c>
      <c r="AB39" s="53">
        <f>VLOOKUP($A39,INDIRECT("'"&amp;$B$24&amp;"'!$A:$IZ"),63,FALSE)</f>
        <v/>
      </c>
      <c r="AC39" s="54">
        <f>RANK(AB39,AB$28:AB$45)</f>
        <v/>
      </c>
      <c r="AD39" s="53">
        <f>VLOOKUP($A39,INDIRECT("'"&amp;$B$24&amp;"'!$A:$IZ"),71,FALSE)</f>
        <v/>
      </c>
      <c r="AE39" s="54">
        <f>RANK(AD39,AD$28:AD$45)</f>
        <v/>
      </c>
      <c r="AF39" s="65">
        <f>104-(Y39+AA39+AC39+AE39)</f>
        <v/>
      </c>
      <c r="AG39" s="47">
        <f>RANK(AF39,AF$28:AF$45)</f>
        <v/>
      </c>
      <c r="AH39" s="56" t="n"/>
      <c r="AI39" s="53">
        <f>VLOOKUP($A39,INDIRECT("'"&amp;$B$24&amp;"'!$A:$IZ"),183,FALSE)</f>
        <v/>
      </c>
      <c r="AJ39" s="54">
        <f>RANK(AI39,AI$28:AI$45,1)</f>
        <v/>
      </c>
      <c r="AK39" s="53">
        <f>VLOOKUP($A39,INDIRECT("'"&amp;$B$24&amp;"'!$A:$IZ"),181,FALSE)</f>
        <v/>
      </c>
      <c r="AL39" s="54">
        <f>RANK(AK39,AK$28:AK$45,1)</f>
        <v/>
      </c>
      <c r="AM39" s="53">
        <f>VLOOKUP($A39,INDIRECT("'"&amp;$B$24&amp;"'!$A:$IZ"),182,FALSE)</f>
        <v/>
      </c>
      <c r="AN39" s="54">
        <f>RANK(AM39,AM$28:AM$45,1)</f>
        <v/>
      </c>
      <c r="AO39" s="53">
        <f>VLOOKUP($A39,INDIRECT("'"&amp;$B$24&amp;"'!$A:$IZ"),163,FALSE)</f>
        <v/>
      </c>
      <c r="AP39" s="54">
        <f>RANK(AO39,AO$28:AO$45,1)</f>
        <v/>
      </c>
      <c r="AQ39" s="65">
        <f>104-(AJ39+AL39+AN39+AP39)</f>
        <v/>
      </c>
      <c r="AR39" s="47">
        <f>RANK(AQ39,AQ$28:AQ$45)</f>
        <v/>
      </c>
      <c r="AS39" s="56" t="n"/>
      <c r="AT39" s="46">
        <f>VLOOKUP($A39,INDIRECT("'"&amp;$B$24&amp;"'!$A:$IZ"),250,FALSE)</f>
        <v/>
      </c>
      <c r="AU39" s="47">
        <f>RANK(AT39,AT$28:AT$45,0)</f>
        <v/>
      </c>
      <c r="AV39" s="46">
        <f>VLOOKUP($A39,INDIRECT("'"&amp;$B$24&amp;"'!$A:$IZ"),92,FALSE)</f>
        <v/>
      </c>
      <c r="AW39" s="47">
        <f>RANK(AV39,AV$28:AV$45,0)</f>
        <v/>
      </c>
      <c r="AX39" s="46">
        <f>VLOOKUP($A39,INDIRECT("'"&amp;$B$24&amp;"'!$A:$IZ"),93,FALSE)</f>
        <v/>
      </c>
      <c r="AY39" s="47">
        <f>RANK(AX39,AX$28:AX$45,0)</f>
        <v/>
      </c>
      <c r="AZ39" s="46">
        <f>VLOOKUP($A39,INDIRECT("'"&amp;$B$24&amp;"'!$A:$IZ"),108,FALSE)</f>
        <v/>
      </c>
      <c r="BA39" s="47">
        <f>RANK(AZ39,AZ$28:AZ$45,0)</f>
        <v/>
      </c>
      <c r="BB39" s="46">
        <f>104-(AU39+AW39+AY39+BA39)</f>
        <v/>
      </c>
      <c r="BC39" s="47">
        <f>RANK(BB39,BB$28:BB$45)</f>
        <v/>
      </c>
      <c r="BD39" s="56" t="n"/>
      <c r="BE39" s="53">
        <f>VLOOKUP($A39,INDIRECT("'"&amp;$B$24&amp;"'!$A:$IZ"),80,FALSE)</f>
        <v/>
      </c>
      <c r="BF39" s="54">
        <f>RANK(BE39,BE$28:BE$45)</f>
        <v/>
      </c>
      <c r="BG39" s="53">
        <f>VLOOKUP($A39,INDIRECT("'"&amp;$B$24&amp;"'!$A:$IZ"),177,FALSE)</f>
        <v/>
      </c>
      <c r="BH39" s="54">
        <f>RANK(BG39,BG$28:BG$45,1)</f>
        <v/>
      </c>
      <c r="BI39" s="53">
        <f>VLOOKUP($A39,INDIRECT("'"&amp;$B$24&amp;"'!$A:$IZ"),79,FALSE)</f>
        <v/>
      </c>
      <c r="BJ39" s="54">
        <f>RANK(BI39,BI$28:BI$45)</f>
        <v/>
      </c>
      <c r="BK39" s="53">
        <f>VLOOKUP($A39,INDIRECT("'"&amp;$B$24&amp;"'!$A:$IZ"),176,FALSE)</f>
        <v/>
      </c>
      <c r="BL39" s="54">
        <f>RANK(BK39,BK$28:BK$45,1)</f>
        <v/>
      </c>
      <c r="BM39" s="53">
        <f>VLOOKUP($A39,INDIRECT("'"&amp;$B$24&amp;"'!$A:$IZ"),11,FALSE)</f>
        <v/>
      </c>
      <c r="BN39" s="54">
        <f>RANK(BM39,BM$28:BM$45)</f>
        <v/>
      </c>
      <c r="BO39" s="53">
        <f>VLOOKUP($A39,INDIRECT("'"&amp;$B$24&amp;"'!$A:$IZ"),222,FALSE)</f>
        <v/>
      </c>
      <c r="BP39" s="54">
        <f>RANK(BO39,BO$28:BO$45)</f>
        <v/>
      </c>
      <c r="BQ39" s="65">
        <f>104-(BJ39+BL39+BN39+BP39)</f>
        <v/>
      </c>
      <c r="BR39" s="47">
        <f>RANK(BQ39,BQ$28:BQ$45)</f>
        <v/>
      </c>
      <c r="BS39" s="56" t="n"/>
      <c r="BT39" s="57">
        <f>VLOOKUP($A39,'Ratings Season'!$A:$M,8,FALSE)</f>
        <v/>
      </c>
      <c r="BU39" s="54">
        <f>RANK(BT39,BT$28:BT$45)</f>
        <v/>
      </c>
      <c r="BV39" s="57">
        <f>VLOOKUP($A39,'Ratings Season'!$A:$M,4,FALSE)</f>
        <v/>
      </c>
      <c r="BW39" s="54">
        <f>RANK(BV39,BV$28:BV$45)</f>
        <v/>
      </c>
      <c r="BX39" s="57">
        <f>VLOOKUP($A39,'Ratings Season'!$A:$M,2,FALSE)</f>
        <v/>
      </c>
      <c r="BY39" s="58">
        <f>RANK(BX39,BX$28:BX$45)</f>
        <v/>
      </c>
    </row>
    <row r="40" ht="25" customHeight="1">
      <c r="A40" s="87" t="inlineStr">
        <is>
          <t>Port Adelaide</t>
        </is>
      </c>
      <c r="B40" s="53">
        <f>VLOOKUP($A40,INDIRECT("'"&amp;$B$24&amp;"'!$A:$IZ"),222,FALSE)</f>
        <v/>
      </c>
      <c r="C40" s="54">
        <f>RANK(B40,B$28:B$45)</f>
        <v/>
      </c>
      <c r="D40" s="55">
        <f>VLOOKUP($A40,INDIRECT("'"&amp;$B$24&amp;"'!$A:$IZ"),218,FALSE)</f>
        <v/>
      </c>
      <c r="E40" s="54">
        <f>RANK(D40,D$28:D$45)</f>
        <v/>
      </c>
      <c r="F40" s="55">
        <f>VLOOKUP($A40,INDIRECT("'"&amp;$B$24&amp;"'!$A:$IZ"),49,FALSE)</f>
        <v/>
      </c>
      <c r="G40" s="54">
        <f>RANK(F40,F$28:F$45)</f>
        <v/>
      </c>
      <c r="H40" s="55">
        <f>VLOOKUP($A40,INDIRECT("'"&amp;$B$24&amp;"'!$A:$IZ"),229,FALSE)</f>
        <v/>
      </c>
      <c r="I40" s="54">
        <f>RANK(H40,H$28:H$45)</f>
        <v/>
      </c>
      <c r="J40" s="49">
        <f>104-(C40+E40+G40+I40)</f>
        <v/>
      </c>
      <c r="K40" s="47">
        <f>RANK(J40,J$28:J$45)</f>
        <v/>
      </c>
      <c r="L40" s="56" t="n"/>
      <c r="M40" s="53">
        <f>VLOOKUP($A40,INDIRECT("'"&amp;$B$24&amp;"'!$A:$IZ"),88,FALSE)</f>
        <v/>
      </c>
      <c r="N40" s="54">
        <f>RANK(M40,M$28:M$45)</f>
        <v/>
      </c>
      <c r="O40" s="53">
        <f>VLOOKUP($A40,INDIRECT("'"&amp;$B$24&amp;"'!$A:$IZ"),84,FALSE)</f>
        <v/>
      </c>
      <c r="P40" s="54">
        <f>RANK(O40,O$28:O$45)</f>
        <v/>
      </c>
      <c r="Q40" s="53">
        <f>VLOOKUP($A40,INDIRECT("'"&amp;$B$24&amp;"'!$A:$IZ"),85,FALSE)</f>
        <v/>
      </c>
      <c r="R40" s="54">
        <f>RANK(Q40,Q$28:Q$45)</f>
        <v/>
      </c>
      <c r="S40" s="55">
        <f>VLOOKUP($A40,INDIRECT("'"&amp;$B$24&amp;"'!$A:$IZ"),29,FALSE)</f>
        <v/>
      </c>
      <c r="T40" s="54">
        <f>RANK(S40,S$28:S$45)</f>
        <v/>
      </c>
      <c r="U40" s="49">
        <f>104-(N40+P40+R40+T40)</f>
        <v/>
      </c>
      <c r="V40" s="47">
        <f>RANK(U40,U$28:U$45)</f>
        <v/>
      </c>
      <c r="W40" s="56" t="n"/>
      <c r="X40" s="53">
        <f>VLOOKUP($A40,INDIRECT("'"&amp;$B$24&amp;"'!$A:$IZ"),65,FALSE)</f>
        <v/>
      </c>
      <c r="Y40" s="54">
        <f>RANK(X40,X$28:X$45)</f>
        <v/>
      </c>
      <c r="Z40" s="53">
        <f>VLOOKUP($A40,INDIRECT("'"&amp;$B$24&amp;"'!$A:$IZ"),64,FALSE)</f>
        <v/>
      </c>
      <c r="AA40" s="54">
        <f>RANK(Z40,Z$28:Z$45)</f>
        <v/>
      </c>
      <c r="AB40" s="53">
        <f>VLOOKUP($A40,INDIRECT("'"&amp;$B$24&amp;"'!$A:$IZ"),63,FALSE)</f>
        <v/>
      </c>
      <c r="AC40" s="54">
        <f>RANK(AB40,AB$28:AB$45)</f>
        <v/>
      </c>
      <c r="AD40" s="53">
        <f>VLOOKUP($A40,INDIRECT("'"&amp;$B$24&amp;"'!$A:$IZ"),71,FALSE)</f>
        <v/>
      </c>
      <c r="AE40" s="54">
        <f>RANK(AD40,AD$28:AD$45)</f>
        <v/>
      </c>
      <c r="AF40" s="65">
        <f>104-(Y40+AA40+AC40+AE40)</f>
        <v/>
      </c>
      <c r="AG40" s="47">
        <f>RANK(AF40,AF$28:AF$45)</f>
        <v/>
      </c>
      <c r="AH40" s="56" t="n"/>
      <c r="AI40" s="53">
        <f>VLOOKUP($A40,INDIRECT("'"&amp;$B$24&amp;"'!$A:$IZ"),183,FALSE)</f>
        <v/>
      </c>
      <c r="AJ40" s="54">
        <f>RANK(AI40,AI$28:AI$45,1)</f>
        <v/>
      </c>
      <c r="AK40" s="53">
        <f>VLOOKUP($A40,INDIRECT("'"&amp;$B$24&amp;"'!$A:$IZ"),181,FALSE)</f>
        <v/>
      </c>
      <c r="AL40" s="54">
        <f>RANK(AK40,AK$28:AK$45,1)</f>
        <v/>
      </c>
      <c r="AM40" s="53">
        <f>VLOOKUP($A40,INDIRECT("'"&amp;$B$24&amp;"'!$A:$IZ"),182,FALSE)</f>
        <v/>
      </c>
      <c r="AN40" s="54">
        <f>RANK(AM40,AM$28:AM$45,1)</f>
        <v/>
      </c>
      <c r="AO40" s="53">
        <f>VLOOKUP($A40,INDIRECT("'"&amp;$B$24&amp;"'!$A:$IZ"),163,FALSE)</f>
        <v/>
      </c>
      <c r="AP40" s="54">
        <f>RANK(AO40,AO$28:AO$45,1)</f>
        <v/>
      </c>
      <c r="AQ40" s="65">
        <f>104-(AJ40+AL40+AN40+AP40)</f>
        <v/>
      </c>
      <c r="AR40" s="47">
        <f>RANK(AQ40,AQ$28:AQ$45)</f>
        <v/>
      </c>
      <c r="AS40" s="56" t="n"/>
      <c r="AT40" s="46">
        <f>VLOOKUP($A40,INDIRECT("'"&amp;$B$24&amp;"'!$A:$IZ"),250,FALSE)</f>
        <v/>
      </c>
      <c r="AU40" s="47">
        <f>RANK(AT40,AT$28:AT$45,0)</f>
        <v/>
      </c>
      <c r="AV40" s="46">
        <f>VLOOKUP($A40,INDIRECT("'"&amp;$B$24&amp;"'!$A:$IZ"),92,FALSE)</f>
        <v/>
      </c>
      <c r="AW40" s="47">
        <f>RANK(AV40,AV$28:AV$45,0)</f>
        <v/>
      </c>
      <c r="AX40" s="46">
        <f>VLOOKUP($A40,INDIRECT("'"&amp;$B$24&amp;"'!$A:$IZ"),93,FALSE)</f>
        <v/>
      </c>
      <c r="AY40" s="47">
        <f>RANK(AX40,AX$28:AX$45,0)</f>
        <v/>
      </c>
      <c r="AZ40" s="46">
        <f>VLOOKUP($A40,INDIRECT("'"&amp;$B$24&amp;"'!$A:$IZ"),108,FALSE)</f>
        <v/>
      </c>
      <c r="BA40" s="47">
        <f>RANK(AZ40,AZ$28:AZ$45,0)</f>
        <v/>
      </c>
      <c r="BB40" s="46">
        <f>104-(AU40+AW40+AY40+BA40)</f>
        <v/>
      </c>
      <c r="BC40" s="47">
        <f>RANK(BB40,BB$28:BB$45)</f>
        <v/>
      </c>
      <c r="BD40" s="56" t="n"/>
      <c r="BE40" s="53">
        <f>VLOOKUP($A40,INDIRECT("'"&amp;$B$24&amp;"'!$A:$IZ"),80,FALSE)</f>
        <v/>
      </c>
      <c r="BF40" s="54">
        <f>RANK(BE40,BE$28:BE$45)</f>
        <v/>
      </c>
      <c r="BG40" s="53">
        <f>VLOOKUP($A40,INDIRECT("'"&amp;$B$24&amp;"'!$A:$IZ"),177,FALSE)</f>
        <v/>
      </c>
      <c r="BH40" s="54">
        <f>RANK(BG40,BG$28:BG$45,1)</f>
        <v/>
      </c>
      <c r="BI40" s="53">
        <f>VLOOKUP($A40,INDIRECT("'"&amp;$B$24&amp;"'!$A:$IZ"),79,FALSE)</f>
        <v/>
      </c>
      <c r="BJ40" s="54">
        <f>RANK(BI40,BI$28:BI$45)</f>
        <v/>
      </c>
      <c r="BK40" s="53">
        <f>VLOOKUP($A40,INDIRECT("'"&amp;$B$24&amp;"'!$A:$IZ"),176,FALSE)</f>
        <v/>
      </c>
      <c r="BL40" s="54">
        <f>RANK(BK40,BK$28:BK$45,1)</f>
        <v/>
      </c>
      <c r="BM40" s="53">
        <f>VLOOKUP($A40,INDIRECT("'"&amp;$B$24&amp;"'!$A:$IZ"),11,FALSE)</f>
        <v/>
      </c>
      <c r="BN40" s="54">
        <f>RANK(BM40,BM$28:BM$45)</f>
        <v/>
      </c>
      <c r="BO40" s="53">
        <f>VLOOKUP($A40,INDIRECT("'"&amp;$B$24&amp;"'!$A:$IZ"),222,FALSE)</f>
        <v/>
      </c>
      <c r="BP40" s="54">
        <f>RANK(BO40,BO$28:BO$45)</f>
        <v/>
      </c>
      <c r="BQ40" s="65">
        <f>104-(BJ40+BL40+BN40+BP40)</f>
        <v/>
      </c>
      <c r="BR40" s="47">
        <f>RANK(BQ40,BQ$28:BQ$45)</f>
        <v/>
      </c>
      <c r="BS40" s="56" t="n"/>
      <c r="BT40" s="57">
        <f>VLOOKUP($A40,'Ratings Season'!$A:$M,8,FALSE)</f>
        <v/>
      </c>
      <c r="BU40" s="54">
        <f>RANK(BT40,BT$28:BT$45)</f>
        <v/>
      </c>
      <c r="BV40" s="57">
        <f>VLOOKUP($A40,'Ratings Season'!$A:$M,4,FALSE)</f>
        <v/>
      </c>
      <c r="BW40" s="54">
        <f>RANK(BV40,BV$28:BV$45)</f>
        <v/>
      </c>
      <c r="BX40" s="57">
        <f>VLOOKUP($A40,'Ratings Season'!$A:$M,2,FALSE)</f>
        <v/>
      </c>
      <c r="BY40" s="58">
        <f>RANK(BX40,BX$28:BX$45)</f>
        <v/>
      </c>
    </row>
    <row r="41" ht="25" customHeight="1">
      <c r="A41" s="88" t="inlineStr">
        <is>
          <t>Richmond</t>
        </is>
      </c>
      <c r="B41" s="53">
        <f>VLOOKUP($A41,INDIRECT("'"&amp;$B$24&amp;"'!$A:$IZ"),222,FALSE)</f>
        <v/>
      </c>
      <c r="C41" s="54">
        <f>RANK(B41,B$28:B$45)</f>
        <v/>
      </c>
      <c r="D41" s="55">
        <f>VLOOKUP($A41,INDIRECT("'"&amp;$B$24&amp;"'!$A:$IZ"),218,FALSE)</f>
        <v/>
      </c>
      <c r="E41" s="54">
        <f>RANK(D41,D$28:D$45)</f>
        <v/>
      </c>
      <c r="F41" s="55">
        <f>VLOOKUP($A41,INDIRECT("'"&amp;$B$24&amp;"'!$A:$IZ"),49,FALSE)</f>
        <v/>
      </c>
      <c r="G41" s="54">
        <f>RANK(F41,F$28:F$45)</f>
        <v/>
      </c>
      <c r="H41" s="55">
        <f>VLOOKUP($A41,INDIRECT("'"&amp;$B$24&amp;"'!$A:$IZ"),229,FALSE)</f>
        <v/>
      </c>
      <c r="I41" s="54">
        <f>RANK(H41,H$28:H$45)</f>
        <v/>
      </c>
      <c r="J41" s="49">
        <f>104-(C41+E41+G41+I41)</f>
        <v/>
      </c>
      <c r="K41" s="47">
        <f>RANK(J41,J$28:J$45)</f>
        <v/>
      </c>
      <c r="L41" s="56" t="n"/>
      <c r="M41" s="53">
        <f>VLOOKUP($A41,INDIRECT("'"&amp;$B$24&amp;"'!$A:$IZ"),88,FALSE)</f>
        <v/>
      </c>
      <c r="N41" s="54">
        <f>RANK(M41,M$28:M$45)</f>
        <v/>
      </c>
      <c r="O41" s="53">
        <f>VLOOKUP($A41,INDIRECT("'"&amp;$B$24&amp;"'!$A:$IZ"),84,FALSE)</f>
        <v/>
      </c>
      <c r="P41" s="54">
        <f>RANK(O41,O$28:O$45)</f>
        <v/>
      </c>
      <c r="Q41" s="53">
        <f>VLOOKUP($A41,INDIRECT("'"&amp;$B$24&amp;"'!$A:$IZ"),85,FALSE)</f>
        <v/>
      </c>
      <c r="R41" s="54">
        <f>RANK(Q41,Q$28:Q$45)</f>
        <v/>
      </c>
      <c r="S41" s="55">
        <f>VLOOKUP($A41,INDIRECT("'"&amp;$B$24&amp;"'!$A:$IZ"),29,FALSE)</f>
        <v/>
      </c>
      <c r="T41" s="54">
        <f>RANK(S41,S$28:S$45)</f>
        <v/>
      </c>
      <c r="U41" s="49">
        <f>104-(N41+P41+R41+T41)</f>
        <v/>
      </c>
      <c r="V41" s="47">
        <f>RANK(U41,U$28:U$45)</f>
        <v/>
      </c>
      <c r="W41" s="56" t="n"/>
      <c r="X41" s="53">
        <f>VLOOKUP($A41,INDIRECT("'"&amp;$B$24&amp;"'!$A:$IZ"),65,FALSE)</f>
        <v/>
      </c>
      <c r="Y41" s="54">
        <f>RANK(X41,X$28:X$45)</f>
        <v/>
      </c>
      <c r="Z41" s="53">
        <f>VLOOKUP($A41,INDIRECT("'"&amp;$B$24&amp;"'!$A:$IZ"),64,FALSE)</f>
        <v/>
      </c>
      <c r="AA41" s="54">
        <f>RANK(Z41,Z$28:Z$45)</f>
        <v/>
      </c>
      <c r="AB41" s="53">
        <f>VLOOKUP($A41,INDIRECT("'"&amp;$B$24&amp;"'!$A:$IZ"),63,FALSE)</f>
        <v/>
      </c>
      <c r="AC41" s="54">
        <f>RANK(AB41,AB$28:AB$45)</f>
        <v/>
      </c>
      <c r="AD41" s="53">
        <f>VLOOKUP($A41,INDIRECT("'"&amp;$B$24&amp;"'!$A:$IZ"),71,FALSE)</f>
        <v/>
      </c>
      <c r="AE41" s="54">
        <f>RANK(AD41,AD$28:AD$45)</f>
        <v/>
      </c>
      <c r="AF41" s="65">
        <f>104-(Y41+AA41+AC41+AE41)</f>
        <v/>
      </c>
      <c r="AG41" s="47">
        <f>RANK(AF41,AF$28:AF$45)</f>
        <v/>
      </c>
      <c r="AH41" s="56" t="n"/>
      <c r="AI41" s="53">
        <f>VLOOKUP($A41,INDIRECT("'"&amp;$B$24&amp;"'!$A:$IZ"),183,FALSE)</f>
        <v/>
      </c>
      <c r="AJ41" s="54">
        <f>RANK(AI41,AI$28:AI$45,1)</f>
        <v/>
      </c>
      <c r="AK41" s="53">
        <f>VLOOKUP($A41,INDIRECT("'"&amp;$B$24&amp;"'!$A:$IZ"),181,FALSE)</f>
        <v/>
      </c>
      <c r="AL41" s="54">
        <f>RANK(AK41,AK$28:AK$45,1)</f>
        <v/>
      </c>
      <c r="AM41" s="53">
        <f>VLOOKUP($A41,INDIRECT("'"&amp;$B$24&amp;"'!$A:$IZ"),182,FALSE)</f>
        <v/>
      </c>
      <c r="AN41" s="54">
        <f>RANK(AM41,AM$28:AM$45,1)</f>
        <v/>
      </c>
      <c r="AO41" s="53">
        <f>VLOOKUP($A41,INDIRECT("'"&amp;$B$24&amp;"'!$A:$IZ"),163,FALSE)</f>
        <v/>
      </c>
      <c r="AP41" s="54">
        <f>RANK(AO41,AO$28:AO$45,1)</f>
        <v/>
      </c>
      <c r="AQ41" s="65">
        <f>104-(AJ41+AL41+AN41+AP41)</f>
        <v/>
      </c>
      <c r="AR41" s="47">
        <f>RANK(AQ41,AQ$28:AQ$45)</f>
        <v/>
      </c>
      <c r="AS41" s="56" t="n"/>
      <c r="AT41" s="46">
        <f>VLOOKUP($A41,INDIRECT("'"&amp;$B$24&amp;"'!$A:$IZ"),250,FALSE)</f>
        <v/>
      </c>
      <c r="AU41" s="47">
        <f>RANK(AT41,AT$28:AT$45,0)</f>
        <v/>
      </c>
      <c r="AV41" s="46">
        <f>VLOOKUP($A41,INDIRECT("'"&amp;$B$24&amp;"'!$A:$IZ"),92,FALSE)</f>
        <v/>
      </c>
      <c r="AW41" s="47">
        <f>RANK(AV41,AV$28:AV$45,0)</f>
        <v/>
      </c>
      <c r="AX41" s="46">
        <f>VLOOKUP($A41,INDIRECT("'"&amp;$B$24&amp;"'!$A:$IZ"),93,FALSE)</f>
        <v/>
      </c>
      <c r="AY41" s="47">
        <f>RANK(AX41,AX$28:AX$45,0)</f>
        <v/>
      </c>
      <c r="AZ41" s="46">
        <f>VLOOKUP($A41,INDIRECT("'"&amp;$B$24&amp;"'!$A:$IZ"),108,FALSE)</f>
        <v/>
      </c>
      <c r="BA41" s="47">
        <f>RANK(AZ41,AZ$28:AZ$45,0)</f>
        <v/>
      </c>
      <c r="BB41" s="46">
        <f>104-(AU41+AW41+AY41+BA41)</f>
        <v/>
      </c>
      <c r="BC41" s="47">
        <f>RANK(BB41,BB$28:BB$45)</f>
        <v/>
      </c>
      <c r="BD41" s="56" t="n"/>
      <c r="BE41" s="53">
        <f>VLOOKUP($A41,INDIRECT("'"&amp;$B$24&amp;"'!$A:$IZ"),80,FALSE)</f>
        <v/>
      </c>
      <c r="BF41" s="54">
        <f>RANK(BE41,BE$28:BE$45)</f>
        <v/>
      </c>
      <c r="BG41" s="53">
        <f>VLOOKUP($A41,INDIRECT("'"&amp;$B$24&amp;"'!$A:$IZ"),177,FALSE)</f>
        <v/>
      </c>
      <c r="BH41" s="54">
        <f>RANK(BG41,BG$28:BG$45,1)</f>
        <v/>
      </c>
      <c r="BI41" s="53">
        <f>VLOOKUP($A41,INDIRECT("'"&amp;$B$24&amp;"'!$A:$IZ"),79,FALSE)</f>
        <v/>
      </c>
      <c r="BJ41" s="54">
        <f>RANK(BI41,BI$28:BI$45)</f>
        <v/>
      </c>
      <c r="BK41" s="53">
        <f>VLOOKUP($A41,INDIRECT("'"&amp;$B$24&amp;"'!$A:$IZ"),176,FALSE)</f>
        <v/>
      </c>
      <c r="BL41" s="54">
        <f>RANK(BK41,BK$28:BK$45,1)</f>
        <v/>
      </c>
      <c r="BM41" s="53">
        <f>VLOOKUP($A41,INDIRECT("'"&amp;$B$24&amp;"'!$A:$IZ"),11,FALSE)</f>
        <v/>
      </c>
      <c r="BN41" s="54">
        <f>RANK(BM41,BM$28:BM$45)</f>
        <v/>
      </c>
      <c r="BO41" s="53">
        <f>VLOOKUP($A41,INDIRECT("'"&amp;$B$24&amp;"'!$A:$IZ"),222,FALSE)</f>
        <v/>
      </c>
      <c r="BP41" s="54">
        <f>RANK(BO41,BO$28:BO$45)</f>
        <v/>
      </c>
      <c r="BQ41" s="65">
        <f>104-(BJ41+BL41+BN41+BP41)</f>
        <v/>
      </c>
      <c r="BR41" s="47">
        <f>RANK(BQ41,BQ$28:BQ$45)</f>
        <v/>
      </c>
      <c r="BS41" s="56" t="n"/>
      <c r="BT41" s="57">
        <f>VLOOKUP($A41,'Ratings Season'!$A:$M,8,FALSE)</f>
        <v/>
      </c>
      <c r="BU41" s="54">
        <f>RANK(BT41,BT$28:BT$45)</f>
        <v/>
      </c>
      <c r="BV41" s="57">
        <f>VLOOKUP($A41,'Ratings Season'!$A:$M,4,FALSE)</f>
        <v/>
      </c>
      <c r="BW41" s="54">
        <f>RANK(BV41,BV$28:BV$45)</f>
        <v/>
      </c>
      <c r="BX41" s="57">
        <f>VLOOKUP($A41,'Ratings Season'!$A:$M,2,FALSE)</f>
        <v/>
      </c>
      <c r="BY41" s="58">
        <f>RANK(BX41,BX$28:BX$45)</f>
        <v/>
      </c>
    </row>
    <row r="42" ht="25" customHeight="1">
      <c r="A42" s="89" t="inlineStr">
        <is>
          <t>St Kilda</t>
        </is>
      </c>
      <c r="B42" s="53">
        <f>VLOOKUP($A42,INDIRECT("'"&amp;$B$24&amp;"'!$A:$IZ"),222,FALSE)</f>
        <v/>
      </c>
      <c r="C42" s="54">
        <f>RANK(B42,B$28:B$45)</f>
        <v/>
      </c>
      <c r="D42" s="55">
        <f>VLOOKUP($A42,INDIRECT("'"&amp;$B$24&amp;"'!$A:$IZ"),218,FALSE)</f>
        <v/>
      </c>
      <c r="E42" s="54">
        <f>RANK(D42,D$28:D$45)</f>
        <v/>
      </c>
      <c r="F42" s="55">
        <f>VLOOKUP($A42,INDIRECT("'"&amp;$B$24&amp;"'!$A:$IZ"),49,FALSE)</f>
        <v/>
      </c>
      <c r="G42" s="54">
        <f>RANK(F42,F$28:F$45)</f>
        <v/>
      </c>
      <c r="H42" s="55">
        <f>VLOOKUP($A42,INDIRECT("'"&amp;$B$24&amp;"'!$A:$IZ"),229,FALSE)</f>
        <v/>
      </c>
      <c r="I42" s="54">
        <f>RANK(H42,H$28:H$45)</f>
        <v/>
      </c>
      <c r="J42" s="49">
        <f>104-(C42+E42+G42+I42)</f>
        <v/>
      </c>
      <c r="K42" s="47">
        <f>RANK(J42,J$28:J$45)</f>
        <v/>
      </c>
      <c r="L42" s="56" t="n"/>
      <c r="M42" s="53">
        <f>VLOOKUP($A42,INDIRECT("'"&amp;$B$24&amp;"'!$A:$IZ"),88,FALSE)</f>
        <v/>
      </c>
      <c r="N42" s="54">
        <f>RANK(M42,M$28:M$45)</f>
        <v/>
      </c>
      <c r="O42" s="53">
        <f>VLOOKUP($A42,INDIRECT("'"&amp;$B$24&amp;"'!$A:$IZ"),84,FALSE)</f>
        <v/>
      </c>
      <c r="P42" s="54">
        <f>RANK(O42,O$28:O$45)</f>
        <v/>
      </c>
      <c r="Q42" s="53">
        <f>VLOOKUP($A42,INDIRECT("'"&amp;$B$24&amp;"'!$A:$IZ"),85,FALSE)</f>
        <v/>
      </c>
      <c r="R42" s="54">
        <f>RANK(Q42,Q$28:Q$45)</f>
        <v/>
      </c>
      <c r="S42" s="55">
        <f>VLOOKUP($A42,INDIRECT("'"&amp;$B$24&amp;"'!$A:$IZ"),29,FALSE)</f>
        <v/>
      </c>
      <c r="T42" s="54">
        <f>RANK(S42,S$28:S$45)</f>
        <v/>
      </c>
      <c r="U42" s="49">
        <f>104-(N42+P42+R42+T42)</f>
        <v/>
      </c>
      <c r="V42" s="47">
        <f>RANK(U42,U$28:U$45)</f>
        <v/>
      </c>
      <c r="W42" s="56" t="n"/>
      <c r="X42" s="53">
        <f>VLOOKUP($A42,INDIRECT("'"&amp;$B$24&amp;"'!$A:$IZ"),65,FALSE)</f>
        <v/>
      </c>
      <c r="Y42" s="54">
        <f>RANK(X42,X$28:X$45)</f>
        <v/>
      </c>
      <c r="Z42" s="53">
        <f>VLOOKUP($A42,INDIRECT("'"&amp;$B$24&amp;"'!$A:$IZ"),64,FALSE)</f>
        <v/>
      </c>
      <c r="AA42" s="54">
        <f>RANK(Z42,Z$28:Z$45)</f>
        <v/>
      </c>
      <c r="AB42" s="53">
        <f>VLOOKUP($A42,INDIRECT("'"&amp;$B$24&amp;"'!$A:$IZ"),63,FALSE)</f>
        <v/>
      </c>
      <c r="AC42" s="54">
        <f>RANK(AB42,AB$28:AB$45)</f>
        <v/>
      </c>
      <c r="AD42" s="53">
        <f>VLOOKUP($A42,INDIRECT("'"&amp;$B$24&amp;"'!$A:$IZ"),71,FALSE)</f>
        <v/>
      </c>
      <c r="AE42" s="54">
        <f>RANK(AD42,AD$28:AD$45)</f>
        <v/>
      </c>
      <c r="AF42" s="65">
        <f>104-(Y42+AA42+AC42+AE42)</f>
        <v/>
      </c>
      <c r="AG42" s="47">
        <f>RANK(AF42,AF$28:AF$45)</f>
        <v/>
      </c>
      <c r="AH42" s="56" t="n"/>
      <c r="AI42" s="53">
        <f>VLOOKUP($A42,INDIRECT("'"&amp;$B$24&amp;"'!$A:$IZ"),183,FALSE)</f>
        <v/>
      </c>
      <c r="AJ42" s="54">
        <f>RANK(AI42,AI$28:AI$45,1)</f>
        <v/>
      </c>
      <c r="AK42" s="53">
        <f>VLOOKUP($A42,INDIRECT("'"&amp;$B$24&amp;"'!$A:$IZ"),181,FALSE)</f>
        <v/>
      </c>
      <c r="AL42" s="54">
        <f>RANK(AK42,AK$28:AK$45,1)</f>
        <v/>
      </c>
      <c r="AM42" s="53">
        <f>VLOOKUP($A42,INDIRECT("'"&amp;$B$24&amp;"'!$A:$IZ"),182,FALSE)</f>
        <v/>
      </c>
      <c r="AN42" s="54">
        <f>RANK(AM42,AM$28:AM$45,1)</f>
        <v/>
      </c>
      <c r="AO42" s="53">
        <f>VLOOKUP($A42,INDIRECT("'"&amp;$B$24&amp;"'!$A:$IZ"),163,FALSE)</f>
        <v/>
      </c>
      <c r="AP42" s="54">
        <f>RANK(AO42,AO$28:AO$45,1)</f>
        <v/>
      </c>
      <c r="AQ42" s="65">
        <f>104-(AJ42+AL42+AN42+AP42)</f>
        <v/>
      </c>
      <c r="AR42" s="47">
        <f>RANK(AQ42,AQ$28:AQ$45)</f>
        <v/>
      </c>
      <c r="AS42" s="56" t="n"/>
      <c r="AT42" s="46">
        <f>VLOOKUP($A42,INDIRECT("'"&amp;$B$24&amp;"'!$A:$IZ"),250,FALSE)</f>
        <v/>
      </c>
      <c r="AU42" s="47">
        <f>RANK(AT42,AT$28:AT$45,0)</f>
        <v/>
      </c>
      <c r="AV42" s="46">
        <f>VLOOKUP($A42,INDIRECT("'"&amp;$B$24&amp;"'!$A:$IZ"),92,FALSE)</f>
        <v/>
      </c>
      <c r="AW42" s="47">
        <f>RANK(AV42,AV$28:AV$45,0)</f>
        <v/>
      </c>
      <c r="AX42" s="46">
        <f>VLOOKUP($A42,INDIRECT("'"&amp;$B$24&amp;"'!$A:$IZ"),93,FALSE)</f>
        <v/>
      </c>
      <c r="AY42" s="47">
        <f>RANK(AX42,AX$28:AX$45,0)</f>
        <v/>
      </c>
      <c r="AZ42" s="46">
        <f>VLOOKUP($A42,INDIRECT("'"&amp;$B$24&amp;"'!$A:$IZ"),108,FALSE)</f>
        <v/>
      </c>
      <c r="BA42" s="47">
        <f>RANK(AZ42,AZ$28:AZ$45,0)</f>
        <v/>
      </c>
      <c r="BB42" s="46">
        <f>104-(AU42+AW42+AY42+BA42)</f>
        <v/>
      </c>
      <c r="BC42" s="47">
        <f>RANK(BB42,BB$28:BB$45)</f>
        <v/>
      </c>
      <c r="BD42" s="56" t="n"/>
      <c r="BE42" s="53">
        <f>VLOOKUP($A42,INDIRECT("'"&amp;$B$24&amp;"'!$A:$IZ"),80,FALSE)</f>
        <v/>
      </c>
      <c r="BF42" s="54">
        <f>RANK(BE42,BE$28:BE$45)</f>
        <v/>
      </c>
      <c r="BG42" s="53">
        <f>VLOOKUP($A42,INDIRECT("'"&amp;$B$24&amp;"'!$A:$IZ"),177,FALSE)</f>
        <v/>
      </c>
      <c r="BH42" s="54">
        <f>RANK(BG42,BG$28:BG$45,1)</f>
        <v/>
      </c>
      <c r="BI42" s="53">
        <f>VLOOKUP($A42,INDIRECT("'"&amp;$B$24&amp;"'!$A:$IZ"),79,FALSE)</f>
        <v/>
      </c>
      <c r="BJ42" s="54">
        <f>RANK(BI42,BI$28:BI$45)</f>
        <v/>
      </c>
      <c r="BK42" s="53">
        <f>VLOOKUP($A42,INDIRECT("'"&amp;$B$24&amp;"'!$A:$IZ"),176,FALSE)</f>
        <v/>
      </c>
      <c r="BL42" s="54">
        <f>RANK(BK42,BK$28:BK$45,1)</f>
        <v/>
      </c>
      <c r="BM42" s="53">
        <f>VLOOKUP($A42,INDIRECT("'"&amp;$B$24&amp;"'!$A:$IZ"),11,FALSE)</f>
        <v/>
      </c>
      <c r="BN42" s="54">
        <f>RANK(BM42,BM$28:BM$45)</f>
        <v/>
      </c>
      <c r="BO42" s="53">
        <f>VLOOKUP($A42,INDIRECT("'"&amp;$B$24&amp;"'!$A:$IZ"),222,FALSE)</f>
        <v/>
      </c>
      <c r="BP42" s="54">
        <f>RANK(BO42,BO$28:BO$45)</f>
        <v/>
      </c>
      <c r="BQ42" s="65">
        <f>104-(BJ42+BL42+BN42+BP42)</f>
        <v/>
      </c>
      <c r="BR42" s="47">
        <f>RANK(BQ42,BQ$28:BQ$45)</f>
        <v/>
      </c>
      <c r="BS42" s="56" t="n"/>
      <c r="BT42" s="57">
        <f>VLOOKUP($A42,'Ratings Season'!$A:$M,8,FALSE)</f>
        <v/>
      </c>
      <c r="BU42" s="54">
        <f>RANK(BT42,BT$28:BT$45)</f>
        <v/>
      </c>
      <c r="BV42" s="57">
        <f>VLOOKUP($A42,'Ratings Season'!$A:$M,4,FALSE)</f>
        <v/>
      </c>
      <c r="BW42" s="54">
        <f>RANK(BV42,BV$28:BV$45)</f>
        <v/>
      </c>
      <c r="BX42" s="57">
        <f>VLOOKUP($A42,'Ratings Season'!$A:$M,2,FALSE)</f>
        <v/>
      </c>
      <c r="BY42" s="58">
        <f>RANK(BX42,BX$28:BX$45)</f>
        <v/>
      </c>
    </row>
    <row r="43" ht="25" customHeight="1">
      <c r="A43" s="90" t="inlineStr">
        <is>
          <t>Sydney</t>
        </is>
      </c>
      <c r="B43" s="53">
        <f>VLOOKUP($A43,INDIRECT("'"&amp;$B$24&amp;"'!$A:$IZ"),222,FALSE)</f>
        <v/>
      </c>
      <c r="C43" s="54">
        <f>RANK(B43,B$28:B$45)</f>
        <v/>
      </c>
      <c r="D43" s="55">
        <f>VLOOKUP($A43,INDIRECT("'"&amp;$B$24&amp;"'!$A:$IZ"),218,FALSE)</f>
        <v/>
      </c>
      <c r="E43" s="54">
        <f>RANK(D43,D$28:D$45)</f>
        <v/>
      </c>
      <c r="F43" s="55">
        <f>VLOOKUP($A43,INDIRECT("'"&amp;$B$24&amp;"'!$A:$IZ"),49,FALSE)</f>
        <v/>
      </c>
      <c r="G43" s="54">
        <f>RANK(F43,F$28:F$45)</f>
        <v/>
      </c>
      <c r="H43" s="55">
        <f>VLOOKUP($A43,INDIRECT("'"&amp;$B$24&amp;"'!$A:$IZ"),229,FALSE)</f>
        <v/>
      </c>
      <c r="I43" s="54">
        <f>RANK(H43,H$28:H$45)</f>
        <v/>
      </c>
      <c r="J43" s="49">
        <f>104-(C43+E43+G43+I43)</f>
        <v/>
      </c>
      <c r="K43" s="47">
        <f>RANK(J43,J$28:J$45)</f>
        <v/>
      </c>
      <c r="L43" s="56" t="n"/>
      <c r="M43" s="53">
        <f>VLOOKUP($A43,INDIRECT("'"&amp;$B$24&amp;"'!$A:$IZ"),88,FALSE)</f>
        <v/>
      </c>
      <c r="N43" s="54">
        <f>RANK(M43,M$28:M$45)</f>
        <v/>
      </c>
      <c r="O43" s="53">
        <f>VLOOKUP($A43,INDIRECT("'"&amp;$B$24&amp;"'!$A:$IZ"),84,FALSE)</f>
        <v/>
      </c>
      <c r="P43" s="54">
        <f>RANK(O43,O$28:O$45)</f>
        <v/>
      </c>
      <c r="Q43" s="53">
        <f>VLOOKUP($A43,INDIRECT("'"&amp;$B$24&amp;"'!$A:$IZ"),85,FALSE)</f>
        <v/>
      </c>
      <c r="R43" s="54">
        <f>RANK(Q43,Q$28:Q$45)</f>
        <v/>
      </c>
      <c r="S43" s="55">
        <f>VLOOKUP($A43,INDIRECT("'"&amp;$B$24&amp;"'!$A:$IZ"),29,FALSE)</f>
        <v/>
      </c>
      <c r="T43" s="54">
        <f>RANK(S43,S$28:S$45)</f>
        <v/>
      </c>
      <c r="U43" s="49">
        <f>104-(N43+P43+R43+T43)</f>
        <v/>
      </c>
      <c r="V43" s="47">
        <f>RANK(U43,U$28:U$45)</f>
        <v/>
      </c>
      <c r="W43" s="56" t="n"/>
      <c r="X43" s="53">
        <f>VLOOKUP($A43,INDIRECT("'"&amp;$B$24&amp;"'!$A:$IZ"),65,FALSE)</f>
        <v/>
      </c>
      <c r="Y43" s="54">
        <f>RANK(X43,X$28:X$45)</f>
        <v/>
      </c>
      <c r="Z43" s="53">
        <f>VLOOKUP($A43,INDIRECT("'"&amp;$B$24&amp;"'!$A:$IZ"),64,FALSE)</f>
        <v/>
      </c>
      <c r="AA43" s="54">
        <f>RANK(Z43,Z$28:Z$45)</f>
        <v/>
      </c>
      <c r="AB43" s="53">
        <f>VLOOKUP($A43,INDIRECT("'"&amp;$B$24&amp;"'!$A:$IZ"),63,FALSE)</f>
        <v/>
      </c>
      <c r="AC43" s="54">
        <f>RANK(AB43,AB$28:AB$45)</f>
        <v/>
      </c>
      <c r="AD43" s="53">
        <f>VLOOKUP($A43,INDIRECT("'"&amp;$B$24&amp;"'!$A:$IZ"),71,FALSE)</f>
        <v/>
      </c>
      <c r="AE43" s="54">
        <f>RANK(AD43,AD$28:AD$45)</f>
        <v/>
      </c>
      <c r="AF43" s="65">
        <f>104-(Y43+AA43+AC43+AE43)</f>
        <v/>
      </c>
      <c r="AG43" s="47">
        <f>RANK(AF43,AF$28:AF$45)</f>
        <v/>
      </c>
      <c r="AH43" s="56" t="n"/>
      <c r="AI43" s="53">
        <f>VLOOKUP($A43,INDIRECT("'"&amp;$B$24&amp;"'!$A:$IZ"),183,FALSE)</f>
        <v/>
      </c>
      <c r="AJ43" s="54">
        <f>RANK(AI43,AI$28:AI$45,1)</f>
        <v/>
      </c>
      <c r="AK43" s="53">
        <f>VLOOKUP($A43,INDIRECT("'"&amp;$B$24&amp;"'!$A:$IZ"),181,FALSE)</f>
        <v/>
      </c>
      <c r="AL43" s="54">
        <f>RANK(AK43,AK$28:AK$45,1)</f>
        <v/>
      </c>
      <c r="AM43" s="53">
        <f>VLOOKUP($A43,INDIRECT("'"&amp;$B$24&amp;"'!$A:$IZ"),182,FALSE)</f>
        <v/>
      </c>
      <c r="AN43" s="54">
        <f>RANK(AM43,AM$28:AM$45,1)</f>
        <v/>
      </c>
      <c r="AO43" s="53">
        <f>VLOOKUP($A43,INDIRECT("'"&amp;$B$24&amp;"'!$A:$IZ"),163,FALSE)</f>
        <v/>
      </c>
      <c r="AP43" s="54">
        <f>RANK(AO43,AO$28:AO$45,1)</f>
        <v/>
      </c>
      <c r="AQ43" s="65">
        <f>104-(AJ43+AL43+AN43+AP43)</f>
        <v/>
      </c>
      <c r="AR43" s="47">
        <f>RANK(AQ43,AQ$28:AQ$45)</f>
        <v/>
      </c>
      <c r="AS43" s="56" t="n"/>
      <c r="AT43" s="46">
        <f>VLOOKUP($A43,INDIRECT("'"&amp;$B$24&amp;"'!$A:$IZ"),250,FALSE)</f>
        <v/>
      </c>
      <c r="AU43" s="47">
        <f>RANK(AT43,AT$28:AT$45,0)</f>
        <v/>
      </c>
      <c r="AV43" s="46">
        <f>VLOOKUP($A43,INDIRECT("'"&amp;$B$24&amp;"'!$A:$IZ"),92,FALSE)</f>
        <v/>
      </c>
      <c r="AW43" s="47">
        <f>RANK(AV43,AV$28:AV$45,0)</f>
        <v/>
      </c>
      <c r="AX43" s="46">
        <f>VLOOKUP($A43,INDIRECT("'"&amp;$B$24&amp;"'!$A:$IZ"),93,FALSE)</f>
        <v/>
      </c>
      <c r="AY43" s="47">
        <f>RANK(AX43,AX$28:AX$45,0)</f>
        <v/>
      </c>
      <c r="AZ43" s="46">
        <f>VLOOKUP($A43,INDIRECT("'"&amp;$B$24&amp;"'!$A:$IZ"),108,FALSE)</f>
        <v/>
      </c>
      <c r="BA43" s="47">
        <f>RANK(AZ43,AZ$28:AZ$45,0)</f>
        <v/>
      </c>
      <c r="BB43" s="46">
        <f>104-(AU43+AW43+AY43+BA43)</f>
        <v/>
      </c>
      <c r="BC43" s="47">
        <f>RANK(BB43,BB$28:BB$45)</f>
        <v/>
      </c>
      <c r="BD43" s="56" t="n"/>
      <c r="BE43" s="53">
        <f>VLOOKUP($A43,INDIRECT("'"&amp;$B$24&amp;"'!$A:$IZ"),80,FALSE)</f>
        <v/>
      </c>
      <c r="BF43" s="54">
        <f>RANK(BE43,BE$28:BE$45)</f>
        <v/>
      </c>
      <c r="BG43" s="53">
        <f>VLOOKUP($A43,INDIRECT("'"&amp;$B$24&amp;"'!$A:$IZ"),177,FALSE)</f>
        <v/>
      </c>
      <c r="BH43" s="54">
        <f>RANK(BG43,BG$28:BG$45,1)</f>
        <v/>
      </c>
      <c r="BI43" s="53">
        <f>VLOOKUP($A43,INDIRECT("'"&amp;$B$24&amp;"'!$A:$IZ"),79,FALSE)</f>
        <v/>
      </c>
      <c r="BJ43" s="54">
        <f>RANK(BI43,BI$28:BI$45)</f>
        <v/>
      </c>
      <c r="BK43" s="53">
        <f>VLOOKUP($A43,INDIRECT("'"&amp;$B$24&amp;"'!$A:$IZ"),176,FALSE)</f>
        <v/>
      </c>
      <c r="BL43" s="54">
        <f>RANK(BK43,BK$28:BK$45,1)</f>
        <v/>
      </c>
      <c r="BM43" s="53">
        <f>VLOOKUP($A43,INDIRECT("'"&amp;$B$24&amp;"'!$A:$IZ"),11,FALSE)</f>
        <v/>
      </c>
      <c r="BN43" s="54">
        <f>RANK(BM43,BM$28:BM$45)</f>
        <v/>
      </c>
      <c r="BO43" s="53">
        <f>VLOOKUP($A43,INDIRECT("'"&amp;$B$24&amp;"'!$A:$IZ"),222,FALSE)</f>
        <v/>
      </c>
      <c r="BP43" s="54">
        <f>RANK(BO43,BO$28:BO$45)</f>
        <v/>
      </c>
      <c r="BQ43" s="65">
        <f>104-(BJ43+BL43+BN43+BP43)</f>
        <v/>
      </c>
      <c r="BR43" s="47">
        <f>RANK(BQ43,BQ$28:BQ$45)</f>
        <v/>
      </c>
      <c r="BS43" s="56" t="n"/>
      <c r="BT43" s="57">
        <f>VLOOKUP($A43,'Ratings Season'!$A:$M,8,FALSE)</f>
        <v/>
      </c>
      <c r="BU43" s="54">
        <f>RANK(BT43,BT$28:BT$45)</f>
        <v/>
      </c>
      <c r="BV43" s="57">
        <f>VLOOKUP($A43,'Ratings Season'!$A:$M,4,FALSE)</f>
        <v/>
      </c>
      <c r="BW43" s="54">
        <f>RANK(BV43,BV$28:BV$45)</f>
        <v/>
      </c>
      <c r="BX43" s="57">
        <f>VLOOKUP($A43,'Ratings Season'!$A:$M,2,FALSE)</f>
        <v/>
      </c>
      <c r="BY43" s="58">
        <f>RANK(BX43,BX$28:BX$45)</f>
        <v/>
      </c>
    </row>
    <row r="44" ht="25" customHeight="1">
      <c r="A44" s="91" t="inlineStr">
        <is>
          <t>West Coast</t>
        </is>
      </c>
      <c r="B44" s="53">
        <f>VLOOKUP($A44,INDIRECT("'"&amp;$B$24&amp;"'!$A:$IZ"),222,FALSE)</f>
        <v/>
      </c>
      <c r="C44" s="54">
        <f>RANK(B44,B$28:B$45)</f>
        <v/>
      </c>
      <c r="D44" s="55">
        <f>VLOOKUP($A44,INDIRECT("'"&amp;$B$24&amp;"'!$A:$IZ"),218,FALSE)</f>
        <v/>
      </c>
      <c r="E44" s="54">
        <f>RANK(D44,D$28:D$45)</f>
        <v/>
      </c>
      <c r="F44" s="55">
        <f>VLOOKUP($A44,INDIRECT("'"&amp;$B$24&amp;"'!$A:$IZ"),49,FALSE)</f>
        <v/>
      </c>
      <c r="G44" s="54">
        <f>RANK(F44,F$28:F$45)</f>
        <v/>
      </c>
      <c r="H44" s="55">
        <f>VLOOKUP($A44,INDIRECT("'"&amp;$B$24&amp;"'!$A:$IZ"),229,FALSE)</f>
        <v/>
      </c>
      <c r="I44" s="54">
        <f>RANK(H44,H$28:H$45)</f>
        <v/>
      </c>
      <c r="J44" s="49">
        <f>104-(C44+E44+G44+I44)</f>
        <v/>
      </c>
      <c r="K44" s="47">
        <f>RANK(J44,J$28:J$45)</f>
        <v/>
      </c>
      <c r="L44" s="56" t="n"/>
      <c r="M44" s="53">
        <f>VLOOKUP($A44,INDIRECT("'"&amp;$B$24&amp;"'!$A:$IZ"),88,FALSE)</f>
        <v/>
      </c>
      <c r="N44" s="54">
        <f>RANK(M44,M$28:M$45)</f>
        <v/>
      </c>
      <c r="O44" s="53">
        <f>VLOOKUP($A44,INDIRECT("'"&amp;$B$24&amp;"'!$A:$IZ"),84,FALSE)</f>
        <v/>
      </c>
      <c r="P44" s="54">
        <f>RANK(O44,O$28:O$45)</f>
        <v/>
      </c>
      <c r="Q44" s="53">
        <f>VLOOKUP($A44,INDIRECT("'"&amp;$B$24&amp;"'!$A:$IZ"),85,FALSE)</f>
        <v/>
      </c>
      <c r="R44" s="54">
        <f>RANK(Q44,Q$28:Q$45)</f>
        <v/>
      </c>
      <c r="S44" s="55">
        <f>VLOOKUP($A44,INDIRECT("'"&amp;$B$24&amp;"'!$A:$IZ"),29,FALSE)</f>
        <v/>
      </c>
      <c r="T44" s="54">
        <f>RANK(S44,S$28:S$45)</f>
        <v/>
      </c>
      <c r="U44" s="49">
        <f>104-(N44+P44+R44+T44)</f>
        <v/>
      </c>
      <c r="V44" s="47">
        <f>RANK(U44,U$28:U$45)</f>
        <v/>
      </c>
      <c r="W44" s="56" t="n"/>
      <c r="X44" s="53">
        <f>VLOOKUP($A44,INDIRECT("'"&amp;$B$24&amp;"'!$A:$IZ"),65,FALSE)</f>
        <v/>
      </c>
      <c r="Y44" s="54">
        <f>RANK(X44,X$28:X$45)</f>
        <v/>
      </c>
      <c r="Z44" s="53">
        <f>VLOOKUP($A44,INDIRECT("'"&amp;$B$24&amp;"'!$A:$IZ"),64,FALSE)</f>
        <v/>
      </c>
      <c r="AA44" s="54">
        <f>RANK(Z44,Z$28:Z$45)</f>
        <v/>
      </c>
      <c r="AB44" s="53">
        <f>VLOOKUP($A44,INDIRECT("'"&amp;$B$24&amp;"'!$A:$IZ"),63,FALSE)</f>
        <v/>
      </c>
      <c r="AC44" s="54">
        <f>RANK(AB44,AB$28:AB$45)</f>
        <v/>
      </c>
      <c r="AD44" s="53">
        <f>VLOOKUP($A44,INDIRECT("'"&amp;$B$24&amp;"'!$A:$IZ"),71,FALSE)</f>
        <v/>
      </c>
      <c r="AE44" s="54">
        <f>RANK(AD44,AD$28:AD$45)</f>
        <v/>
      </c>
      <c r="AF44" s="65">
        <f>104-(Y44+AA44+AC44+AE44)</f>
        <v/>
      </c>
      <c r="AG44" s="47">
        <f>RANK(AF44,AF$28:AF$45)</f>
        <v/>
      </c>
      <c r="AH44" s="56" t="n"/>
      <c r="AI44" s="53">
        <f>VLOOKUP($A44,INDIRECT("'"&amp;$B$24&amp;"'!$A:$IZ"),183,FALSE)</f>
        <v/>
      </c>
      <c r="AJ44" s="54">
        <f>RANK(AI44,AI$28:AI$45,1)</f>
        <v/>
      </c>
      <c r="AK44" s="53">
        <f>VLOOKUP($A44,INDIRECT("'"&amp;$B$24&amp;"'!$A:$IZ"),181,FALSE)</f>
        <v/>
      </c>
      <c r="AL44" s="54">
        <f>RANK(AK44,AK$28:AK$45,1)</f>
        <v/>
      </c>
      <c r="AM44" s="53">
        <f>VLOOKUP($A44,INDIRECT("'"&amp;$B$24&amp;"'!$A:$IZ"),182,FALSE)</f>
        <v/>
      </c>
      <c r="AN44" s="54">
        <f>RANK(AM44,AM$28:AM$45,1)</f>
        <v/>
      </c>
      <c r="AO44" s="53">
        <f>VLOOKUP($A44,INDIRECT("'"&amp;$B$24&amp;"'!$A:$IZ"),163,FALSE)</f>
        <v/>
      </c>
      <c r="AP44" s="54">
        <f>RANK(AO44,AO$28:AO$45,1)</f>
        <v/>
      </c>
      <c r="AQ44" s="65">
        <f>104-(AJ44+AL44+AN44+AP44)</f>
        <v/>
      </c>
      <c r="AR44" s="47">
        <f>RANK(AQ44,AQ$28:AQ$45)</f>
        <v/>
      </c>
      <c r="AS44" s="56" t="n"/>
      <c r="AT44" s="46">
        <f>VLOOKUP($A44,INDIRECT("'"&amp;$B$24&amp;"'!$A:$IZ"),250,FALSE)</f>
        <v/>
      </c>
      <c r="AU44" s="47">
        <f>RANK(AT44,AT$28:AT$45,0)</f>
        <v/>
      </c>
      <c r="AV44" s="46">
        <f>VLOOKUP($A44,INDIRECT("'"&amp;$B$24&amp;"'!$A:$IZ"),92,FALSE)</f>
        <v/>
      </c>
      <c r="AW44" s="47">
        <f>RANK(AV44,AV$28:AV$45,0)</f>
        <v/>
      </c>
      <c r="AX44" s="46">
        <f>VLOOKUP($A44,INDIRECT("'"&amp;$B$24&amp;"'!$A:$IZ"),93,FALSE)</f>
        <v/>
      </c>
      <c r="AY44" s="47">
        <f>RANK(AX44,AX$28:AX$45,0)</f>
        <v/>
      </c>
      <c r="AZ44" s="46">
        <f>VLOOKUP($A44,INDIRECT("'"&amp;$B$24&amp;"'!$A:$IZ"),108,FALSE)</f>
        <v/>
      </c>
      <c r="BA44" s="47">
        <f>RANK(AZ44,AZ$28:AZ$45,0)</f>
        <v/>
      </c>
      <c r="BB44" s="46">
        <f>104-(AU44+AW44+AY44+BA44)</f>
        <v/>
      </c>
      <c r="BC44" s="47">
        <f>RANK(BB44,BB$28:BB$45)</f>
        <v/>
      </c>
      <c r="BD44" s="56" t="n"/>
      <c r="BE44" s="53">
        <f>VLOOKUP($A44,INDIRECT("'"&amp;$B$24&amp;"'!$A:$IZ"),80,FALSE)</f>
        <v/>
      </c>
      <c r="BF44" s="54">
        <f>RANK(BE44,BE$28:BE$45)</f>
        <v/>
      </c>
      <c r="BG44" s="53">
        <f>VLOOKUP($A44,INDIRECT("'"&amp;$B$24&amp;"'!$A:$IZ"),177,FALSE)</f>
        <v/>
      </c>
      <c r="BH44" s="54">
        <f>RANK(BG44,BG$28:BG$45,1)</f>
        <v/>
      </c>
      <c r="BI44" s="53">
        <f>VLOOKUP($A44,INDIRECT("'"&amp;$B$24&amp;"'!$A:$IZ"),79,FALSE)</f>
        <v/>
      </c>
      <c r="BJ44" s="54">
        <f>RANK(BI44,BI$28:BI$45)</f>
        <v/>
      </c>
      <c r="BK44" s="53">
        <f>VLOOKUP($A44,INDIRECT("'"&amp;$B$24&amp;"'!$A:$IZ"),176,FALSE)</f>
        <v/>
      </c>
      <c r="BL44" s="54">
        <f>RANK(BK44,BK$28:BK$45,1)</f>
        <v/>
      </c>
      <c r="BM44" s="53">
        <f>VLOOKUP($A44,INDIRECT("'"&amp;$B$24&amp;"'!$A:$IZ"),11,FALSE)</f>
        <v/>
      </c>
      <c r="BN44" s="54">
        <f>RANK(BM44,BM$28:BM$45)</f>
        <v/>
      </c>
      <c r="BO44" s="53">
        <f>VLOOKUP($A44,INDIRECT("'"&amp;$B$24&amp;"'!$A:$IZ"),222,FALSE)</f>
        <v/>
      </c>
      <c r="BP44" s="54">
        <f>RANK(BO44,BO$28:BO$45)</f>
        <v/>
      </c>
      <c r="BQ44" s="65">
        <f>104-(BJ44+BL44+BN44+BP44)</f>
        <v/>
      </c>
      <c r="BR44" s="47">
        <f>RANK(BQ44,BQ$28:BQ$45)</f>
        <v/>
      </c>
      <c r="BS44" s="56" t="n"/>
      <c r="BT44" s="57">
        <f>VLOOKUP($A44,'Ratings Season'!$A:$M,8,FALSE)</f>
        <v/>
      </c>
      <c r="BU44" s="54">
        <f>RANK(BT44,BT$28:BT$45)</f>
        <v/>
      </c>
      <c r="BV44" s="57">
        <f>VLOOKUP($A44,'Ratings Season'!$A:$M,4,FALSE)</f>
        <v/>
      </c>
      <c r="BW44" s="54">
        <f>RANK(BV44,BV$28:BV$45)</f>
        <v/>
      </c>
      <c r="BX44" s="57">
        <f>VLOOKUP($A44,'Ratings Season'!$A:$M,2,FALSE)</f>
        <v/>
      </c>
      <c r="BY44" s="58">
        <f>RANK(BX44,BX$28:BX$45)</f>
        <v/>
      </c>
    </row>
    <row r="45" ht="25" customHeight="1" thickBot="1">
      <c r="A45" s="92" t="inlineStr">
        <is>
          <t>Western Bulldogs</t>
        </is>
      </c>
      <c r="B45" s="59">
        <f>VLOOKUP($A45,INDIRECT("'"&amp;$B$24&amp;"'!$A:$IZ"),222,FALSE)</f>
        <v/>
      </c>
      <c r="C45" s="60">
        <f>RANK(B45,B$28:B$45)</f>
        <v/>
      </c>
      <c r="D45" s="61">
        <f>VLOOKUP($A45,INDIRECT("'"&amp;$B$24&amp;"'!$A:$IZ"),218,FALSE)</f>
        <v/>
      </c>
      <c r="E45" s="60">
        <f>RANK(D45,D$28:D$45)</f>
        <v/>
      </c>
      <c r="F45" s="61">
        <f>VLOOKUP($A45,INDIRECT("'"&amp;$B$24&amp;"'!$A:$IZ"),49,FALSE)</f>
        <v/>
      </c>
      <c r="G45" s="60">
        <f>RANK(F45,F$28:F$45)</f>
        <v/>
      </c>
      <c r="H45" s="61">
        <f>VLOOKUP($A45,INDIRECT("'"&amp;$B$24&amp;"'!$A:$IZ"),229,FALSE)</f>
        <v/>
      </c>
      <c r="I45" s="60">
        <f>RANK(H45,H$28:H$45)</f>
        <v/>
      </c>
      <c r="J45" s="49">
        <f>104-(C45+E45+G45+I45)</f>
        <v/>
      </c>
      <c r="K45" s="47">
        <f>RANK(J45,J$28:J$45)</f>
        <v/>
      </c>
      <c r="L45" s="62" t="n"/>
      <c r="M45" s="59">
        <f>VLOOKUP($A45,INDIRECT("'"&amp;$B$24&amp;"'!$A:$IZ"),88,FALSE)</f>
        <v/>
      </c>
      <c r="N45" s="60">
        <f>RANK(M45,M$28:M$45)</f>
        <v/>
      </c>
      <c r="O45" s="59">
        <f>VLOOKUP($A45,INDIRECT("'"&amp;$B$24&amp;"'!$A:$IZ"),84,FALSE)</f>
        <v/>
      </c>
      <c r="P45" s="60">
        <f>RANK(O45,O$28:O$45)</f>
        <v/>
      </c>
      <c r="Q45" s="59">
        <f>VLOOKUP($A45,INDIRECT("'"&amp;$B$24&amp;"'!$A:$IZ"),85,FALSE)</f>
        <v/>
      </c>
      <c r="R45" s="60">
        <f>RANK(Q45,Q$28:Q$45)</f>
        <v/>
      </c>
      <c r="S45" s="61">
        <f>VLOOKUP($A45,INDIRECT("'"&amp;$B$24&amp;"'!$A:$IZ"),29,FALSE)</f>
        <v/>
      </c>
      <c r="T45" s="60">
        <f>RANK(S45,S$28:S$45)</f>
        <v/>
      </c>
      <c r="U45" s="49">
        <f>104-(N45+P45+R45+T45)</f>
        <v/>
      </c>
      <c r="V45" s="47">
        <f>RANK(U45,U$28:U$45)</f>
        <v/>
      </c>
      <c r="W45" s="62" t="n"/>
      <c r="X45" s="59">
        <f>VLOOKUP($A45,INDIRECT("'"&amp;$B$24&amp;"'!$A:$IZ"),65,FALSE)</f>
        <v/>
      </c>
      <c r="Y45" s="60">
        <f>RANK(X45,X$28:X$45)</f>
        <v/>
      </c>
      <c r="Z45" s="59">
        <f>VLOOKUP($A45,INDIRECT("'"&amp;$B$24&amp;"'!$A:$IZ"),64,FALSE)</f>
        <v/>
      </c>
      <c r="AA45" s="60">
        <f>RANK(Z45,Z$28:Z$45)</f>
        <v/>
      </c>
      <c r="AB45" s="59">
        <f>VLOOKUP($A45,INDIRECT("'"&amp;$B$24&amp;"'!$A:$IZ"),63,FALSE)</f>
        <v/>
      </c>
      <c r="AC45" s="60">
        <f>RANK(AB45,AB$28:AB$45)</f>
        <v/>
      </c>
      <c r="AD45" s="59">
        <f>VLOOKUP($A45,INDIRECT("'"&amp;$B$24&amp;"'!$A:$IZ"),71,FALSE)</f>
        <v/>
      </c>
      <c r="AE45" s="60">
        <f>RANK(AD45,AD$28:AD$45)</f>
        <v/>
      </c>
      <c r="AF45" s="66">
        <f>104-(Y45+AA45+AC45+AE45)</f>
        <v/>
      </c>
      <c r="AG45" s="47">
        <f>RANK(AF45,AF$28:AF$45)</f>
        <v/>
      </c>
      <c r="AH45" s="62" t="n"/>
      <c r="AI45" s="59">
        <f>VLOOKUP($A45,INDIRECT("'"&amp;$B$24&amp;"'!$A:$IZ"),183,FALSE)</f>
        <v/>
      </c>
      <c r="AJ45" s="60">
        <f>RANK(AI45,AI$28:AI$45,1)</f>
        <v/>
      </c>
      <c r="AK45" s="59">
        <f>VLOOKUP($A45,INDIRECT("'"&amp;$B$24&amp;"'!$A:$IZ"),181,FALSE)</f>
        <v/>
      </c>
      <c r="AL45" s="60">
        <f>RANK(AK45,AK$28:AK$45,1)</f>
        <v/>
      </c>
      <c r="AM45" s="59">
        <f>VLOOKUP($A45,INDIRECT("'"&amp;$B$24&amp;"'!$A:$IZ"),182,FALSE)</f>
        <v/>
      </c>
      <c r="AN45" s="60">
        <f>RANK(AM45,AM$28:AM$45,1)</f>
        <v/>
      </c>
      <c r="AO45" s="59">
        <f>VLOOKUP($A45,INDIRECT("'"&amp;$B$24&amp;"'!$A:$IZ"),163,FALSE)</f>
        <v/>
      </c>
      <c r="AP45" s="60">
        <f>RANK(AO45,AO$28:AO$45,1)</f>
        <v/>
      </c>
      <c r="AQ45" s="66">
        <f>104-(AJ45+AL45+AN45+AP45)</f>
        <v/>
      </c>
      <c r="AR45" s="47">
        <f>RANK(AQ45,AQ$28:AQ$45)</f>
        <v/>
      </c>
      <c r="AS45" s="62" t="n"/>
      <c r="AT45" s="46">
        <f>VLOOKUP($A45,INDIRECT("'"&amp;$B$24&amp;"'!$A:$IZ"),250,FALSE)</f>
        <v/>
      </c>
      <c r="AU45" s="47">
        <f>RANK(AT45,AT$28:AT$45,0)</f>
        <v/>
      </c>
      <c r="AV45" s="46">
        <f>VLOOKUP($A45,INDIRECT("'"&amp;$B$24&amp;"'!$A:$IZ"),92,FALSE)</f>
        <v/>
      </c>
      <c r="AW45" s="47">
        <f>RANK(AV45,AV$28:AV$45,0)</f>
        <v/>
      </c>
      <c r="AX45" s="46">
        <f>VLOOKUP($A45,INDIRECT("'"&amp;$B$24&amp;"'!$A:$IZ"),93,FALSE)</f>
        <v/>
      </c>
      <c r="AY45" s="47">
        <f>RANK(AX45,AX$28:AX$45,0)</f>
        <v/>
      </c>
      <c r="AZ45" s="46">
        <f>VLOOKUP($A45,INDIRECT("'"&amp;$B$24&amp;"'!$A:$IZ"),108,FALSE)</f>
        <v/>
      </c>
      <c r="BA45" s="47">
        <f>RANK(AZ45,AZ$28:AZ$45,0)</f>
        <v/>
      </c>
      <c r="BB45" s="46">
        <f>104-(AU45+AW45+AY45+BA45)</f>
        <v/>
      </c>
      <c r="BC45" s="47">
        <f>RANK(BB45,BB$28:BB$45)</f>
        <v/>
      </c>
      <c r="BD45" s="62" t="n"/>
      <c r="BE45" s="59">
        <f>VLOOKUP($A45,INDIRECT("'"&amp;$B$24&amp;"'!$A:$IZ"),80,FALSE)</f>
        <v/>
      </c>
      <c r="BF45" s="60">
        <f>RANK(BE45,BE$28:BE$45)</f>
        <v/>
      </c>
      <c r="BG45" s="59">
        <f>VLOOKUP($A45,INDIRECT("'"&amp;$B$24&amp;"'!$A:$IZ"),177,FALSE)</f>
        <v/>
      </c>
      <c r="BH45" s="60">
        <f>RANK(BG45,BG$28:BG$45,1)</f>
        <v/>
      </c>
      <c r="BI45" s="59">
        <f>VLOOKUP($A45,INDIRECT("'"&amp;$B$24&amp;"'!$A:$IZ"),79,FALSE)</f>
        <v/>
      </c>
      <c r="BJ45" s="60">
        <f>RANK(BI45,BI$28:BI$45)</f>
        <v/>
      </c>
      <c r="BK45" s="59">
        <f>VLOOKUP($A45,INDIRECT("'"&amp;$B$24&amp;"'!$A:$IZ"),176,FALSE)</f>
        <v/>
      </c>
      <c r="BL45" s="60">
        <f>RANK(BK45,BK$28:BK$45,1)</f>
        <v/>
      </c>
      <c r="BM45" s="59">
        <f>VLOOKUP($A45,INDIRECT("'"&amp;$B$24&amp;"'!$A:$IZ"),11,FALSE)</f>
        <v/>
      </c>
      <c r="BN45" s="60">
        <f>RANK(BM45,BM$28:BM$45)</f>
        <v/>
      </c>
      <c r="BO45" s="59">
        <f>VLOOKUP($A45,INDIRECT("'"&amp;$B$24&amp;"'!$A:$IZ"),222,FALSE)</f>
        <v/>
      </c>
      <c r="BP45" s="60">
        <f>RANK(BO45,BO$28:BO$45)</f>
        <v/>
      </c>
      <c r="BQ45" s="66">
        <f>104-(BJ45+BL45+BN45+BP45)</f>
        <v/>
      </c>
      <c r="BR45" s="47">
        <f>RANK(BQ45,BQ$28:BQ$45)</f>
        <v/>
      </c>
      <c r="BS45" s="62" t="n"/>
      <c r="BT45" s="63">
        <f>VLOOKUP($A45,'Ratings Season'!$A:$M,8,FALSE)</f>
        <v/>
      </c>
      <c r="BU45" s="60">
        <f>RANK(BT45,BT$28:BT$45)</f>
        <v/>
      </c>
      <c r="BV45" s="63">
        <f>VLOOKUP($A45,'Ratings Season'!$A:$M,4,FALSE)</f>
        <v/>
      </c>
      <c r="BW45" s="60">
        <f>RANK(BV45,BV$28:BV$45)</f>
        <v/>
      </c>
      <c r="BX45" s="63">
        <f>VLOOKUP($A45,'Ratings Season'!$A:$M,2,FALSE)</f>
        <v/>
      </c>
      <c r="BY45" s="64">
        <f>RANK(BX45,BX$28:BX$45)</f>
        <v/>
      </c>
    </row>
    <row r="46">
      <c r="A46" s="69" t="n"/>
      <c r="B46" s="69" t="n"/>
      <c r="C46" s="69" t="n"/>
      <c r="D46" s="69" t="n"/>
      <c r="E46" s="69" t="n"/>
      <c r="F46" s="69" t="n"/>
      <c r="G46" s="69" t="n"/>
      <c r="H46" s="69" t="n"/>
      <c r="I46" s="69" t="n"/>
      <c r="J46" s="69" t="n"/>
      <c r="K46" s="69" t="n"/>
      <c r="L46" s="69" t="n"/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  <c r="Z46" s="69" t="n"/>
      <c r="AA46" s="69" t="n"/>
      <c r="AB46" s="69" t="n"/>
      <c r="AC46" s="69" t="n"/>
      <c r="AD46" s="69" t="n"/>
      <c r="AE46" s="69" t="n"/>
      <c r="AF46" s="69" t="n"/>
      <c r="AG46" s="69" t="n"/>
      <c r="AH46" s="69" t="n"/>
      <c r="AI46" s="69" t="n"/>
      <c r="AJ46" s="69" t="n"/>
      <c r="AK46" s="69" t="n"/>
      <c r="AL46" s="69" t="n"/>
      <c r="AM46" s="69" t="n"/>
      <c r="AN46" s="69" t="n"/>
      <c r="AO46" s="69" t="n"/>
      <c r="AP46" s="69" t="n"/>
      <c r="AQ46" s="69" t="n"/>
      <c r="AR46" s="69" t="n"/>
      <c r="AS46" s="69" t="n"/>
      <c r="AT46" s="69" t="n"/>
      <c r="AU46" s="69" t="n"/>
      <c r="AV46" s="69" t="n"/>
      <c r="AW46" s="69" t="n"/>
      <c r="AX46" s="69" t="n"/>
      <c r="AY46" s="69" t="n"/>
      <c r="AZ46" s="69" t="n"/>
      <c r="BA46" s="69" t="n"/>
      <c r="BB46" s="69" t="n"/>
      <c r="BC46" s="69" t="n"/>
      <c r="BD46" s="69" t="n"/>
      <c r="BE46" s="69" t="n"/>
      <c r="BF46" s="69" t="n"/>
      <c r="BG46" s="69" t="n"/>
      <c r="BH46" s="69" t="n"/>
      <c r="BI46" s="69" t="n"/>
      <c r="BJ46" s="69" t="n"/>
      <c r="BK46" s="69" t="n"/>
      <c r="BL46" s="69" t="n"/>
      <c r="BM46" s="69" t="n"/>
      <c r="BN46" s="69" t="n"/>
      <c r="BO46" s="69" t="n"/>
      <c r="BP46" s="69" t="n"/>
      <c r="BQ46" s="69" t="n"/>
      <c r="BR46" s="69" t="n"/>
      <c r="BS46" s="69" t="n"/>
      <c r="BT46" s="69" t="n"/>
      <c r="BU46" s="69" t="n"/>
      <c r="BV46" s="69" t="n"/>
      <c r="BW46" s="69" t="n"/>
      <c r="BX46" s="69" t="n"/>
      <c r="BY46" s="69" t="n"/>
    </row>
  </sheetData>
  <mergeCells count="16">
    <mergeCell ref="BE3:BR3"/>
    <mergeCell ref="B26:K26"/>
    <mergeCell ref="BT26:BY26"/>
    <mergeCell ref="A26:A27"/>
    <mergeCell ref="BE26:BR26"/>
    <mergeCell ref="AI26:AR26"/>
    <mergeCell ref="X26:AG26"/>
    <mergeCell ref="M26:V26"/>
    <mergeCell ref="A3:A4"/>
    <mergeCell ref="M3:V3"/>
    <mergeCell ref="X3:AG3"/>
    <mergeCell ref="AI3:AR3"/>
    <mergeCell ref="AT3:BC3"/>
    <mergeCell ref="AT26:BC26"/>
    <mergeCell ref="B3:K3"/>
    <mergeCell ref="BT3:BY3"/>
  </mergeCells>
  <conditionalFormatting sqref="B5:B22">
    <cfRule type="dataBar" priority="122">
      <dataBar>
        <cfvo type="min"/>
        <cfvo type="max"/>
        <color rgb="FF638EC6"/>
      </dataBar>
    </cfRule>
  </conditionalFormatting>
  <conditionalFormatting sqref="B28:B45">
    <cfRule type="dataBar" priority="73">
      <dataBar>
        <cfvo type="min"/>
        <cfvo type="max"/>
        <color rgb="FF638EC6"/>
      </dataBar>
    </cfRule>
  </conditionalFormatting>
  <conditionalFormatting sqref="D5:D22">
    <cfRule type="dataBar" priority="121">
      <dataBar>
        <cfvo type="min"/>
        <cfvo type="max"/>
        <color rgb="FF638EC6"/>
      </dataBar>
    </cfRule>
  </conditionalFormatting>
  <conditionalFormatting sqref="D28:D45">
    <cfRule type="dataBar" priority="72">
      <dataBar>
        <cfvo type="min"/>
        <cfvo type="max"/>
        <color rgb="FF638EC6"/>
      </dataBar>
    </cfRule>
  </conditionalFormatting>
  <conditionalFormatting sqref="F5:F22">
    <cfRule type="dataBar" priority="120">
      <dataBar>
        <cfvo type="min"/>
        <cfvo type="max"/>
        <color rgb="FF638EC6"/>
      </dataBar>
    </cfRule>
    <cfRule type="dataBar" priority="119">
      <dataBar>
        <cfvo type="min"/>
        <cfvo type="max"/>
        <color rgb="FF638EC6"/>
      </dataBar>
    </cfRule>
  </conditionalFormatting>
  <conditionalFormatting sqref="F28:F45">
    <cfRule type="dataBar" priority="70">
      <dataBar>
        <cfvo type="min"/>
        <cfvo type="max"/>
        <color rgb="FF638EC6"/>
      </dataBar>
    </cfRule>
    <cfRule type="dataBar" priority="71">
      <dataBar>
        <cfvo type="min"/>
        <cfvo type="max"/>
        <color rgb="FF638EC6"/>
      </dataBar>
    </cfRule>
  </conditionalFormatting>
  <conditionalFormatting sqref="H5:H22">
    <cfRule type="dataBar" priority="118">
      <dataBar>
        <cfvo type="min"/>
        <cfvo type="max"/>
        <color rgb="FF638EC6"/>
      </dataBar>
    </cfRule>
  </conditionalFormatting>
  <conditionalFormatting sqref="H28:H45">
    <cfRule type="dataBar" priority="69">
      <dataBar>
        <cfvo type="min"/>
        <cfvo type="max"/>
        <color rgb="FF638EC6"/>
      </dataBar>
    </cfRule>
  </conditionalFormatting>
  <conditionalFormatting sqref="J5:J22">
    <cfRule type="dataBar" priority="87">
      <dataBar>
        <cfvo type="min"/>
        <cfvo type="max"/>
        <color rgb="FF638EC6"/>
      </dataBar>
    </cfRule>
  </conditionalFormatting>
  <conditionalFormatting sqref="J28:J45">
    <cfRule type="dataBar" priority="38">
      <dataBar>
        <cfvo type="min"/>
        <cfvo type="max"/>
        <color rgb="FF638EC6"/>
      </dataBar>
    </cfRule>
  </conditionalFormatting>
  <conditionalFormatting sqref="M5:M22">
    <cfRule type="dataBar" priority="117">
      <dataBar>
        <cfvo type="min"/>
        <cfvo type="max"/>
        <color rgb="FF63C384"/>
      </dataBar>
    </cfRule>
    <cfRule type="dataBar" priority="116">
      <dataBar>
        <cfvo type="min"/>
        <cfvo type="max"/>
        <color rgb="FF63C384"/>
      </dataBar>
    </cfRule>
  </conditionalFormatting>
  <conditionalFormatting sqref="M28:M45">
    <cfRule type="dataBar" priority="68">
      <dataBar>
        <cfvo type="min"/>
        <cfvo type="max"/>
        <color rgb="FF63C384"/>
      </dataBar>
    </cfRule>
    <cfRule type="dataBar" priority="67">
      <dataBar>
        <cfvo type="min"/>
        <cfvo type="max"/>
        <color rgb="FF63C384"/>
      </dataBar>
    </cfRule>
  </conditionalFormatting>
  <conditionalFormatting sqref="O5:O22">
    <cfRule type="dataBar" priority="115">
      <dataBar>
        <cfvo type="min"/>
        <cfvo type="max"/>
        <color rgb="FF63C384"/>
      </dataBar>
    </cfRule>
    <cfRule type="dataBar" priority="114">
      <dataBar>
        <cfvo type="min"/>
        <cfvo type="max"/>
        <color rgb="FF63C384"/>
      </dataBar>
    </cfRule>
  </conditionalFormatting>
  <conditionalFormatting sqref="O28:O45">
    <cfRule type="dataBar" priority="66">
      <dataBar>
        <cfvo type="min"/>
        <cfvo type="max"/>
        <color rgb="FF63C384"/>
      </dataBar>
    </cfRule>
    <cfRule type="dataBar" priority="65">
      <dataBar>
        <cfvo type="min"/>
        <cfvo type="max"/>
        <color rgb="FF63C384"/>
      </dataBar>
    </cfRule>
  </conditionalFormatting>
  <conditionalFormatting sqref="Q5:Q22">
    <cfRule type="dataBar" priority="113">
      <dataBar>
        <cfvo type="min"/>
        <cfvo type="max"/>
        <color rgb="FF63C384"/>
      </dataBar>
    </cfRule>
    <cfRule type="dataBar" priority="112">
      <dataBar>
        <cfvo type="min"/>
        <cfvo type="max"/>
        <color rgb="FF63C384"/>
      </dataBar>
    </cfRule>
  </conditionalFormatting>
  <conditionalFormatting sqref="Q28:Q45">
    <cfRule type="dataBar" priority="64">
      <dataBar>
        <cfvo type="min"/>
        <cfvo type="max"/>
        <color rgb="FF63C384"/>
      </dataBar>
    </cfRule>
    <cfRule type="dataBar" priority="63">
      <dataBar>
        <cfvo type="min"/>
        <cfvo type="max"/>
        <color rgb="FF63C384"/>
      </dataBar>
    </cfRule>
  </conditionalFormatting>
  <conditionalFormatting sqref="S5:S22">
    <cfRule type="dataBar" priority="111">
      <dataBar>
        <cfvo type="min"/>
        <cfvo type="max"/>
        <color rgb="FF63C384"/>
      </dataBar>
    </cfRule>
  </conditionalFormatting>
  <conditionalFormatting sqref="S28:S45">
    <cfRule type="dataBar" priority="62">
      <dataBar>
        <cfvo type="min"/>
        <cfvo type="max"/>
        <color rgb="FF63C384"/>
      </dataBar>
    </cfRule>
  </conditionalFormatting>
  <conditionalFormatting sqref="U5:U22">
    <cfRule type="dataBar" priority="86">
      <dataBar>
        <cfvo type="min"/>
        <cfvo type="max"/>
        <color rgb="FF63C384"/>
      </dataBar>
    </cfRule>
  </conditionalFormatting>
  <conditionalFormatting sqref="U28:U45">
    <cfRule type="dataBar" priority="37">
      <dataBar>
        <cfvo type="min"/>
        <cfvo type="max"/>
        <color rgb="FF63C384"/>
      </dataBar>
    </cfRule>
  </conditionalFormatting>
  <conditionalFormatting sqref="X5:X22">
    <cfRule type="dataBar" priority="109">
      <dataBar>
        <cfvo type="min"/>
        <cfvo type="max"/>
        <color rgb="FFFFFF00"/>
      </dataBar>
    </cfRule>
    <cfRule type="dataBar" priority="110">
      <dataBar>
        <cfvo type="min"/>
        <cfvo type="max"/>
        <color rgb="FF63C384"/>
      </dataBar>
    </cfRule>
  </conditionalFormatting>
  <conditionalFormatting sqref="X28:X45">
    <cfRule type="dataBar" priority="60">
      <dataBar>
        <cfvo type="min"/>
        <cfvo type="max"/>
        <color rgb="FFFFFF00"/>
      </dataBar>
    </cfRule>
    <cfRule type="dataBar" priority="61">
      <dataBar>
        <cfvo type="min"/>
        <cfvo type="max"/>
        <color rgb="FF63C384"/>
      </dataBar>
    </cfRule>
  </conditionalFormatting>
  <conditionalFormatting sqref="Z5:Z22">
    <cfRule type="dataBar" priority="81">
      <dataBar>
        <cfvo type="min"/>
        <cfvo type="max"/>
        <color rgb="FF63C384"/>
      </dataBar>
    </cfRule>
    <cfRule type="dataBar" priority="80">
      <dataBar>
        <cfvo type="min"/>
        <cfvo type="max"/>
        <color rgb="FFFFFF00"/>
      </dataBar>
    </cfRule>
  </conditionalFormatting>
  <conditionalFormatting sqref="Z28:Z45">
    <cfRule type="dataBar" priority="31">
      <dataBar>
        <cfvo type="min"/>
        <cfvo type="max"/>
        <color rgb="FFFFFF00"/>
      </dataBar>
    </cfRule>
    <cfRule type="dataBar" priority="32">
      <dataBar>
        <cfvo type="min"/>
        <cfvo type="max"/>
        <color rgb="FF63C384"/>
      </dataBar>
    </cfRule>
  </conditionalFormatting>
  <conditionalFormatting sqref="AB5:AB22">
    <cfRule type="dataBar" priority="79">
      <dataBar>
        <cfvo type="min"/>
        <cfvo type="max"/>
        <color rgb="FF63C384"/>
      </dataBar>
    </cfRule>
    <cfRule type="dataBar" priority="78">
      <dataBar>
        <cfvo type="min"/>
        <cfvo type="max"/>
        <color rgb="FFFFFF00"/>
      </dataBar>
    </cfRule>
  </conditionalFormatting>
  <conditionalFormatting sqref="AB28:AB45">
    <cfRule type="dataBar" priority="30">
      <dataBar>
        <cfvo type="min"/>
        <cfvo type="max"/>
        <color rgb="FF63C384"/>
      </dataBar>
    </cfRule>
    <cfRule type="dataBar" priority="29">
      <dataBar>
        <cfvo type="min"/>
        <cfvo type="max"/>
        <color rgb="FFFFFF00"/>
      </dataBar>
    </cfRule>
  </conditionalFormatting>
  <conditionalFormatting sqref="AD5:AD22">
    <cfRule type="dataBar" priority="77">
      <dataBar>
        <cfvo type="min"/>
        <cfvo type="max"/>
        <color rgb="FF63C384"/>
      </dataBar>
    </cfRule>
    <cfRule type="dataBar" priority="76">
      <dataBar>
        <cfvo type="min"/>
        <cfvo type="max"/>
        <color rgb="FFFFFF00"/>
      </dataBar>
    </cfRule>
  </conditionalFormatting>
  <conditionalFormatting sqref="AD28:AD45">
    <cfRule type="dataBar" priority="28">
      <dataBar>
        <cfvo type="min"/>
        <cfvo type="max"/>
        <color rgb="FF63C384"/>
      </dataBar>
    </cfRule>
    <cfRule type="dataBar" priority="27">
      <dataBar>
        <cfvo type="min"/>
        <cfvo type="max"/>
        <color rgb="FFFFFF00"/>
      </dataBar>
    </cfRule>
  </conditionalFormatting>
  <conditionalFormatting sqref="AF5:AF22">
    <cfRule type="dataBar" priority="75">
      <dataBar>
        <cfvo type="min"/>
        <cfvo type="max"/>
        <color rgb="FF63C384"/>
      </dataBar>
    </cfRule>
    <cfRule type="dataBar" priority="74">
      <dataBar>
        <cfvo type="min"/>
        <cfvo type="max"/>
        <color rgb="FFFFFF00"/>
      </dataBar>
    </cfRule>
  </conditionalFormatting>
  <conditionalFormatting sqref="AF28:AF45">
    <cfRule type="dataBar" priority="26">
      <dataBar>
        <cfvo type="min"/>
        <cfvo type="max"/>
        <color rgb="FF63C384"/>
      </dataBar>
    </cfRule>
    <cfRule type="dataBar" priority="25">
      <dataBar>
        <cfvo type="min"/>
        <cfvo type="max"/>
        <color rgb="FFFFFF00"/>
      </dataBar>
    </cfRule>
  </conditionalFormatting>
  <conditionalFormatting sqref="AI5:AI22">
    <cfRule type="dataBar" priority="108">
      <dataBar>
        <cfvo type="min"/>
        <cfvo type="max"/>
        <color rgb="FF63C384"/>
      </dataBar>
    </cfRule>
    <cfRule type="dataBar" priority="107">
      <dataBar>
        <cfvo type="min"/>
        <cfvo type="max"/>
        <color rgb="FFFF555A"/>
      </dataBar>
    </cfRule>
  </conditionalFormatting>
  <conditionalFormatting sqref="AI28:AI45">
    <cfRule type="dataBar" priority="59">
      <dataBar>
        <cfvo type="min"/>
        <cfvo type="max"/>
        <color rgb="FF63C384"/>
      </dataBar>
    </cfRule>
    <cfRule type="dataBar" priority="58">
      <dataBar>
        <cfvo type="min"/>
        <cfvo type="max"/>
        <color rgb="FFFF555A"/>
      </dataBar>
    </cfRule>
  </conditionalFormatting>
  <conditionalFormatting sqref="AK5:AK22">
    <cfRule type="dataBar" priority="105">
      <dataBar>
        <cfvo type="min"/>
        <cfvo type="max"/>
        <color rgb="FFFF555A"/>
      </dataBar>
    </cfRule>
    <cfRule type="dataBar" priority="106">
      <dataBar>
        <cfvo type="min"/>
        <cfvo type="max"/>
        <color rgb="FF63C384"/>
      </dataBar>
    </cfRule>
  </conditionalFormatting>
  <conditionalFormatting sqref="AK28:AK45">
    <cfRule type="dataBar" priority="57">
      <dataBar>
        <cfvo type="min"/>
        <cfvo type="max"/>
        <color rgb="FF63C384"/>
      </dataBar>
    </cfRule>
    <cfRule type="dataBar" priority="56">
      <dataBar>
        <cfvo type="min"/>
        <cfvo type="max"/>
        <color rgb="FFFF555A"/>
      </dataBar>
    </cfRule>
  </conditionalFormatting>
  <conditionalFormatting sqref="AM5:AM22">
    <cfRule type="dataBar" priority="103">
      <dataBar>
        <cfvo type="min"/>
        <cfvo type="max"/>
        <color rgb="FFFF555A"/>
      </dataBar>
    </cfRule>
    <cfRule type="dataBar" priority="104">
      <dataBar>
        <cfvo type="min"/>
        <cfvo type="max"/>
        <color rgb="FF63C384"/>
      </dataBar>
    </cfRule>
  </conditionalFormatting>
  <conditionalFormatting sqref="AM28:AM45">
    <cfRule type="dataBar" priority="54">
      <dataBar>
        <cfvo type="min"/>
        <cfvo type="max"/>
        <color rgb="FFFF555A"/>
      </dataBar>
    </cfRule>
    <cfRule type="dataBar" priority="55">
      <dataBar>
        <cfvo type="min"/>
        <cfvo type="max"/>
        <color rgb="FF63C384"/>
      </dataBar>
    </cfRule>
  </conditionalFormatting>
  <conditionalFormatting sqref="AO5:AO22">
    <cfRule type="dataBar" priority="23">
      <dataBar>
        <cfvo type="min"/>
        <cfvo type="max"/>
        <color rgb="FFFF555A"/>
      </dataBar>
    </cfRule>
    <cfRule type="dataBar" priority="24">
      <dataBar>
        <cfvo type="min"/>
        <cfvo type="max"/>
        <color rgb="FF63C384"/>
      </dataBar>
    </cfRule>
  </conditionalFormatting>
  <conditionalFormatting sqref="AO28:AO45">
    <cfRule type="dataBar" priority="22">
      <dataBar>
        <cfvo type="min"/>
        <cfvo type="max"/>
        <color rgb="FF63C384"/>
      </dataBar>
    </cfRule>
    <cfRule type="dataBar" priority="21">
      <dataBar>
        <cfvo type="min"/>
        <cfvo type="max"/>
        <color rgb="FFFF555A"/>
      </dataBar>
    </cfRule>
  </conditionalFormatting>
  <conditionalFormatting sqref="AQ5:AQ22">
    <cfRule type="dataBar" priority="84">
      <dataBar>
        <cfvo type="min"/>
        <cfvo type="max"/>
        <color rgb="FFFF555A"/>
      </dataBar>
    </cfRule>
    <cfRule type="dataBar" priority="85">
      <dataBar>
        <cfvo type="min"/>
        <cfvo type="max"/>
        <color rgb="FF63C384"/>
      </dataBar>
    </cfRule>
  </conditionalFormatting>
  <conditionalFormatting sqref="AQ28:AQ45">
    <cfRule type="dataBar" priority="35">
      <dataBar>
        <cfvo type="min"/>
        <cfvo type="max"/>
        <color rgb="FFFF555A"/>
      </dataBar>
    </cfRule>
    <cfRule type="dataBar" priority="36">
      <dataBar>
        <cfvo type="min"/>
        <cfvo type="max"/>
        <color rgb="FF63C384"/>
      </dataBar>
    </cfRule>
  </conditionalFormatting>
  <conditionalFormatting sqref="AT5:AT22">
    <cfRule type="dataBar" priority="20">
      <dataBar>
        <cfvo type="min"/>
        <cfvo type="max"/>
        <color rgb="FF63C384"/>
      </dataBar>
    </cfRule>
    <cfRule type="dataBar" priority="19">
      <dataBar>
        <cfvo type="min"/>
        <cfvo type="max"/>
        <color rgb="FFD883FF"/>
      </dataBar>
    </cfRule>
  </conditionalFormatting>
  <conditionalFormatting sqref="AT28:AT45">
    <cfRule type="dataBar" priority="9">
      <dataBar>
        <cfvo type="min"/>
        <cfvo type="max"/>
        <color rgb="FFD883FF"/>
      </dataBar>
    </cfRule>
    <cfRule type="dataBar" priority="10">
      <dataBar>
        <cfvo type="min"/>
        <cfvo type="max"/>
        <color rgb="FF63C384"/>
      </dataBar>
    </cfRule>
  </conditionalFormatting>
  <conditionalFormatting sqref="AV5:AV22">
    <cfRule type="dataBar" priority="17">
      <dataBar>
        <cfvo type="min"/>
        <cfvo type="max"/>
        <color rgb="FFD883FF"/>
      </dataBar>
    </cfRule>
    <cfRule type="dataBar" priority="18">
      <dataBar>
        <cfvo type="min"/>
        <cfvo type="max"/>
        <color rgb="FF63C384"/>
      </dataBar>
    </cfRule>
  </conditionalFormatting>
  <conditionalFormatting sqref="AV28:AV45">
    <cfRule type="dataBar" priority="7">
      <dataBar>
        <cfvo type="min"/>
        <cfvo type="max"/>
        <color rgb="FFD883FF"/>
      </dataBar>
    </cfRule>
    <cfRule type="dataBar" priority="8">
      <dataBar>
        <cfvo type="min"/>
        <cfvo type="max"/>
        <color rgb="FF63C384"/>
      </dataBar>
    </cfRule>
  </conditionalFormatting>
  <conditionalFormatting sqref="AX5:AX22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rgb="FFD883FF"/>
      </dataBar>
    </cfRule>
  </conditionalFormatting>
  <conditionalFormatting sqref="AX28:AX45">
    <cfRule type="dataBar" priority="6">
      <dataBar>
        <cfvo type="min"/>
        <cfvo type="max"/>
        <color rgb="FF63C384"/>
      </dataBar>
    </cfRule>
    <cfRule type="dataBar" priority="5">
      <dataBar>
        <cfvo type="min"/>
        <cfvo type="max"/>
        <color rgb="FFD883FF"/>
      </dataBar>
    </cfRule>
  </conditionalFormatting>
  <conditionalFormatting sqref="AZ5:AZ22">
    <cfRule type="dataBar" priority="14">
      <dataBar>
        <cfvo type="min"/>
        <cfvo type="max"/>
        <color rgb="FF63C384"/>
      </dataBar>
    </cfRule>
    <cfRule type="dataBar" priority="13">
      <dataBar>
        <cfvo type="min"/>
        <cfvo type="max"/>
        <color rgb="FFD883FF"/>
      </dataBar>
    </cfRule>
  </conditionalFormatting>
  <conditionalFormatting sqref="AZ28:AZ45">
    <cfRule type="dataBar" priority="3">
      <dataBar>
        <cfvo type="min"/>
        <cfvo type="max"/>
        <color rgb="FFD883FF"/>
      </dataBar>
    </cfRule>
    <cfRule type="dataBar" priority="4">
      <dataBar>
        <cfvo type="min"/>
        <cfvo type="max"/>
        <color rgb="FF63C384"/>
      </dataBar>
    </cfRule>
  </conditionalFormatting>
  <conditionalFormatting sqref="BB5:BB22">
    <cfRule type="dataBar" priority="12">
      <dataBar>
        <cfvo type="min"/>
        <cfvo type="max"/>
        <color rgb="FF63C384"/>
      </dataBar>
    </cfRule>
    <cfRule type="dataBar" priority="11">
      <dataBar>
        <cfvo type="min"/>
        <cfvo type="max"/>
        <color rgb="FFD883FF"/>
      </dataBar>
    </cfRule>
  </conditionalFormatting>
  <conditionalFormatting sqref="BB28:BB45">
    <cfRule type="dataBar" priority="1">
      <dataBar>
        <cfvo type="min"/>
        <cfvo type="max"/>
        <color rgb="FFD883FF"/>
      </dataBar>
    </cfRule>
    <cfRule type="dataBar" priority="2">
      <dataBar>
        <cfvo type="min"/>
        <cfvo type="max"/>
        <color rgb="FF63C384"/>
      </dataBar>
    </cfRule>
  </conditionalFormatting>
  <conditionalFormatting sqref="BE5:BE22">
    <cfRule type="dataBar" priority="102">
      <dataBar>
        <cfvo type="min"/>
        <cfvo type="max"/>
        <color rgb="FF63C384"/>
      </dataBar>
    </cfRule>
    <cfRule type="dataBar" priority="101">
      <dataBar>
        <cfvo type="min"/>
        <cfvo type="max"/>
        <color theme="1" tint="0.499984740745262"/>
      </dataBar>
    </cfRule>
  </conditionalFormatting>
  <conditionalFormatting sqref="BE28:BE45">
    <cfRule type="dataBar" priority="53">
      <dataBar>
        <cfvo type="min"/>
        <cfvo type="max"/>
        <color rgb="FF63C384"/>
      </dataBar>
    </cfRule>
    <cfRule type="dataBar" priority="52">
      <dataBar>
        <cfvo type="min"/>
        <cfvo type="max"/>
        <color theme="1" tint="0.499984740745262"/>
      </dataBar>
    </cfRule>
  </conditionalFormatting>
  <conditionalFormatting sqref="BG5:BG22">
    <cfRule type="dataBar" priority="100">
      <dataBar>
        <cfvo type="min"/>
        <cfvo type="max"/>
        <color rgb="FF63C384"/>
      </dataBar>
    </cfRule>
    <cfRule type="dataBar" priority="99">
      <dataBar>
        <cfvo type="min"/>
        <cfvo type="max"/>
        <color theme="1" tint="0.499984740745262"/>
      </dataBar>
    </cfRule>
  </conditionalFormatting>
  <conditionalFormatting sqref="BG28:BG45">
    <cfRule type="dataBar" priority="50">
      <dataBar>
        <cfvo type="min"/>
        <cfvo type="max"/>
        <color theme="1" tint="0.499984740745262"/>
      </dataBar>
    </cfRule>
    <cfRule type="dataBar" priority="51">
      <dataBar>
        <cfvo type="min"/>
        <cfvo type="max"/>
        <color rgb="FF63C384"/>
      </dataBar>
    </cfRule>
  </conditionalFormatting>
  <conditionalFormatting sqref="BI5:BI22">
    <cfRule type="dataBar" priority="97">
      <dataBar>
        <cfvo type="min"/>
        <cfvo type="max"/>
        <color theme="1" tint="0.499984740745262"/>
      </dataBar>
    </cfRule>
    <cfRule type="dataBar" priority="98">
      <dataBar>
        <cfvo type="min"/>
        <cfvo type="max"/>
        <color rgb="FF63C384"/>
      </dataBar>
    </cfRule>
  </conditionalFormatting>
  <conditionalFormatting sqref="BI28:BI45">
    <cfRule type="dataBar" priority="48">
      <dataBar>
        <cfvo type="min"/>
        <cfvo type="max"/>
        <color theme="1" tint="0.499984740745262"/>
      </dataBar>
    </cfRule>
    <cfRule type="dataBar" priority="49">
      <dataBar>
        <cfvo type="min"/>
        <cfvo type="max"/>
        <color rgb="FF63C384"/>
      </dataBar>
    </cfRule>
  </conditionalFormatting>
  <conditionalFormatting sqref="BK5:BK22">
    <cfRule type="dataBar" priority="96">
      <dataBar>
        <cfvo type="min"/>
        <cfvo type="max"/>
        <color rgb="FF63C384"/>
      </dataBar>
    </cfRule>
    <cfRule type="dataBar" priority="95">
      <dataBar>
        <cfvo type="min"/>
        <cfvo type="max"/>
        <color theme="1" tint="0.499984740745262"/>
      </dataBar>
    </cfRule>
  </conditionalFormatting>
  <conditionalFormatting sqref="BK28:BK45">
    <cfRule type="dataBar" priority="47">
      <dataBar>
        <cfvo type="min"/>
        <cfvo type="max"/>
        <color rgb="FF63C384"/>
      </dataBar>
    </cfRule>
    <cfRule type="dataBar" priority="46">
      <dataBar>
        <cfvo type="min"/>
        <cfvo type="max"/>
        <color theme="1" tint="0.499984740745262"/>
      </dataBar>
    </cfRule>
  </conditionalFormatting>
  <conditionalFormatting sqref="BM5:BM22">
    <cfRule type="dataBar" priority="93">
      <dataBar>
        <cfvo type="min"/>
        <cfvo type="max"/>
        <color theme="1" tint="0.499984740745262"/>
      </dataBar>
    </cfRule>
    <cfRule type="dataBar" priority="94">
      <dataBar>
        <cfvo type="min"/>
        <cfvo type="max"/>
        <color rgb="FF63C384"/>
      </dataBar>
    </cfRule>
  </conditionalFormatting>
  <conditionalFormatting sqref="BM28:BM45">
    <cfRule type="dataBar" priority="44">
      <dataBar>
        <cfvo type="min"/>
        <cfvo type="max"/>
        <color theme="1" tint="0.499984740745262"/>
      </dataBar>
    </cfRule>
    <cfRule type="dataBar" priority="45">
      <dataBar>
        <cfvo type="min"/>
        <cfvo type="max"/>
        <color rgb="FF63C384"/>
      </dataBar>
    </cfRule>
  </conditionalFormatting>
  <conditionalFormatting sqref="BO5:BO22">
    <cfRule type="dataBar" priority="92">
      <dataBar>
        <cfvo type="min"/>
        <cfvo type="max"/>
        <color rgb="FF63C384"/>
      </dataBar>
    </cfRule>
    <cfRule type="dataBar" priority="91">
      <dataBar>
        <cfvo type="min"/>
        <cfvo type="max"/>
        <color theme="1" tint="0.499984740745262"/>
      </dataBar>
    </cfRule>
  </conditionalFormatting>
  <conditionalFormatting sqref="BO28:BO45">
    <cfRule type="dataBar" priority="43">
      <dataBar>
        <cfvo type="min"/>
        <cfvo type="max"/>
        <color rgb="FF63C384"/>
      </dataBar>
    </cfRule>
    <cfRule type="dataBar" priority="42">
      <dataBar>
        <cfvo type="min"/>
        <cfvo type="max"/>
        <color theme="1" tint="0.499984740745262"/>
      </dataBar>
    </cfRule>
  </conditionalFormatting>
  <conditionalFormatting sqref="BQ5:BQ22">
    <cfRule type="dataBar" priority="83">
      <dataBar>
        <cfvo type="min"/>
        <cfvo type="max"/>
        <color rgb="FF63C384"/>
      </dataBar>
    </cfRule>
    <cfRule type="dataBar" priority="82">
      <dataBar>
        <cfvo type="min"/>
        <cfvo type="max"/>
        <color theme="1" tint="0.499984740745262"/>
      </dataBar>
    </cfRule>
  </conditionalFormatting>
  <conditionalFormatting sqref="BQ28:BQ45">
    <cfRule type="dataBar" priority="34">
      <dataBar>
        <cfvo type="min"/>
        <cfvo type="max"/>
        <color rgb="FF63C384"/>
      </dataBar>
    </cfRule>
    <cfRule type="dataBar" priority="33">
      <dataBar>
        <cfvo type="min"/>
        <cfvo type="max"/>
        <color theme="1" tint="0.499984740745262"/>
      </dataBar>
    </cfRule>
  </conditionalFormatting>
  <conditionalFormatting sqref="BT5:BT22">
    <cfRule type="dataBar" priority="90">
      <dataBar>
        <cfvo type="min"/>
        <cfvo type="max"/>
        <color theme="5"/>
      </dataBar>
    </cfRule>
  </conditionalFormatting>
  <conditionalFormatting sqref="BT28:BT45">
    <cfRule type="dataBar" priority="41">
      <dataBar>
        <cfvo type="min"/>
        <cfvo type="max"/>
        <color theme="5"/>
      </dataBar>
    </cfRule>
  </conditionalFormatting>
  <conditionalFormatting sqref="BV5:BV22">
    <cfRule type="dataBar" priority="89">
      <dataBar>
        <cfvo type="min"/>
        <cfvo type="max"/>
        <color theme="5"/>
      </dataBar>
    </cfRule>
  </conditionalFormatting>
  <conditionalFormatting sqref="BV28:BV45">
    <cfRule type="dataBar" priority="40">
      <dataBar>
        <cfvo type="min"/>
        <cfvo type="max"/>
        <color theme="5"/>
      </dataBar>
    </cfRule>
  </conditionalFormatting>
  <conditionalFormatting sqref="BX5:BX22">
    <cfRule type="dataBar" priority="88">
      <dataBar>
        <cfvo type="min"/>
        <cfvo type="max"/>
        <color theme="5"/>
      </dataBar>
    </cfRule>
  </conditionalFormatting>
  <conditionalFormatting sqref="BX28:BX45">
    <cfRule type="dataBar" priority="39">
      <dataBar>
        <cfvo type="min"/>
        <cfvo type="max"/>
        <color theme="5"/>
      </dataBar>
    </cfRule>
  </conditionalFormatting>
  <dataValidations count="2">
    <dataValidation sqref="B1 B24" showDropDown="0" showInputMessage="1" showErrorMessage="1" allowBlank="1" type="list">
      <formula1>"2025, 2024, 2023, 2022, 2021"</formula1>
    </dataValidation>
    <dataValidation sqref="AD1" showDropDown="0" showInputMessage="0" showErrorMessage="1" allowBlank="1" type="list">
      <formula1>"2025, 2024, 2023, 2022, 2021, 2020, 2019, 2018"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BZ46"/>
  <sheetViews>
    <sheetView topLeftCell="A13" zoomScaleNormal="100" workbookViewId="0">
      <pane xSplit="1" topLeftCell="B1" activePane="topRight" state="frozen"/>
      <selection activeCell="A4" sqref="A4"/>
      <selection pane="topRight" activeCell="B4" sqref="B4:BY4"/>
    </sheetView>
  </sheetViews>
  <sheetFormatPr baseColWidth="10" defaultRowHeight="16"/>
  <cols>
    <col width="30.33203125" bestFit="1" customWidth="1" min="1" max="1"/>
    <col width="11.1640625" bestFit="1" customWidth="1" min="2" max="2"/>
    <col width="3.6640625" customWidth="1" min="3" max="3"/>
    <col width="3.6640625" customWidth="1" min="5" max="5"/>
    <col width="3.6640625" customWidth="1" min="7" max="7"/>
    <col width="3.6640625" customWidth="1" min="9" max="9"/>
    <col width="11" customWidth="1" min="10" max="10"/>
    <col width="3.6640625" customWidth="1" min="11" max="12"/>
    <col width="3.6640625" customWidth="1" min="14" max="14"/>
    <col width="3.6640625" customWidth="1" min="16" max="16"/>
    <col width="3.6640625" customWidth="1" min="18" max="18"/>
    <col width="3.6640625" customWidth="1" min="20" max="20"/>
    <col width="11" customWidth="1" min="21" max="21"/>
    <col width="3.6640625" customWidth="1" min="22" max="23"/>
    <col width="3.6640625" customWidth="1" min="25" max="25"/>
    <col width="3.6640625" customWidth="1" min="27" max="27"/>
    <col width="3.6640625" customWidth="1" min="29" max="29"/>
    <col width="3.6640625" customWidth="1" min="31" max="31"/>
    <col width="11" customWidth="1" min="32" max="32"/>
    <col width="3.6640625" customWidth="1" min="33" max="34"/>
    <col width="3.6640625" customWidth="1" min="36" max="36"/>
    <col width="3.6640625" customWidth="1" min="38" max="38"/>
    <col width="3.6640625" customWidth="1" min="40" max="40"/>
    <col width="3.6640625" customWidth="1" min="42" max="42"/>
    <col width="11" customWidth="1" min="43" max="43"/>
    <col width="3.6640625" customWidth="1" min="44" max="45"/>
    <col width="3.6640625" customWidth="1" min="47" max="47"/>
    <col width="3.6640625" customWidth="1" min="49" max="49"/>
    <col width="3.6640625" customWidth="1" min="51" max="51"/>
    <col width="3.6640625" customWidth="1" min="53" max="53"/>
    <col width="11" customWidth="1" min="54" max="54"/>
    <col width="3.6640625" customWidth="1" min="55" max="56"/>
    <col width="3.6640625" customWidth="1" min="58" max="58"/>
    <col width="3.6640625" customWidth="1" min="60" max="60"/>
    <col width="3.6640625" customWidth="1" min="62" max="62"/>
    <col width="3.6640625" customWidth="1" min="64" max="64"/>
    <col width="3.6640625" customWidth="1" min="66" max="66"/>
    <col width="3.6640625" customWidth="1" min="68" max="68"/>
    <col width="11" customWidth="1" min="69" max="69"/>
    <col width="3.6640625" customWidth="1" min="70" max="71"/>
    <col width="3.6640625" customWidth="1" min="73" max="73"/>
    <col width="3.6640625" customWidth="1" min="75" max="75"/>
    <col width="3.6640625" customWidth="1" min="77" max="77"/>
  </cols>
  <sheetData>
    <row r="1" ht="35" customHeight="1">
      <c r="A1" s="68" t="inlineStr">
        <is>
          <t>SEASON TOTAL</t>
        </is>
      </c>
      <c r="B1" s="154" t="n">
        <v>2024</v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  <c r="Z1" s="69" t="n"/>
      <c r="AA1" s="69" t="n"/>
      <c r="AB1" s="69" t="n"/>
      <c r="AC1" s="69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  <c r="AQ1" s="69" t="n"/>
      <c r="AR1" s="69" t="n"/>
      <c r="AS1" s="69" t="n"/>
      <c r="AT1" s="69" t="n"/>
      <c r="AU1" s="69" t="n"/>
      <c r="AV1" s="69" t="n"/>
      <c r="AW1" s="69" t="n"/>
      <c r="AX1" s="69" t="n"/>
      <c r="AY1" s="69" t="n"/>
      <c r="AZ1" s="69" t="n"/>
      <c r="BA1" s="69" t="n"/>
      <c r="BB1" s="69" t="n"/>
      <c r="BC1" s="69" t="n"/>
      <c r="BD1" s="69" t="n"/>
      <c r="BE1" s="69" t="n"/>
      <c r="BF1" s="69" t="n"/>
      <c r="BG1" s="69" t="n"/>
      <c r="BH1" s="69" t="n"/>
      <c r="BI1" s="69" t="n"/>
      <c r="BJ1" s="69" t="n"/>
      <c r="BK1" s="69" t="n"/>
      <c r="BL1" s="69" t="n"/>
      <c r="BM1" s="69" t="n"/>
      <c r="BN1" s="69" t="n"/>
      <c r="BO1" s="69" t="n"/>
      <c r="BP1" s="69" t="n"/>
      <c r="BQ1" s="69" t="n"/>
      <c r="BR1" s="69" t="n"/>
      <c r="BS1" s="69" t="n"/>
      <c r="BT1" s="69" t="n"/>
      <c r="BU1" s="69" t="n"/>
      <c r="BV1" s="69" t="n"/>
      <c r="BW1" s="69" t="n"/>
      <c r="BX1" s="69" t="n"/>
      <c r="BY1" s="69" t="n"/>
      <c r="BZ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  <c r="Z2" s="69" t="n"/>
      <c r="AA2" s="69" t="n"/>
      <c r="AB2" s="69" t="n"/>
      <c r="AC2" s="69" t="n"/>
      <c r="AD2" s="6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  <c r="AQ2" s="69" t="n"/>
      <c r="AR2" s="69" t="n"/>
      <c r="AS2" s="69" t="n"/>
      <c r="AT2" s="69" t="n"/>
      <c r="AU2" s="69" t="n"/>
      <c r="AV2" s="69" t="n"/>
      <c r="AW2" s="69" t="n"/>
      <c r="AX2" s="69" t="n"/>
      <c r="AY2" s="69" t="n"/>
      <c r="AZ2" s="69" t="n"/>
      <c r="BA2" s="69" t="n"/>
      <c r="BB2" s="69" t="n"/>
      <c r="BC2" s="69" t="n"/>
      <c r="BD2" s="69" t="n"/>
      <c r="BE2" s="69" t="n"/>
      <c r="BF2" s="69" t="n"/>
      <c r="BG2" s="69" t="n"/>
      <c r="BH2" s="69" t="n"/>
      <c r="BI2" s="69" t="n"/>
      <c r="BJ2" s="69" t="n"/>
      <c r="BK2" s="69" t="n"/>
      <c r="BL2" s="69" t="n"/>
      <c r="BM2" s="69" t="n"/>
      <c r="BN2" s="69" t="n"/>
      <c r="BO2" s="69" t="n"/>
      <c r="BP2" s="69" t="n"/>
      <c r="BQ2" s="69" t="n"/>
      <c r="BR2" s="69" t="n"/>
      <c r="BS2" s="69" t="n"/>
      <c r="BT2" s="69" t="n"/>
      <c r="BU2" s="69" t="n"/>
      <c r="BV2" s="69" t="n"/>
      <c r="BW2" s="69" t="n"/>
      <c r="BX2" s="69" t="n"/>
      <c r="BY2" s="69" t="n"/>
      <c r="BZ2" s="69" t="n"/>
    </row>
    <row r="3" ht="25" customFormat="1" customHeight="1" s="25" thickBot="1">
      <c r="A3" s="240" t="inlineStr">
        <is>
          <t>Team</t>
        </is>
      </c>
      <c r="B3" s="242" t="inlineStr">
        <is>
          <t>Ball Winning</t>
        </is>
      </c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9" t="n"/>
      <c r="M3" s="245" t="inlineStr">
        <is>
          <t>Ball Movement</t>
        </is>
      </c>
      <c r="N3" s="321" t="n"/>
      <c r="O3" s="321" t="n"/>
      <c r="P3" s="321" t="n"/>
      <c r="Q3" s="321" t="n"/>
      <c r="R3" s="321" t="n"/>
      <c r="S3" s="321" t="n"/>
      <c r="T3" s="321" t="n"/>
      <c r="U3" s="321" t="n"/>
      <c r="V3" s="321" t="n"/>
      <c r="W3" s="39" t="n"/>
      <c r="X3" s="248" t="inlineStr">
        <is>
          <t>Scoring</t>
        </is>
      </c>
      <c r="Y3" s="321" t="n"/>
      <c r="Z3" s="321" t="n"/>
      <c r="AA3" s="321" t="n"/>
      <c r="AB3" s="321" t="n"/>
      <c r="AC3" s="321" t="n"/>
      <c r="AD3" s="321" t="n"/>
      <c r="AE3" s="321" t="n"/>
      <c r="AF3" s="321" t="n"/>
      <c r="AG3" s="321" t="n"/>
      <c r="AH3" s="39" t="n"/>
      <c r="AI3" s="251" t="inlineStr">
        <is>
          <t>Defence</t>
        </is>
      </c>
      <c r="AJ3" s="321" t="n"/>
      <c r="AK3" s="321" t="n"/>
      <c r="AL3" s="321" t="n"/>
      <c r="AM3" s="321" t="n"/>
      <c r="AN3" s="321" t="n"/>
      <c r="AO3" s="321" t="n"/>
      <c r="AP3" s="321" t="n"/>
      <c r="AQ3" s="321" t="n"/>
      <c r="AR3" s="321" t="n"/>
      <c r="AS3" s="39" t="n"/>
      <c r="AT3" s="254" t="inlineStr">
        <is>
          <t>Pressure</t>
        </is>
      </c>
      <c r="AU3" s="321" t="n"/>
      <c r="AV3" s="321" t="n"/>
      <c r="AW3" s="321" t="n"/>
      <c r="AX3" s="321" t="n"/>
      <c r="AY3" s="321" t="n"/>
      <c r="AZ3" s="321" t="n"/>
      <c r="BA3" s="321" t="n"/>
      <c r="BB3" s="321" t="n"/>
      <c r="BC3" s="321" t="n"/>
      <c r="BD3" s="39" t="n"/>
      <c r="BE3" s="322" t="inlineStr">
        <is>
          <t>Health Check</t>
        </is>
      </c>
      <c r="BF3" s="321" t="n"/>
      <c r="BG3" s="321" t="n"/>
      <c r="BH3" s="321" t="n"/>
      <c r="BI3" s="321" t="n"/>
      <c r="BJ3" s="321" t="n"/>
      <c r="BK3" s="321" t="n"/>
      <c r="BL3" s="321" t="n"/>
      <c r="BM3" s="321" t="n"/>
      <c r="BN3" s="321" t="n"/>
      <c r="BO3" s="321" t="n"/>
      <c r="BP3" s="321" t="n"/>
      <c r="BQ3" s="321" t="n"/>
      <c r="BR3" s="323" t="n"/>
      <c r="BS3" s="39" t="n"/>
      <c r="BT3" s="237" t="inlineStr">
        <is>
          <t>Wheelo Ratings</t>
        </is>
      </c>
      <c r="BU3" s="321" t="n"/>
      <c r="BV3" s="321" t="n"/>
      <c r="BW3" s="321" t="n"/>
      <c r="BX3" s="321" t="n"/>
      <c r="BY3" s="324" t="n"/>
      <c r="BZ3" s="70" t="n"/>
    </row>
    <row r="4" ht="69" customFormat="1" customHeight="1" s="2" thickBot="1">
      <c r="A4" s="325" t="n"/>
      <c r="B4" s="4" t="inlineStr">
        <is>
          <t>Post Clear CP Diff</t>
        </is>
      </c>
      <c r="C4" s="5" t="inlineStr">
        <is>
          <t>Rank</t>
        </is>
      </c>
      <c r="D4" s="5" t="inlineStr">
        <is>
          <t>Ground Ball Diff</t>
        </is>
      </c>
      <c r="E4" s="5" t="inlineStr">
        <is>
          <t>Rank</t>
        </is>
      </c>
      <c r="F4" s="5" t="inlineStr">
        <is>
          <t>1st Poss to Clear %</t>
        </is>
      </c>
      <c r="G4" s="5" t="inlineStr">
        <is>
          <t>Rank</t>
        </is>
      </c>
      <c r="H4" s="5" t="inlineStr">
        <is>
          <t>Clearance Diff</t>
        </is>
      </c>
      <c r="I4" s="6" t="inlineStr">
        <is>
          <t>Rank</t>
        </is>
      </c>
      <c r="J4" s="27" t="inlineStr">
        <is>
          <t>Ball Winning Ranking</t>
        </is>
      </c>
      <c r="K4" s="38" t="inlineStr">
        <is>
          <t>Rank</t>
        </is>
      </c>
      <c r="L4" s="40" t="n"/>
      <c r="M4" s="7" t="inlineStr">
        <is>
          <t>Def Half to Score %</t>
        </is>
      </c>
      <c r="N4" s="8" t="inlineStr">
        <is>
          <t>Rank</t>
        </is>
      </c>
      <c r="O4" s="8" t="inlineStr">
        <is>
          <t>Chain to Score %</t>
        </is>
      </c>
      <c r="P4" s="8" t="inlineStr">
        <is>
          <t>Rank</t>
        </is>
      </c>
      <c r="Q4" s="8" t="inlineStr">
        <is>
          <t>D50 to F50 %</t>
        </is>
      </c>
      <c r="R4" s="8" t="inlineStr">
        <is>
          <t>Rank</t>
        </is>
      </c>
      <c r="S4" s="8" t="inlineStr">
        <is>
          <t>Kick Rating</t>
        </is>
      </c>
      <c r="T4" s="9" t="inlineStr">
        <is>
          <t>Rank</t>
        </is>
      </c>
      <c r="U4" s="30" t="inlineStr">
        <is>
          <t>Ball Movement Ranking</t>
        </is>
      </c>
      <c r="V4" s="31" t="inlineStr">
        <is>
          <t>Rank</t>
        </is>
      </c>
      <c r="W4" s="40" t="n"/>
      <c r="X4" s="41" t="inlineStr">
        <is>
          <t>Scores per I50 %</t>
        </is>
      </c>
      <c r="Y4" s="23" t="inlineStr">
        <is>
          <t>Rank</t>
        </is>
      </c>
      <c r="Z4" s="23" t="inlineStr">
        <is>
          <t>Goals Per I 50 %</t>
        </is>
      </c>
      <c r="AA4" s="23" t="inlineStr">
        <is>
          <t>Rank</t>
        </is>
      </c>
      <c r="AB4" s="23" t="inlineStr">
        <is>
          <t>Accuracy %</t>
        </is>
      </c>
      <c r="AC4" s="23" t="inlineStr">
        <is>
          <t>Rank</t>
        </is>
      </c>
      <c r="AD4" s="42" t="inlineStr">
        <is>
          <t>+/- Exp Score</t>
        </is>
      </c>
      <c r="AE4" s="43" t="inlineStr">
        <is>
          <t>Rank</t>
        </is>
      </c>
      <c r="AF4" s="44" t="inlineStr">
        <is>
          <t>Scoring Ranking</t>
        </is>
      </c>
      <c r="AG4" s="45" t="inlineStr">
        <is>
          <t>Rank</t>
        </is>
      </c>
      <c r="AH4" s="40" t="n"/>
      <c r="AI4" s="13" t="inlineStr">
        <is>
          <t>Def Half to Score Ag %</t>
        </is>
      </c>
      <c r="AJ4" s="14" t="inlineStr">
        <is>
          <t>Rank</t>
        </is>
      </c>
      <c r="AK4" s="14" t="inlineStr">
        <is>
          <t>Chain to Score Ag %</t>
        </is>
      </c>
      <c r="AL4" s="14" t="inlineStr">
        <is>
          <t>Rank</t>
        </is>
      </c>
      <c r="AM4" s="14" t="inlineStr">
        <is>
          <t>D50 to F50 Ag %</t>
        </is>
      </c>
      <c r="AN4" s="14" t="inlineStr">
        <is>
          <t>Rank</t>
        </is>
      </c>
      <c r="AO4" s="14" t="inlineStr">
        <is>
          <t>Goals per I50 Ag %</t>
        </is>
      </c>
      <c r="AP4" s="15" t="inlineStr">
        <is>
          <t>Rank</t>
        </is>
      </c>
      <c r="AQ4" s="33" t="inlineStr">
        <is>
          <t>Defence Ranking</t>
        </is>
      </c>
      <c r="AR4" s="34" t="inlineStr">
        <is>
          <t>Rank</t>
        </is>
      </c>
      <c r="AS4" s="40" t="n"/>
      <c r="AT4" s="183" t="inlineStr">
        <is>
          <t>Tackle Diff</t>
        </is>
      </c>
      <c r="AU4" s="184" t="inlineStr">
        <is>
          <t>Rank</t>
        </is>
      </c>
      <c r="AV4" s="184" t="inlineStr">
        <is>
          <t>F50 Tackles</t>
        </is>
      </c>
      <c r="AW4" s="184" t="inlineStr">
        <is>
          <t>Rank</t>
        </is>
      </c>
      <c r="AX4" s="184" t="inlineStr">
        <is>
          <t>Pressure Acts</t>
        </is>
      </c>
      <c r="AY4" s="184" t="inlineStr">
        <is>
          <t>Rank</t>
        </is>
      </c>
      <c r="AZ4" s="184" t="inlineStr">
        <is>
          <t>1%'ers</t>
        </is>
      </c>
      <c r="BA4" s="185" t="inlineStr">
        <is>
          <t>Rank</t>
        </is>
      </c>
      <c r="BB4" s="186" t="inlineStr">
        <is>
          <t>Pressure Ranking</t>
        </is>
      </c>
      <c r="BC4" s="187" t="inlineStr">
        <is>
          <t>Rank</t>
        </is>
      </c>
      <c r="BD4" s="40" t="n"/>
      <c r="BE4" s="16" t="inlineStr">
        <is>
          <t>Score from Turnover For</t>
        </is>
      </c>
      <c r="BF4" s="17" t="inlineStr">
        <is>
          <t>Rank</t>
        </is>
      </c>
      <c r="BG4" s="17" t="inlineStr">
        <is>
          <t>Scores from Turnover Ag</t>
        </is>
      </c>
      <c r="BH4" s="17" t="inlineStr">
        <is>
          <t>Rank</t>
        </is>
      </c>
      <c r="BI4" s="17" t="inlineStr">
        <is>
          <t>Scores from Stoppages For</t>
        </is>
      </c>
      <c r="BJ4" s="17" t="inlineStr">
        <is>
          <t>Rank</t>
        </is>
      </c>
      <c r="BK4" s="17" t="inlineStr">
        <is>
          <t>Scores from Stoppage Ag</t>
        </is>
      </c>
      <c r="BL4" s="17" t="inlineStr">
        <is>
          <t>Rank</t>
        </is>
      </c>
      <c r="BM4" s="17" t="inlineStr">
        <is>
          <t>Territory %</t>
        </is>
      </c>
      <c r="BN4" s="17" t="inlineStr">
        <is>
          <t>Rank</t>
        </is>
      </c>
      <c r="BO4" s="17" t="inlineStr">
        <is>
          <t>Post-Clearance CP Diff</t>
        </is>
      </c>
      <c r="BP4" s="35" t="inlineStr">
        <is>
          <t>Rank</t>
        </is>
      </c>
      <c r="BQ4" s="36" t="inlineStr">
        <is>
          <t>Health Check Ranking</t>
        </is>
      </c>
      <c r="BR4" s="37" t="inlineStr">
        <is>
          <t>Rank</t>
        </is>
      </c>
      <c r="BS4" s="40" t="n"/>
      <c r="BT4" s="41" t="inlineStr">
        <is>
          <t>Attack Rating</t>
        </is>
      </c>
      <c r="BU4" s="23" t="inlineStr">
        <is>
          <t>Rank</t>
        </is>
      </c>
      <c r="BV4" s="23" t="inlineStr">
        <is>
          <t>Defence Rating</t>
        </is>
      </c>
      <c r="BW4" s="23" t="inlineStr">
        <is>
          <t>Rank</t>
        </is>
      </c>
      <c r="BX4" s="23" t="inlineStr">
        <is>
          <t>Overall Rating</t>
        </is>
      </c>
      <c r="BY4" s="24" t="inlineStr">
        <is>
          <t>Rank</t>
        </is>
      </c>
      <c r="BZ4" s="71" t="n"/>
    </row>
    <row r="5" ht="25" customFormat="1" customHeight="1" s="3">
      <c r="A5" s="75" t="inlineStr">
        <is>
          <t>Adelaide</t>
        </is>
      </c>
      <c r="B5" s="46">
        <f>VLOOKUP($A5,INDIRECT("'"&amp;$B$1&amp;"'!$A:$IZ"),222,FALSE)</f>
        <v/>
      </c>
      <c r="C5" s="47">
        <f>RANK(B5,B$5:B$22)</f>
        <v/>
      </c>
      <c r="D5" s="48">
        <f>VLOOKUP($A5,INDIRECT("'"&amp;$B$1&amp;"'!$A:$IZ"),218,FALSE)</f>
        <v/>
      </c>
      <c r="E5" s="47">
        <f>RANK(D5,D$5:D$22)</f>
        <v/>
      </c>
      <c r="F5" s="48">
        <f>VLOOKUP($A5,INDIRECT("'"&amp;$B$1&amp;"'!$A:$IZ"),49,FALSE)</f>
        <v/>
      </c>
      <c r="G5" s="47">
        <f>RANK(F5,F$5:F$22)</f>
        <v/>
      </c>
      <c r="H5" s="48">
        <f>VLOOKUP($A5,INDIRECT("'"&amp;$B$1&amp;"'!$A:$IZ"),229,FALSE)</f>
        <v/>
      </c>
      <c r="I5" s="47">
        <f>RANK(H5,H$5:H$22)</f>
        <v/>
      </c>
      <c r="J5" s="49">
        <f>104-(C5+E5+G5+I5)</f>
        <v/>
      </c>
      <c r="K5" s="47">
        <f>RANK(J5,J$5:J$22)</f>
        <v/>
      </c>
      <c r="L5" s="50" t="n"/>
      <c r="M5" s="46">
        <f>VLOOKUP($A5,INDIRECT("'"&amp;$B$1&amp;"'!$A:$IZ"),88,FALSE)</f>
        <v/>
      </c>
      <c r="N5" s="47">
        <f>RANK(M5,M$5:M$22)</f>
        <v/>
      </c>
      <c r="O5" s="46">
        <f>VLOOKUP($A5,INDIRECT("'"&amp;$B$1&amp;"'!$A:$IZ"),84,FALSE)</f>
        <v/>
      </c>
      <c r="P5" s="47">
        <f>RANK(O5,O$5:O$22)</f>
        <v/>
      </c>
      <c r="Q5" s="46">
        <f>VLOOKUP($A5,INDIRECT("'"&amp;$B$1&amp;"'!$A:$IZ"),85,FALSE)</f>
        <v/>
      </c>
      <c r="R5" s="47">
        <f>RANK(Q5,Q$5:Q$22)</f>
        <v/>
      </c>
      <c r="S5" s="48">
        <f>VLOOKUP($A5,INDIRECT("'"&amp;$B$1&amp;"'!$A:$IZ"),29,FALSE)</f>
        <v/>
      </c>
      <c r="T5" s="47">
        <f>RANK(S5,S$5:S$22)</f>
        <v/>
      </c>
      <c r="U5" s="49">
        <f>104-(N5+P5+R5+T5)</f>
        <v/>
      </c>
      <c r="V5" s="47">
        <f>RANK(U5,U$5:U$22)</f>
        <v/>
      </c>
      <c r="W5" s="50" t="n"/>
      <c r="X5" s="46">
        <f>VLOOKUP($A5,INDIRECT("'"&amp;$B$1&amp;"'!$A:$IZ"),65,FALSE)</f>
        <v/>
      </c>
      <c r="Y5" s="47">
        <f>RANK(X5,X$5:X$22)</f>
        <v/>
      </c>
      <c r="Z5" s="46">
        <f>VLOOKUP($A5,INDIRECT("'"&amp;$B$1&amp;"'!$A:$IZ"),64,FALSE)</f>
        <v/>
      </c>
      <c r="AA5" s="47">
        <f>RANK(Z5,Z$5:Z$22)</f>
        <v/>
      </c>
      <c r="AB5" s="46">
        <f>VLOOKUP($A5,INDIRECT("'"&amp;$B$1&amp;"'!$A:$IZ"),63,FALSE)</f>
        <v/>
      </c>
      <c r="AC5" s="47">
        <f>RANK(AB5,AB$5:AB$22)</f>
        <v/>
      </c>
      <c r="AD5" s="46">
        <f>VLOOKUP($A5,INDIRECT("'"&amp;$B$1&amp;"'!$A:$IZ"),71,FALSE)</f>
        <v/>
      </c>
      <c r="AE5" s="47">
        <f>RANK(AD5,AD$5:AD$22)</f>
        <v/>
      </c>
      <c r="AF5" s="49">
        <f>104-(Y5+AA5+AC5+AE5)</f>
        <v/>
      </c>
      <c r="AG5" s="47">
        <f>RANK(AF5,AF$5:AF$22)</f>
        <v/>
      </c>
      <c r="AH5" s="50" t="n"/>
      <c r="AI5" s="46">
        <f>VLOOKUP($A5,INDIRECT("'"&amp;$B$1&amp;"'!$A:$IZ"),183,FALSE)</f>
        <v/>
      </c>
      <c r="AJ5" s="47">
        <f>RANK(AI5,AI$5:AI$22,1)</f>
        <v/>
      </c>
      <c r="AK5" s="46">
        <f>VLOOKUP($A5,INDIRECT("'"&amp;$B$1&amp;"'!$A:$IZ"),181,FALSE)</f>
        <v/>
      </c>
      <c r="AL5" s="47">
        <f>RANK(AK5,AK$5:AK$22,1)</f>
        <v/>
      </c>
      <c r="AM5" s="46">
        <f>VLOOKUP($A5,INDIRECT("'"&amp;$B$1&amp;"'!$A:$IZ"),182,FALSE)</f>
        <v/>
      </c>
      <c r="AN5" s="47">
        <f>RANK(AM5,AM$5:AM$22,1)</f>
        <v/>
      </c>
      <c r="AO5" s="46">
        <f>VLOOKUP($A5,INDIRECT("'"&amp;$B$1&amp;"'!$A:$IZ"),163,FALSE)</f>
        <v/>
      </c>
      <c r="AP5" s="47">
        <f>RANK(AO5,AO$5:AO$22,1)</f>
        <v/>
      </c>
      <c r="AQ5" s="49">
        <f>104-(AJ5+AL5+AN5+AP5)</f>
        <v/>
      </c>
      <c r="AR5" s="47">
        <f>RANK(AQ5,AQ$5:AQ$22)</f>
        <v/>
      </c>
      <c r="AS5" s="50" t="n"/>
      <c r="AT5" s="46">
        <f>VLOOKUP($A5,INDIRECT("'"&amp;$B$1&amp;"'!$A:$IZ"),250,FALSE)</f>
        <v/>
      </c>
      <c r="AU5" s="47">
        <f>RANK(AT5,AT$5:AT$22,0)</f>
        <v/>
      </c>
      <c r="AV5" s="46">
        <f>VLOOKUP($A5,INDIRECT("'"&amp;$B$1&amp;"'!$A:$IZ"),92,FALSE)</f>
        <v/>
      </c>
      <c r="AW5" s="47">
        <f>RANK(AV5,AV$5:AV$22,0)</f>
        <v/>
      </c>
      <c r="AX5" s="46">
        <f>VLOOKUP($A5,INDIRECT("'"&amp;$B$1&amp;"'!$A:$IZ"),93,FALSE)</f>
        <v/>
      </c>
      <c r="AY5" s="47">
        <f>RANK(AX5,AX$5:AX$22,0)</f>
        <v/>
      </c>
      <c r="AZ5" s="46">
        <f>VLOOKUP($A5,INDIRECT("'"&amp;$B$1&amp;"'!$A:$IZ"),108,FALSE)</f>
        <v/>
      </c>
      <c r="BA5" s="47">
        <f>RANK(AZ5,AZ$5:AZ$22,0)</f>
        <v/>
      </c>
      <c r="BB5" s="46">
        <f>104-(AU5+AW5+AY5+BA5)</f>
        <v/>
      </c>
      <c r="BC5" s="47">
        <f>RANK(BB5,BB$5:BB$22)</f>
        <v/>
      </c>
      <c r="BD5" s="50" t="n"/>
      <c r="BE5" s="46">
        <f>VLOOKUP($A5,INDIRECT("'"&amp;$B$1&amp;"'!$A:$IZ"),80,FALSE)</f>
        <v/>
      </c>
      <c r="BF5" s="47">
        <f>RANK(BE5,BE$5:BE$22)</f>
        <v/>
      </c>
      <c r="BG5" s="46">
        <f>VLOOKUP($A5,INDIRECT("'"&amp;$B$1&amp;"'!$A:$IZ"),177,FALSE)</f>
        <v/>
      </c>
      <c r="BH5" s="47">
        <f>RANK(BG5,BG$5:BG$22,1)</f>
        <v/>
      </c>
      <c r="BI5" s="46">
        <f>VLOOKUP($A5,INDIRECT("'"&amp;$B$1&amp;"'!$A:$IZ"),79,FALSE)</f>
        <v/>
      </c>
      <c r="BJ5" s="47">
        <f>RANK(BI5,BI$5:BI$22)</f>
        <v/>
      </c>
      <c r="BK5" s="46">
        <f>VLOOKUP($A5,INDIRECT("'"&amp;$B$1&amp;"'!$A:$IZ"),176,FALSE)</f>
        <v/>
      </c>
      <c r="BL5" s="47">
        <f>RANK(BK5,BK$5:BK$22,1)</f>
        <v/>
      </c>
      <c r="BM5" s="46">
        <f>VLOOKUP($A5,INDIRECT("'"&amp;$B$1&amp;"'!$A:$IZ"),11,FALSE)</f>
        <v/>
      </c>
      <c r="BN5" s="47">
        <f>RANK(BM5,BM$5:BM$22)</f>
        <v/>
      </c>
      <c r="BO5" s="46">
        <f>VLOOKUP($A5,INDIRECT("'"&amp;$B$1&amp;"'!$A:$IZ"),222,FALSE)</f>
        <v/>
      </c>
      <c r="BP5" s="47">
        <f>RANK(BO5,BO$5:BO$22)</f>
        <v/>
      </c>
      <c r="BQ5" s="49">
        <f>106-(BF5+BH5+BN5+BP5+BJ5+BL5)</f>
        <v/>
      </c>
      <c r="BR5" s="47">
        <f>RANK(BQ5,BQ$5:BQ$22)</f>
        <v/>
      </c>
      <c r="BS5" s="50" t="n"/>
      <c r="BT5" s="51">
        <f>VLOOKUP($A5,'Ratings Season'!$A:$M,10,FALSE)</f>
        <v/>
      </c>
      <c r="BU5" s="47">
        <f>RANK(BT5,BT$5:BT$22)</f>
        <v/>
      </c>
      <c r="BV5" s="51">
        <f>VLOOKUP($A5,'Ratings Season'!$A:$M,12,FALSE)</f>
        <v/>
      </c>
      <c r="BW5" s="47">
        <f>RANK(BV5,BV$5:BV$22)</f>
        <v/>
      </c>
      <c r="BX5" s="51">
        <f>VLOOKUP($A5,'Ratings Season'!$A:$M,8,FALSE)</f>
        <v/>
      </c>
      <c r="BY5" s="52">
        <f>RANK(BX5,BX$5:BX$22)</f>
        <v/>
      </c>
      <c r="BZ5" s="72" t="n"/>
    </row>
    <row r="6" ht="25" customFormat="1" customHeight="1" s="3">
      <c r="A6" s="76" t="inlineStr">
        <is>
          <t>Brisbane</t>
        </is>
      </c>
      <c r="B6" s="53">
        <f>VLOOKUP($A6,INDIRECT("'"&amp;$B$1&amp;"'!$A:$IZ"),222,FALSE)</f>
        <v/>
      </c>
      <c r="C6" s="54">
        <f>RANK(B6,B$5:B$22)</f>
        <v/>
      </c>
      <c r="D6" s="55">
        <f>VLOOKUP($A6,INDIRECT("'"&amp;$B$1&amp;"'!$A:$IZ"),218,FALSE)</f>
        <v/>
      </c>
      <c r="E6" s="54">
        <f>RANK(D6,D$5:D$22)</f>
        <v/>
      </c>
      <c r="F6" s="55">
        <f>VLOOKUP($A6,INDIRECT("'"&amp;$B$1&amp;"'!$A:$IZ"),49,FALSE)</f>
        <v/>
      </c>
      <c r="G6" s="54">
        <f>RANK(F6,F$5:F$22)</f>
        <v/>
      </c>
      <c r="H6" s="55">
        <f>VLOOKUP($A6,INDIRECT("'"&amp;$B$1&amp;"'!$A:$IZ"),229,FALSE)</f>
        <v/>
      </c>
      <c r="I6" s="54">
        <f>RANK(H6,H$5:H$22)</f>
        <v/>
      </c>
      <c r="J6" s="49">
        <f>104-(C6+E6+G6+I6)</f>
        <v/>
      </c>
      <c r="K6" s="47">
        <f>RANK(J6,J$5:J$22)</f>
        <v/>
      </c>
      <c r="L6" s="56" t="n"/>
      <c r="M6" s="53">
        <f>VLOOKUP($A6,INDIRECT("'"&amp;$B$1&amp;"'!$A:$IZ"),88,FALSE)</f>
        <v/>
      </c>
      <c r="N6" s="54">
        <f>RANK(M6,M$5:M$22)</f>
        <v/>
      </c>
      <c r="O6" s="53">
        <f>VLOOKUP($A6,INDIRECT("'"&amp;$B$1&amp;"'!$A:$IZ"),84,FALSE)</f>
        <v/>
      </c>
      <c r="P6" s="54">
        <f>RANK(O6,O$5:O$22)</f>
        <v/>
      </c>
      <c r="Q6" s="53">
        <f>VLOOKUP($A6,INDIRECT("'"&amp;$B$1&amp;"'!$A:$IZ"),85,FALSE)</f>
        <v/>
      </c>
      <c r="R6" s="54">
        <f>RANK(Q6,Q$5:Q$22)</f>
        <v/>
      </c>
      <c r="S6" s="55">
        <f>VLOOKUP($A6,INDIRECT("'"&amp;$B$1&amp;"'!$A:$IZ"),29,FALSE)</f>
        <v/>
      </c>
      <c r="T6" s="54">
        <f>RANK(S6,S$5:S$22)</f>
        <v/>
      </c>
      <c r="U6" s="49">
        <f>104-(N6+P6+R6+T6)</f>
        <v/>
      </c>
      <c r="V6" s="47">
        <f>RANK(U6,U$5:U$22)</f>
        <v/>
      </c>
      <c r="W6" s="56" t="n"/>
      <c r="X6" s="53">
        <f>VLOOKUP($A6,INDIRECT("'"&amp;$B$1&amp;"'!$A:$IZ"),65,FALSE)</f>
        <v/>
      </c>
      <c r="Y6" s="54">
        <f>RANK(X6,X$5:X$22)</f>
        <v/>
      </c>
      <c r="Z6" s="53">
        <f>VLOOKUP($A6,INDIRECT("'"&amp;$B$1&amp;"'!$A:$IZ"),64,FALSE)</f>
        <v/>
      </c>
      <c r="AA6" s="54">
        <f>RANK(Z6,Z$5:Z$22)</f>
        <v/>
      </c>
      <c r="AB6" s="53">
        <f>VLOOKUP($A6,INDIRECT("'"&amp;$B$1&amp;"'!$A:$IZ"),63,FALSE)</f>
        <v/>
      </c>
      <c r="AC6" s="54">
        <f>RANK(AB6,AB$5:AB$22)</f>
        <v/>
      </c>
      <c r="AD6" s="53">
        <f>VLOOKUP($A6,INDIRECT("'"&amp;$B$1&amp;"'!$A:$IZ"),71,FALSE)</f>
        <v/>
      </c>
      <c r="AE6" s="54">
        <f>RANK(AD6,AD$5:AD$22)</f>
        <v/>
      </c>
      <c r="AF6" s="65">
        <f>104-(Y6+AA6+AC6+AE6)</f>
        <v/>
      </c>
      <c r="AG6" s="47">
        <f>RANK(AF6,AF$5:AF$22)</f>
        <v/>
      </c>
      <c r="AH6" s="56" t="n"/>
      <c r="AI6" s="53">
        <f>VLOOKUP($A6,INDIRECT("'"&amp;$B$1&amp;"'!$A:$IZ"),183,FALSE)</f>
        <v/>
      </c>
      <c r="AJ6" s="54">
        <f>RANK(AI6,AI$5:AI$22,1)</f>
        <v/>
      </c>
      <c r="AK6" s="53">
        <f>VLOOKUP($A6,INDIRECT("'"&amp;$B$1&amp;"'!$A:$IZ"),181,FALSE)</f>
        <v/>
      </c>
      <c r="AL6" s="54">
        <f>RANK(AK6,AK$5:AK$22,1)</f>
        <v/>
      </c>
      <c r="AM6" s="53">
        <f>VLOOKUP($A6,INDIRECT("'"&amp;$B$1&amp;"'!$A:$IZ"),182,FALSE)</f>
        <v/>
      </c>
      <c r="AN6" s="54">
        <f>RANK(AM6,AM$5:AM$22,1)</f>
        <v/>
      </c>
      <c r="AO6" s="53">
        <f>VLOOKUP($A6,INDIRECT("'"&amp;$B$1&amp;"'!$A:$IZ"),163,FALSE)</f>
        <v/>
      </c>
      <c r="AP6" s="54">
        <f>RANK(AO6,AO$5:AO$22,1)</f>
        <v/>
      </c>
      <c r="AQ6" s="65">
        <f>104-(AJ6+AL6+AN6+AP6)</f>
        <v/>
      </c>
      <c r="AR6" s="47">
        <f>RANK(AQ6,AQ$5:AQ$22)</f>
        <v/>
      </c>
      <c r="AS6" s="56" t="n"/>
      <c r="AT6" s="46">
        <f>VLOOKUP($A6,INDIRECT("'"&amp;$B$1&amp;"'!$A:$IZ"),250,FALSE)</f>
        <v/>
      </c>
      <c r="AU6" s="47">
        <f>RANK(AT6,AT$5:AT$22,0)</f>
        <v/>
      </c>
      <c r="AV6" s="46">
        <f>VLOOKUP($A6,INDIRECT("'"&amp;$B$1&amp;"'!$A:$IZ"),92,FALSE)</f>
        <v/>
      </c>
      <c r="AW6" s="47">
        <f>RANK(AV6,AV$5:AV$22,0)</f>
        <v/>
      </c>
      <c r="AX6" s="46">
        <f>VLOOKUP($A6,INDIRECT("'"&amp;$B$1&amp;"'!$A:$IZ"),93,FALSE)</f>
        <v/>
      </c>
      <c r="AY6" s="47">
        <f>RANK(AX6,AX$5:AX$22,0)</f>
        <v/>
      </c>
      <c r="AZ6" s="46">
        <f>VLOOKUP($A6,INDIRECT("'"&amp;$B$1&amp;"'!$A:$IZ"),108,FALSE)</f>
        <v/>
      </c>
      <c r="BA6" s="47">
        <f>RANK(AZ6,AZ$5:AZ$22,0)</f>
        <v/>
      </c>
      <c r="BB6" s="46">
        <f>104-(AU6+AW6+AY6+BA6)</f>
        <v/>
      </c>
      <c r="BC6" s="47">
        <f>RANK(BB6,BB$5:BB$22)</f>
        <v/>
      </c>
      <c r="BD6" s="56" t="n"/>
      <c r="BE6" s="53">
        <f>VLOOKUP($A6,INDIRECT("'"&amp;$B$1&amp;"'!$A:$IZ"),80,FALSE)</f>
        <v/>
      </c>
      <c r="BF6" s="54">
        <f>RANK(BE6,BE$5:BE$22)</f>
        <v/>
      </c>
      <c r="BG6" s="53">
        <f>VLOOKUP($A6,INDIRECT("'"&amp;$B$1&amp;"'!$A:$IZ"),177,FALSE)</f>
        <v/>
      </c>
      <c r="BH6" s="54">
        <f>RANK(BG6,BG$5:BG$22,1)</f>
        <v/>
      </c>
      <c r="BI6" s="53">
        <f>VLOOKUP($A6,INDIRECT("'"&amp;$B$1&amp;"'!$A:$IZ"),79,FALSE)</f>
        <v/>
      </c>
      <c r="BJ6" s="54">
        <f>RANK(BI6,BI$5:BI$22)</f>
        <v/>
      </c>
      <c r="BK6" s="53">
        <f>VLOOKUP($A6,INDIRECT("'"&amp;$B$1&amp;"'!$A:$IZ"),176,FALSE)</f>
        <v/>
      </c>
      <c r="BL6" s="54">
        <f>RANK(BK6,BK$5:BK$22,1)</f>
        <v/>
      </c>
      <c r="BM6" s="53">
        <f>VLOOKUP($A6,INDIRECT("'"&amp;$B$1&amp;"'!$A:$IZ"),11,FALSE)</f>
        <v/>
      </c>
      <c r="BN6" s="54">
        <f>RANK(BM6,BM$5:BM$22)</f>
        <v/>
      </c>
      <c r="BO6" s="53">
        <f>VLOOKUP($A6,INDIRECT("'"&amp;$B$1&amp;"'!$A:$IZ"),222,FALSE)</f>
        <v/>
      </c>
      <c r="BP6" s="54">
        <f>RANK(BO6,BO$5:BO$22)</f>
        <v/>
      </c>
      <c r="BQ6" s="65">
        <f>106-(BF6+BH6+BN6+BP6+BJ6+BL6)</f>
        <v/>
      </c>
      <c r="BR6" s="47">
        <f>RANK(BQ6,BQ$5:BQ$22)</f>
        <v/>
      </c>
      <c r="BS6" s="56" t="n"/>
      <c r="BT6" s="57">
        <f>VLOOKUP($A6,'Ratings Season'!$A:$M,10,FALSE)</f>
        <v/>
      </c>
      <c r="BU6" s="54">
        <f>RANK(BT6,BT$5:BT$22)</f>
        <v/>
      </c>
      <c r="BV6" s="57">
        <f>VLOOKUP($A6,'Ratings Season'!$A:$M,12,FALSE)</f>
        <v/>
      </c>
      <c r="BW6" s="54">
        <f>RANK(BV6,BV$5:BV$22)</f>
        <v/>
      </c>
      <c r="BX6" s="57">
        <f>VLOOKUP($A6,'Ratings Season'!$A:$M,8,FALSE)</f>
        <v/>
      </c>
      <c r="BY6" s="58">
        <f>RANK(BX6,BX$5:BX$22)</f>
        <v/>
      </c>
      <c r="BZ6" s="72" t="n"/>
    </row>
    <row r="7" ht="25" customFormat="1" customHeight="1" s="3">
      <c r="A7" s="77" t="inlineStr">
        <is>
          <t>Carlton</t>
        </is>
      </c>
      <c r="B7" s="53">
        <f>VLOOKUP($A7,INDIRECT("'"&amp;$B$1&amp;"'!$A:$IZ"),222,FALSE)</f>
        <v/>
      </c>
      <c r="C7" s="54">
        <f>RANK(B7,B$5:B$22)</f>
        <v/>
      </c>
      <c r="D7" s="55">
        <f>VLOOKUP($A7,INDIRECT("'"&amp;$B$1&amp;"'!$A:$IZ"),218,FALSE)</f>
        <v/>
      </c>
      <c r="E7" s="54">
        <f>RANK(D7,D$5:D$22)</f>
        <v/>
      </c>
      <c r="F7" s="55">
        <f>VLOOKUP($A7,INDIRECT("'"&amp;$B$1&amp;"'!$A:$IZ"),49,FALSE)</f>
        <v/>
      </c>
      <c r="G7" s="54">
        <f>RANK(F7,F$5:F$22)</f>
        <v/>
      </c>
      <c r="H7" s="55">
        <f>VLOOKUP($A7,INDIRECT("'"&amp;$B$1&amp;"'!$A:$IZ"),229,FALSE)</f>
        <v/>
      </c>
      <c r="I7" s="54">
        <f>RANK(H7,H$5:H$22)</f>
        <v/>
      </c>
      <c r="J7" s="49">
        <f>104-(C7+E7+G7+I7)</f>
        <v/>
      </c>
      <c r="K7" s="47">
        <f>RANK(J7,J$5:J$22)</f>
        <v/>
      </c>
      <c r="L7" s="56" t="n"/>
      <c r="M7" s="53">
        <f>VLOOKUP($A7,INDIRECT("'"&amp;$B$1&amp;"'!$A:$IZ"),88,FALSE)</f>
        <v/>
      </c>
      <c r="N7" s="54">
        <f>RANK(M7,M$5:M$22)</f>
        <v/>
      </c>
      <c r="O7" s="53">
        <f>VLOOKUP($A7,INDIRECT("'"&amp;$B$1&amp;"'!$A:$IZ"),84,FALSE)</f>
        <v/>
      </c>
      <c r="P7" s="54">
        <f>RANK(O7,O$5:O$22)</f>
        <v/>
      </c>
      <c r="Q7" s="53">
        <f>VLOOKUP($A7,INDIRECT("'"&amp;$B$1&amp;"'!$A:$IZ"),85,FALSE)</f>
        <v/>
      </c>
      <c r="R7" s="54">
        <f>RANK(Q7,Q$5:Q$22)</f>
        <v/>
      </c>
      <c r="S7" s="55">
        <f>VLOOKUP($A7,INDIRECT("'"&amp;$B$1&amp;"'!$A:$IZ"),29,FALSE)</f>
        <v/>
      </c>
      <c r="T7" s="54">
        <f>RANK(S7,S$5:S$22)</f>
        <v/>
      </c>
      <c r="U7" s="49">
        <f>104-(N7+P7+R7+T7)</f>
        <v/>
      </c>
      <c r="V7" s="47">
        <f>RANK(U7,U$5:U$22)</f>
        <v/>
      </c>
      <c r="W7" s="56" t="n"/>
      <c r="X7" s="53">
        <f>VLOOKUP($A7,INDIRECT("'"&amp;$B$1&amp;"'!$A:$IZ"),65,FALSE)</f>
        <v/>
      </c>
      <c r="Y7" s="54">
        <f>RANK(X7,X$5:X$22)</f>
        <v/>
      </c>
      <c r="Z7" s="53">
        <f>VLOOKUP($A7,INDIRECT("'"&amp;$B$1&amp;"'!$A:$IZ"),64,FALSE)</f>
        <v/>
      </c>
      <c r="AA7" s="54">
        <f>RANK(Z7,Z$5:Z$22)</f>
        <v/>
      </c>
      <c r="AB7" s="53">
        <f>VLOOKUP($A7,INDIRECT("'"&amp;$B$1&amp;"'!$A:$IZ"),63,FALSE)</f>
        <v/>
      </c>
      <c r="AC7" s="54">
        <f>RANK(AB7,AB$5:AB$22)</f>
        <v/>
      </c>
      <c r="AD7" s="53">
        <f>VLOOKUP($A7,INDIRECT("'"&amp;$B$1&amp;"'!$A:$IZ"),71,FALSE)</f>
        <v/>
      </c>
      <c r="AE7" s="54">
        <f>RANK(AD7,AD$5:AD$22)</f>
        <v/>
      </c>
      <c r="AF7" s="65">
        <f>104-(Y7+AA7+AC7+AE7)</f>
        <v/>
      </c>
      <c r="AG7" s="47">
        <f>RANK(AF7,AF$5:AF$22)</f>
        <v/>
      </c>
      <c r="AH7" s="56" t="n"/>
      <c r="AI7" s="53">
        <f>VLOOKUP($A7,INDIRECT("'"&amp;$B$1&amp;"'!$A:$IZ"),183,FALSE)</f>
        <v/>
      </c>
      <c r="AJ7" s="54">
        <f>RANK(AI7,AI$5:AI$22,1)</f>
        <v/>
      </c>
      <c r="AK7" s="53">
        <f>VLOOKUP($A7,INDIRECT("'"&amp;$B$1&amp;"'!$A:$IZ"),181,FALSE)</f>
        <v/>
      </c>
      <c r="AL7" s="54">
        <f>RANK(AK7,AK$5:AK$22,1)</f>
        <v/>
      </c>
      <c r="AM7" s="53">
        <f>VLOOKUP($A7,INDIRECT("'"&amp;$B$1&amp;"'!$A:$IZ"),182,FALSE)</f>
        <v/>
      </c>
      <c r="AN7" s="54">
        <f>RANK(AM7,AM$5:AM$22,1)</f>
        <v/>
      </c>
      <c r="AO7" s="53">
        <f>VLOOKUP($A7,INDIRECT("'"&amp;$B$1&amp;"'!$A:$IZ"),163,FALSE)</f>
        <v/>
      </c>
      <c r="AP7" s="54">
        <f>RANK(AO7,AO$5:AO$22,1)</f>
        <v/>
      </c>
      <c r="AQ7" s="65">
        <f>104-(AJ7+AL7+AN7+AP7)</f>
        <v/>
      </c>
      <c r="AR7" s="47">
        <f>RANK(AQ7,AQ$5:AQ$22)</f>
        <v/>
      </c>
      <c r="AS7" s="56" t="n"/>
      <c r="AT7" s="46">
        <f>VLOOKUP($A7,INDIRECT("'"&amp;$B$1&amp;"'!$A:$IZ"),250,FALSE)</f>
        <v/>
      </c>
      <c r="AU7" s="47">
        <f>RANK(AT7,AT$5:AT$22,0)</f>
        <v/>
      </c>
      <c r="AV7" s="46">
        <f>VLOOKUP($A7,INDIRECT("'"&amp;$B$1&amp;"'!$A:$IZ"),92,FALSE)</f>
        <v/>
      </c>
      <c r="AW7" s="47">
        <f>RANK(AV7,AV$5:AV$22,0)</f>
        <v/>
      </c>
      <c r="AX7" s="46">
        <f>VLOOKUP($A7,INDIRECT("'"&amp;$B$1&amp;"'!$A:$IZ"),93,FALSE)</f>
        <v/>
      </c>
      <c r="AY7" s="47">
        <f>RANK(AX7,AX$5:AX$22,0)</f>
        <v/>
      </c>
      <c r="AZ7" s="46">
        <f>VLOOKUP($A7,INDIRECT("'"&amp;$B$1&amp;"'!$A:$IZ"),108,FALSE)</f>
        <v/>
      </c>
      <c r="BA7" s="47">
        <f>RANK(AZ7,AZ$5:AZ$22,0)</f>
        <v/>
      </c>
      <c r="BB7" s="46">
        <f>104-(AU7+AW7+AY7+BA7)</f>
        <v/>
      </c>
      <c r="BC7" s="47">
        <f>RANK(BB7,BB$5:BB$22)</f>
        <v/>
      </c>
      <c r="BD7" s="56" t="n"/>
      <c r="BE7" s="53">
        <f>VLOOKUP($A7,INDIRECT("'"&amp;$B$1&amp;"'!$A:$IZ"),80,FALSE)</f>
        <v/>
      </c>
      <c r="BF7" s="54">
        <f>RANK(BE7,BE$5:BE$22)</f>
        <v/>
      </c>
      <c r="BG7" s="53">
        <f>VLOOKUP($A7,INDIRECT("'"&amp;$B$1&amp;"'!$A:$IZ"),177,FALSE)</f>
        <v/>
      </c>
      <c r="BH7" s="54">
        <f>RANK(BG7,BG$5:BG$22,1)</f>
        <v/>
      </c>
      <c r="BI7" s="53">
        <f>VLOOKUP($A7,INDIRECT("'"&amp;$B$1&amp;"'!$A:$IZ"),79,FALSE)</f>
        <v/>
      </c>
      <c r="BJ7" s="54">
        <f>RANK(BI7,BI$5:BI$22)</f>
        <v/>
      </c>
      <c r="BK7" s="53">
        <f>VLOOKUP($A7,INDIRECT("'"&amp;$B$1&amp;"'!$A:$IZ"),176,FALSE)</f>
        <v/>
      </c>
      <c r="BL7" s="54">
        <f>RANK(BK7,BK$5:BK$22,1)</f>
        <v/>
      </c>
      <c r="BM7" s="53">
        <f>VLOOKUP($A7,INDIRECT("'"&amp;$B$1&amp;"'!$A:$IZ"),11,FALSE)</f>
        <v/>
      </c>
      <c r="BN7" s="54">
        <f>RANK(BM7,BM$5:BM$22)</f>
        <v/>
      </c>
      <c r="BO7" s="53">
        <f>VLOOKUP($A7,INDIRECT("'"&amp;$B$1&amp;"'!$A:$IZ"),222,FALSE)</f>
        <v/>
      </c>
      <c r="BP7" s="54">
        <f>RANK(BO7,BO$5:BO$22)</f>
        <v/>
      </c>
      <c r="BQ7" s="65">
        <f>106-(BF7+BH7+BN7+BP7+BJ7+BL7)</f>
        <v/>
      </c>
      <c r="BR7" s="47">
        <f>RANK(BQ7,BQ$5:BQ$22)</f>
        <v/>
      </c>
      <c r="BS7" s="56" t="n"/>
      <c r="BT7" s="57">
        <f>VLOOKUP($A7,'Ratings Season'!$A:$M,10,FALSE)</f>
        <v/>
      </c>
      <c r="BU7" s="54">
        <f>RANK(BT7,BT$5:BT$22)</f>
        <v/>
      </c>
      <c r="BV7" s="57">
        <f>VLOOKUP($A7,'Ratings Season'!$A:$M,12,FALSE)</f>
        <v/>
      </c>
      <c r="BW7" s="54">
        <f>RANK(BV7,BV$5:BV$22)</f>
        <v/>
      </c>
      <c r="BX7" s="57">
        <f>VLOOKUP($A7,'Ratings Season'!$A:$M,8,FALSE)</f>
        <v/>
      </c>
      <c r="BY7" s="58">
        <f>RANK(BX7,BX$5:BX$22)</f>
        <v/>
      </c>
      <c r="BZ7" s="72" t="n"/>
    </row>
    <row r="8" ht="25" customFormat="1" customHeight="1" s="3">
      <c r="A8" s="78" t="inlineStr">
        <is>
          <t>Collingwood</t>
        </is>
      </c>
      <c r="B8" s="53">
        <f>VLOOKUP($A8,INDIRECT("'"&amp;$B$1&amp;"'!$A:$IZ"),222,FALSE)</f>
        <v/>
      </c>
      <c r="C8" s="54">
        <f>RANK(B8,B$5:B$22)</f>
        <v/>
      </c>
      <c r="D8" s="55">
        <f>VLOOKUP($A8,INDIRECT("'"&amp;$B$1&amp;"'!$A:$IZ"),218,FALSE)</f>
        <v/>
      </c>
      <c r="E8" s="54">
        <f>RANK(D8,D$5:D$22)</f>
        <v/>
      </c>
      <c r="F8" s="55">
        <f>VLOOKUP($A8,INDIRECT("'"&amp;$B$1&amp;"'!$A:$IZ"),49,FALSE)</f>
        <v/>
      </c>
      <c r="G8" s="54">
        <f>RANK(F8,F$5:F$22)</f>
        <v/>
      </c>
      <c r="H8" s="55">
        <f>VLOOKUP($A8,INDIRECT("'"&amp;$B$1&amp;"'!$A:$IZ"),229,FALSE)</f>
        <v/>
      </c>
      <c r="I8" s="54">
        <f>RANK(H8,H$5:H$22)</f>
        <v/>
      </c>
      <c r="J8" s="49">
        <f>104-(C8+E8+G8+I8)</f>
        <v/>
      </c>
      <c r="K8" s="47">
        <f>RANK(J8,J$5:J$22)</f>
        <v/>
      </c>
      <c r="L8" s="56" t="n"/>
      <c r="M8" s="53">
        <f>VLOOKUP($A8,INDIRECT("'"&amp;$B$1&amp;"'!$A:$IZ"),88,FALSE)</f>
        <v/>
      </c>
      <c r="N8" s="54">
        <f>RANK(M8,M$5:M$22)</f>
        <v/>
      </c>
      <c r="O8" s="53">
        <f>VLOOKUP($A8,INDIRECT("'"&amp;$B$1&amp;"'!$A:$IZ"),84,FALSE)</f>
        <v/>
      </c>
      <c r="P8" s="54">
        <f>RANK(O8,O$5:O$22)</f>
        <v/>
      </c>
      <c r="Q8" s="53">
        <f>VLOOKUP($A8,INDIRECT("'"&amp;$B$1&amp;"'!$A:$IZ"),85,FALSE)</f>
        <v/>
      </c>
      <c r="R8" s="54">
        <f>RANK(Q8,Q$5:Q$22)</f>
        <v/>
      </c>
      <c r="S8" s="55">
        <f>VLOOKUP($A8,INDIRECT("'"&amp;$B$1&amp;"'!$A:$IZ"),29,FALSE)</f>
        <v/>
      </c>
      <c r="T8" s="54">
        <f>RANK(S8,S$5:S$22)</f>
        <v/>
      </c>
      <c r="U8" s="49">
        <f>104-(N8+P8+R8+T8)</f>
        <v/>
      </c>
      <c r="V8" s="47">
        <f>RANK(U8,U$5:U$22)</f>
        <v/>
      </c>
      <c r="W8" s="56" t="n"/>
      <c r="X8" s="53">
        <f>VLOOKUP($A8,INDIRECT("'"&amp;$B$1&amp;"'!$A:$IZ"),65,FALSE)</f>
        <v/>
      </c>
      <c r="Y8" s="54">
        <f>RANK(X8,X$5:X$22)</f>
        <v/>
      </c>
      <c r="Z8" s="53">
        <f>VLOOKUP($A8,INDIRECT("'"&amp;$B$1&amp;"'!$A:$IZ"),64,FALSE)</f>
        <v/>
      </c>
      <c r="AA8" s="54">
        <f>RANK(Z8,Z$5:Z$22)</f>
        <v/>
      </c>
      <c r="AB8" s="53">
        <f>VLOOKUP($A8,INDIRECT("'"&amp;$B$1&amp;"'!$A:$IZ"),63,FALSE)</f>
        <v/>
      </c>
      <c r="AC8" s="54">
        <f>RANK(AB8,AB$5:AB$22)</f>
        <v/>
      </c>
      <c r="AD8" s="53">
        <f>VLOOKUP($A8,INDIRECT("'"&amp;$B$1&amp;"'!$A:$IZ"),71,FALSE)</f>
        <v/>
      </c>
      <c r="AE8" s="54">
        <f>RANK(AD8,AD$5:AD$22)</f>
        <v/>
      </c>
      <c r="AF8" s="65">
        <f>104-(Y8+AA8+AC8+AE8)</f>
        <v/>
      </c>
      <c r="AG8" s="47">
        <f>RANK(AF8,AF$5:AF$22)</f>
        <v/>
      </c>
      <c r="AH8" s="56" t="n"/>
      <c r="AI8" s="53">
        <f>VLOOKUP($A8,INDIRECT("'"&amp;$B$1&amp;"'!$A:$IZ"),183,FALSE)</f>
        <v/>
      </c>
      <c r="AJ8" s="54">
        <f>RANK(AI8,AI$5:AI$22,1)</f>
        <v/>
      </c>
      <c r="AK8" s="53">
        <f>VLOOKUP($A8,INDIRECT("'"&amp;$B$1&amp;"'!$A:$IZ"),181,FALSE)</f>
        <v/>
      </c>
      <c r="AL8" s="54">
        <f>RANK(AK8,AK$5:AK$22,1)</f>
        <v/>
      </c>
      <c r="AM8" s="53">
        <f>VLOOKUP($A8,INDIRECT("'"&amp;$B$1&amp;"'!$A:$IZ"),182,FALSE)</f>
        <v/>
      </c>
      <c r="AN8" s="54">
        <f>RANK(AM8,AM$5:AM$22,1)</f>
        <v/>
      </c>
      <c r="AO8" s="53">
        <f>VLOOKUP($A8,INDIRECT("'"&amp;$B$1&amp;"'!$A:$IZ"),163,FALSE)</f>
        <v/>
      </c>
      <c r="AP8" s="54">
        <f>RANK(AO8,AO$5:AO$22,1)</f>
        <v/>
      </c>
      <c r="AQ8" s="65">
        <f>104-(AJ8+AL8+AN8+AP8)</f>
        <v/>
      </c>
      <c r="AR8" s="47">
        <f>RANK(AQ8,AQ$5:AQ$22)</f>
        <v/>
      </c>
      <c r="AS8" s="56" t="n"/>
      <c r="AT8" s="46">
        <f>VLOOKUP($A8,INDIRECT("'"&amp;$B$1&amp;"'!$A:$IZ"),250,FALSE)</f>
        <v/>
      </c>
      <c r="AU8" s="47">
        <f>RANK(AT8,AT$5:AT$22,0)</f>
        <v/>
      </c>
      <c r="AV8" s="46">
        <f>VLOOKUP($A8,INDIRECT("'"&amp;$B$1&amp;"'!$A:$IZ"),92,FALSE)</f>
        <v/>
      </c>
      <c r="AW8" s="47">
        <f>RANK(AV8,AV$5:AV$22,0)</f>
        <v/>
      </c>
      <c r="AX8" s="46">
        <f>VLOOKUP($A8,INDIRECT("'"&amp;$B$1&amp;"'!$A:$IZ"),93,FALSE)</f>
        <v/>
      </c>
      <c r="AY8" s="47">
        <f>RANK(AX8,AX$5:AX$22,0)</f>
        <v/>
      </c>
      <c r="AZ8" s="46">
        <f>VLOOKUP($A8,INDIRECT("'"&amp;$B$1&amp;"'!$A:$IZ"),108,FALSE)</f>
        <v/>
      </c>
      <c r="BA8" s="47">
        <f>RANK(AZ8,AZ$5:AZ$22,0)</f>
        <v/>
      </c>
      <c r="BB8" s="46">
        <f>104-(AU8+AW8+AY8+BA8)</f>
        <v/>
      </c>
      <c r="BC8" s="47">
        <f>RANK(BB8,BB$5:BB$22)</f>
        <v/>
      </c>
      <c r="BD8" s="56" t="n"/>
      <c r="BE8" s="53">
        <f>VLOOKUP($A8,INDIRECT("'"&amp;$B$1&amp;"'!$A:$IZ"),80,FALSE)</f>
        <v/>
      </c>
      <c r="BF8" s="54">
        <f>RANK(BE8,BE$5:BE$22)</f>
        <v/>
      </c>
      <c r="BG8" s="53">
        <f>VLOOKUP($A8,INDIRECT("'"&amp;$B$1&amp;"'!$A:$IZ"),177,FALSE)</f>
        <v/>
      </c>
      <c r="BH8" s="54">
        <f>RANK(BG8,BG$5:BG$22,1)</f>
        <v/>
      </c>
      <c r="BI8" s="53">
        <f>VLOOKUP($A8,INDIRECT("'"&amp;$B$1&amp;"'!$A:$IZ"),79,FALSE)</f>
        <v/>
      </c>
      <c r="BJ8" s="54">
        <f>RANK(BI8,BI$5:BI$22)</f>
        <v/>
      </c>
      <c r="BK8" s="53">
        <f>VLOOKUP($A8,INDIRECT("'"&amp;$B$1&amp;"'!$A:$IZ"),176,FALSE)</f>
        <v/>
      </c>
      <c r="BL8" s="54">
        <f>RANK(BK8,BK$5:BK$22,1)</f>
        <v/>
      </c>
      <c r="BM8" s="53">
        <f>VLOOKUP($A8,INDIRECT("'"&amp;$B$1&amp;"'!$A:$IZ"),11,FALSE)</f>
        <v/>
      </c>
      <c r="BN8" s="54">
        <f>RANK(BM8,BM$5:BM$22)</f>
        <v/>
      </c>
      <c r="BO8" s="53">
        <f>VLOOKUP($A8,INDIRECT("'"&amp;$B$1&amp;"'!$A:$IZ"),222,FALSE)</f>
        <v/>
      </c>
      <c r="BP8" s="54">
        <f>RANK(BO8,BO$5:BO$22)</f>
        <v/>
      </c>
      <c r="BQ8" s="65">
        <f>106-(BF8+BH8+BN8+BP8+BJ8+BL8)</f>
        <v/>
      </c>
      <c r="BR8" s="47">
        <f>RANK(BQ8,BQ$5:BQ$22)</f>
        <v/>
      </c>
      <c r="BS8" s="56" t="n"/>
      <c r="BT8" s="57">
        <f>VLOOKUP($A8,'Ratings Season'!$A:$M,10,FALSE)</f>
        <v/>
      </c>
      <c r="BU8" s="54">
        <f>RANK(BT8,BT$5:BT$22)</f>
        <v/>
      </c>
      <c r="BV8" s="57">
        <f>VLOOKUP($A8,'Ratings Season'!$A:$M,12,FALSE)</f>
        <v/>
      </c>
      <c r="BW8" s="54">
        <f>RANK(BV8,BV$5:BV$22)</f>
        <v/>
      </c>
      <c r="BX8" s="57">
        <f>VLOOKUP($A8,'Ratings Season'!$A:$M,8,FALSE)</f>
        <v/>
      </c>
      <c r="BY8" s="58">
        <f>RANK(BX8,BX$5:BX$22)</f>
        <v/>
      </c>
      <c r="BZ8" s="72" t="n"/>
    </row>
    <row r="9" ht="25" customFormat="1" customHeight="1" s="3">
      <c r="A9" s="79" t="inlineStr">
        <is>
          <t>Essendon</t>
        </is>
      </c>
      <c r="B9" s="53">
        <f>VLOOKUP($A9,INDIRECT("'"&amp;$B$1&amp;"'!$A:$IZ"),222,FALSE)</f>
        <v/>
      </c>
      <c r="C9" s="54">
        <f>RANK(B9,B$5:B$22)</f>
        <v/>
      </c>
      <c r="D9" s="55">
        <f>VLOOKUP($A9,INDIRECT("'"&amp;$B$1&amp;"'!$A:$IZ"),218,FALSE)</f>
        <v/>
      </c>
      <c r="E9" s="54">
        <f>RANK(D9,D$5:D$22)</f>
        <v/>
      </c>
      <c r="F9" s="55">
        <f>VLOOKUP($A9,INDIRECT("'"&amp;$B$1&amp;"'!$A:$IZ"),49,FALSE)</f>
        <v/>
      </c>
      <c r="G9" s="54">
        <f>RANK(F9,F$5:F$22)</f>
        <v/>
      </c>
      <c r="H9" s="55">
        <f>VLOOKUP($A9,INDIRECT("'"&amp;$B$1&amp;"'!$A:$IZ"),229,FALSE)</f>
        <v/>
      </c>
      <c r="I9" s="54">
        <f>RANK(H9,H$5:H$22)</f>
        <v/>
      </c>
      <c r="J9" s="49">
        <f>104-(C9+E9+G9+I9)</f>
        <v/>
      </c>
      <c r="K9" s="47">
        <f>RANK(J9,J$5:J$22)</f>
        <v/>
      </c>
      <c r="L9" s="56" t="n"/>
      <c r="M9" s="53">
        <f>VLOOKUP($A9,INDIRECT("'"&amp;$B$1&amp;"'!$A:$IZ"),88,FALSE)</f>
        <v/>
      </c>
      <c r="N9" s="54">
        <f>RANK(M9,M$5:M$22)</f>
        <v/>
      </c>
      <c r="O9" s="53">
        <f>VLOOKUP($A9,INDIRECT("'"&amp;$B$1&amp;"'!$A:$IZ"),84,FALSE)</f>
        <v/>
      </c>
      <c r="P9" s="54">
        <f>RANK(O9,O$5:O$22)</f>
        <v/>
      </c>
      <c r="Q9" s="53">
        <f>VLOOKUP($A9,INDIRECT("'"&amp;$B$1&amp;"'!$A:$IZ"),85,FALSE)</f>
        <v/>
      </c>
      <c r="R9" s="54">
        <f>RANK(Q9,Q$5:Q$22)</f>
        <v/>
      </c>
      <c r="S9" s="55">
        <f>VLOOKUP($A9,INDIRECT("'"&amp;$B$1&amp;"'!$A:$IZ"),29,FALSE)</f>
        <v/>
      </c>
      <c r="T9" s="54">
        <f>RANK(S9,S$5:S$22)</f>
        <v/>
      </c>
      <c r="U9" s="49">
        <f>104-(N9+P9+R9+T9)</f>
        <v/>
      </c>
      <c r="V9" s="47">
        <f>RANK(U9,U$5:U$22)</f>
        <v/>
      </c>
      <c r="W9" s="56" t="n"/>
      <c r="X9" s="53">
        <f>VLOOKUP($A9,INDIRECT("'"&amp;$B$1&amp;"'!$A:$IZ"),65,FALSE)</f>
        <v/>
      </c>
      <c r="Y9" s="54">
        <f>RANK(X9,X$5:X$22)</f>
        <v/>
      </c>
      <c r="Z9" s="53">
        <f>VLOOKUP($A9,INDIRECT("'"&amp;$B$1&amp;"'!$A:$IZ"),64,FALSE)</f>
        <v/>
      </c>
      <c r="AA9" s="54">
        <f>RANK(Z9,Z$5:Z$22)</f>
        <v/>
      </c>
      <c r="AB9" s="53">
        <f>VLOOKUP($A9,INDIRECT("'"&amp;$B$1&amp;"'!$A:$IZ"),63,FALSE)</f>
        <v/>
      </c>
      <c r="AC9" s="54">
        <f>RANK(AB9,AB$5:AB$22)</f>
        <v/>
      </c>
      <c r="AD9" s="53">
        <f>VLOOKUP($A9,INDIRECT("'"&amp;$B$1&amp;"'!$A:$IZ"),71,FALSE)</f>
        <v/>
      </c>
      <c r="AE9" s="54">
        <f>RANK(AD9,AD$5:AD$22)</f>
        <v/>
      </c>
      <c r="AF9" s="65">
        <f>104-(Y9+AA9+AC9+AE9)</f>
        <v/>
      </c>
      <c r="AG9" s="47">
        <f>RANK(AF9,AF$5:AF$22)</f>
        <v/>
      </c>
      <c r="AH9" s="56" t="n"/>
      <c r="AI9" s="53">
        <f>VLOOKUP($A9,INDIRECT("'"&amp;$B$1&amp;"'!$A:$IZ"),183,FALSE)</f>
        <v/>
      </c>
      <c r="AJ9" s="54">
        <f>RANK(AI9,AI$5:AI$22,1)</f>
        <v/>
      </c>
      <c r="AK9" s="53">
        <f>VLOOKUP($A9,INDIRECT("'"&amp;$B$1&amp;"'!$A:$IZ"),181,FALSE)</f>
        <v/>
      </c>
      <c r="AL9" s="54">
        <f>RANK(AK9,AK$5:AK$22,1)</f>
        <v/>
      </c>
      <c r="AM9" s="53">
        <f>VLOOKUP($A9,INDIRECT("'"&amp;$B$1&amp;"'!$A:$IZ"),182,FALSE)</f>
        <v/>
      </c>
      <c r="AN9" s="54">
        <f>RANK(AM9,AM$5:AM$22,1)</f>
        <v/>
      </c>
      <c r="AO9" s="53">
        <f>VLOOKUP($A9,INDIRECT("'"&amp;$B$1&amp;"'!$A:$IZ"),163,FALSE)</f>
        <v/>
      </c>
      <c r="AP9" s="54">
        <f>RANK(AO9,AO$5:AO$22,1)</f>
        <v/>
      </c>
      <c r="AQ9" s="65">
        <f>104-(AJ9+AL9+AN9+AP9)</f>
        <v/>
      </c>
      <c r="AR9" s="47">
        <f>RANK(AQ9,AQ$5:AQ$22)</f>
        <v/>
      </c>
      <c r="AS9" s="56" t="n"/>
      <c r="AT9" s="46">
        <f>VLOOKUP($A9,INDIRECT("'"&amp;$B$1&amp;"'!$A:$IZ"),250,FALSE)</f>
        <v/>
      </c>
      <c r="AU9" s="47">
        <f>RANK(AT9,AT$5:AT$22,0)</f>
        <v/>
      </c>
      <c r="AV9" s="46">
        <f>VLOOKUP($A9,INDIRECT("'"&amp;$B$1&amp;"'!$A:$IZ"),92,FALSE)</f>
        <v/>
      </c>
      <c r="AW9" s="47">
        <f>RANK(AV9,AV$5:AV$22,0)</f>
        <v/>
      </c>
      <c r="AX9" s="46">
        <f>VLOOKUP($A9,INDIRECT("'"&amp;$B$1&amp;"'!$A:$IZ"),93,FALSE)</f>
        <v/>
      </c>
      <c r="AY9" s="47">
        <f>RANK(AX9,AX$5:AX$22,0)</f>
        <v/>
      </c>
      <c r="AZ9" s="46">
        <f>VLOOKUP($A9,INDIRECT("'"&amp;$B$1&amp;"'!$A:$IZ"),108,FALSE)</f>
        <v/>
      </c>
      <c r="BA9" s="47">
        <f>RANK(AZ9,AZ$5:AZ$22,0)</f>
        <v/>
      </c>
      <c r="BB9" s="46">
        <f>104-(AU9+AW9+AY9+BA9)</f>
        <v/>
      </c>
      <c r="BC9" s="47">
        <f>RANK(BB9,BB$5:BB$22)</f>
        <v/>
      </c>
      <c r="BD9" s="56" t="n"/>
      <c r="BE9" s="53">
        <f>VLOOKUP($A9,INDIRECT("'"&amp;$B$1&amp;"'!$A:$IZ"),80,FALSE)</f>
        <v/>
      </c>
      <c r="BF9" s="54">
        <f>RANK(BE9,BE$5:BE$22)</f>
        <v/>
      </c>
      <c r="BG9" s="53">
        <f>VLOOKUP($A9,INDIRECT("'"&amp;$B$1&amp;"'!$A:$IZ"),177,FALSE)</f>
        <v/>
      </c>
      <c r="BH9" s="54">
        <f>RANK(BG9,BG$5:BG$22,1)</f>
        <v/>
      </c>
      <c r="BI9" s="53">
        <f>VLOOKUP($A9,INDIRECT("'"&amp;$B$1&amp;"'!$A:$IZ"),79,FALSE)</f>
        <v/>
      </c>
      <c r="BJ9" s="54">
        <f>RANK(BI9,BI$5:BI$22)</f>
        <v/>
      </c>
      <c r="BK9" s="53">
        <f>VLOOKUP($A9,INDIRECT("'"&amp;$B$1&amp;"'!$A:$IZ"),176,FALSE)</f>
        <v/>
      </c>
      <c r="BL9" s="54">
        <f>RANK(BK9,BK$5:BK$22,1)</f>
        <v/>
      </c>
      <c r="BM9" s="53">
        <f>VLOOKUP($A9,INDIRECT("'"&amp;$B$1&amp;"'!$A:$IZ"),11,FALSE)</f>
        <v/>
      </c>
      <c r="BN9" s="54">
        <f>RANK(BM9,BM$5:BM$22)</f>
        <v/>
      </c>
      <c r="BO9" s="53">
        <f>VLOOKUP($A9,INDIRECT("'"&amp;$B$1&amp;"'!$A:$IZ"),222,FALSE)</f>
        <v/>
      </c>
      <c r="BP9" s="54">
        <f>RANK(BO9,BO$5:BO$22)</f>
        <v/>
      </c>
      <c r="BQ9" s="65">
        <f>106-(BF9+BH9+BN9+BP9+BJ9+BL9)</f>
        <v/>
      </c>
      <c r="BR9" s="47">
        <f>RANK(BQ9,BQ$5:BQ$22)</f>
        <v/>
      </c>
      <c r="BS9" s="56" t="n"/>
      <c r="BT9" s="57">
        <f>VLOOKUP($A9,'Ratings Season'!$A:$M,10,FALSE)</f>
        <v/>
      </c>
      <c r="BU9" s="54">
        <f>RANK(BT9,BT$5:BT$22)</f>
        <v/>
      </c>
      <c r="BV9" s="57">
        <f>VLOOKUP($A9,'Ratings Season'!$A:$M,12,FALSE)</f>
        <v/>
      </c>
      <c r="BW9" s="54">
        <f>RANK(BV9,BV$5:BV$22)</f>
        <v/>
      </c>
      <c r="BX9" s="57">
        <f>VLOOKUP($A9,'Ratings Season'!$A:$M,8,FALSE)</f>
        <v/>
      </c>
      <c r="BY9" s="58">
        <f>RANK(BX9,BX$5:BX$22)</f>
        <v/>
      </c>
      <c r="BZ9" s="72" t="n"/>
    </row>
    <row r="10" ht="25" customFormat="1" customHeight="1" s="3">
      <c r="A10" s="80" t="inlineStr">
        <is>
          <t>Fremantle</t>
        </is>
      </c>
      <c r="B10" s="53">
        <f>VLOOKUP($A10,INDIRECT("'"&amp;$B$1&amp;"'!$A:$IZ"),222,FALSE)</f>
        <v/>
      </c>
      <c r="C10" s="54">
        <f>RANK(B10,B$5:B$22)</f>
        <v/>
      </c>
      <c r="D10" s="55">
        <f>VLOOKUP($A10,INDIRECT("'"&amp;$B$1&amp;"'!$A:$IZ"),218,FALSE)</f>
        <v/>
      </c>
      <c r="E10" s="54">
        <f>RANK(D10,D$5:D$22)</f>
        <v/>
      </c>
      <c r="F10" s="55">
        <f>VLOOKUP($A10,INDIRECT("'"&amp;$B$1&amp;"'!$A:$IZ"),49,FALSE)</f>
        <v/>
      </c>
      <c r="G10" s="54">
        <f>RANK(F10,F$5:F$22)</f>
        <v/>
      </c>
      <c r="H10" s="55">
        <f>VLOOKUP($A10,INDIRECT("'"&amp;$B$1&amp;"'!$A:$IZ"),229,FALSE)</f>
        <v/>
      </c>
      <c r="I10" s="54">
        <f>RANK(H10,H$5:H$22)</f>
        <v/>
      </c>
      <c r="J10" s="49">
        <f>104-(C10+E10+G10+I10)</f>
        <v/>
      </c>
      <c r="K10" s="47">
        <f>RANK(J10,J$5:J$22)</f>
        <v/>
      </c>
      <c r="L10" s="56" t="n"/>
      <c r="M10" s="53">
        <f>VLOOKUP($A10,INDIRECT("'"&amp;$B$1&amp;"'!$A:$IZ"),88,FALSE)</f>
        <v/>
      </c>
      <c r="N10" s="54">
        <f>RANK(M10,M$5:M$22)</f>
        <v/>
      </c>
      <c r="O10" s="53">
        <f>VLOOKUP($A10,INDIRECT("'"&amp;$B$1&amp;"'!$A:$IZ"),84,FALSE)</f>
        <v/>
      </c>
      <c r="P10" s="54">
        <f>RANK(O10,O$5:O$22)</f>
        <v/>
      </c>
      <c r="Q10" s="53">
        <f>VLOOKUP($A10,INDIRECT("'"&amp;$B$1&amp;"'!$A:$IZ"),85,FALSE)</f>
        <v/>
      </c>
      <c r="R10" s="54">
        <f>RANK(Q10,Q$5:Q$22)</f>
        <v/>
      </c>
      <c r="S10" s="55">
        <f>VLOOKUP($A10,INDIRECT("'"&amp;$B$1&amp;"'!$A:$IZ"),29,FALSE)</f>
        <v/>
      </c>
      <c r="T10" s="54">
        <f>RANK(S10,S$5:S$22)</f>
        <v/>
      </c>
      <c r="U10" s="49">
        <f>104-(N10+P10+R10+T10)</f>
        <v/>
      </c>
      <c r="V10" s="47">
        <f>RANK(U10,U$5:U$22)</f>
        <v/>
      </c>
      <c r="W10" s="56" t="n"/>
      <c r="X10" s="53">
        <f>VLOOKUP($A10,INDIRECT("'"&amp;$B$1&amp;"'!$A:$IZ"),65,FALSE)</f>
        <v/>
      </c>
      <c r="Y10" s="54">
        <f>RANK(X10,X$5:X$22)</f>
        <v/>
      </c>
      <c r="Z10" s="53">
        <f>VLOOKUP($A10,INDIRECT("'"&amp;$B$1&amp;"'!$A:$IZ"),64,FALSE)</f>
        <v/>
      </c>
      <c r="AA10" s="54">
        <f>RANK(Z10,Z$5:Z$22)</f>
        <v/>
      </c>
      <c r="AB10" s="53">
        <f>VLOOKUP($A10,INDIRECT("'"&amp;$B$1&amp;"'!$A:$IZ"),63,FALSE)</f>
        <v/>
      </c>
      <c r="AC10" s="54">
        <f>RANK(AB10,AB$5:AB$22)</f>
        <v/>
      </c>
      <c r="AD10" s="53">
        <f>VLOOKUP($A10,INDIRECT("'"&amp;$B$1&amp;"'!$A:$IZ"),71,FALSE)</f>
        <v/>
      </c>
      <c r="AE10" s="54">
        <f>RANK(AD10,AD$5:AD$22)</f>
        <v/>
      </c>
      <c r="AF10" s="65">
        <f>104-(Y10+AA10+AC10+AE10)</f>
        <v/>
      </c>
      <c r="AG10" s="47">
        <f>RANK(AF10,AF$5:AF$22)</f>
        <v/>
      </c>
      <c r="AH10" s="56" t="n"/>
      <c r="AI10" s="53">
        <f>VLOOKUP($A10,INDIRECT("'"&amp;$B$1&amp;"'!$A:$IZ"),183,FALSE)</f>
        <v/>
      </c>
      <c r="AJ10" s="54">
        <f>RANK(AI10,AI$5:AI$22,1)</f>
        <v/>
      </c>
      <c r="AK10" s="53">
        <f>VLOOKUP($A10,INDIRECT("'"&amp;$B$1&amp;"'!$A:$IZ"),181,FALSE)</f>
        <v/>
      </c>
      <c r="AL10" s="54">
        <f>RANK(AK10,AK$5:AK$22,1)</f>
        <v/>
      </c>
      <c r="AM10" s="53">
        <f>VLOOKUP($A10,INDIRECT("'"&amp;$B$1&amp;"'!$A:$IZ"),182,FALSE)</f>
        <v/>
      </c>
      <c r="AN10" s="54">
        <f>RANK(AM10,AM$5:AM$22,1)</f>
        <v/>
      </c>
      <c r="AO10" s="53">
        <f>VLOOKUP($A10,INDIRECT("'"&amp;$B$1&amp;"'!$A:$IZ"),163,FALSE)</f>
        <v/>
      </c>
      <c r="AP10" s="54">
        <f>RANK(AO10,AO$5:AO$22,1)</f>
        <v/>
      </c>
      <c r="AQ10" s="65">
        <f>104-(AJ10+AL10+AN10+AP10)</f>
        <v/>
      </c>
      <c r="AR10" s="47">
        <f>RANK(AQ10,AQ$5:AQ$22)</f>
        <v/>
      </c>
      <c r="AS10" s="56" t="n"/>
      <c r="AT10" s="46">
        <f>VLOOKUP($A10,INDIRECT("'"&amp;$B$1&amp;"'!$A:$IZ"),250,FALSE)</f>
        <v/>
      </c>
      <c r="AU10" s="47">
        <f>RANK(AT10,AT$5:AT$22,0)</f>
        <v/>
      </c>
      <c r="AV10" s="46">
        <f>VLOOKUP($A10,INDIRECT("'"&amp;$B$1&amp;"'!$A:$IZ"),92,FALSE)</f>
        <v/>
      </c>
      <c r="AW10" s="47">
        <f>RANK(AV10,AV$5:AV$22,0)</f>
        <v/>
      </c>
      <c r="AX10" s="46">
        <f>VLOOKUP($A10,INDIRECT("'"&amp;$B$1&amp;"'!$A:$IZ"),93,FALSE)</f>
        <v/>
      </c>
      <c r="AY10" s="47">
        <f>RANK(AX10,AX$5:AX$22,0)</f>
        <v/>
      </c>
      <c r="AZ10" s="46">
        <f>VLOOKUP($A10,INDIRECT("'"&amp;$B$1&amp;"'!$A:$IZ"),108,FALSE)</f>
        <v/>
      </c>
      <c r="BA10" s="47">
        <f>RANK(AZ10,AZ$5:AZ$22,0)</f>
        <v/>
      </c>
      <c r="BB10" s="46">
        <f>104-(AU10+AW10+AY10+BA10)</f>
        <v/>
      </c>
      <c r="BC10" s="47">
        <f>RANK(BB10,BB$5:BB$22)</f>
        <v/>
      </c>
      <c r="BD10" s="56" t="n"/>
      <c r="BE10" s="53">
        <f>VLOOKUP($A10,INDIRECT("'"&amp;$B$1&amp;"'!$A:$IZ"),80,FALSE)</f>
        <v/>
      </c>
      <c r="BF10" s="54">
        <f>RANK(BE10,BE$5:BE$22)</f>
        <v/>
      </c>
      <c r="BG10" s="53">
        <f>VLOOKUP($A10,INDIRECT("'"&amp;$B$1&amp;"'!$A:$IZ"),177,FALSE)</f>
        <v/>
      </c>
      <c r="BH10" s="54">
        <f>RANK(BG10,BG$5:BG$22,1)</f>
        <v/>
      </c>
      <c r="BI10" s="53">
        <f>VLOOKUP($A10,INDIRECT("'"&amp;$B$1&amp;"'!$A:$IZ"),79,FALSE)</f>
        <v/>
      </c>
      <c r="BJ10" s="54">
        <f>RANK(BI10,BI$5:BI$22)</f>
        <v/>
      </c>
      <c r="BK10" s="53">
        <f>VLOOKUP($A10,INDIRECT("'"&amp;$B$1&amp;"'!$A:$IZ"),176,FALSE)</f>
        <v/>
      </c>
      <c r="BL10" s="54">
        <f>RANK(BK10,BK$5:BK$22,1)</f>
        <v/>
      </c>
      <c r="BM10" s="53">
        <f>VLOOKUP($A10,INDIRECT("'"&amp;$B$1&amp;"'!$A:$IZ"),11,FALSE)</f>
        <v/>
      </c>
      <c r="BN10" s="54">
        <f>RANK(BM10,BM$5:BM$22)</f>
        <v/>
      </c>
      <c r="BO10" s="53">
        <f>VLOOKUP($A10,INDIRECT("'"&amp;$B$1&amp;"'!$A:$IZ"),222,FALSE)</f>
        <v/>
      </c>
      <c r="BP10" s="54">
        <f>RANK(BO10,BO$5:BO$22)</f>
        <v/>
      </c>
      <c r="BQ10" s="65">
        <f>106-(BF10+BH10+BN10+BP10+BJ10+BL10)</f>
        <v/>
      </c>
      <c r="BR10" s="47">
        <f>RANK(BQ10,BQ$5:BQ$22)</f>
        <v/>
      </c>
      <c r="BS10" s="56" t="n"/>
      <c r="BT10" s="57">
        <f>VLOOKUP($A10,'Ratings Season'!$A:$M,10,FALSE)</f>
        <v/>
      </c>
      <c r="BU10" s="54">
        <f>RANK(BT10,BT$5:BT$22)</f>
        <v/>
      </c>
      <c r="BV10" s="57">
        <f>VLOOKUP($A10,'Ratings Season'!$A:$M,12,FALSE)</f>
        <v/>
      </c>
      <c r="BW10" s="54">
        <f>RANK(BV10,BV$5:BV$22)</f>
        <v/>
      </c>
      <c r="BX10" s="57">
        <f>VLOOKUP($A10,'Ratings Season'!$A:$M,8,FALSE)</f>
        <v/>
      </c>
      <c r="BY10" s="58">
        <f>RANK(BX10,BX$5:BX$22)</f>
        <v/>
      </c>
      <c r="BZ10" s="72" t="n"/>
    </row>
    <row r="11" ht="25" customFormat="1" customHeight="1" s="3">
      <c r="A11" s="81" t="inlineStr">
        <is>
          <t>Geelong</t>
        </is>
      </c>
      <c r="B11" s="53">
        <f>VLOOKUP($A11,INDIRECT("'"&amp;$B$1&amp;"'!$A:$IZ"),222,FALSE)</f>
        <v/>
      </c>
      <c r="C11" s="54">
        <f>RANK(B11,B$5:B$22)</f>
        <v/>
      </c>
      <c r="D11" s="55">
        <f>VLOOKUP($A11,INDIRECT("'"&amp;$B$1&amp;"'!$A:$IZ"),218,FALSE)</f>
        <v/>
      </c>
      <c r="E11" s="54">
        <f>RANK(D11,D$5:D$22)</f>
        <v/>
      </c>
      <c r="F11" s="55">
        <f>VLOOKUP($A11,INDIRECT("'"&amp;$B$1&amp;"'!$A:$IZ"),49,FALSE)</f>
        <v/>
      </c>
      <c r="G11" s="54">
        <f>RANK(F11,F$5:F$22)</f>
        <v/>
      </c>
      <c r="H11" s="55">
        <f>VLOOKUP($A11,INDIRECT("'"&amp;$B$1&amp;"'!$A:$IZ"),229,FALSE)</f>
        <v/>
      </c>
      <c r="I11" s="54">
        <f>RANK(H11,H$5:H$22)</f>
        <v/>
      </c>
      <c r="J11" s="49">
        <f>104-(C11+E11+G11+I11)</f>
        <v/>
      </c>
      <c r="K11" s="47">
        <f>RANK(J11,J$5:J$22)</f>
        <v/>
      </c>
      <c r="L11" s="56" t="n"/>
      <c r="M11" s="53">
        <f>VLOOKUP($A11,INDIRECT("'"&amp;$B$1&amp;"'!$A:$IZ"),88,FALSE)</f>
        <v/>
      </c>
      <c r="N11" s="54">
        <f>RANK(M11,M$5:M$22)</f>
        <v/>
      </c>
      <c r="O11" s="53">
        <f>VLOOKUP($A11,INDIRECT("'"&amp;$B$1&amp;"'!$A:$IZ"),84,FALSE)</f>
        <v/>
      </c>
      <c r="P11" s="54">
        <f>RANK(O11,O$5:O$22)</f>
        <v/>
      </c>
      <c r="Q11" s="53">
        <f>VLOOKUP($A11,INDIRECT("'"&amp;$B$1&amp;"'!$A:$IZ"),85,FALSE)</f>
        <v/>
      </c>
      <c r="R11" s="54">
        <f>RANK(Q11,Q$5:Q$22)</f>
        <v/>
      </c>
      <c r="S11" s="55">
        <f>VLOOKUP($A11,INDIRECT("'"&amp;$B$1&amp;"'!$A:$IZ"),29,FALSE)</f>
        <v/>
      </c>
      <c r="T11" s="54">
        <f>RANK(S11,S$5:S$22)</f>
        <v/>
      </c>
      <c r="U11" s="49">
        <f>104-(N11+P11+R11+T11)</f>
        <v/>
      </c>
      <c r="V11" s="47">
        <f>RANK(U11,U$5:U$22)</f>
        <v/>
      </c>
      <c r="W11" s="56" t="n"/>
      <c r="X11" s="53">
        <f>VLOOKUP($A11,INDIRECT("'"&amp;$B$1&amp;"'!$A:$IZ"),65,FALSE)</f>
        <v/>
      </c>
      <c r="Y11" s="54">
        <f>RANK(X11,X$5:X$22)</f>
        <v/>
      </c>
      <c r="Z11" s="53">
        <f>VLOOKUP($A11,INDIRECT("'"&amp;$B$1&amp;"'!$A:$IZ"),64,FALSE)</f>
        <v/>
      </c>
      <c r="AA11" s="54">
        <f>RANK(Z11,Z$5:Z$22)</f>
        <v/>
      </c>
      <c r="AB11" s="53">
        <f>VLOOKUP($A11,INDIRECT("'"&amp;$B$1&amp;"'!$A:$IZ"),63,FALSE)</f>
        <v/>
      </c>
      <c r="AC11" s="54">
        <f>RANK(AB11,AB$5:AB$22)</f>
        <v/>
      </c>
      <c r="AD11" s="53">
        <f>VLOOKUP($A11,INDIRECT("'"&amp;$B$1&amp;"'!$A:$IZ"),71,FALSE)</f>
        <v/>
      </c>
      <c r="AE11" s="54">
        <f>RANK(AD11,AD$5:AD$22)</f>
        <v/>
      </c>
      <c r="AF11" s="65">
        <f>104-(Y11+AA11+AC11+AE11)</f>
        <v/>
      </c>
      <c r="AG11" s="47">
        <f>RANK(AF11,AF$5:AF$22)</f>
        <v/>
      </c>
      <c r="AH11" s="56" t="n"/>
      <c r="AI11" s="53">
        <f>VLOOKUP($A11,INDIRECT("'"&amp;$B$1&amp;"'!$A:$IZ"),183,FALSE)</f>
        <v/>
      </c>
      <c r="AJ11" s="54">
        <f>RANK(AI11,AI$5:AI$22,1)</f>
        <v/>
      </c>
      <c r="AK11" s="53">
        <f>VLOOKUP($A11,INDIRECT("'"&amp;$B$1&amp;"'!$A:$IZ"),181,FALSE)</f>
        <v/>
      </c>
      <c r="AL11" s="54">
        <f>RANK(AK11,AK$5:AK$22,1)</f>
        <v/>
      </c>
      <c r="AM11" s="53">
        <f>VLOOKUP($A11,INDIRECT("'"&amp;$B$1&amp;"'!$A:$IZ"),182,FALSE)</f>
        <v/>
      </c>
      <c r="AN11" s="54">
        <f>RANK(AM11,AM$5:AM$22,1)</f>
        <v/>
      </c>
      <c r="AO11" s="53">
        <f>VLOOKUP($A11,INDIRECT("'"&amp;$B$1&amp;"'!$A:$IZ"),163,FALSE)</f>
        <v/>
      </c>
      <c r="AP11" s="54">
        <f>RANK(AO11,AO$5:AO$22,1)</f>
        <v/>
      </c>
      <c r="AQ11" s="65">
        <f>104-(AJ11+AL11+AN11+AP11)</f>
        <v/>
      </c>
      <c r="AR11" s="47">
        <f>RANK(AQ11,AQ$5:AQ$22)</f>
        <v/>
      </c>
      <c r="AS11" s="56" t="n"/>
      <c r="AT11" s="46">
        <f>VLOOKUP($A11,INDIRECT("'"&amp;$B$1&amp;"'!$A:$IZ"),250,FALSE)</f>
        <v/>
      </c>
      <c r="AU11" s="47">
        <f>RANK(AT11,AT$5:AT$22,0)</f>
        <v/>
      </c>
      <c r="AV11" s="46">
        <f>VLOOKUP($A11,INDIRECT("'"&amp;$B$1&amp;"'!$A:$IZ"),92,FALSE)</f>
        <v/>
      </c>
      <c r="AW11" s="47">
        <f>RANK(AV11,AV$5:AV$22,0)</f>
        <v/>
      </c>
      <c r="AX11" s="46">
        <f>VLOOKUP($A11,INDIRECT("'"&amp;$B$1&amp;"'!$A:$IZ"),93,FALSE)</f>
        <v/>
      </c>
      <c r="AY11" s="47">
        <f>RANK(AX11,AX$5:AX$22,0)</f>
        <v/>
      </c>
      <c r="AZ11" s="46">
        <f>VLOOKUP($A11,INDIRECT("'"&amp;$B$1&amp;"'!$A:$IZ"),108,FALSE)</f>
        <v/>
      </c>
      <c r="BA11" s="47">
        <f>RANK(AZ11,AZ$5:AZ$22,0)</f>
        <v/>
      </c>
      <c r="BB11" s="46">
        <f>104-(AU11+AW11+AY11+BA11)</f>
        <v/>
      </c>
      <c r="BC11" s="47">
        <f>RANK(BB11,BB$5:BB$22)</f>
        <v/>
      </c>
      <c r="BD11" s="56" t="n"/>
      <c r="BE11" s="53">
        <f>VLOOKUP($A11,INDIRECT("'"&amp;$B$1&amp;"'!$A:$IZ"),80,FALSE)</f>
        <v/>
      </c>
      <c r="BF11" s="54">
        <f>RANK(BE11,BE$5:BE$22)</f>
        <v/>
      </c>
      <c r="BG11" s="53">
        <f>VLOOKUP($A11,INDIRECT("'"&amp;$B$1&amp;"'!$A:$IZ"),177,FALSE)</f>
        <v/>
      </c>
      <c r="BH11" s="54">
        <f>RANK(BG11,BG$5:BG$22,1)</f>
        <v/>
      </c>
      <c r="BI11" s="53">
        <f>VLOOKUP($A11,INDIRECT("'"&amp;$B$1&amp;"'!$A:$IZ"),79,FALSE)</f>
        <v/>
      </c>
      <c r="BJ11" s="54">
        <f>RANK(BI11,BI$5:BI$22)</f>
        <v/>
      </c>
      <c r="BK11" s="53">
        <f>VLOOKUP($A11,INDIRECT("'"&amp;$B$1&amp;"'!$A:$IZ"),176,FALSE)</f>
        <v/>
      </c>
      <c r="BL11" s="54">
        <f>RANK(BK11,BK$5:BK$22,1)</f>
        <v/>
      </c>
      <c r="BM11" s="53">
        <f>VLOOKUP($A11,INDIRECT("'"&amp;$B$1&amp;"'!$A:$IZ"),11,FALSE)</f>
        <v/>
      </c>
      <c r="BN11" s="54">
        <f>RANK(BM11,BM$5:BM$22)</f>
        <v/>
      </c>
      <c r="BO11" s="53">
        <f>VLOOKUP($A11,INDIRECT("'"&amp;$B$1&amp;"'!$A:$IZ"),222,FALSE)</f>
        <v/>
      </c>
      <c r="BP11" s="54">
        <f>RANK(BO11,BO$5:BO$22)</f>
        <v/>
      </c>
      <c r="BQ11" s="65">
        <f>106-(BF11+BH11+BN11+BP11+BJ11+BL11)</f>
        <v/>
      </c>
      <c r="BR11" s="47">
        <f>RANK(BQ11,BQ$5:BQ$22)</f>
        <v/>
      </c>
      <c r="BS11" s="56" t="n"/>
      <c r="BT11" s="57">
        <f>VLOOKUP($A11,'Ratings Season'!$A:$M,10,FALSE)</f>
        <v/>
      </c>
      <c r="BU11" s="54">
        <f>RANK(BT11,BT$5:BT$22)</f>
        <v/>
      </c>
      <c r="BV11" s="57">
        <f>VLOOKUP($A11,'Ratings Season'!$A:$M,12,FALSE)</f>
        <v/>
      </c>
      <c r="BW11" s="54">
        <f>RANK(BV11,BV$5:BV$22)</f>
        <v/>
      </c>
      <c r="BX11" s="57">
        <f>VLOOKUP($A11,'Ratings Season'!$A:$M,8,FALSE)</f>
        <v/>
      </c>
      <c r="BY11" s="58">
        <f>RANK(BX11,BX$5:BX$22)</f>
        <v/>
      </c>
      <c r="BZ11" s="72" t="n"/>
    </row>
    <row r="12" ht="25" customFormat="1" customHeight="1" s="3">
      <c r="A12" s="82" t="inlineStr">
        <is>
          <t>Gold Coast</t>
        </is>
      </c>
      <c r="B12" s="53">
        <f>VLOOKUP($A12,INDIRECT("'"&amp;$B$1&amp;"'!$A:$IZ"),222,FALSE)</f>
        <v/>
      </c>
      <c r="C12" s="54">
        <f>RANK(B12,B$5:B$22)</f>
        <v/>
      </c>
      <c r="D12" s="55">
        <f>VLOOKUP($A12,INDIRECT("'"&amp;$B$1&amp;"'!$A:$IZ"),218,FALSE)</f>
        <v/>
      </c>
      <c r="E12" s="54">
        <f>RANK(D12,D$5:D$22)</f>
        <v/>
      </c>
      <c r="F12" s="55">
        <f>VLOOKUP($A12,INDIRECT("'"&amp;$B$1&amp;"'!$A:$IZ"),49,FALSE)</f>
        <v/>
      </c>
      <c r="G12" s="54">
        <f>RANK(F12,F$5:F$22)</f>
        <v/>
      </c>
      <c r="H12" s="55">
        <f>VLOOKUP($A12,INDIRECT("'"&amp;$B$1&amp;"'!$A:$IZ"),229,FALSE)</f>
        <v/>
      </c>
      <c r="I12" s="54">
        <f>RANK(H12,H$5:H$22)</f>
        <v/>
      </c>
      <c r="J12" s="49">
        <f>104-(C12+E12+G12+I12)</f>
        <v/>
      </c>
      <c r="K12" s="47">
        <f>RANK(J12,J$5:J$22)</f>
        <v/>
      </c>
      <c r="L12" s="56" t="n"/>
      <c r="M12" s="53">
        <f>VLOOKUP($A12,INDIRECT("'"&amp;$B$1&amp;"'!$A:$IZ"),88,FALSE)</f>
        <v/>
      </c>
      <c r="N12" s="54">
        <f>RANK(M12,M$5:M$22)</f>
        <v/>
      </c>
      <c r="O12" s="53">
        <f>VLOOKUP($A12,INDIRECT("'"&amp;$B$1&amp;"'!$A:$IZ"),84,FALSE)</f>
        <v/>
      </c>
      <c r="P12" s="54">
        <f>RANK(O12,O$5:O$22)</f>
        <v/>
      </c>
      <c r="Q12" s="53">
        <f>VLOOKUP($A12,INDIRECT("'"&amp;$B$1&amp;"'!$A:$IZ"),85,FALSE)</f>
        <v/>
      </c>
      <c r="R12" s="54">
        <f>RANK(Q12,Q$5:Q$22)</f>
        <v/>
      </c>
      <c r="S12" s="55">
        <f>VLOOKUP($A12,INDIRECT("'"&amp;$B$1&amp;"'!$A:$IZ"),29,FALSE)</f>
        <v/>
      </c>
      <c r="T12" s="54">
        <f>RANK(S12,S$5:S$22)</f>
        <v/>
      </c>
      <c r="U12" s="49">
        <f>104-(N12+P12+R12+T12)</f>
        <v/>
      </c>
      <c r="V12" s="47">
        <f>RANK(U12,U$5:U$22)</f>
        <v/>
      </c>
      <c r="W12" s="56" t="n"/>
      <c r="X12" s="53">
        <f>VLOOKUP($A12,INDIRECT("'"&amp;$B$1&amp;"'!$A:$IZ"),65,FALSE)</f>
        <v/>
      </c>
      <c r="Y12" s="54">
        <f>RANK(X12,X$5:X$22)</f>
        <v/>
      </c>
      <c r="Z12" s="53">
        <f>VLOOKUP($A12,INDIRECT("'"&amp;$B$1&amp;"'!$A:$IZ"),64,FALSE)</f>
        <v/>
      </c>
      <c r="AA12" s="54">
        <f>RANK(Z12,Z$5:Z$22)</f>
        <v/>
      </c>
      <c r="AB12" s="53">
        <f>VLOOKUP($A12,INDIRECT("'"&amp;$B$1&amp;"'!$A:$IZ"),63,FALSE)</f>
        <v/>
      </c>
      <c r="AC12" s="54">
        <f>RANK(AB12,AB$5:AB$22)</f>
        <v/>
      </c>
      <c r="AD12" s="53">
        <f>VLOOKUP($A12,INDIRECT("'"&amp;$B$1&amp;"'!$A:$IZ"),71,FALSE)</f>
        <v/>
      </c>
      <c r="AE12" s="54">
        <f>RANK(AD12,AD$5:AD$22)</f>
        <v/>
      </c>
      <c r="AF12" s="65">
        <f>104-(Y12+AA12+AC12+AE12)</f>
        <v/>
      </c>
      <c r="AG12" s="47">
        <f>RANK(AF12,AF$5:AF$22)</f>
        <v/>
      </c>
      <c r="AH12" s="56" t="n"/>
      <c r="AI12" s="53">
        <f>VLOOKUP($A12,INDIRECT("'"&amp;$B$1&amp;"'!$A:$IZ"),183,FALSE)</f>
        <v/>
      </c>
      <c r="AJ12" s="54">
        <f>RANK(AI12,AI$5:AI$22,1)</f>
        <v/>
      </c>
      <c r="AK12" s="53">
        <f>VLOOKUP($A12,INDIRECT("'"&amp;$B$1&amp;"'!$A:$IZ"),181,FALSE)</f>
        <v/>
      </c>
      <c r="AL12" s="54">
        <f>RANK(AK12,AK$5:AK$22,1)</f>
        <v/>
      </c>
      <c r="AM12" s="53">
        <f>VLOOKUP($A12,INDIRECT("'"&amp;$B$1&amp;"'!$A:$IZ"),182,FALSE)</f>
        <v/>
      </c>
      <c r="AN12" s="54">
        <f>RANK(AM12,AM$5:AM$22,1)</f>
        <v/>
      </c>
      <c r="AO12" s="53">
        <f>VLOOKUP($A12,INDIRECT("'"&amp;$B$1&amp;"'!$A:$IZ"),163,FALSE)</f>
        <v/>
      </c>
      <c r="AP12" s="54">
        <f>RANK(AO12,AO$5:AO$22,1)</f>
        <v/>
      </c>
      <c r="AQ12" s="65">
        <f>104-(AJ12+AL12+AN12+AP12)</f>
        <v/>
      </c>
      <c r="AR12" s="47">
        <f>RANK(AQ12,AQ$5:AQ$22)</f>
        <v/>
      </c>
      <c r="AS12" s="56" t="n"/>
      <c r="AT12" s="46">
        <f>VLOOKUP($A12,INDIRECT("'"&amp;$B$1&amp;"'!$A:$IZ"),250,FALSE)</f>
        <v/>
      </c>
      <c r="AU12" s="47">
        <f>RANK(AT12,AT$5:AT$22,0)</f>
        <v/>
      </c>
      <c r="AV12" s="46">
        <f>VLOOKUP($A12,INDIRECT("'"&amp;$B$1&amp;"'!$A:$IZ"),92,FALSE)</f>
        <v/>
      </c>
      <c r="AW12" s="47">
        <f>RANK(AV12,AV$5:AV$22,0)</f>
        <v/>
      </c>
      <c r="AX12" s="46">
        <f>VLOOKUP($A12,INDIRECT("'"&amp;$B$1&amp;"'!$A:$IZ"),93,FALSE)</f>
        <v/>
      </c>
      <c r="AY12" s="47">
        <f>RANK(AX12,AX$5:AX$22,0)</f>
        <v/>
      </c>
      <c r="AZ12" s="46">
        <f>VLOOKUP($A12,INDIRECT("'"&amp;$B$1&amp;"'!$A:$IZ"),108,FALSE)</f>
        <v/>
      </c>
      <c r="BA12" s="47">
        <f>RANK(AZ12,AZ$5:AZ$22,0)</f>
        <v/>
      </c>
      <c r="BB12" s="46">
        <f>104-(AU12+AW12+AY12+BA12)</f>
        <v/>
      </c>
      <c r="BC12" s="47">
        <f>RANK(BB12,BB$5:BB$22)</f>
        <v/>
      </c>
      <c r="BD12" s="56" t="n"/>
      <c r="BE12" s="53">
        <f>VLOOKUP($A12,INDIRECT("'"&amp;$B$1&amp;"'!$A:$IZ"),80,FALSE)</f>
        <v/>
      </c>
      <c r="BF12" s="54">
        <f>RANK(BE12,BE$5:BE$22)</f>
        <v/>
      </c>
      <c r="BG12" s="53">
        <f>VLOOKUP($A12,INDIRECT("'"&amp;$B$1&amp;"'!$A:$IZ"),177,FALSE)</f>
        <v/>
      </c>
      <c r="BH12" s="54">
        <f>RANK(BG12,BG$5:BG$22,1)</f>
        <v/>
      </c>
      <c r="BI12" s="53">
        <f>VLOOKUP($A12,INDIRECT("'"&amp;$B$1&amp;"'!$A:$IZ"),79,FALSE)</f>
        <v/>
      </c>
      <c r="BJ12" s="54">
        <f>RANK(BI12,BI$5:BI$22)</f>
        <v/>
      </c>
      <c r="BK12" s="53">
        <f>VLOOKUP($A12,INDIRECT("'"&amp;$B$1&amp;"'!$A:$IZ"),176,FALSE)</f>
        <v/>
      </c>
      <c r="BL12" s="54">
        <f>RANK(BK12,BK$5:BK$22,1)</f>
        <v/>
      </c>
      <c r="BM12" s="53">
        <f>VLOOKUP($A12,INDIRECT("'"&amp;$B$1&amp;"'!$A:$IZ"),11,FALSE)</f>
        <v/>
      </c>
      <c r="BN12" s="54">
        <f>RANK(BM12,BM$5:BM$22)</f>
        <v/>
      </c>
      <c r="BO12" s="53">
        <f>VLOOKUP($A12,INDIRECT("'"&amp;$B$1&amp;"'!$A:$IZ"),222,FALSE)</f>
        <v/>
      </c>
      <c r="BP12" s="54">
        <f>RANK(BO12,BO$5:BO$22)</f>
        <v/>
      </c>
      <c r="BQ12" s="65">
        <f>106-(BF12+BH12+BN12+BP12+BJ12+BL12)</f>
        <v/>
      </c>
      <c r="BR12" s="47">
        <f>RANK(BQ12,BQ$5:BQ$22)</f>
        <v/>
      </c>
      <c r="BS12" s="56" t="n"/>
      <c r="BT12" s="57">
        <f>VLOOKUP($A12,'Ratings Season'!$A:$M,10,FALSE)</f>
        <v/>
      </c>
      <c r="BU12" s="54">
        <f>RANK(BT12,BT$5:BT$22)</f>
        <v/>
      </c>
      <c r="BV12" s="57">
        <f>VLOOKUP($A12,'Ratings Season'!$A:$M,12,FALSE)</f>
        <v/>
      </c>
      <c r="BW12" s="54">
        <f>RANK(BV12,BV$5:BV$22)</f>
        <v/>
      </c>
      <c r="BX12" s="57">
        <f>VLOOKUP($A12,'Ratings Season'!$A:$M,8,FALSE)</f>
        <v/>
      </c>
      <c r="BY12" s="58">
        <f>RANK(BX12,BX$5:BX$22)</f>
        <v/>
      </c>
      <c r="BZ12" s="72" t="n"/>
    </row>
    <row r="13" ht="25" customFormat="1" customHeight="1" s="3">
      <c r="A13" s="83" t="inlineStr">
        <is>
          <t>Greater Western Sydney</t>
        </is>
      </c>
      <c r="B13" s="53">
        <f>VLOOKUP($A13,INDIRECT("'"&amp;$B$1&amp;"'!$A:$IZ"),222,FALSE)</f>
        <v/>
      </c>
      <c r="C13" s="54">
        <f>RANK(B13,B$5:B$22)</f>
        <v/>
      </c>
      <c r="D13" s="55">
        <f>VLOOKUP($A13,INDIRECT("'"&amp;$B$1&amp;"'!$A:$IZ"),218,FALSE)</f>
        <v/>
      </c>
      <c r="E13" s="54">
        <f>RANK(D13,D$5:D$22)</f>
        <v/>
      </c>
      <c r="F13" s="55">
        <f>VLOOKUP($A13,INDIRECT("'"&amp;$B$1&amp;"'!$A:$IZ"),49,FALSE)</f>
        <v/>
      </c>
      <c r="G13" s="54">
        <f>RANK(F13,F$5:F$22)</f>
        <v/>
      </c>
      <c r="H13" s="55">
        <f>VLOOKUP($A13,INDIRECT("'"&amp;$B$1&amp;"'!$A:$IZ"),229,FALSE)</f>
        <v/>
      </c>
      <c r="I13" s="54">
        <f>RANK(H13,H$5:H$22)</f>
        <v/>
      </c>
      <c r="J13" s="49">
        <f>104-(C13+E13+G13+I13)</f>
        <v/>
      </c>
      <c r="K13" s="47">
        <f>RANK(J13,J$5:J$22)</f>
        <v/>
      </c>
      <c r="L13" s="56" t="n"/>
      <c r="M13" s="53">
        <f>VLOOKUP($A13,INDIRECT("'"&amp;$B$1&amp;"'!$A:$IZ"),88,FALSE)</f>
        <v/>
      </c>
      <c r="N13" s="54">
        <f>RANK(M13,M$5:M$22)</f>
        <v/>
      </c>
      <c r="O13" s="53">
        <f>VLOOKUP($A13,INDIRECT("'"&amp;$B$1&amp;"'!$A:$IZ"),84,FALSE)</f>
        <v/>
      </c>
      <c r="P13" s="54">
        <f>RANK(O13,O$5:O$22)</f>
        <v/>
      </c>
      <c r="Q13" s="53">
        <f>VLOOKUP($A13,INDIRECT("'"&amp;$B$1&amp;"'!$A:$IZ"),85,FALSE)</f>
        <v/>
      </c>
      <c r="R13" s="54">
        <f>RANK(Q13,Q$5:Q$22)</f>
        <v/>
      </c>
      <c r="S13" s="55">
        <f>VLOOKUP($A13,INDIRECT("'"&amp;$B$1&amp;"'!$A:$IZ"),29,FALSE)</f>
        <v/>
      </c>
      <c r="T13" s="54">
        <f>RANK(S13,S$5:S$22)</f>
        <v/>
      </c>
      <c r="U13" s="49">
        <f>104-(N13+P13+R13+T13)</f>
        <v/>
      </c>
      <c r="V13" s="47">
        <f>RANK(U13,U$5:U$22)</f>
        <v/>
      </c>
      <c r="W13" s="56" t="n"/>
      <c r="X13" s="53">
        <f>VLOOKUP($A13,INDIRECT("'"&amp;$B$1&amp;"'!$A:$IZ"),65,FALSE)</f>
        <v/>
      </c>
      <c r="Y13" s="54">
        <f>RANK(X13,X$5:X$22)</f>
        <v/>
      </c>
      <c r="Z13" s="53">
        <f>VLOOKUP($A13,INDIRECT("'"&amp;$B$1&amp;"'!$A:$IZ"),64,FALSE)</f>
        <v/>
      </c>
      <c r="AA13" s="54">
        <f>RANK(Z13,Z$5:Z$22)</f>
        <v/>
      </c>
      <c r="AB13" s="53">
        <f>VLOOKUP($A13,INDIRECT("'"&amp;$B$1&amp;"'!$A:$IZ"),63,FALSE)</f>
        <v/>
      </c>
      <c r="AC13" s="54">
        <f>RANK(AB13,AB$5:AB$22)</f>
        <v/>
      </c>
      <c r="AD13" s="53">
        <f>VLOOKUP($A13,INDIRECT("'"&amp;$B$1&amp;"'!$A:$IZ"),71,FALSE)</f>
        <v/>
      </c>
      <c r="AE13" s="54">
        <f>RANK(AD13,AD$5:AD$22)</f>
        <v/>
      </c>
      <c r="AF13" s="65">
        <f>104-(Y13+AA13+AC13+AE13)</f>
        <v/>
      </c>
      <c r="AG13" s="47">
        <f>RANK(AF13,AF$5:AF$22)</f>
        <v/>
      </c>
      <c r="AH13" s="56" t="n"/>
      <c r="AI13" s="53">
        <f>VLOOKUP($A13,INDIRECT("'"&amp;$B$1&amp;"'!$A:$IZ"),183,FALSE)</f>
        <v/>
      </c>
      <c r="AJ13" s="54">
        <f>RANK(AI13,AI$5:AI$22,1)</f>
        <v/>
      </c>
      <c r="AK13" s="53">
        <f>VLOOKUP($A13,INDIRECT("'"&amp;$B$1&amp;"'!$A:$IZ"),181,FALSE)</f>
        <v/>
      </c>
      <c r="AL13" s="54">
        <f>RANK(AK13,AK$5:AK$22,1)</f>
        <v/>
      </c>
      <c r="AM13" s="53">
        <f>VLOOKUP($A13,INDIRECT("'"&amp;$B$1&amp;"'!$A:$IZ"),182,FALSE)</f>
        <v/>
      </c>
      <c r="AN13" s="54">
        <f>RANK(AM13,AM$5:AM$22,1)</f>
        <v/>
      </c>
      <c r="AO13" s="53">
        <f>VLOOKUP($A13,INDIRECT("'"&amp;$B$1&amp;"'!$A:$IZ"),163,FALSE)</f>
        <v/>
      </c>
      <c r="AP13" s="54">
        <f>RANK(AO13,AO$5:AO$22,1)</f>
        <v/>
      </c>
      <c r="AQ13" s="65">
        <f>104-(AJ13+AL13+AN13+AP13)</f>
        <v/>
      </c>
      <c r="AR13" s="47">
        <f>RANK(AQ13,AQ$5:AQ$22)</f>
        <v/>
      </c>
      <c r="AS13" s="56" t="n"/>
      <c r="AT13" s="46">
        <f>VLOOKUP($A13,INDIRECT("'"&amp;$B$1&amp;"'!$A:$IZ"),250,FALSE)</f>
        <v/>
      </c>
      <c r="AU13" s="47">
        <f>RANK(AT13,AT$5:AT$22,0)</f>
        <v/>
      </c>
      <c r="AV13" s="46">
        <f>VLOOKUP($A13,INDIRECT("'"&amp;$B$1&amp;"'!$A:$IZ"),92,FALSE)</f>
        <v/>
      </c>
      <c r="AW13" s="47">
        <f>RANK(AV13,AV$5:AV$22,0)</f>
        <v/>
      </c>
      <c r="AX13" s="46">
        <f>VLOOKUP($A13,INDIRECT("'"&amp;$B$1&amp;"'!$A:$IZ"),93,FALSE)</f>
        <v/>
      </c>
      <c r="AY13" s="47">
        <f>RANK(AX13,AX$5:AX$22,0)</f>
        <v/>
      </c>
      <c r="AZ13" s="46">
        <f>VLOOKUP($A13,INDIRECT("'"&amp;$B$1&amp;"'!$A:$IZ"),108,FALSE)</f>
        <v/>
      </c>
      <c r="BA13" s="47">
        <f>RANK(AZ13,AZ$5:AZ$22,0)</f>
        <v/>
      </c>
      <c r="BB13" s="46">
        <f>104-(AU13+AW13+AY13+BA13)</f>
        <v/>
      </c>
      <c r="BC13" s="47">
        <f>RANK(BB13,BB$5:BB$22)</f>
        <v/>
      </c>
      <c r="BD13" s="56" t="n"/>
      <c r="BE13" s="53">
        <f>VLOOKUP($A13,INDIRECT("'"&amp;$B$1&amp;"'!$A:$IZ"),80,FALSE)</f>
        <v/>
      </c>
      <c r="BF13" s="54">
        <f>RANK(BE13,BE$5:BE$22)</f>
        <v/>
      </c>
      <c r="BG13" s="53">
        <f>VLOOKUP($A13,INDIRECT("'"&amp;$B$1&amp;"'!$A:$IZ"),177,FALSE)</f>
        <v/>
      </c>
      <c r="BH13" s="54">
        <f>RANK(BG13,BG$5:BG$22,1)</f>
        <v/>
      </c>
      <c r="BI13" s="53">
        <f>VLOOKUP($A13,INDIRECT("'"&amp;$B$1&amp;"'!$A:$IZ"),79,FALSE)</f>
        <v/>
      </c>
      <c r="BJ13" s="54">
        <f>RANK(BI13,BI$5:BI$22)</f>
        <v/>
      </c>
      <c r="BK13" s="53">
        <f>VLOOKUP($A13,INDIRECT("'"&amp;$B$1&amp;"'!$A:$IZ"),176,FALSE)</f>
        <v/>
      </c>
      <c r="BL13" s="54">
        <f>RANK(BK13,BK$5:BK$22,1)</f>
        <v/>
      </c>
      <c r="BM13" s="53">
        <f>VLOOKUP($A13,INDIRECT("'"&amp;$B$1&amp;"'!$A:$IZ"),11,FALSE)</f>
        <v/>
      </c>
      <c r="BN13" s="54">
        <f>RANK(BM13,BM$5:BM$22)</f>
        <v/>
      </c>
      <c r="BO13" s="53">
        <f>VLOOKUP($A13,INDIRECT("'"&amp;$B$1&amp;"'!$A:$IZ"),222,FALSE)</f>
        <v/>
      </c>
      <c r="BP13" s="54">
        <f>RANK(BO13,BO$5:BO$22)</f>
        <v/>
      </c>
      <c r="BQ13" s="65">
        <f>106-(BF13+BH13+BN13+BP13+BJ13+BL13)</f>
        <v/>
      </c>
      <c r="BR13" s="47">
        <f>RANK(BQ13,BQ$5:BQ$22)</f>
        <v/>
      </c>
      <c r="BS13" s="56" t="n"/>
      <c r="BT13" s="57">
        <f>VLOOKUP($A13,'Ratings Season'!$A:$M,10,FALSE)</f>
        <v/>
      </c>
      <c r="BU13" s="54">
        <f>RANK(BT13,BT$5:BT$22)</f>
        <v/>
      </c>
      <c r="BV13" s="57">
        <f>VLOOKUP($A13,'Ratings Season'!$A:$M,12,FALSE)</f>
        <v/>
      </c>
      <c r="BW13" s="54">
        <f>RANK(BV13,BV$5:BV$22)</f>
        <v/>
      </c>
      <c r="BX13" s="57">
        <f>VLOOKUP($A13,'Ratings Season'!$A:$M,8,FALSE)</f>
        <v/>
      </c>
      <c r="BY13" s="58">
        <f>RANK(BX13,BX$5:BX$22)</f>
        <v/>
      </c>
      <c r="BZ13" s="72" t="n"/>
    </row>
    <row r="14" ht="25" customFormat="1" customHeight="1" s="3">
      <c r="A14" s="84" t="inlineStr">
        <is>
          <t>Hawthorn</t>
        </is>
      </c>
      <c r="B14" s="53">
        <f>VLOOKUP($A14,INDIRECT("'"&amp;$B$1&amp;"'!$A:$IZ"),222,FALSE)</f>
        <v/>
      </c>
      <c r="C14" s="54">
        <f>RANK(B14,B$5:B$22)</f>
        <v/>
      </c>
      <c r="D14" s="55">
        <f>VLOOKUP($A14,INDIRECT("'"&amp;$B$1&amp;"'!$A:$IZ"),218,FALSE)</f>
        <v/>
      </c>
      <c r="E14" s="54">
        <f>RANK(D14,D$5:D$22)</f>
        <v/>
      </c>
      <c r="F14" s="55">
        <f>VLOOKUP($A14,INDIRECT("'"&amp;$B$1&amp;"'!$A:$IZ"),49,FALSE)</f>
        <v/>
      </c>
      <c r="G14" s="54">
        <f>RANK(F14,F$5:F$22)</f>
        <v/>
      </c>
      <c r="H14" s="55">
        <f>VLOOKUP($A14,INDIRECT("'"&amp;$B$1&amp;"'!$A:$IZ"),229,FALSE)</f>
        <v/>
      </c>
      <c r="I14" s="54">
        <f>RANK(H14,H$5:H$22)</f>
        <v/>
      </c>
      <c r="J14" s="49">
        <f>104-(C14+E14+G14+I14)</f>
        <v/>
      </c>
      <c r="K14" s="47">
        <f>RANK(J14,J$5:J$22)</f>
        <v/>
      </c>
      <c r="L14" s="56" t="n"/>
      <c r="M14" s="53">
        <f>VLOOKUP($A14,INDIRECT("'"&amp;$B$1&amp;"'!$A:$IZ"),88,FALSE)</f>
        <v/>
      </c>
      <c r="N14" s="54">
        <f>RANK(M14,M$5:M$22)</f>
        <v/>
      </c>
      <c r="O14" s="53">
        <f>VLOOKUP($A14,INDIRECT("'"&amp;$B$1&amp;"'!$A:$IZ"),84,FALSE)</f>
        <v/>
      </c>
      <c r="P14" s="54">
        <f>RANK(O14,O$5:O$22)</f>
        <v/>
      </c>
      <c r="Q14" s="53">
        <f>VLOOKUP($A14,INDIRECT("'"&amp;$B$1&amp;"'!$A:$IZ"),85,FALSE)</f>
        <v/>
      </c>
      <c r="R14" s="54">
        <f>RANK(Q14,Q$5:Q$22)</f>
        <v/>
      </c>
      <c r="S14" s="55">
        <f>VLOOKUP($A14,INDIRECT("'"&amp;$B$1&amp;"'!$A:$IZ"),29,FALSE)</f>
        <v/>
      </c>
      <c r="T14" s="54">
        <f>RANK(S14,S$5:S$22)</f>
        <v/>
      </c>
      <c r="U14" s="49">
        <f>104-(N14+P14+R14+T14)</f>
        <v/>
      </c>
      <c r="V14" s="47">
        <f>RANK(U14,U$5:U$22)</f>
        <v/>
      </c>
      <c r="W14" s="56" t="n"/>
      <c r="X14" s="53">
        <f>VLOOKUP($A14,INDIRECT("'"&amp;$B$1&amp;"'!$A:$IZ"),65,FALSE)</f>
        <v/>
      </c>
      <c r="Y14" s="54">
        <f>RANK(X14,X$5:X$22)</f>
        <v/>
      </c>
      <c r="Z14" s="53">
        <f>VLOOKUP($A14,INDIRECT("'"&amp;$B$1&amp;"'!$A:$IZ"),64,FALSE)</f>
        <v/>
      </c>
      <c r="AA14" s="54">
        <f>RANK(Z14,Z$5:Z$22)</f>
        <v/>
      </c>
      <c r="AB14" s="53">
        <f>VLOOKUP($A14,INDIRECT("'"&amp;$B$1&amp;"'!$A:$IZ"),63,FALSE)</f>
        <v/>
      </c>
      <c r="AC14" s="54">
        <f>RANK(AB14,AB$5:AB$22)</f>
        <v/>
      </c>
      <c r="AD14" s="53">
        <f>VLOOKUP($A14,INDIRECT("'"&amp;$B$1&amp;"'!$A:$IZ"),71,FALSE)</f>
        <v/>
      </c>
      <c r="AE14" s="54">
        <f>RANK(AD14,AD$5:AD$22)</f>
        <v/>
      </c>
      <c r="AF14" s="65">
        <f>104-(Y14+AA14+AC14+AE14)</f>
        <v/>
      </c>
      <c r="AG14" s="47">
        <f>RANK(AF14,AF$5:AF$22)</f>
        <v/>
      </c>
      <c r="AH14" s="56" t="n"/>
      <c r="AI14" s="53">
        <f>VLOOKUP($A14,INDIRECT("'"&amp;$B$1&amp;"'!$A:$IZ"),183,FALSE)</f>
        <v/>
      </c>
      <c r="AJ14" s="54">
        <f>RANK(AI14,AI$5:AI$22,1)</f>
        <v/>
      </c>
      <c r="AK14" s="53">
        <f>VLOOKUP($A14,INDIRECT("'"&amp;$B$1&amp;"'!$A:$IZ"),181,FALSE)</f>
        <v/>
      </c>
      <c r="AL14" s="54">
        <f>RANK(AK14,AK$5:AK$22,1)</f>
        <v/>
      </c>
      <c r="AM14" s="53">
        <f>VLOOKUP($A14,INDIRECT("'"&amp;$B$1&amp;"'!$A:$IZ"),182,FALSE)</f>
        <v/>
      </c>
      <c r="AN14" s="54">
        <f>RANK(AM14,AM$5:AM$22,1)</f>
        <v/>
      </c>
      <c r="AO14" s="53">
        <f>VLOOKUP($A14,INDIRECT("'"&amp;$B$1&amp;"'!$A:$IZ"),163,FALSE)</f>
        <v/>
      </c>
      <c r="AP14" s="54">
        <f>RANK(AO14,AO$5:AO$22,1)</f>
        <v/>
      </c>
      <c r="AQ14" s="65">
        <f>104-(AJ14+AL14+AN14+AP14)</f>
        <v/>
      </c>
      <c r="AR14" s="47">
        <f>RANK(AQ14,AQ$5:AQ$22)</f>
        <v/>
      </c>
      <c r="AS14" s="56" t="n"/>
      <c r="AT14" s="46">
        <f>VLOOKUP($A14,INDIRECT("'"&amp;$B$1&amp;"'!$A:$IZ"),250,FALSE)</f>
        <v/>
      </c>
      <c r="AU14" s="47">
        <f>RANK(AT14,AT$5:AT$22,0)</f>
        <v/>
      </c>
      <c r="AV14" s="46">
        <f>VLOOKUP($A14,INDIRECT("'"&amp;$B$1&amp;"'!$A:$IZ"),92,FALSE)</f>
        <v/>
      </c>
      <c r="AW14" s="47">
        <f>RANK(AV14,AV$5:AV$22,0)</f>
        <v/>
      </c>
      <c r="AX14" s="46">
        <f>VLOOKUP($A14,INDIRECT("'"&amp;$B$1&amp;"'!$A:$IZ"),93,FALSE)</f>
        <v/>
      </c>
      <c r="AY14" s="47">
        <f>RANK(AX14,AX$5:AX$22,0)</f>
        <v/>
      </c>
      <c r="AZ14" s="46">
        <f>VLOOKUP($A14,INDIRECT("'"&amp;$B$1&amp;"'!$A:$IZ"),108,FALSE)</f>
        <v/>
      </c>
      <c r="BA14" s="47">
        <f>RANK(AZ14,AZ$5:AZ$22,0)</f>
        <v/>
      </c>
      <c r="BB14" s="46">
        <f>104-(AU14+AW14+AY14+BA14)</f>
        <v/>
      </c>
      <c r="BC14" s="47">
        <f>RANK(BB14,BB$5:BB$22)</f>
        <v/>
      </c>
      <c r="BD14" s="56" t="n"/>
      <c r="BE14" s="53">
        <f>VLOOKUP($A14,INDIRECT("'"&amp;$B$1&amp;"'!$A:$IZ"),80,FALSE)</f>
        <v/>
      </c>
      <c r="BF14" s="54">
        <f>RANK(BE14,BE$5:BE$22)</f>
        <v/>
      </c>
      <c r="BG14" s="53">
        <f>VLOOKUP($A14,INDIRECT("'"&amp;$B$1&amp;"'!$A:$IZ"),177,FALSE)</f>
        <v/>
      </c>
      <c r="BH14" s="54">
        <f>RANK(BG14,BG$5:BG$22,1)</f>
        <v/>
      </c>
      <c r="BI14" s="53">
        <f>VLOOKUP($A14,INDIRECT("'"&amp;$B$1&amp;"'!$A:$IZ"),79,FALSE)</f>
        <v/>
      </c>
      <c r="BJ14" s="54">
        <f>RANK(BI14,BI$5:BI$22)</f>
        <v/>
      </c>
      <c r="BK14" s="53">
        <f>VLOOKUP($A14,INDIRECT("'"&amp;$B$1&amp;"'!$A:$IZ"),176,FALSE)</f>
        <v/>
      </c>
      <c r="BL14" s="54">
        <f>RANK(BK14,BK$5:BK$22,1)</f>
        <v/>
      </c>
      <c r="BM14" s="53">
        <f>VLOOKUP($A14,INDIRECT("'"&amp;$B$1&amp;"'!$A:$IZ"),11,FALSE)</f>
        <v/>
      </c>
      <c r="BN14" s="54">
        <f>RANK(BM14,BM$5:BM$22)</f>
        <v/>
      </c>
      <c r="BO14" s="53">
        <f>VLOOKUP($A14,INDIRECT("'"&amp;$B$1&amp;"'!$A:$IZ"),222,FALSE)</f>
        <v/>
      </c>
      <c r="BP14" s="54">
        <f>RANK(BO14,BO$5:BO$22)</f>
        <v/>
      </c>
      <c r="BQ14" s="65">
        <f>106-(BF14+BH14+BN14+BP14+BJ14+BL14)</f>
        <v/>
      </c>
      <c r="BR14" s="47">
        <f>RANK(BQ14,BQ$5:BQ$22)</f>
        <v/>
      </c>
      <c r="BS14" s="56" t="n"/>
      <c r="BT14" s="57">
        <f>VLOOKUP($A14,'Ratings Season'!$A:$M,10,FALSE)</f>
        <v/>
      </c>
      <c r="BU14" s="54">
        <f>RANK(BT14,BT$5:BT$22)</f>
        <v/>
      </c>
      <c r="BV14" s="57">
        <f>VLOOKUP($A14,'Ratings Season'!$A:$M,12,FALSE)</f>
        <v/>
      </c>
      <c r="BW14" s="54">
        <f>RANK(BV14,BV$5:BV$22)</f>
        <v/>
      </c>
      <c r="BX14" s="57">
        <f>VLOOKUP($A14,'Ratings Season'!$A:$M,8,FALSE)</f>
        <v/>
      </c>
      <c r="BY14" s="58">
        <f>RANK(BX14,BX$5:BX$22)</f>
        <v/>
      </c>
      <c r="BZ14" s="72" t="n"/>
    </row>
    <row r="15" ht="25" customFormat="1" customHeight="1" s="3">
      <c r="A15" s="85" t="inlineStr">
        <is>
          <t>Melbourne</t>
        </is>
      </c>
      <c r="B15" s="53">
        <f>VLOOKUP($A15,INDIRECT("'"&amp;$B$1&amp;"'!$A:$IZ"),222,FALSE)</f>
        <v/>
      </c>
      <c r="C15" s="54">
        <f>RANK(B15,B$5:B$22)</f>
        <v/>
      </c>
      <c r="D15" s="55">
        <f>VLOOKUP($A15,INDIRECT("'"&amp;$B$1&amp;"'!$A:$IZ"),218,FALSE)</f>
        <v/>
      </c>
      <c r="E15" s="54">
        <f>RANK(D15,D$5:D$22)</f>
        <v/>
      </c>
      <c r="F15" s="55">
        <f>VLOOKUP($A15,INDIRECT("'"&amp;$B$1&amp;"'!$A:$IZ"),49,FALSE)</f>
        <v/>
      </c>
      <c r="G15" s="54">
        <f>RANK(F15,F$5:F$22)</f>
        <v/>
      </c>
      <c r="H15" s="55">
        <f>VLOOKUP($A15,INDIRECT("'"&amp;$B$1&amp;"'!$A:$IZ"),229,FALSE)</f>
        <v/>
      </c>
      <c r="I15" s="54">
        <f>RANK(H15,H$5:H$22)</f>
        <v/>
      </c>
      <c r="J15" s="49">
        <f>104-(C15+E15+G15+I15)</f>
        <v/>
      </c>
      <c r="K15" s="47">
        <f>RANK(J15,J$5:J$22)</f>
        <v/>
      </c>
      <c r="L15" s="56" t="n"/>
      <c r="M15" s="53">
        <f>VLOOKUP($A15,INDIRECT("'"&amp;$B$1&amp;"'!$A:$IZ"),88,FALSE)</f>
        <v/>
      </c>
      <c r="N15" s="54">
        <f>RANK(M15,M$5:M$22)</f>
        <v/>
      </c>
      <c r="O15" s="53">
        <f>VLOOKUP($A15,INDIRECT("'"&amp;$B$1&amp;"'!$A:$IZ"),84,FALSE)</f>
        <v/>
      </c>
      <c r="P15" s="54">
        <f>RANK(O15,O$5:O$22)</f>
        <v/>
      </c>
      <c r="Q15" s="53">
        <f>VLOOKUP($A15,INDIRECT("'"&amp;$B$1&amp;"'!$A:$IZ"),85,FALSE)</f>
        <v/>
      </c>
      <c r="R15" s="54">
        <f>RANK(Q15,Q$5:Q$22)</f>
        <v/>
      </c>
      <c r="S15" s="55">
        <f>VLOOKUP($A15,INDIRECT("'"&amp;$B$1&amp;"'!$A:$IZ"),29,FALSE)</f>
        <v/>
      </c>
      <c r="T15" s="54">
        <f>RANK(S15,S$5:S$22)</f>
        <v/>
      </c>
      <c r="U15" s="49">
        <f>104-(N15+P15+R15+T15)</f>
        <v/>
      </c>
      <c r="V15" s="47">
        <f>RANK(U15,U$5:U$22)</f>
        <v/>
      </c>
      <c r="W15" s="56" t="n"/>
      <c r="X15" s="53">
        <f>VLOOKUP($A15,INDIRECT("'"&amp;$B$1&amp;"'!$A:$IZ"),65,FALSE)</f>
        <v/>
      </c>
      <c r="Y15" s="54">
        <f>RANK(X15,X$5:X$22)</f>
        <v/>
      </c>
      <c r="Z15" s="53">
        <f>VLOOKUP($A15,INDIRECT("'"&amp;$B$1&amp;"'!$A:$IZ"),64,FALSE)</f>
        <v/>
      </c>
      <c r="AA15" s="54">
        <f>RANK(Z15,Z$5:Z$22)</f>
        <v/>
      </c>
      <c r="AB15" s="53">
        <f>VLOOKUP($A15,INDIRECT("'"&amp;$B$1&amp;"'!$A:$IZ"),63,FALSE)</f>
        <v/>
      </c>
      <c r="AC15" s="54">
        <f>RANK(AB15,AB$5:AB$22)</f>
        <v/>
      </c>
      <c r="AD15" s="53">
        <f>VLOOKUP($A15,INDIRECT("'"&amp;$B$1&amp;"'!$A:$IZ"),71,FALSE)</f>
        <v/>
      </c>
      <c r="AE15" s="54">
        <f>RANK(AD15,AD$5:AD$22)</f>
        <v/>
      </c>
      <c r="AF15" s="65">
        <f>104-(Y15+AA15+AC15+AE15)</f>
        <v/>
      </c>
      <c r="AG15" s="47">
        <f>RANK(AF15,AF$5:AF$22)</f>
        <v/>
      </c>
      <c r="AH15" s="56" t="n"/>
      <c r="AI15" s="53">
        <f>VLOOKUP($A15,INDIRECT("'"&amp;$B$1&amp;"'!$A:$IZ"),183,FALSE)</f>
        <v/>
      </c>
      <c r="AJ15" s="54">
        <f>RANK(AI15,AI$5:AI$22,1)</f>
        <v/>
      </c>
      <c r="AK15" s="53">
        <f>VLOOKUP($A15,INDIRECT("'"&amp;$B$1&amp;"'!$A:$IZ"),181,FALSE)</f>
        <v/>
      </c>
      <c r="AL15" s="54">
        <f>RANK(AK15,AK$5:AK$22,1)</f>
        <v/>
      </c>
      <c r="AM15" s="53">
        <f>VLOOKUP($A15,INDIRECT("'"&amp;$B$1&amp;"'!$A:$IZ"),182,FALSE)</f>
        <v/>
      </c>
      <c r="AN15" s="54">
        <f>RANK(AM15,AM$5:AM$22,1)</f>
        <v/>
      </c>
      <c r="AO15" s="53">
        <f>VLOOKUP($A15,INDIRECT("'"&amp;$B$1&amp;"'!$A:$IZ"),163,FALSE)</f>
        <v/>
      </c>
      <c r="AP15" s="54">
        <f>RANK(AO15,AO$5:AO$22,1)</f>
        <v/>
      </c>
      <c r="AQ15" s="65">
        <f>104-(AJ15+AL15+AN15+AP15)</f>
        <v/>
      </c>
      <c r="AR15" s="47">
        <f>RANK(AQ15,AQ$5:AQ$22)</f>
        <v/>
      </c>
      <c r="AS15" s="56" t="n"/>
      <c r="AT15" s="46">
        <f>VLOOKUP($A15,INDIRECT("'"&amp;$B$1&amp;"'!$A:$IZ"),250,FALSE)</f>
        <v/>
      </c>
      <c r="AU15" s="47">
        <f>RANK(AT15,AT$5:AT$22,0)</f>
        <v/>
      </c>
      <c r="AV15" s="46">
        <f>VLOOKUP($A15,INDIRECT("'"&amp;$B$1&amp;"'!$A:$IZ"),92,FALSE)</f>
        <v/>
      </c>
      <c r="AW15" s="47">
        <f>RANK(AV15,AV$5:AV$22,0)</f>
        <v/>
      </c>
      <c r="AX15" s="46">
        <f>VLOOKUP($A15,INDIRECT("'"&amp;$B$1&amp;"'!$A:$IZ"),93,FALSE)</f>
        <v/>
      </c>
      <c r="AY15" s="47">
        <f>RANK(AX15,AX$5:AX$22,0)</f>
        <v/>
      </c>
      <c r="AZ15" s="46">
        <f>VLOOKUP($A15,INDIRECT("'"&amp;$B$1&amp;"'!$A:$IZ"),108,FALSE)</f>
        <v/>
      </c>
      <c r="BA15" s="47">
        <f>RANK(AZ15,AZ$5:AZ$22,0)</f>
        <v/>
      </c>
      <c r="BB15" s="46">
        <f>104-(AU15+AW15+AY15+BA15)</f>
        <v/>
      </c>
      <c r="BC15" s="47">
        <f>RANK(BB15,BB$5:BB$22)</f>
        <v/>
      </c>
      <c r="BD15" s="56" t="n"/>
      <c r="BE15" s="53">
        <f>VLOOKUP($A15,INDIRECT("'"&amp;$B$1&amp;"'!$A:$IZ"),80,FALSE)</f>
        <v/>
      </c>
      <c r="BF15" s="54">
        <f>RANK(BE15,BE$5:BE$22)</f>
        <v/>
      </c>
      <c r="BG15" s="53">
        <f>VLOOKUP($A15,INDIRECT("'"&amp;$B$1&amp;"'!$A:$IZ"),177,FALSE)</f>
        <v/>
      </c>
      <c r="BH15" s="54">
        <f>RANK(BG15,BG$5:BG$22,1)</f>
        <v/>
      </c>
      <c r="BI15" s="53">
        <f>VLOOKUP($A15,INDIRECT("'"&amp;$B$1&amp;"'!$A:$IZ"),79,FALSE)</f>
        <v/>
      </c>
      <c r="BJ15" s="54">
        <f>RANK(BI15,BI$5:BI$22)</f>
        <v/>
      </c>
      <c r="BK15" s="53">
        <f>VLOOKUP($A15,INDIRECT("'"&amp;$B$1&amp;"'!$A:$IZ"),176,FALSE)</f>
        <v/>
      </c>
      <c r="BL15" s="54">
        <f>RANK(BK15,BK$5:BK$22,1)</f>
        <v/>
      </c>
      <c r="BM15" s="53">
        <f>VLOOKUP($A15,INDIRECT("'"&amp;$B$1&amp;"'!$A:$IZ"),11,FALSE)</f>
        <v/>
      </c>
      <c r="BN15" s="54">
        <f>RANK(BM15,BM$5:BM$22)</f>
        <v/>
      </c>
      <c r="BO15" s="53">
        <f>VLOOKUP($A15,INDIRECT("'"&amp;$B$1&amp;"'!$A:$IZ"),222,FALSE)</f>
        <v/>
      </c>
      <c r="BP15" s="54">
        <f>RANK(BO15,BO$5:BO$22)</f>
        <v/>
      </c>
      <c r="BQ15" s="65">
        <f>106-(BF15+BH15+BN15+BP15+BJ15+BL15)</f>
        <v/>
      </c>
      <c r="BR15" s="47">
        <f>RANK(BQ15,BQ$5:BQ$22)</f>
        <v/>
      </c>
      <c r="BS15" s="56" t="n"/>
      <c r="BT15" s="57">
        <f>VLOOKUP($A15,'Ratings Season'!$A:$M,10,FALSE)</f>
        <v/>
      </c>
      <c r="BU15" s="54">
        <f>RANK(BT15,BT$5:BT$22)</f>
        <v/>
      </c>
      <c r="BV15" s="57">
        <f>VLOOKUP($A15,'Ratings Season'!$A:$M,12,FALSE)</f>
        <v/>
      </c>
      <c r="BW15" s="54">
        <f>RANK(BV15,BV$5:BV$22)</f>
        <v/>
      </c>
      <c r="BX15" s="57">
        <f>VLOOKUP($A15,'Ratings Season'!$A:$M,8,FALSE)</f>
        <v/>
      </c>
      <c r="BY15" s="58">
        <f>RANK(BX15,BX$5:BX$22)</f>
        <v/>
      </c>
      <c r="BZ15" s="72" t="n"/>
    </row>
    <row r="16" ht="25" customFormat="1" customHeight="1" s="3">
      <c r="A16" s="86" t="inlineStr">
        <is>
          <t>North Melbourne</t>
        </is>
      </c>
      <c r="B16" s="53">
        <f>VLOOKUP($A16,INDIRECT("'"&amp;$B$1&amp;"'!$A:$IZ"),222,FALSE)</f>
        <v/>
      </c>
      <c r="C16" s="54">
        <f>RANK(B16,B$5:B$22)</f>
        <v/>
      </c>
      <c r="D16" s="55">
        <f>VLOOKUP($A16,INDIRECT("'"&amp;$B$1&amp;"'!$A:$IZ"),218,FALSE)</f>
        <v/>
      </c>
      <c r="E16" s="54">
        <f>RANK(D16,D$5:D$22)</f>
        <v/>
      </c>
      <c r="F16" s="55">
        <f>VLOOKUP($A16,INDIRECT("'"&amp;$B$1&amp;"'!$A:$IZ"),49,FALSE)</f>
        <v/>
      </c>
      <c r="G16" s="54">
        <f>RANK(F16,F$5:F$22)</f>
        <v/>
      </c>
      <c r="H16" s="55">
        <f>VLOOKUP($A16,INDIRECT("'"&amp;$B$1&amp;"'!$A:$IZ"),229,FALSE)</f>
        <v/>
      </c>
      <c r="I16" s="54">
        <f>RANK(H16,H$5:H$22)</f>
        <v/>
      </c>
      <c r="J16" s="49">
        <f>104-(C16+E16+G16+I16)</f>
        <v/>
      </c>
      <c r="K16" s="47">
        <f>RANK(J16,J$5:J$22)</f>
        <v/>
      </c>
      <c r="L16" s="56" t="n"/>
      <c r="M16" s="53">
        <f>VLOOKUP($A16,INDIRECT("'"&amp;$B$1&amp;"'!$A:$IZ"),88,FALSE)</f>
        <v/>
      </c>
      <c r="N16" s="54">
        <f>RANK(M16,M$5:M$22)</f>
        <v/>
      </c>
      <c r="O16" s="53">
        <f>VLOOKUP($A16,INDIRECT("'"&amp;$B$1&amp;"'!$A:$IZ"),84,FALSE)</f>
        <v/>
      </c>
      <c r="P16" s="54">
        <f>RANK(O16,O$5:O$22)</f>
        <v/>
      </c>
      <c r="Q16" s="53">
        <f>VLOOKUP($A16,INDIRECT("'"&amp;$B$1&amp;"'!$A:$IZ"),85,FALSE)</f>
        <v/>
      </c>
      <c r="R16" s="54">
        <f>RANK(Q16,Q$5:Q$22)</f>
        <v/>
      </c>
      <c r="S16" s="55">
        <f>VLOOKUP($A16,INDIRECT("'"&amp;$B$1&amp;"'!$A:$IZ"),29,FALSE)</f>
        <v/>
      </c>
      <c r="T16" s="54">
        <f>RANK(S16,S$5:S$22)</f>
        <v/>
      </c>
      <c r="U16" s="49">
        <f>104-(N16+P16+R16+T16)</f>
        <v/>
      </c>
      <c r="V16" s="47">
        <f>RANK(U16,U$5:U$22)</f>
        <v/>
      </c>
      <c r="W16" s="56" t="n"/>
      <c r="X16" s="53">
        <f>VLOOKUP($A16,INDIRECT("'"&amp;$B$1&amp;"'!$A:$IZ"),65,FALSE)</f>
        <v/>
      </c>
      <c r="Y16" s="54">
        <f>RANK(X16,X$5:X$22)</f>
        <v/>
      </c>
      <c r="Z16" s="53">
        <f>VLOOKUP($A16,INDIRECT("'"&amp;$B$1&amp;"'!$A:$IZ"),64,FALSE)</f>
        <v/>
      </c>
      <c r="AA16" s="54">
        <f>RANK(Z16,Z$5:Z$22)</f>
        <v/>
      </c>
      <c r="AB16" s="53">
        <f>VLOOKUP($A16,INDIRECT("'"&amp;$B$1&amp;"'!$A:$IZ"),63,FALSE)</f>
        <v/>
      </c>
      <c r="AC16" s="54">
        <f>RANK(AB16,AB$5:AB$22)</f>
        <v/>
      </c>
      <c r="AD16" s="53">
        <f>VLOOKUP($A16,INDIRECT("'"&amp;$B$1&amp;"'!$A:$IZ"),71,FALSE)</f>
        <v/>
      </c>
      <c r="AE16" s="54">
        <f>RANK(AD16,AD$5:AD$22)</f>
        <v/>
      </c>
      <c r="AF16" s="65">
        <f>104-(Y16+AA16+AC16+AE16)</f>
        <v/>
      </c>
      <c r="AG16" s="47">
        <f>RANK(AF16,AF$5:AF$22)</f>
        <v/>
      </c>
      <c r="AH16" s="56" t="n"/>
      <c r="AI16" s="53">
        <f>VLOOKUP($A16,INDIRECT("'"&amp;$B$1&amp;"'!$A:$IZ"),183,FALSE)</f>
        <v/>
      </c>
      <c r="AJ16" s="54">
        <f>RANK(AI16,AI$5:AI$22,1)</f>
        <v/>
      </c>
      <c r="AK16" s="53">
        <f>VLOOKUP($A16,INDIRECT("'"&amp;$B$1&amp;"'!$A:$IZ"),181,FALSE)</f>
        <v/>
      </c>
      <c r="AL16" s="54">
        <f>RANK(AK16,AK$5:AK$22,1)</f>
        <v/>
      </c>
      <c r="AM16" s="53">
        <f>VLOOKUP($A16,INDIRECT("'"&amp;$B$1&amp;"'!$A:$IZ"),182,FALSE)</f>
        <v/>
      </c>
      <c r="AN16" s="54">
        <f>RANK(AM16,AM$5:AM$22,1)</f>
        <v/>
      </c>
      <c r="AO16" s="53">
        <f>VLOOKUP($A16,INDIRECT("'"&amp;$B$1&amp;"'!$A:$IZ"),163,FALSE)</f>
        <v/>
      </c>
      <c r="AP16" s="54">
        <f>RANK(AO16,AO$5:AO$22,1)</f>
        <v/>
      </c>
      <c r="AQ16" s="65">
        <f>104-(AJ16+AL16+AN16+AP16)</f>
        <v/>
      </c>
      <c r="AR16" s="47">
        <f>RANK(AQ16,AQ$5:AQ$22)</f>
        <v/>
      </c>
      <c r="AS16" s="56" t="n"/>
      <c r="AT16" s="46">
        <f>VLOOKUP($A16,INDIRECT("'"&amp;$B$1&amp;"'!$A:$IZ"),250,FALSE)</f>
        <v/>
      </c>
      <c r="AU16" s="47">
        <f>RANK(AT16,AT$5:AT$22,0)</f>
        <v/>
      </c>
      <c r="AV16" s="46">
        <f>VLOOKUP($A16,INDIRECT("'"&amp;$B$1&amp;"'!$A:$IZ"),92,FALSE)</f>
        <v/>
      </c>
      <c r="AW16" s="47">
        <f>RANK(AV16,AV$5:AV$22,0)</f>
        <v/>
      </c>
      <c r="AX16" s="46">
        <f>VLOOKUP($A16,INDIRECT("'"&amp;$B$1&amp;"'!$A:$IZ"),93,FALSE)</f>
        <v/>
      </c>
      <c r="AY16" s="47">
        <f>RANK(AX16,AX$5:AX$22,0)</f>
        <v/>
      </c>
      <c r="AZ16" s="46">
        <f>VLOOKUP($A16,INDIRECT("'"&amp;$B$1&amp;"'!$A:$IZ"),108,FALSE)</f>
        <v/>
      </c>
      <c r="BA16" s="47">
        <f>RANK(AZ16,AZ$5:AZ$22,0)</f>
        <v/>
      </c>
      <c r="BB16" s="46">
        <f>104-(AU16+AW16+AY16+BA16)</f>
        <v/>
      </c>
      <c r="BC16" s="47">
        <f>RANK(BB16,BB$5:BB$22)</f>
        <v/>
      </c>
      <c r="BD16" s="56" t="n"/>
      <c r="BE16" s="53">
        <f>VLOOKUP($A16,INDIRECT("'"&amp;$B$1&amp;"'!$A:$IZ"),80,FALSE)</f>
        <v/>
      </c>
      <c r="BF16" s="54">
        <f>RANK(BE16,BE$5:BE$22)</f>
        <v/>
      </c>
      <c r="BG16" s="53">
        <f>VLOOKUP($A16,INDIRECT("'"&amp;$B$1&amp;"'!$A:$IZ"),177,FALSE)</f>
        <v/>
      </c>
      <c r="BH16" s="54">
        <f>RANK(BG16,BG$5:BG$22,1)</f>
        <v/>
      </c>
      <c r="BI16" s="53">
        <f>VLOOKUP($A16,INDIRECT("'"&amp;$B$1&amp;"'!$A:$IZ"),79,FALSE)</f>
        <v/>
      </c>
      <c r="BJ16" s="54">
        <f>RANK(BI16,BI$5:BI$22)</f>
        <v/>
      </c>
      <c r="BK16" s="53">
        <f>VLOOKUP($A16,INDIRECT("'"&amp;$B$1&amp;"'!$A:$IZ"),176,FALSE)</f>
        <v/>
      </c>
      <c r="BL16" s="54">
        <f>RANK(BK16,BK$5:BK$22,1)</f>
        <v/>
      </c>
      <c r="BM16" s="53">
        <f>VLOOKUP($A16,INDIRECT("'"&amp;$B$1&amp;"'!$A:$IZ"),11,FALSE)</f>
        <v/>
      </c>
      <c r="BN16" s="54">
        <f>RANK(BM16,BM$5:BM$22)</f>
        <v/>
      </c>
      <c r="BO16" s="53">
        <f>VLOOKUP($A16,INDIRECT("'"&amp;$B$1&amp;"'!$A:$IZ"),222,FALSE)</f>
        <v/>
      </c>
      <c r="BP16" s="54">
        <f>RANK(BO16,BO$5:BO$22)</f>
        <v/>
      </c>
      <c r="BQ16" s="65">
        <f>106-(BF16+BH16+BN16+BP16+BJ16+BL16)</f>
        <v/>
      </c>
      <c r="BR16" s="47">
        <f>RANK(BQ16,BQ$5:BQ$22)</f>
        <v/>
      </c>
      <c r="BS16" s="56" t="n"/>
      <c r="BT16" s="57">
        <f>VLOOKUP($A16,'Ratings Season'!$A:$M,10,FALSE)</f>
        <v/>
      </c>
      <c r="BU16" s="54">
        <f>RANK(BT16,BT$5:BT$22)</f>
        <v/>
      </c>
      <c r="BV16" s="57">
        <f>VLOOKUP($A16,'Ratings Season'!$A:$M,12,FALSE)</f>
        <v/>
      </c>
      <c r="BW16" s="54">
        <f>RANK(BV16,BV$5:BV$22)</f>
        <v/>
      </c>
      <c r="BX16" s="57">
        <f>VLOOKUP($A16,'Ratings Season'!$A:$M,8,FALSE)</f>
        <v/>
      </c>
      <c r="BY16" s="58">
        <f>RANK(BX16,BX$5:BX$22)</f>
        <v/>
      </c>
      <c r="BZ16" s="72" t="n"/>
    </row>
    <row r="17" ht="25" customFormat="1" customHeight="1" s="3">
      <c r="A17" s="87" t="inlineStr">
        <is>
          <t>Port Adelaide</t>
        </is>
      </c>
      <c r="B17" s="53">
        <f>VLOOKUP($A17,INDIRECT("'"&amp;$B$1&amp;"'!$A:$IZ"),222,FALSE)</f>
        <v/>
      </c>
      <c r="C17" s="54">
        <f>RANK(B17,B$5:B$22)</f>
        <v/>
      </c>
      <c r="D17" s="55">
        <f>VLOOKUP($A17,INDIRECT("'"&amp;$B$1&amp;"'!$A:$IZ"),218,FALSE)</f>
        <v/>
      </c>
      <c r="E17" s="54">
        <f>RANK(D17,D$5:D$22)</f>
        <v/>
      </c>
      <c r="F17" s="55">
        <f>VLOOKUP($A17,INDIRECT("'"&amp;$B$1&amp;"'!$A:$IZ"),49,FALSE)</f>
        <v/>
      </c>
      <c r="G17" s="54">
        <f>RANK(F17,F$5:F$22)</f>
        <v/>
      </c>
      <c r="H17" s="55">
        <f>VLOOKUP($A17,INDIRECT("'"&amp;$B$1&amp;"'!$A:$IZ"),229,FALSE)</f>
        <v/>
      </c>
      <c r="I17" s="54">
        <f>RANK(H17,H$5:H$22)</f>
        <v/>
      </c>
      <c r="J17" s="49">
        <f>104-(C17+E17+G17+I17)</f>
        <v/>
      </c>
      <c r="K17" s="47">
        <f>RANK(J17,J$5:J$22)</f>
        <v/>
      </c>
      <c r="L17" s="56" t="n"/>
      <c r="M17" s="53">
        <f>VLOOKUP($A17,INDIRECT("'"&amp;$B$1&amp;"'!$A:$IZ"),88,FALSE)</f>
        <v/>
      </c>
      <c r="N17" s="54">
        <f>RANK(M17,M$5:M$22)</f>
        <v/>
      </c>
      <c r="O17" s="53">
        <f>VLOOKUP($A17,INDIRECT("'"&amp;$B$1&amp;"'!$A:$IZ"),84,FALSE)</f>
        <v/>
      </c>
      <c r="P17" s="54">
        <f>RANK(O17,O$5:O$22)</f>
        <v/>
      </c>
      <c r="Q17" s="53">
        <f>VLOOKUP($A17,INDIRECT("'"&amp;$B$1&amp;"'!$A:$IZ"),85,FALSE)</f>
        <v/>
      </c>
      <c r="R17" s="54">
        <f>RANK(Q17,Q$5:Q$22)</f>
        <v/>
      </c>
      <c r="S17" s="55">
        <f>VLOOKUP($A17,INDIRECT("'"&amp;$B$1&amp;"'!$A:$IZ"),29,FALSE)</f>
        <v/>
      </c>
      <c r="T17" s="54">
        <f>RANK(S17,S$5:S$22)</f>
        <v/>
      </c>
      <c r="U17" s="49">
        <f>104-(N17+P17+R17+T17)</f>
        <v/>
      </c>
      <c r="V17" s="47">
        <f>RANK(U17,U$5:U$22)</f>
        <v/>
      </c>
      <c r="W17" s="56" t="n"/>
      <c r="X17" s="53">
        <f>VLOOKUP($A17,INDIRECT("'"&amp;$B$1&amp;"'!$A:$IZ"),65,FALSE)</f>
        <v/>
      </c>
      <c r="Y17" s="54">
        <f>RANK(X17,X$5:X$22)</f>
        <v/>
      </c>
      <c r="Z17" s="53">
        <f>VLOOKUP($A17,INDIRECT("'"&amp;$B$1&amp;"'!$A:$IZ"),64,FALSE)</f>
        <v/>
      </c>
      <c r="AA17" s="54">
        <f>RANK(Z17,Z$5:Z$22)</f>
        <v/>
      </c>
      <c r="AB17" s="53">
        <f>VLOOKUP($A17,INDIRECT("'"&amp;$B$1&amp;"'!$A:$IZ"),63,FALSE)</f>
        <v/>
      </c>
      <c r="AC17" s="54">
        <f>RANK(AB17,AB$5:AB$22)</f>
        <v/>
      </c>
      <c r="AD17" s="53">
        <f>VLOOKUP($A17,INDIRECT("'"&amp;$B$1&amp;"'!$A:$IZ"),71,FALSE)</f>
        <v/>
      </c>
      <c r="AE17" s="54">
        <f>RANK(AD17,AD$5:AD$22)</f>
        <v/>
      </c>
      <c r="AF17" s="65">
        <f>104-(Y17+AA17+AC17+AE17)</f>
        <v/>
      </c>
      <c r="AG17" s="47">
        <f>RANK(AF17,AF$5:AF$22)</f>
        <v/>
      </c>
      <c r="AH17" s="56" t="n"/>
      <c r="AI17" s="53">
        <f>VLOOKUP($A17,INDIRECT("'"&amp;$B$1&amp;"'!$A:$IZ"),183,FALSE)</f>
        <v/>
      </c>
      <c r="AJ17" s="54">
        <f>RANK(AI17,AI$5:AI$22,1)</f>
        <v/>
      </c>
      <c r="AK17" s="53">
        <f>VLOOKUP($A17,INDIRECT("'"&amp;$B$1&amp;"'!$A:$IZ"),181,FALSE)</f>
        <v/>
      </c>
      <c r="AL17" s="54">
        <f>RANK(AK17,AK$5:AK$22,1)</f>
        <v/>
      </c>
      <c r="AM17" s="53">
        <f>VLOOKUP($A17,INDIRECT("'"&amp;$B$1&amp;"'!$A:$IZ"),182,FALSE)</f>
        <v/>
      </c>
      <c r="AN17" s="54">
        <f>RANK(AM17,AM$5:AM$22,1)</f>
        <v/>
      </c>
      <c r="AO17" s="53">
        <f>VLOOKUP($A17,INDIRECT("'"&amp;$B$1&amp;"'!$A:$IZ"),163,FALSE)</f>
        <v/>
      </c>
      <c r="AP17" s="54">
        <f>RANK(AO17,AO$5:AO$22,1)</f>
        <v/>
      </c>
      <c r="AQ17" s="65">
        <f>104-(AJ17+AL17+AN17+AP17)</f>
        <v/>
      </c>
      <c r="AR17" s="47">
        <f>RANK(AQ17,AQ$5:AQ$22)</f>
        <v/>
      </c>
      <c r="AS17" s="56" t="n"/>
      <c r="AT17" s="46">
        <f>VLOOKUP($A17,INDIRECT("'"&amp;$B$1&amp;"'!$A:$IZ"),250,FALSE)</f>
        <v/>
      </c>
      <c r="AU17" s="47">
        <f>RANK(AT17,AT$5:AT$22,0)</f>
        <v/>
      </c>
      <c r="AV17" s="46">
        <f>VLOOKUP($A17,INDIRECT("'"&amp;$B$1&amp;"'!$A:$IZ"),92,FALSE)</f>
        <v/>
      </c>
      <c r="AW17" s="47">
        <f>RANK(AV17,AV$5:AV$22,0)</f>
        <v/>
      </c>
      <c r="AX17" s="46">
        <f>VLOOKUP($A17,INDIRECT("'"&amp;$B$1&amp;"'!$A:$IZ"),93,FALSE)</f>
        <v/>
      </c>
      <c r="AY17" s="47">
        <f>RANK(AX17,AX$5:AX$22,0)</f>
        <v/>
      </c>
      <c r="AZ17" s="46">
        <f>VLOOKUP($A17,INDIRECT("'"&amp;$B$1&amp;"'!$A:$IZ"),108,FALSE)</f>
        <v/>
      </c>
      <c r="BA17" s="47">
        <f>RANK(AZ17,AZ$5:AZ$22,0)</f>
        <v/>
      </c>
      <c r="BB17" s="46">
        <f>104-(AU17+AW17+AY17+BA17)</f>
        <v/>
      </c>
      <c r="BC17" s="47">
        <f>RANK(BB17,BB$5:BB$22)</f>
        <v/>
      </c>
      <c r="BD17" s="56" t="n"/>
      <c r="BE17" s="53">
        <f>VLOOKUP($A17,INDIRECT("'"&amp;$B$1&amp;"'!$A:$IZ"),80,FALSE)</f>
        <v/>
      </c>
      <c r="BF17" s="54">
        <f>RANK(BE17,BE$5:BE$22)</f>
        <v/>
      </c>
      <c r="BG17" s="53">
        <f>VLOOKUP($A17,INDIRECT("'"&amp;$B$1&amp;"'!$A:$IZ"),177,FALSE)</f>
        <v/>
      </c>
      <c r="BH17" s="54">
        <f>RANK(BG17,BG$5:BG$22,1)</f>
        <v/>
      </c>
      <c r="BI17" s="53">
        <f>VLOOKUP($A17,INDIRECT("'"&amp;$B$1&amp;"'!$A:$IZ"),79,FALSE)</f>
        <v/>
      </c>
      <c r="BJ17" s="54">
        <f>RANK(BI17,BI$5:BI$22)</f>
        <v/>
      </c>
      <c r="BK17" s="53">
        <f>VLOOKUP($A17,INDIRECT("'"&amp;$B$1&amp;"'!$A:$IZ"),176,FALSE)</f>
        <v/>
      </c>
      <c r="BL17" s="54">
        <f>RANK(BK17,BK$5:BK$22,1)</f>
        <v/>
      </c>
      <c r="BM17" s="53">
        <f>VLOOKUP($A17,INDIRECT("'"&amp;$B$1&amp;"'!$A:$IZ"),11,FALSE)</f>
        <v/>
      </c>
      <c r="BN17" s="54">
        <f>RANK(BM17,BM$5:BM$22)</f>
        <v/>
      </c>
      <c r="BO17" s="53">
        <f>VLOOKUP($A17,INDIRECT("'"&amp;$B$1&amp;"'!$A:$IZ"),222,FALSE)</f>
        <v/>
      </c>
      <c r="BP17" s="54">
        <f>RANK(BO17,BO$5:BO$22)</f>
        <v/>
      </c>
      <c r="BQ17" s="65">
        <f>106-(BF17+BH17+BN17+BP17+BJ17+BL17)</f>
        <v/>
      </c>
      <c r="BR17" s="47">
        <f>RANK(BQ17,BQ$5:BQ$22)</f>
        <v/>
      </c>
      <c r="BS17" s="56" t="n"/>
      <c r="BT17" s="57">
        <f>VLOOKUP($A17,'Ratings Season'!$A:$M,10,FALSE)</f>
        <v/>
      </c>
      <c r="BU17" s="54">
        <f>RANK(BT17,BT$5:BT$22)</f>
        <v/>
      </c>
      <c r="BV17" s="57">
        <f>VLOOKUP($A17,'Ratings Season'!$A:$M,12,FALSE)</f>
        <v/>
      </c>
      <c r="BW17" s="54">
        <f>RANK(BV17,BV$5:BV$22)</f>
        <v/>
      </c>
      <c r="BX17" s="57">
        <f>VLOOKUP($A17,'Ratings Season'!$A:$M,8,FALSE)</f>
        <v/>
      </c>
      <c r="BY17" s="58">
        <f>RANK(BX17,BX$5:BX$22)</f>
        <v/>
      </c>
      <c r="BZ17" s="72" t="n"/>
    </row>
    <row r="18" ht="25" customFormat="1" customHeight="1" s="3">
      <c r="A18" s="88" t="inlineStr">
        <is>
          <t>Richmond</t>
        </is>
      </c>
      <c r="B18" s="53">
        <f>VLOOKUP($A18,INDIRECT("'"&amp;$B$1&amp;"'!$A:$IZ"),222,FALSE)</f>
        <v/>
      </c>
      <c r="C18" s="54">
        <f>RANK(B18,B$5:B$22)</f>
        <v/>
      </c>
      <c r="D18" s="55">
        <f>VLOOKUP($A18,INDIRECT("'"&amp;$B$1&amp;"'!$A:$IZ"),218,FALSE)</f>
        <v/>
      </c>
      <c r="E18" s="54">
        <f>RANK(D18,D$5:D$22)</f>
        <v/>
      </c>
      <c r="F18" s="55">
        <f>VLOOKUP($A18,INDIRECT("'"&amp;$B$1&amp;"'!$A:$IZ"),49,FALSE)</f>
        <v/>
      </c>
      <c r="G18" s="54">
        <f>RANK(F18,F$5:F$22)</f>
        <v/>
      </c>
      <c r="H18" s="55">
        <f>VLOOKUP($A18,INDIRECT("'"&amp;$B$1&amp;"'!$A:$IZ"),229,FALSE)</f>
        <v/>
      </c>
      <c r="I18" s="54">
        <f>RANK(H18,H$5:H$22)</f>
        <v/>
      </c>
      <c r="J18" s="49">
        <f>104-(C18+E18+G18+I18)</f>
        <v/>
      </c>
      <c r="K18" s="47">
        <f>RANK(J18,J$5:J$22)</f>
        <v/>
      </c>
      <c r="L18" s="56" t="n"/>
      <c r="M18" s="53">
        <f>VLOOKUP($A18,INDIRECT("'"&amp;$B$1&amp;"'!$A:$IZ"),88,FALSE)</f>
        <v/>
      </c>
      <c r="N18" s="54">
        <f>RANK(M18,M$5:M$22)</f>
        <v/>
      </c>
      <c r="O18" s="53">
        <f>VLOOKUP($A18,INDIRECT("'"&amp;$B$1&amp;"'!$A:$IZ"),84,FALSE)</f>
        <v/>
      </c>
      <c r="P18" s="54">
        <f>RANK(O18,O$5:O$22)</f>
        <v/>
      </c>
      <c r="Q18" s="53">
        <f>VLOOKUP($A18,INDIRECT("'"&amp;$B$1&amp;"'!$A:$IZ"),85,FALSE)</f>
        <v/>
      </c>
      <c r="R18" s="54">
        <f>RANK(Q18,Q$5:Q$22)</f>
        <v/>
      </c>
      <c r="S18" s="55">
        <f>VLOOKUP($A18,INDIRECT("'"&amp;$B$1&amp;"'!$A:$IZ"),29,FALSE)</f>
        <v/>
      </c>
      <c r="T18" s="54">
        <f>RANK(S18,S$5:S$22)</f>
        <v/>
      </c>
      <c r="U18" s="49">
        <f>104-(N18+P18+R18+T18)</f>
        <v/>
      </c>
      <c r="V18" s="47">
        <f>RANK(U18,U$5:U$22)</f>
        <v/>
      </c>
      <c r="W18" s="56" t="n"/>
      <c r="X18" s="53">
        <f>VLOOKUP($A18,INDIRECT("'"&amp;$B$1&amp;"'!$A:$IZ"),65,FALSE)</f>
        <v/>
      </c>
      <c r="Y18" s="54">
        <f>RANK(X18,X$5:X$22)</f>
        <v/>
      </c>
      <c r="Z18" s="53">
        <f>VLOOKUP($A18,INDIRECT("'"&amp;$B$1&amp;"'!$A:$IZ"),64,FALSE)</f>
        <v/>
      </c>
      <c r="AA18" s="54">
        <f>RANK(Z18,Z$5:Z$22)</f>
        <v/>
      </c>
      <c r="AB18" s="53">
        <f>VLOOKUP($A18,INDIRECT("'"&amp;$B$1&amp;"'!$A:$IZ"),63,FALSE)</f>
        <v/>
      </c>
      <c r="AC18" s="54">
        <f>RANK(AB18,AB$5:AB$22)</f>
        <v/>
      </c>
      <c r="AD18" s="53">
        <f>VLOOKUP($A18,INDIRECT("'"&amp;$B$1&amp;"'!$A:$IZ"),71,FALSE)</f>
        <v/>
      </c>
      <c r="AE18" s="54">
        <f>RANK(AD18,AD$5:AD$22)</f>
        <v/>
      </c>
      <c r="AF18" s="65">
        <f>104-(Y18+AA18+AC18+AE18)</f>
        <v/>
      </c>
      <c r="AG18" s="47">
        <f>RANK(AF18,AF$5:AF$22)</f>
        <v/>
      </c>
      <c r="AH18" s="56" t="n"/>
      <c r="AI18" s="53">
        <f>VLOOKUP($A18,INDIRECT("'"&amp;$B$1&amp;"'!$A:$IZ"),183,FALSE)</f>
        <v/>
      </c>
      <c r="AJ18" s="54">
        <f>RANK(AI18,AI$5:AI$22,1)</f>
        <v/>
      </c>
      <c r="AK18" s="53">
        <f>VLOOKUP($A18,INDIRECT("'"&amp;$B$1&amp;"'!$A:$IZ"),181,FALSE)</f>
        <v/>
      </c>
      <c r="AL18" s="54">
        <f>RANK(AK18,AK$5:AK$22,1)</f>
        <v/>
      </c>
      <c r="AM18" s="53">
        <f>VLOOKUP($A18,INDIRECT("'"&amp;$B$1&amp;"'!$A:$IZ"),182,FALSE)</f>
        <v/>
      </c>
      <c r="AN18" s="54">
        <f>RANK(AM18,AM$5:AM$22,1)</f>
        <v/>
      </c>
      <c r="AO18" s="53">
        <f>VLOOKUP($A18,INDIRECT("'"&amp;$B$1&amp;"'!$A:$IZ"),163,FALSE)</f>
        <v/>
      </c>
      <c r="AP18" s="54">
        <f>RANK(AO18,AO$5:AO$22,1)</f>
        <v/>
      </c>
      <c r="AQ18" s="65">
        <f>104-(AJ18+AL18+AN18+AP18)</f>
        <v/>
      </c>
      <c r="AR18" s="47">
        <f>RANK(AQ18,AQ$5:AQ$22)</f>
        <v/>
      </c>
      <c r="AS18" s="56" t="n"/>
      <c r="AT18" s="46">
        <f>VLOOKUP($A18,INDIRECT("'"&amp;$B$1&amp;"'!$A:$IZ"),250,FALSE)</f>
        <v/>
      </c>
      <c r="AU18" s="47">
        <f>RANK(AT18,AT$5:AT$22,0)</f>
        <v/>
      </c>
      <c r="AV18" s="46">
        <f>VLOOKUP($A18,INDIRECT("'"&amp;$B$1&amp;"'!$A:$IZ"),92,FALSE)</f>
        <v/>
      </c>
      <c r="AW18" s="47">
        <f>RANK(AV18,AV$5:AV$22,0)</f>
        <v/>
      </c>
      <c r="AX18" s="46">
        <f>VLOOKUP($A18,INDIRECT("'"&amp;$B$1&amp;"'!$A:$IZ"),93,FALSE)</f>
        <v/>
      </c>
      <c r="AY18" s="47">
        <f>RANK(AX18,AX$5:AX$22,0)</f>
        <v/>
      </c>
      <c r="AZ18" s="46">
        <f>VLOOKUP($A18,INDIRECT("'"&amp;$B$1&amp;"'!$A:$IZ"),108,FALSE)</f>
        <v/>
      </c>
      <c r="BA18" s="47">
        <f>RANK(AZ18,AZ$5:AZ$22,0)</f>
        <v/>
      </c>
      <c r="BB18" s="46">
        <f>104-(AU18+AW18+AY18+BA18)</f>
        <v/>
      </c>
      <c r="BC18" s="47">
        <f>RANK(BB18,BB$5:BB$22)</f>
        <v/>
      </c>
      <c r="BD18" s="56" t="n"/>
      <c r="BE18" s="53">
        <f>VLOOKUP($A18,INDIRECT("'"&amp;$B$1&amp;"'!$A:$IZ"),80,FALSE)</f>
        <v/>
      </c>
      <c r="BF18" s="54">
        <f>RANK(BE18,BE$5:BE$22)</f>
        <v/>
      </c>
      <c r="BG18" s="53">
        <f>VLOOKUP($A18,INDIRECT("'"&amp;$B$1&amp;"'!$A:$IZ"),177,FALSE)</f>
        <v/>
      </c>
      <c r="BH18" s="54">
        <f>RANK(BG18,BG$5:BG$22,1)</f>
        <v/>
      </c>
      <c r="BI18" s="53">
        <f>VLOOKUP($A18,INDIRECT("'"&amp;$B$1&amp;"'!$A:$IZ"),79,FALSE)</f>
        <v/>
      </c>
      <c r="BJ18" s="54">
        <f>RANK(BI18,BI$5:BI$22)</f>
        <v/>
      </c>
      <c r="BK18" s="53">
        <f>VLOOKUP($A18,INDIRECT("'"&amp;$B$1&amp;"'!$A:$IZ"),176,FALSE)</f>
        <v/>
      </c>
      <c r="BL18" s="54">
        <f>RANK(BK18,BK$5:BK$22,1)</f>
        <v/>
      </c>
      <c r="BM18" s="53">
        <f>VLOOKUP($A18,INDIRECT("'"&amp;$B$1&amp;"'!$A:$IZ"),11,FALSE)</f>
        <v/>
      </c>
      <c r="BN18" s="54">
        <f>RANK(BM18,BM$5:BM$22)</f>
        <v/>
      </c>
      <c r="BO18" s="53">
        <f>VLOOKUP($A18,INDIRECT("'"&amp;$B$1&amp;"'!$A:$IZ"),222,FALSE)</f>
        <v/>
      </c>
      <c r="BP18" s="54">
        <f>RANK(BO18,BO$5:BO$22)</f>
        <v/>
      </c>
      <c r="BQ18" s="65">
        <f>106-(BF18+BH18+BN18+BP18+BJ18+BL18)</f>
        <v/>
      </c>
      <c r="BR18" s="47">
        <f>RANK(BQ18,BQ$5:BQ$22)</f>
        <v/>
      </c>
      <c r="BS18" s="56" t="n"/>
      <c r="BT18" s="57">
        <f>VLOOKUP($A18,'Ratings Season'!$A:$M,10,FALSE)</f>
        <v/>
      </c>
      <c r="BU18" s="54">
        <f>RANK(BT18,BT$5:BT$22)</f>
        <v/>
      </c>
      <c r="BV18" s="57">
        <f>VLOOKUP($A18,'Ratings Season'!$A:$M,12,FALSE)</f>
        <v/>
      </c>
      <c r="BW18" s="54">
        <f>RANK(BV18,BV$5:BV$22)</f>
        <v/>
      </c>
      <c r="BX18" s="57">
        <f>VLOOKUP($A18,'Ratings Season'!$A:$M,8,FALSE)</f>
        <v/>
      </c>
      <c r="BY18" s="58">
        <f>RANK(BX18,BX$5:BX$22)</f>
        <v/>
      </c>
      <c r="BZ18" s="72" t="n"/>
    </row>
    <row r="19" ht="25" customFormat="1" customHeight="1" s="3">
      <c r="A19" s="89" t="inlineStr">
        <is>
          <t>St Kilda</t>
        </is>
      </c>
      <c r="B19" s="53">
        <f>VLOOKUP($A19,INDIRECT("'"&amp;$B$1&amp;"'!$A:$IZ"),222,FALSE)</f>
        <v/>
      </c>
      <c r="C19" s="54">
        <f>RANK(B19,B$5:B$22)</f>
        <v/>
      </c>
      <c r="D19" s="55">
        <f>VLOOKUP($A19,INDIRECT("'"&amp;$B$1&amp;"'!$A:$IZ"),218,FALSE)</f>
        <v/>
      </c>
      <c r="E19" s="54">
        <f>RANK(D19,D$5:D$22)</f>
        <v/>
      </c>
      <c r="F19" s="55">
        <f>VLOOKUP($A19,INDIRECT("'"&amp;$B$1&amp;"'!$A:$IZ"),49,FALSE)</f>
        <v/>
      </c>
      <c r="G19" s="54">
        <f>RANK(F19,F$5:F$22)</f>
        <v/>
      </c>
      <c r="H19" s="55">
        <f>VLOOKUP($A19,INDIRECT("'"&amp;$B$1&amp;"'!$A:$IZ"),229,FALSE)</f>
        <v/>
      </c>
      <c r="I19" s="54">
        <f>RANK(H19,H$5:H$22)</f>
        <v/>
      </c>
      <c r="J19" s="49">
        <f>104-(C19+E19+G19+I19)</f>
        <v/>
      </c>
      <c r="K19" s="47">
        <f>RANK(J19,J$5:J$22)</f>
        <v/>
      </c>
      <c r="L19" s="56" t="n"/>
      <c r="M19" s="53">
        <f>VLOOKUP($A19,INDIRECT("'"&amp;$B$1&amp;"'!$A:$IZ"),88,FALSE)</f>
        <v/>
      </c>
      <c r="N19" s="54">
        <f>RANK(M19,M$5:M$22)</f>
        <v/>
      </c>
      <c r="O19" s="53">
        <f>VLOOKUP($A19,INDIRECT("'"&amp;$B$1&amp;"'!$A:$IZ"),84,FALSE)</f>
        <v/>
      </c>
      <c r="P19" s="54">
        <f>RANK(O19,O$5:O$22)</f>
        <v/>
      </c>
      <c r="Q19" s="53">
        <f>VLOOKUP($A19,INDIRECT("'"&amp;$B$1&amp;"'!$A:$IZ"),85,FALSE)</f>
        <v/>
      </c>
      <c r="R19" s="54">
        <f>RANK(Q19,Q$5:Q$22)</f>
        <v/>
      </c>
      <c r="S19" s="55">
        <f>VLOOKUP($A19,INDIRECT("'"&amp;$B$1&amp;"'!$A:$IZ"),29,FALSE)</f>
        <v/>
      </c>
      <c r="T19" s="54">
        <f>RANK(S19,S$5:S$22)</f>
        <v/>
      </c>
      <c r="U19" s="49">
        <f>104-(N19+P19+R19+T19)</f>
        <v/>
      </c>
      <c r="V19" s="47">
        <f>RANK(U19,U$5:U$22)</f>
        <v/>
      </c>
      <c r="W19" s="56" t="n"/>
      <c r="X19" s="53">
        <f>VLOOKUP($A19,INDIRECT("'"&amp;$B$1&amp;"'!$A:$IZ"),65,FALSE)</f>
        <v/>
      </c>
      <c r="Y19" s="54">
        <f>RANK(X19,X$5:X$22)</f>
        <v/>
      </c>
      <c r="Z19" s="53">
        <f>VLOOKUP($A19,INDIRECT("'"&amp;$B$1&amp;"'!$A:$IZ"),64,FALSE)</f>
        <v/>
      </c>
      <c r="AA19" s="54">
        <f>RANK(Z19,Z$5:Z$22)</f>
        <v/>
      </c>
      <c r="AB19" s="53">
        <f>VLOOKUP($A19,INDIRECT("'"&amp;$B$1&amp;"'!$A:$IZ"),63,FALSE)</f>
        <v/>
      </c>
      <c r="AC19" s="54">
        <f>RANK(AB19,AB$5:AB$22)</f>
        <v/>
      </c>
      <c r="AD19" s="53">
        <f>VLOOKUP($A19,INDIRECT("'"&amp;$B$1&amp;"'!$A:$IZ"),71,FALSE)</f>
        <v/>
      </c>
      <c r="AE19" s="54">
        <f>RANK(AD19,AD$5:AD$22)</f>
        <v/>
      </c>
      <c r="AF19" s="65">
        <f>104-(Y19+AA19+AC19+AE19)</f>
        <v/>
      </c>
      <c r="AG19" s="47">
        <f>RANK(AF19,AF$5:AF$22)</f>
        <v/>
      </c>
      <c r="AH19" s="56" t="n"/>
      <c r="AI19" s="53">
        <f>VLOOKUP($A19,INDIRECT("'"&amp;$B$1&amp;"'!$A:$IZ"),183,FALSE)</f>
        <v/>
      </c>
      <c r="AJ19" s="54">
        <f>RANK(AI19,AI$5:AI$22,1)</f>
        <v/>
      </c>
      <c r="AK19" s="53">
        <f>VLOOKUP($A19,INDIRECT("'"&amp;$B$1&amp;"'!$A:$IZ"),181,FALSE)</f>
        <v/>
      </c>
      <c r="AL19" s="54">
        <f>RANK(AK19,AK$5:AK$22,1)</f>
        <v/>
      </c>
      <c r="AM19" s="53">
        <f>VLOOKUP($A19,INDIRECT("'"&amp;$B$1&amp;"'!$A:$IZ"),182,FALSE)</f>
        <v/>
      </c>
      <c r="AN19" s="54">
        <f>RANK(AM19,AM$5:AM$22,1)</f>
        <v/>
      </c>
      <c r="AO19" s="53">
        <f>VLOOKUP($A19,INDIRECT("'"&amp;$B$1&amp;"'!$A:$IZ"),163,FALSE)</f>
        <v/>
      </c>
      <c r="AP19" s="54">
        <f>RANK(AO19,AO$5:AO$22,1)</f>
        <v/>
      </c>
      <c r="AQ19" s="65">
        <f>104-(AJ19+AL19+AN19+AP19)</f>
        <v/>
      </c>
      <c r="AR19" s="47">
        <f>RANK(AQ19,AQ$5:AQ$22)</f>
        <v/>
      </c>
      <c r="AS19" s="56" t="n"/>
      <c r="AT19" s="46">
        <f>VLOOKUP($A19,INDIRECT("'"&amp;$B$1&amp;"'!$A:$IZ"),250,FALSE)</f>
        <v/>
      </c>
      <c r="AU19" s="47">
        <f>RANK(AT19,AT$5:AT$22,0)</f>
        <v/>
      </c>
      <c r="AV19" s="46">
        <f>VLOOKUP($A19,INDIRECT("'"&amp;$B$1&amp;"'!$A:$IZ"),92,FALSE)</f>
        <v/>
      </c>
      <c r="AW19" s="47">
        <f>RANK(AV19,AV$5:AV$22,0)</f>
        <v/>
      </c>
      <c r="AX19" s="46">
        <f>VLOOKUP($A19,INDIRECT("'"&amp;$B$1&amp;"'!$A:$IZ"),93,FALSE)</f>
        <v/>
      </c>
      <c r="AY19" s="47">
        <f>RANK(AX19,AX$5:AX$22,0)</f>
        <v/>
      </c>
      <c r="AZ19" s="46">
        <f>VLOOKUP($A19,INDIRECT("'"&amp;$B$1&amp;"'!$A:$IZ"),108,FALSE)</f>
        <v/>
      </c>
      <c r="BA19" s="47">
        <f>RANK(AZ19,AZ$5:AZ$22,0)</f>
        <v/>
      </c>
      <c r="BB19" s="46">
        <f>104-(AU19+AW19+AY19+BA19)</f>
        <v/>
      </c>
      <c r="BC19" s="47">
        <f>RANK(BB19,BB$5:BB$22)</f>
        <v/>
      </c>
      <c r="BD19" s="56" t="n"/>
      <c r="BE19" s="53">
        <f>VLOOKUP($A19,INDIRECT("'"&amp;$B$1&amp;"'!$A:$IZ"),80,FALSE)</f>
        <v/>
      </c>
      <c r="BF19" s="54">
        <f>RANK(BE19,BE$5:BE$22)</f>
        <v/>
      </c>
      <c r="BG19" s="53">
        <f>VLOOKUP($A19,INDIRECT("'"&amp;$B$1&amp;"'!$A:$IZ"),177,FALSE)</f>
        <v/>
      </c>
      <c r="BH19" s="54">
        <f>RANK(BG19,BG$5:BG$22,1)</f>
        <v/>
      </c>
      <c r="BI19" s="53">
        <f>VLOOKUP($A19,INDIRECT("'"&amp;$B$1&amp;"'!$A:$IZ"),79,FALSE)</f>
        <v/>
      </c>
      <c r="BJ19" s="54">
        <f>RANK(BI19,BI$5:BI$22)</f>
        <v/>
      </c>
      <c r="BK19" s="53">
        <f>VLOOKUP($A19,INDIRECT("'"&amp;$B$1&amp;"'!$A:$IZ"),176,FALSE)</f>
        <v/>
      </c>
      <c r="BL19" s="54">
        <f>RANK(BK19,BK$5:BK$22,1)</f>
        <v/>
      </c>
      <c r="BM19" s="53">
        <f>VLOOKUP($A19,INDIRECT("'"&amp;$B$1&amp;"'!$A:$IZ"),11,FALSE)</f>
        <v/>
      </c>
      <c r="BN19" s="54">
        <f>RANK(BM19,BM$5:BM$22)</f>
        <v/>
      </c>
      <c r="BO19" s="53">
        <f>VLOOKUP($A19,INDIRECT("'"&amp;$B$1&amp;"'!$A:$IZ"),222,FALSE)</f>
        <v/>
      </c>
      <c r="BP19" s="54">
        <f>RANK(BO19,BO$5:BO$22)</f>
        <v/>
      </c>
      <c r="BQ19" s="65">
        <f>106-(BF19+BH19+BN19+BP19+BJ19+BL19)</f>
        <v/>
      </c>
      <c r="BR19" s="47">
        <f>RANK(BQ19,BQ$5:BQ$22)</f>
        <v/>
      </c>
      <c r="BS19" s="56" t="n"/>
      <c r="BT19" s="57">
        <f>VLOOKUP($A19,'Ratings Season'!$A:$M,10,FALSE)</f>
        <v/>
      </c>
      <c r="BU19" s="54">
        <f>RANK(BT19,BT$5:BT$22)</f>
        <v/>
      </c>
      <c r="BV19" s="57">
        <f>VLOOKUP($A19,'Ratings Season'!$A:$M,12,FALSE)</f>
        <v/>
      </c>
      <c r="BW19" s="54">
        <f>RANK(BV19,BV$5:BV$22)</f>
        <v/>
      </c>
      <c r="BX19" s="57">
        <f>VLOOKUP($A19,'Ratings Season'!$A:$M,8,FALSE)</f>
        <v/>
      </c>
      <c r="BY19" s="58">
        <f>RANK(BX19,BX$5:BX$22)</f>
        <v/>
      </c>
      <c r="BZ19" s="72" t="n"/>
    </row>
    <row r="20" ht="25" customFormat="1" customHeight="1" s="3">
      <c r="A20" s="90" t="inlineStr">
        <is>
          <t>Sydney</t>
        </is>
      </c>
      <c r="B20" s="53">
        <f>VLOOKUP($A20,INDIRECT("'"&amp;$B$1&amp;"'!$A:$IZ"),222,FALSE)</f>
        <v/>
      </c>
      <c r="C20" s="54">
        <f>RANK(B20,B$5:B$22)</f>
        <v/>
      </c>
      <c r="D20" s="55">
        <f>VLOOKUP($A20,INDIRECT("'"&amp;$B$1&amp;"'!$A:$IZ"),218,FALSE)</f>
        <v/>
      </c>
      <c r="E20" s="54">
        <f>RANK(D20,D$5:D$22)</f>
        <v/>
      </c>
      <c r="F20" s="55">
        <f>VLOOKUP($A20,INDIRECT("'"&amp;$B$1&amp;"'!$A:$IZ"),49,FALSE)</f>
        <v/>
      </c>
      <c r="G20" s="54">
        <f>RANK(F20,F$5:F$22)</f>
        <v/>
      </c>
      <c r="H20" s="55">
        <f>VLOOKUP($A20,INDIRECT("'"&amp;$B$1&amp;"'!$A:$IZ"),229,FALSE)</f>
        <v/>
      </c>
      <c r="I20" s="54">
        <f>RANK(H20,H$5:H$22)</f>
        <v/>
      </c>
      <c r="J20" s="49">
        <f>104-(C20+E20+G20+I20)</f>
        <v/>
      </c>
      <c r="K20" s="47">
        <f>RANK(J20,J$5:J$22)</f>
        <v/>
      </c>
      <c r="L20" s="56" t="n"/>
      <c r="M20" s="53">
        <f>VLOOKUP($A20,INDIRECT("'"&amp;$B$1&amp;"'!$A:$IZ"),88,FALSE)</f>
        <v/>
      </c>
      <c r="N20" s="54">
        <f>RANK(M20,M$5:M$22)</f>
        <v/>
      </c>
      <c r="O20" s="53">
        <f>VLOOKUP($A20,INDIRECT("'"&amp;$B$1&amp;"'!$A:$IZ"),84,FALSE)</f>
        <v/>
      </c>
      <c r="P20" s="54">
        <f>RANK(O20,O$5:O$22)</f>
        <v/>
      </c>
      <c r="Q20" s="53">
        <f>VLOOKUP($A20,INDIRECT("'"&amp;$B$1&amp;"'!$A:$IZ"),85,FALSE)</f>
        <v/>
      </c>
      <c r="R20" s="54">
        <f>RANK(Q20,Q$5:Q$22)</f>
        <v/>
      </c>
      <c r="S20" s="55">
        <f>VLOOKUP($A20,INDIRECT("'"&amp;$B$1&amp;"'!$A:$IZ"),29,FALSE)</f>
        <v/>
      </c>
      <c r="T20" s="54">
        <f>RANK(S20,S$5:S$22)</f>
        <v/>
      </c>
      <c r="U20" s="49">
        <f>104-(N20+P20+R20+T20)</f>
        <v/>
      </c>
      <c r="V20" s="47">
        <f>RANK(U20,U$5:U$22)</f>
        <v/>
      </c>
      <c r="W20" s="56" t="n"/>
      <c r="X20" s="53">
        <f>VLOOKUP($A20,INDIRECT("'"&amp;$B$1&amp;"'!$A:$IZ"),65,FALSE)</f>
        <v/>
      </c>
      <c r="Y20" s="54">
        <f>RANK(X20,X$5:X$22)</f>
        <v/>
      </c>
      <c r="Z20" s="53">
        <f>VLOOKUP($A20,INDIRECT("'"&amp;$B$1&amp;"'!$A:$IZ"),64,FALSE)</f>
        <v/>
      </c>
      <c r="AA20" s="54">
        <f>RANK(Z20,Z$5:Z$22)</f>
        <v/>
      </c>
      <c r="AB20" s="53">
        <f>VLOOKUP($A20,INDIRECT("'"&amp;$B$1&amp;"'!$A:$IZ"),63,FALSE)</f>
        <v/>
      </c>
      <c r="AC20" s="54">
        <f>RANK(AB20,AB$5:AB$22)</f>
        <v/>
      </c>
      <c r="AD20" s="53">
        <f>VLOOKUP($A20,INDIRECT("'"&amp;$B$1&amp;"'!$A:$IZ"),71,FALSE)</f>
        <v/>
      </c>
      <c r="AE20" s="54">
        <f>RANK(AD20,AD$5:AD$22)</f>
        <v/>
      </c>
      <c r="AF20" s="65">
        <f>104-(Y20+AA20+AC20+AE20)</f>
        <v/>
      </c>
      <c r="AG20" s="47">
        <f>RANK(AF20,AF$5:AF$22)</f>
        <v/>
      </c>
      <c r="AH20" s="56" t="n"/>
      <c r="AI20" s="53">
        <f>VLOOKUP($A20,INDIRECT("'"&amp;$B$1&amp;"'!$A:$IZ"),183,FALSE)</f>
        <v/>
      </c>
      <c r="AJ20" s="54">
        <f>RANK(AI20,AI$5:AI$22,1)</f>
        <v/>
      </c>
      <c r="AK20" s="53">
        <f>VLOOKUP($A20,INDIRECT("'"&amp;$B$1&amp;"'!$A:$IZ"),181,FALSE)</f>
        <v/>
      </c>
      <c r="AL20" s="54">
        <f>RANK(AK20,AK$5:AK$22,1)</f>
        <v/>
      </c>
      <c r="AM20" s="53">
        <f>VLOOKUP($A20,INDIRECT("'"&amp;$B$1&amp;"'!$A:$IZ"),182,FALSE)</f>
        <v/>
      </c>
      <c r="AN20" s="54">
        <f>RANK(AM20,AM$5:AM$22,1)</f>
        <v/>
      </c>
      <c r="AO20" s="53">
        <f>VLOOKUP($A20,INDIRECT("'"&amp;$B$1&amp;"'!$A:$IZ"),163,FALSE)</f>
        <v/>
      </c>
      <c r="AP20" s="54">
        <f>RANK(AO20,AO$5:AO$22,1)</f>
        <v/>
      </c>
      <c r="AQ20" s="65">
        <f>104-(AJ20+AL20+AN20+AP20)</f>
        <v/>
      </c>
      <c r="AR20" s="47">
        <f>RANK(AQ20,AQ$5:AQ$22)</f>
        <v/>
      </c>
      <c r="AS20" s="56" t="n"/>
      <c r="AT20" s="46">
        <f>VLOOKUP($A20,INDIRECT("'"&amp;$B$1&amp;"'!$A:$IZ"),250,FALSE)</f>
        <v/>
      </c>
      <c r="AU20" s="47">
        <f>RANK(AT20,AT$5:AT$22,0)</f>
        <v/>
      </c>
      <c r="AV20" s="46">
        <f>VLOOKUP($A20,INDIRECT("'"&amp;$B$1&amp;"'!$A:$IZ"),92,FALSE)</f>
        <v/>
      </c>
      <c r="AW20" s="47">
        <f>RANK(AV20,AV$5:AV$22,0)</f>
        <v/>
      </c>
      <c r="AX20" s="46">
        <f>VLOOKUP($A20,INDIRECT("'"&amp;$B$1&amp;"'!$A:$IZ"),93,FALSE)</f>
        <v/>
      </c>
      <c r="AY20" s="47">
        <f>RANK(AX20,AX$5:AX$22,0)</f>
        <v/>
      </c>
      <c r="AZ20" s="46">
        <f>VLOOKUP($A20,INDIRECT("'"&amp;$B$1&amp;"'!$A:$IZ"),108,FALSE)</f>
        <v/>
      </c>
      <c r="BA20" s="47">
        <f>RANK(AZ20,AZ$5:AZ$22,0)</f>
        <v/>
      </c>
      <c r="BB20" s="46">
        <f>104-(AU20+AW20+AY20+BA20)</f>
        <v/>
      </c>
      <c r="BC20" s="47">
        <f>RANK(BB20,BB$5:BB$22)</f>
        <v/>
      </c>
      <c r="BD20" s="56" t="n"/>
      <c r="BE20" s="53">
        <f>VLOOKUP($A20,INDIRECT("'"&amp;$B$1&amp;"'!$A:$IZ"),80,FALSE)</f>
        <v/>
      </c>
      <c r="BF20" s="54">
        <f>RANK(BE20,BE$5:BE$22)</f>
        <v/>
      </c>
      <c r="BG20" s="53">
        <f>VLOOKUP($A20,INDIRECT("'"&amp;$B$1&amp;"'!$A:$IZ"),177,FALSE)</f>
        <v/>
      </c>
      <c r="BH20" s="54">
        <f>RANK(BG20,BG$5:BG$22,1)</f>
        <v/>
      </c>
      <c r="BI20" s="53">
        <f>VLOOKUP($A20,INDIRECT("'"&amp;$B$1&amp;"'!$A:$IZ"),79,FALSE)</f>
        <v/>
      </c>
      <c r="BJ20" s="54">
        <f>RANK(BI20,BI$5:BI$22)</f>
        <v/>
      </c>
      <c r="BK20" s="53">
        <f>VLOOKUP($A20,INDIRECT("'"&amp;$B$1&amp;"'!$A:$IZ"),176,FALSE)</f>
        <v/>
      </c>
      <c r="BL20" s="54">
        <f>RANK(BK20,BK$5:BK$22,1)</f>
        <v/>
      </c>
      <c r="BM20" s="53">
        <f>VLOOKUP($A20,INDIRECT("'"&amp;$B$1&amp;"'!$A:$IZ"),11,FALSE)</f>
        <v/>
      </c>
      <c r="BN20" s="54">
        <f>RANK(BM20,BM$5:BM$22)</f>
        <v/>
      </c>
      <c r="BO20" s="53">
        <f>VLOOKUP($A20,INDIRECT("'"&amp;$B$1&amp;"'!$A:$IZ"),222,FALSE)</f>
        <v/>
      </c>
      <c r="BP20" s="54">
        <f>RANK(BO20,BO$5:BO$22)</f>
        <v/>
      </c>
      <c r="BQ20" s="65">
        <f>106-(BF20+BH20+BN20+BP20+BJ20+BL20)</f>
        <v/>
      </c>
      <c r="BR20" s="47">
        <f>RANK(BQ20,BQ$5:BQ$22)</f>
        <v/>
      </c>
      <c r="BS20" s="56" t="n"/>
      <c r="BT20" s="57">
        <f>VLOOKUP($A20,'Ratings Season'!$A:$M,10,FALSE)</f>
        <v/>
      </c>
      <c r="BU20" s="54">
        <f>RANK(BT20,BT$5:BT$22)</f>
        <v/>
      </c>
      <c r="BV20" s="57">
        <f>VLOOKUP($A20,'Ratings Season'!$A:$M,12,FALSE)</f>
        <v/>
      </c>
      <c r="BW20" s="54">
        <f>RANK(BV20,BV$5:BV$22)</f>
        <v/>
      </c>
      <c r="BX20" s="57">
        <f>VLOOKUP($A20,'Ratings Season'!$A:$M,8,FALSE)</f>
        <v/>
      </c>
      <c r="BY20" s="58">
        <f>RANK(BX20,BX$5:BX$22)</f>
        <v/>
      </c>
      <c r="BZ20" s="72" t="n"/>
    </row>
    <row r="21" ht="25" customFormat="1" customHeight="1" s="3">
      <c r="A21" s="91" t="inlineStr">
        <is>
          <t>West Coast</t>
        </is>
      </c>
      <c r="B21" s="53">
        <f>VLOOKUP($A21,INDIRECT("'"&amp;$B$1&amp;"'!$A:$IZ"),222,FALSE)</f>
        <v/>
      </c>
      <c r="C21" s="54">
        <f>RANK(B21,B$5:B$22)</f>
        <v/>
      </c>
      <c r="D21" s="55">
        <f>VLOOKUP($A21,INDIRECT("'"&amp;$B$1&amp;"'!$A:$IZ"),218,FALSE)</f>
        <v/>
      </c>
      <c r="E21" s="54">
        <f>RANK(D21,D$5:D$22)</f>
        <v/>
      </c>
      <c r="F21" s="55">
        <f>VLOOKUP($A21,INDIRECT("'"&amp;$B$1&amp;"'!$A:$IZ"),49,FALSE)</f>
        <v/>
      </c>
      <c r="G21" s="54">
        <f>RANK(F21,F$5:F$22)</f>
        <v/>
      </c>
      <c r="H21" s="55">
        <f>VLOOKUP($A21,INDIRECT("'"&amp;$B$1&amp;"'!$A:$IZ"),229,FALSE)</f>
        <v/>
      </c>
      <c r="I21" s="54">
        <f>RANK(H21,H$5:H$22)</f>
        <v/>
      </c>
      <c r="J21" s="49">
        <f>104-(C21+E21+G21+I21)</f>
        <v/>
      </c>
      <c r="K21" s="47">
        <f>RANK(J21,J$5:J$22)</f>
        <v/>
      </c>
      <c r="L21" s="56" t="n"/>
      <c r="M21" s="53">
        <f>VLOOKUP($A21,INDIRECT("'"&amp;$B$1&amp;"'!$A:$IZ"),88,FALSE)</f>
        <v/>
      </c>
      <c r="N21" s="54">
        <f>RANK(M21,M$5:M$22)</f>
        <v/>
      </c>
      <c r="O21" s="53">
        <f>VLOOKUP($A21,INDIRECT("'"&amp;$B$1&amp;"'!$A:$IZ"),84,FALSE)</f>
        <v/>
      </c>
      <c r="P21" s="54">
        <f>RANK(O21,O$5:O$22)</f>
        <v/>
      </c>
      <c r="Q21" s="53">
        <f>VLOOKUP($A21,INDIRECT("'"&amp;$B$1&amp;"'!$A:$IZ"),85,FALSE)</f>
        <v/>
      </c>
      <c r="R21" s="54">
        <f>RANK(Q21,Q$5:Q$22)</f>
        <v/>
      </c>
      <c r="S21" s="55">
        <f>VLOOKUP($A21,INDIRECT("'"&amp;$B$1&amp;"'!$A:$IZ"),29,FALSE)</f>
        <v/>
      </c>
      <c r="T21" s="54">
        <f>RANK(S21,S$5:S$22)</f>
        <v/>
      </c>
      <c r="U21" s="49">
        <f>104-(N21+P21+R21+T21)</f>
        <v/>
      </c>
      <c r="V21" s="47">
        <f>RANK(U21,U$5:U$22)</f>
        <v/>
      </c>
      <c r="W21" s="56" t="n"/>
      <c r="X21" s="53">
        <f>VLOOKUP($A21,INDIRECT("'"&amp;$B$1&amp;"'!$A:$IZ"),65,FALSE)</f>
        <v/>
      </c>
      <c r="Y21" s="54">
        <f>RANK(X21,X$5:X$22)</f>
        <v/>
      </c>
      <c r="Z21" s="53">
        <f>VLOOKUP($A21,INDIRECT("'"&amp;$B$1&amp;"'!$A:$IZ"),64,FALSE)</f>
        <v/>
      </c>
      <c r="AA21" s="54">
        <f>RANK(Z21,Z$5:Z$22)</f>
        <v/>
      </c>
      <c r="AB21" s="53">
        <f>VLOOKUP($A21,INDIRECT("'"&amp;$B$1&amp;"'!$A:$IZ"),63,FALSE)</f>
        <v/>
      </c>
      <c r="AC21" s="54">
        <f>RANK(AB21,AB$5:AB$22)</f>
        <v/>
      </c>
      <c r="AD21" s="53">
        <f>VLOOKUP($A21,INDIRECT("'"&amp;$B$1&amp;"'!$A:$IZ"),71,FALSE)</f>
        <v/>
      </c>
      <c r="AE21" s="54">
        <f>RANK(AD21,AD$5:AD$22)</f>
        <v/>
      </c>
      <c r="AF21" s="65">
        <f>104-(Y21+AA21+AC21+AE21)</f>
        <v/>
      </c>
      <c r="AG21" s="47">
        <f>RANK(AF21,AF$5:AF$22)</f>
        <v/>
      </c>
      <c r="AH21" s="56" t="n"/>
      <c r="AI21" s="53">
        <f>VLOOKUP($A21,INDIRECT("'"&amp;$B$1&amp;"'!$A:$IZ"),183,FALSE)</f>
        <v/>
      </c>
      <c r="AJ21" s="54">
        <f>RANK(AI21,AI$5:AI$22,1)</f>
        <v/>
      </c>
      <c r="AK21" s="53">
        <f>VLOOKUP($A21,INDIRECT("'"&amp;$B$1&amp;"'!$A:$IZ"),181,FALSE)</f>
        <v/>
      </c>
      <c r="AL21" s="54">
        <f>RANK(AK21,AK$5:AK$22,1)</f>
        <v/>
      </c>
      <c r="AM21" s="53">
        <f>VLOOKUP($A21,INDIRECT("'"&amp;$B$1&amp;"'!$A:$IZ"),182,FALSE)</f>
        <v/>
      </c>
      <c r="AN21" s="54">
        <f>RANK(AM21,AM$5:AM$22,1)</f>
        <v/>
      </c>
      <c r="AO21" s="53">
        <f>VLOOKUP($A21,INDIRECT("'"&amp;$B$1&amp;"'!$A:$IZ"),163,FALSE)</f>
        <v/>
      </c>
      <c r="AP21" s="54">
        <f>RANK(AO21,AO$5:AO$22,1)</f>
        <v/>
      </c>
      <c r="AQ21" s="65">
        <f>104-(AJ21+AL21+AN21+AP21)</f>
        <v/>
      </c>
      <c r="AR21" s="47">
        <f>RANK(AQ21,AQ$5:AQ$22)</f>
        <v/>
      </c>
      <c r="AS21" s="56" t="n"/>
      <c r="AT21" s="46">
        <f>VLOOKUP($A21,INDIRECT("'"&amp;$B$1&amp;"'!$A:$IZ"),250,FALSE)</f>
        <v/>
      </c>
      <c r="AU21" s="47">
        <f>RANK(AT21,AT$5:AT$22,0)</f>
        <v/>
      </c>
      <c r="AV21" s="46">
        <f>VLOOKUP($A21,INDIRECT("'"&amp;$B$1&amp;"'!$A:$IZ"),92,FALSE)</f>
        <v/>
      </c>
      <c r="AW21" s="47">
        <f>RANK(AV21,AV$5:AV$22,0)</f>
        <v/>
      </c>
      <c r="AX21" s="46">
        <f>VLOOKUP($A21,INDIRECT("'"&amp;$B$1&amp;"'!$A:$IZ"),93,FALSE)</f>
        <v/>
      </c>
      <c r="AY21" s="47">
        <f>RANK(AX21,AX$5:AX$22,0)</f>
        <v/>
      </c>
      <c r="AZ21" s="46">
        <f>VLOOKUP($A21,INDIRECT("'"&amp;$B$1&amp;"'!$A:$IZ"),108,FALSE)</f>
        <v/>
      </c>
      <c r="BA21" s="47">
        <f>RANK(AZ21,AZ$5:AZ$22,0)</f>
        <v/>
      </c>
      <c r="BB21" s="46">
        <f>104-(AU21+AW21+AY21+BA21)</f>
        <v/>
      </c>
      <c r="BC21" s="47">
        <f>RANK(BB21,BB$5:BB$22)</f>
        <v/>
      </c>
      <c r="BD21" s="56" t="n"/>
      <c r="BE21" s="53">
        <f>VLOOKUP($A21,INDIRECT("'"&amp;$B$1&amp;"'!$A:$IZ"),80,FALSE)</f>
        <v/>
      </c>
      <c r="BF21" s="54">
        <f>RANK(BE21,BE$5:BE$22)</f>
        <v/>
      </c>
      <c r="BG21" s="53">
        <f>VLOOKUP($A21,INDIRECT("'"&amp;$B$1&amp;"'!$A:$IZ"),177,FALSE)</f>
        <v/>
      </c>
      <c r="BH21" s="54">
        <f>RANK(BG21,BG$5:BG$22,1)</f>
        <v/>
      </c>
      <c r="BI21" s="53">
        <f>VLOOKUP($A21,INDIRECT("'"&amp;$B$1&amp;"'!$A:$IZ"),79,FALSE)</f>
        <v/>
      </c>
      <c r="BJ21" s="54">
        <f>RANK(BI21,BI$5:BI$22)</f>
        <v/>
      </c>
      <c r="BK21" s="53">
        <f>VLOOKUP($A21,INDIRECT("'"&amp;$B$1&amp;"'!$A:$IZ"),176,FALSE)</f>
        <v/>
      </c>
      <c r="BL21" s="54">
        <f>RANK(BK21,BK$5:BK$22,1)</f>
        <v/>
      </c>
      <c r="BM21" s="53">
        <f>VLOOKUP($A21,INDIRECT("'"&amp;$B$1&amp;"'!$A:$IZ"),11,FALSE)</f>
        <v/>
      </c>
      <c r="BN21" s="54">
        <f>RANK(BM21,BM$5:BM$22)</f>
        <v/>
      </c>
      <c r="BO21" s="53">
        <f>VLOOKUP($A21,INDIRECT("'"&amp;$B$1&amp;"'!$A:$IZ"),222,FALSE)</f>
        <v/>
      </c>
      <c r="BP21" s="54">
        <f>RANK(BO21,BO$5:BO$22)</f>
        <v/>
      </c>
      <c r="BQ21" s="65">
        <f>106-(BF21+BH21+BN21+BP21+BJ21+BL21)</f>
        <v/>
      </c>
      <c r="BR21" s="47">
        <f>RANK(BQ21,BQ$5:BQ$22)</f>
        <v/>
      </c>
      <c r="BS21" s="56" t="n"/>
      <c r="BT21" s="57">
        <f>VLOOKUP($A21,'Ratings Season'!$A:$M,10,FALSE)</f>
        <v/>
      </c>
      <c r="BU21" s="54">
        <f>RANK(BT21,BT$5:BT$22)</f>
        <v/>
      </c>
      <c r="BV21" s="57">
        <f>VLOOKUP($A21,'Ratings Season'!$A:$M,12,FALSE)</f>
        <v/>
      </c>
      <c r="BW21" s="54">
        <f>RANK(BV21,BV$5:BV$22)</f>
        <v/>
      </c>
      <c r="BX21" s="57">
        <f>VLOOKUP($A21,'Ratings Season'!$A:$M,8,FALSE)</f>
        <v/>
      </c>
      <c r="BY21" s="58">
        <f>RANK(BX21,BX$5:BX$22)</f>
        <v/>
      </c>
      <c r="BZ21" s="72" t="n"/>
    </row>
    <row r="22" ht="25" customFormat="1" customHeight="1" s="3" thickBot="1">
      <c r="A22" s="92" t="inlineStr">
        <is>
          <t>Western Bulldogs</t>
        </is>
      </c>
      <c r="B22" s="59">
        <f>VLOOKUP($A22,INDIRECT("'"&amp;$B$1&amp;"'!$A:$IZ"),222,FALSE)</f>
        <v/>
      </c>
      <c r="C22" s="60">
        <f>RANK(B22,B$5:B$22)</f>
        <v/>
      </c>
      <c r="D22" s="61">
        <f>VLOOKUP($A22,INDIRECT("'"&amp;$B$1&amp;"'!$A:$IZ"),218,FALSE)</f>
        <v/>
      </c>
      <c r="E22" s="60">
        <f>RANK(D22,D$5:D$22)</f>
        <v/>
      </c>
      <c r="F22" s="61">
        <f>VLOOKUP($A22,INDIRECT("'"&amp;$B$1&amp;"'!$A:$IZ"),49,FALSE)</f>
        <v/>
      </c>
      <c r="G22" s="60">
        <f>RANK(F22,F$5:F$22)</f>
        <v/>
      </c>
      <c r="H22" s="61">
        <f>VLOOKUP($A22,INDIRECT("'"&amp;$B$1&amp;"'!$A:$IZ"),229,FALSE)</f>
        <v/>
      </c>
      <c r="I22" s="60">
        <f>RANK(H22,H$5:H$22)</f>
        <v/>
      </c>
      <c r="J22" s="49">
        <f>104-(C22+E22+G22+I22)</f>
        <v/>
      </c>
      <c r="K22" s="47">
        <f>RANK(J22,J$5:J$22)</f>
        <v/>
      </c>
      <c r="L22" s="62" t="n"/>
      <c r="M22" s="59">
        <f>VLOOKUP($A22,INDIRECT("'"&amp;$B$1&amp;"'!$A:$IZ"),88,FALSE)</f>
        <v/>
      </c>
      <c r="N22" s="60">
        <f>RANK(M22,M$5:M$22)</f>
        <v/>
      </c>
      <c r="O22" s="59">
        <f>VLOOKUP($A22,INDIRECT("'"&amp;$B$1&amp;"'!$A:$IZ"),84,FALSE)</f>
        <v/>
      </c>
      <c r="P22" s="60">
        <f>RANK(O22,O$5:O$22)</f>
        <v/>
      </c>
      <c r="Q22" s="59">
        <f>VLOOKUP($A22,INDIRECT("'"&amp;$B$1&amp;"'!$A:$IZ"),85,FALSE)</f>
        <v/>
      </c>
      <c r="R22" s="60">
        <f>RANK(Q22,Q$5:Q$22)</f>
        <v/>
      </c>
      <c r="S22" s="61">
        <f>VLOOKUP($A22,INDIRECT("'"&amp;$B$1&amp;"'!$A:$IZ"),29,FALSE)</f>
        <v/>
      </c>
      <c r="T22" s="60">
        <f>RANK(S22,S$5:S$22)</f>
        <v/>
      </c>
      <c r="U22" s="49">
        <f>104-(N22+P22+R22+T22)</f>
        <v/>
      </c>
      <c r="V22" s="47">
        <f>RANK(U22,U$5:U$22)</f>
        <v/>
      </c>
      <c r="W22" s="62" t="n"/>
      <c r="X22" s="59">
        <f>VLOOKUP($A22,INDIRECT("'"&amp;$B$1&amp;"'!$A:$IZ"),65,FALSE)</f>
        <v/>
      </c>
      <c r="Y22" s="60">
        <f>RANK(X22,X$5:X$22)</f>
        <v/>
      </c>
      <c r="Z22" s="59">
        <f>VLOOKUP($A22,INDIRECT("'"&amp;$B$1&amp;"'!$A:$IZ"),64,FALSE)</f>
        <v/>
      </c>
      <c r="AA22" s="60">
        <f>RANK(Z22,Z$5:Z$22)</f>
        <v/>
      </c>
      <c r="AB22" s="59">
        <f>VLOOKUP($A22,INDIRECT("'"&amp;$B$1&amp;"'!$A:$IZ"),63,FALSE)</f>
        <v/>
      </c>
      <c r="AC22" s="60">
        <f>RANK(AB22,AB$5:AB$22)</f>
        <v/>
      </c>
      <c r="AD22" s="59">
        <f>VLOOKUP($A22,INDIRECT("'"&amp;$B$1&amp;"'!$A:$IZ"),71,FALSE)</f>
        <v/>
      </c>
      <c r="AE22" s="60">
        <f>RANK(AD22,AD$5:AD$22)</f>
        <v/>
      </c>
      <c r="AF22" s="66">
        <f>104-(Y22+AA22+AC22+AE22)</f>
        <v/>
      </c>
      <c r="AG22" s="47">
        <f>RANK(AF22,AF$5:AF$22)</f>
        <v/>
      </c>
      <c r="AH22" s="62" t="n"/>
      <c r="AI22" s="59">
        <f>VLOOKUP($A22,INDIRECT("'"&amp;$B$1&amp;"'!$A:$IZ"),183,FALSE)</f>
        <v/>
      </c>
      <c r="AJ22" s="60">
        <f>RANK(AI22,AI$5:AI$22,1)</f>
        <v/>
      </c>
      <c r="AK22" s="59">
        <f>VLOOKUP($A22,INDIRECT("'"&amp;$B$1&amp;"'!$A:$IZ"),181,FALSE)</f>
        <v/>
      </c>
      <c r="AL22" s="60">
        <f>RANK(AK22,AK$5:AK$22,1)</f>
        <v/>
      </c>
      <c r="AM22" s="59">
        <f>VLOOKUP($A22,INDIRECT("'"&amp;$B$1&amp;"'!$A:$IZ"),182,FALSE)</f>
        <v/>
      </c>
      <c r="AN22" s="60">
        <f>RANK(AM22,AM$5:AM$22,1)</f>
        <v/>
      </c>
      <c r="AO22" s="59">
        <f>VLOOKUP($A22,INDIRECT("'"&amp;$B$1&amp;"'!$A:$IZ"),163,FALSE)</f>
        <v/>
      </c>
      <c r="AP22" s="60">
        <f>RANK(AO22,AO$5:AO$22,1)</f>
        <v/>
      </c>
      <c r="AQ22" s="66">
        <f>104-(AJ22+AL22+AN22+AP22)</f>
        <v/>
      </c>
      <c r="AR22" s="47">
        <f>RANK(AQ22,AQ$5:AQ$22)</f>
        <v/>
      </c>
      <c r="AS22" s="62" t="n"/>
      <c r="AT22" s="46">
        <f>VLOOKUP($A22,INDIRECT("'"&amp;$B$1&amp;"'!$A:$IZ"),250,FALSE)</f>
        <v/>
      </c>
      <c r="AU22" s="47">
        <f>RANK(AT22,AT$5:AT$22,0)</f>
        <v/>
      </c>
      <c r="AV22" s="46">
        <f>VLOOKUP($A22,INDIRECT("'"&amp;$B$1&amp;"'!$A:$IZ"),92,FALSE)</f>
        <v/>
      </c>
      <c r="AW22" s="47">
        <f>RANK(AV22,AV$5:AV$22,0)</f>
        <v/>
      </c>
      <c r="AX22" s="46">
        <f>VLOOKUP($A22,INDIRECT("'"&amp;$B$1&amp;"'!$A:$IZ"),93,FALSE)</f>
        <v/>
      </c>
      <c r="AY22" s="47">
        <f>RANK(AX22,AX$5:AX$22,0)</f>
        <v/>
      </c>
      <c r="AZ22" s="46">
        <f>VLOOKUP($A22,INDIRECT("'"&amp;$B$1&amp;"'!$A:$IZ"),108,FALSE)</f>
        <v/>
      </c>
      <c r="BA22" s="47">
        <f>RANK(AZ22,AZ$5:AZ$22,0)</f>
        <v/>
      </c>
      <c r="BB22" s="46">
        <f>104-(AU22+AW22+AY22+BA22)</f>
        <v/>
      </c>
      <c r="BC22" s="47">
        <f>RANK(BB22,BB$5:BB$22)</f>
        <v/>
      </c>
      <c r="BD22" s="62" t="n"/>
      <c r="BE22" s="59">
        <f>VLOOKUP($A22,INDIRECT("'"&amp;$B$1&amp;"'!$A:$IZ"),80,FALSE)</f>
        <v/>
      </c>
      <c r="BF22" s="60">
        <f>RANK(BE22,BE$5:BE$22)</f>
        <v/>
      </c>
      <c r="BG22" s="59">
        <f>VLOOKUP($A22,INDIRECT("'"&amp;$B$1&amp;"'!$A:$IZ"),177,FALSE)</f>
        <v/>
      </c>
      <c r="BH22" s="60">
        <f>RANK(BG22,BG$5:BG$22,1)</f>
        <v/>
      </c>
      <c r="BI22" s="59">
        <f>VLOOKUP($A22,INDIRECT("'"&amp;$B$1&amp;"'!$A:$IZ"),79,FALSE)</f>
        <v/>
      </c>
      <c r="BJ22" s="60">
        <f>RANK(BI22,BI$5:BI$22)</f>
        <v/>
      </c>
      <c r="BK22" s="59">
        <f>VLOOKUP($A22,INDIRECT("'"&amp;$B$1&amp;"'!$A:$IZ"),176,FALSE)</f>
        <v/>
      </c>
      <c r="BL22" s="60">
        <f>RANK(BK22,BK$5:BK$22,1)</f>
        <v/>
      </c>
      <c r="BM22" s="59">
        <f>VLOOKUP($A22,INDIRECT("'"&amp;$B$1&amp;"'!$A:$IZ"),11,FALSE)</f>
        <v/>
      </c>
      <c r="BN22" s="60">
        <f>RANK(BM22,BM$5:BM$22)</f>
        <v/>
      </c>
      <c r="BO22" s="59">
        <f>VLOOKUP($A22,INDIRECT("'"&amp;$B$1&amp;"'!$A:$IZ"),222,FALSE)</f>
        <v/>
      </c>
      <c r="BP22" s="60">
        <f>RANK(BO22,BO$5:BO$22)</f>
        <v/>
      </c>
      <c r="BQ22" s="66">
        <f>106-(BF22+BH22+BN22+BP22+BJ22+BL22)</f>
        <v/>
      </c>
      <c r="BR22" s="47">
        <f>RANK(BQ22,BQ$5:BQ$22)</f>
        <v/>
      </c>
      <c r="BS22" s="62" t="n"/>
      <c r="BT22" s="63">
        <f>VLOOKUP($A22,'Ratings Season'!$A:$M,10,FALSE)</f>
        <v/>
      </c>
      <c r="BU22" s="60">
        <f>RANK(BT22,BT$5:BT$22)</f>
        <v/>
      </c>
      <c r="BV22" s="63">
        <f>VLOOKUP($A22,'Ratings Season'!$A:$M,12,FALSE)</f>
        <v/>
      </c>
      <c r="BW22" s="60">
        <f>RANK(BV22,BV$5:BV$22)</f>
        <v/>
      </c>
      <c r="BX22" s="63">
        <f>VLOOKUP($A22,'Ratings Season'!$A:$M,8,FALSE)</f>
        <v/>
      </c>
      <c r="BY22" s="64">
        <f>RANK(BX22,BX$5:BX$22)</f>
        <v/>
      </c>
      <c r="BZ22" s="72" t="n"/>
    </row>
    <row r="23">
      <c r="BZ23" s="69" t="n"/>
    </row>
    <row r="24" ht="35" customHeight="1">
      <c r="A24" s="67" t="inlineStr">
        <is>
          <t>SEASON TOTAL</t>
        </is>
      </c>
      <c r="B24" s="154" t="n">
        <v>2023</v>
      </c>
    </row>
    <row r="25" ht="17" customHeight="1" thickBot="1"/>
    <row r="26" ht="22" customHeight="1" thickBot="1">
      <c r="A26" s="240" t="inlineStr">
        <is>
          <t>Team</t>
        </is>
      </c>
      <c r="B26" s="242" t="inlineStr">
        <is>
          <t>Ball Winning</t>
        </is>
      </c>
      <c r="C26" s="321" t="n"/>
      <c r="D26" s="321" t="n"/>
      <c r="E26" s="321" t="n"/>
      <c r="F26" s="321" t="n"/>
      <c r="G26" s="321" t="n"/>
      <c r="H26" s="321" t="n"/>
      <c r="I26" s="321" t="n"/>
      <c r="J26" s="321" t="n"/>
      <c r="K26" s="321" t="n"/>
      <c r="L26" s="39" t="n"/>
      <c r="M26" s="245" t="inlineStr">
        <is>
          <t>Ball Movement</t>
        </is>
      </c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9" t="n"/>
      <c r="X26" s="248" t="inlineStr">
        <is>
          <t>Scoring</t>
        </is>
      </c>
      <c r="Y26" s="321" t="n"/>
      <c r="Z26" s="321" t="n"/>
      <c r="AA26" s="321" t="n"/>
      <c r="AB26" s="321" t="n"/>
      <c r="AC26" s="321" t="n"/>
      <c r="AD26" s="321" t="n"/>
      <c r="AE26" s="321" t="n"/>
      <c r="AF26" s="321" t="n"/>
      <c r="AG26" s="321" t="n"/>
      <c r="AH26" s="39" t="n"/>
      <c r="AI26" s="251" t="inlineStr">
        <is>
          <t>Defence</t>
        </is>
      </c>
      <c r="AJ26" s="321" t="n"/>
      <c r="AK26" s="321" t="n"/>
      <c r="AL26" s="321" t="n"/>
      <c r="AM26" s="321" t="n"/>
      <c r="AN26" s="321" t="n"/>
      <c r="AO26" s="321" t="n"/>
      <c r="AP26" s="321" t="n"/>
      <c r="AQ26" s="321" t="n"/>
      <c r="AR26" s="321" t="n"/>
      <c r="AS26" s="39" t="n"/>
      <c r="AT26" s="254" t="inlineStr">
        <is>
          <t>Pressure</t>
        </is>
      </c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9" t="n"/>
      <c r="BE26" s="322" t="inlineStr">
        <is>
          <t>Health Check</t>
        </is>
      </c>
      <c r="BF26" s="321" t="n"/>
      <c r="BG26" s="321" t="n"/>
      <c r="BH26" s="321" t="n"/>
      <c r="BI26" s="321" t="n"/>
      <c r="BJ26" s="321" t="n"/>
      <c r="BK26" s="321" t="n"/>
      <c r="BL26" s="321" t="n"/>
      <c r="BM26" s="321" t="n"/>
      <c r="BN26" s="321" t="n"/>
      <c r="BO26" s="321" t="n"/>
      <c r="BP26" s="321" t="n"/>
      <c r="BQ26" s="321" t="n"/>
      <c r="BR26" s="323" t="n"/>
      <c r="BS26" s="39" t="n"/>
      <c r="BT26" s="237" t="inlineStr">
        <is>
          <t>Wheelo Ratings</t>
        </is>
      </c>
      <c r="BU26" s="321" t="n"/>
      <c r="BV26" s="321" t="n"/>
      <c r="BW26" s="321" t="n"/>
      <c r="BX26" s="321" t="n"/>
      <c r="BY26" s="324" t="n"/>
    </row>
    <row r="27" ht="69" customHeight="1" thickBot="1">
      <c r="A27" s="325" t="n"/>
      <c r="B27" s="21" t="inlineStr">
        <is>
          <t>Post Clear CP Diff</t>
        </is>
      </c>
      <c r="C27" s="20" t="inlineStr">
        <is>
          <t>#</t>
        </is>
      </c>
      <c r="D27" s="20" t="inlineStr">
        <is>
          <t>Ground Ball Diff</t>
        </is>
      </c>
      <c r="E27" s="20" t="inlineStr">
        <is>
          <t>#</t>
        </is>
      </c>
      <c r="F27" s="20" t="inlineStr">
        <is>
          <t>1st Poss to Clear %</t>
        </is>
      </c>
      <c r="G27" s="20" t="inlineStr">
        <is>
          <t>#</t>
        </is>
      </c>
      <c r="H27" s="20" t="inlineStr">
        <is>
          <t>Clearance Diff</t>
        </is>
      </c>
      <c r="I27" s="29" t="inlineStr">
        <is>
          <t>#</t>
        </is>
      </c>
      <c r="J27" s="27" t="inlineStr">
        <is>
          <t>Ball Winning Ranking</t>
        </is>
      </c>
      <c r="K27" s="28" t="inlineStr">
        <is>
          <t>#</t>
        </is>
      </c>
      <c r="L27" s="40" t="n"/>
      <c r="M27" s="19" t="inlineStr">
        <is>
          <t>Def Half to Score %</t>
        </is>
      </c>
      <c r="N27" s="8" t="inlineStr">
        <is>
          <t>#</t>
        </is>
      </c>
      <c r="O27" s="8" t="inlineStr">
        <is>
          <t>Chain to Score %</t>
        </is>
      </c>
      <c r="P27" s="8" t="inlineStr">
        <is>
          <t>#</t>
        </is>
      </c>
      <c r="Q27" s="8" t="inlineStr">
        <is>
          <t>D50 to F50 %</t>
        </is>
      </c>
      <c r="R27" s="8" t="inlineStr">
        <is>
          <t>#</t>
        </is>
      </c>
      <c r="S27" s="8" t="inlineStr">
        <is>
          <t>Kick Rating</t>
        </is>
      </c>
      <c r="T27" s="9" t="inlineStr">
        <is>
          <t>#</t>
        </is>
      </c>
      <c r="U27" s="30" t="inlineStr">
        <is>
          <t>Ball Movement Ranking</t>
        </is>
      </c>
      <c r="V27" s="31" t="inlineStr">
        <is>
          <t>#</t>
        </is>
      </c>
      <c r="W27" s="40" t="n"/>
      <c r="X27" s="41" t="inlineStr">
        <is>
          <t>Scores per I50 %</t>
        </is>
      </c>
      <c r="Y27" s="23" t="inlineStr">
        <is>
          <t>#</t>
        </is>
      </c>
      <c r="Z27" s="23" t="inlineStr">
        <is>
          <t>Goals Per I 50 %</t>
        </is>
      </c>
      <c r="AA27" s="23" t="inlineStr">
        <is>
          <t>#</t>
        </is>
      </c>
      <c r="AB27" s="23" t="inlineStr">
        <is>
          <t>Accuracy %</t>
        </is>
      </c>
      <c r="AC27" s="23" t="inlineStr">
        <is>
          <t>#</t>
        </is>
      </c>
      <c r="AD27" s="42" t="inlineStr">
        <is>
          <t>+/- Exp Score</t>
        </is>
      </c>
      <c r="AE27" s="43" t="inlineStr">
        <is>
          <t>#</t>
        </is>
      </c>
      <c r="AF27" s="44" t="inlineStr">
        <is>
          <t>Scoring Ranking</t>
        </is>
      </c>
      <c r="AG27" s="45" t="inlineStr">
        <is>
          <t>#</t>
        </is>
      </c>
      <c r="AH27" s="40" t="n"/>
      <c r="AI27" s="13" t="inlineStr">
        <is>
          <t>Def Half to Score Ag %</t>
        </is>
      </c>
      <c r="AJ27" s="14" t="inlineStr">
        <is>
          <t>#</t>
        </is>
      </c>
      <c r="AK27" s="14" t="inlineStr">
        <is>
          <t>Chain to Score Ag %</t>
        </is>
      </c>
      <c r="AL27" s="14" t="inlineStr">
        <is>
          <t>#</t>
        </is>
      </c>
      <c r="AM27" s="14" t="inlineStr">
        <is>
          <t>D50 to F50 Ag %</t>
        </is>
      </c>
      <c r="AN27" s="14" t="inlineStr">
        <is>
          <t>#</t>
        </is>
      </c>
      <c r="AO27" s="14" t="inlineStr">
        <is>
          <t>Goals per I50 Ag %</t>
        </is>
      </c>
      <c r="AP27" s="15" t="inlineStr">
        <is>
          <t>#</t>
        </is>
      </c>
      <c r="AQ27" s="33" t="inlineStr">
        <is>
          <t>Defence Ranking</t>
        </is>
      </c>
      <c r="AR27" s="34" t="inlineStr">
        <is>
          <t>#</t>
        </is>
      </c>
      <c r="AS27" s="40" t="n"/>
      <c r="AT27" s="183" t="inlineStr">
        <is>
          <t>Tackle Diff</t>
        </is>
      </c>
      <c r="AU27" s="184" t="inlineStr">
        <is>
          <t>#</t>
        </is>
      </c>
      <c r="AV27" s="184" t="inlineStr">
        <is>
          <t>F50 Tackles</t>
        </is>
      </c>
      <c r="AW27" s="184" t="inlineStr">
        <is>
          <t>#</t>
        </is>
      </c>
      <c r="AX27" s="184" t="inlineStr">
        <is>
          <t>Pressure Acts</t>
        </is>
      </c>
      <c r="AY27" s="184" t="inlineStr">
        <is>
          <t>#</t>
        </is>
      </c>
      <c r="AZ27" s="184" t="inlineStr">
        <is>
          <t>1%'ers</t>
        </is>
      </c>
      <c r="BA27" s="185" t="inlineStr">
        <is>
          <t>#</t>
        </is>
      </c>
      <c r="BB27" s="186" t="inlineStr">
        <is>
          <t>Pressure Ranking</t>
        </is>
      </c>
      <c r="BC27" s="187" t="inlineStr">
        <is>
          <t>#</t>
        </is>
      </c>
      <c r="BD27" s="40" t="n"/>
      <c r="BE27" s="16" t="inlineStr">
        <is>
          <t>Score from Turnover For</t>
        </is>
      </c>
      <c r="BF27" s="17" t="inlineStr">
        <is>
          <t>#</t>
        </is>
      </c>
      <c r="BG27" s="17" t="inlineStr">
        <is>
          <t>Scores from Turnover Ag</t>
        </is>
      </c>
      <c r="BH27" s="17" t="inlineStr">
        <is>
          <t>#</t>
        </is>
      </c>
      <c r="BI27" s="17" t="inlineStr">
        <is>
          <t>Scores from Stoppages For</t>
        </is>
      </c>
      <c r="BJ27" s="17" t="inlineStr">
        <is>
          <t>#</t>
        </is>
      </c>
      <c r="BK27" s="17" t="inlineStr">
        <is>
          <t>Scores from Stoppage Ag</t>
        </is>
      </c>
      <c r="BL27" s="17" t="inlineStr">
        <is>
          <t>#</t>
        </is>
      </c>
      <c r="BM27" s="17" t="inlineStr">
        <is>
          <t>Territory %</t>
        </is>
      </c>
      <c r="BN27" s="17" t="inlineStr">
        <is>
          <t>#</t>
        </is>
      </c>
      <c r="BO27" s="17" t="inlineStr">
        <is>
          <t>Post-Clearance CP Diff</t>
        </is>
      </c>
      <c r="BP27" s="35" t="inlineStr">
        <is>
          <t>#</t>
        </is>
      </c>
      <c r="BQ27" s="36" t="inlineStr">
        <is>
          <t>Health Check Ranking</t>
        </is>
      </c>
      <c r="BR27" s="37" t="inlineStr">
        <is>
          <t>#</t>
        </is>
      </c>
      <c r="BS27" s="40" t="n"/>
      <c r="BT27" s="22" t="inlineStr">
        <is>
          <t>Attack Rating</t>
        </is>
      </c>
      <c r="BU27" s="23" t="inlineStr">
        <is>
          <t>#</t>
        </is>
      </c>
      <c r="BV27" s="23" t="inlineStr">
        <is>
          <t>Defence Rating</t>
        </is>
      </c>
      <c r="BW27" s="23" t="inlineStr">
        <is>
          <t>#</t>
        </is>
      </c>
      <c r="BX27" s="23" t="inlineStr">
        <is>
          <t>Overall Rating</t>
        </is>
      </c>
      <c r="BY27" s="24" t="inlineStr">
        <is>
          <t>#</t>
        </is>
      </c>
    </row>
    <row r="28" ht="25" customHeight="1">
      <c r="A28" s="75" t="inlineStr">
        <is>
          <t>Adelaide</t>
        </is>
      </c>
      <c r="B28" s="46">
        <f>VLOOKUP($A28,INDIRECT("'"&amp;$B$24&amp;"'!$A:$IZ"),222,FALSE)</f>
        <v/>
      </c>
      <c r="C28" s="47">
        <f>RANK(B28,B$28:B$45)</f>
        <v/>
      </c>
      <c r="D28" s="48">
        <f>VLOOKUP($A28,INDIRECT("'"&amp;$B$24&amp;"'!$A:$IZ"),218,FALSE)</f>
        <v/>
      </c>
      <c r="E28" s="47">
        <f>RANK(D28,D$28:D$45)</f>
        <v/>
      </c>
      <c r="F28" s="48">
        <f>VLOOKUP($A28,INDIRECT("'"&amp;$B$24&amp;"'!$A:$IZ"),49,FALSE)</f>
        <v/>
      </c>
      <c r="G28" s="47">
        <f>RANK(F28,F$28:F$45)</f>
        <v/>
      </c>
      <c r="H28" s="48">
        <f>VLOOKUP($A28,INDIRECT("'"&amp;$B$24&amp;"'!$A:$IZ"),229,FALSE)</f>
        <v/>
      </c>
      <c r="I28" s="47">
        <f>RANK(H28,H$28:H$45)</f>
        <v/>
      </c>
      <c r="J28" s="49">
        <f>104-(C28+E28+G28+I28)</f>
        <v/>
      </c>
      <c r="K28" s="47">
        <f>RANK(J28,J$28:J$45)</f>
        <v/>
      </c>
      <c r="L28" s="50" t="n"/>
      <c r="M28" s="46">
        <f>VLOOKUP($A28,INDIRECT("'"&amp;$B$24&amp;"'!$A:$IZ"),88,FALSE)</f>
        <v/>
      </c>
      <c r="N28" s="47">
        <f>RANK(M28,M$28:M$45)</f>
        <v/>
      </c>
      <c r="O28" s="46">
        <f>VLOOKUP($A28,INDIRECT("'"&amp;$B$24&amp;"'!$A:$IZ"),84,FALSE)</f>
        <v/>
      </c>
      <c r="P28" s="47">
        <f>RANK(O28,O$28:O$45)</f>
        <v/>
      </c>
      <c r="Q28" s="46">
        <f>VLOOKUP($A28,INDIRECT("'"&amp;$B$24&amp;"'!$A:$IZ"),85,FALSE)</f>
        <v/>
      </c>
      <c r="R28" s="47">
        <f>RANK(Q28,Q$28:Q$45)</f>
        <v/>
      </c>
      <c r="S28" s="48">
        <f>VLOOKUP($A28,INDIRECT("'"&amp;$B$24&amp;"'!$A:$IZ"),29,FALSE)</f>
        <v/>
      </c>
      <c r="T28" s="47">
        <f>RANK(S28,S$28:S$45)</f>
        <v/>
      </c>
      <c r="U28" s="49">
        <f>104-(N28+P28+R28+T28)</f>
        <v/>
      </c>
      <c r="V28" s="47">
        <f>RANK(U28,U$28:U$45)</f>
        <v/>
      </c>
      <c r="W28" s="50" t="n"/>
      <c r="X28" s="46">
        <f>VLOOKUP($A28,INDIRECT("'"&amp;$B$24&amp;"'!$A:$IZ"),65,FALSE)</f>
        <v/>
      </c>
      <c r="Y28" s="47">
        <f>RANK(X28,X$28:X$45)</f>
        <v/>
      </c>
      <c r="Z28" s="46">
        <f>VLOOKUP($A28,INDIRECT("'"&amp;$B$24&amp;"'!$A:$IZ"),64,FALSE)</f>
        <v/>
      </c>
      <c r="AA28" s="47">
        <f>RANK(Z28,Z$28:Z$45)</f>
        <v/>
      </c>
      <c r="AB28" s="46">
        <f>VLOOKUP($A28,INDIRECT("'"&amp;$B$24&amp;"'!$A:$IZ"),63,FALSE)</f>
        <v/>
      </c>
      <c r="AC28" s="47">
        <f>RANK(AB28,AB$28:AB$45)</f>
        <v/>
      </c>
      <c r="AD28" s="46">
        <f>VLOOKUP($A28,INDIRECT("'"&amp;$B$24&amp;"'!$A:$IZ"),71,FALSE)</f>
        <v/>
      </c>
      <c r="AE28" s="47">
        <f>RANK(AD28,AD$28:AD$45)</f>
        <v/>
      </c>
      <c r="AF28" s="49">
        <f>104-(Y28+AA28+AC28+AE28)</f>
        <v/>
      </c>
      <c r="AG28" s="47">
        <f>RANK(AF28,AF$28:AF$45)</f>
        <v/>
      </c>
      <c r="AH28" s="50" t="n"/>
      <c r="AI28" s="46">
        <f>VLOOKUP($A28,INDIRECT("'"&amp;$B$24&amp;"'!$A:$IZ"),183,FALSE)</f>
        <v/>
      </c>
      <c r="AJ28" s="47">
        <f>RANK(AI28,AI$28:AI$45,1)</f>
        <v/>
      </c>
      <c r="AK28" s="46">
        <f>VLOOKUP($A28,INDIRECT("'"&amp;$B$24&amp;"'!$A:$IZ"),181,FALSE)</f>
        <v/>
      </c>
      <c r="AL28" s="47">
        <f>RANK(AK28,AK$28:AK$45,1)</f>
        <v/>
      </c>
      <c r="AM28" s="46">
        <f>VLOOKUP($A28,INDIRECT("'"&amp;$B$24&amp;"'!$A:$IZ"),182,FALSE)</f>
        <v/>
      </c>
      <c r="AN28" s="47">
        <f>RANK(AM28,AM$28:AM$45,1)</f>
        <v/>
      </c>
      <c r="AO28" s="46">
        <f>VLOOKUP($A28,INDIRECT("'"&amp;$B$24&amp;"'!$A:$IZ"),163,FALSE)</f>
        <v/>
      </c>
      <c r="AP28" s="47">
        <f>RANK(AO28,AO$28:AO$45,1)</f>
        <v/>
      </c>
      <c r="AQ28" s="49">
        <f>104-(AJ28+AL28+AN28+AP28)</f>
        <v/>
      </c>
      <c r="AR28" s="47">
        <f>RANK(AQ28,AQ$28:AQ$45)</f>
        <v/>
      </c>
      <c r="AS28" s="50" t="n"/>
      <c r="AT28" s="46">
        <f>VLOOKUP($A28,INDIRECT("'"&amp;$B$24&amp;"'!$A:$IZ"),250,FALSE)</f>
        <v/>
      </c>
      <c r="AU28" s="47">
        <f>RANK(AT28,AT$28:AT$45,0)</f>
        <v/>
      </c>
      <c r="AV28" s="46">
        <f>VLOOKUP($A28,INDIRECT("'"&amp;$B$24&amp;"'!$A:$IZ"),92,FALSE)</f>
        <v/>
      </c>
      <c r="AW28" s="47">
        <f>RANK(AV28,AV$28:AV$45,0)</f>
        <v/>
      </c>
      <c r="AX28" s="46">
        <f>VLOOKUP($A28,INDIRECT("'"&amp;$B$24&amp;"'!$A:$IZ"),93,FALSE)</f>
        <v/>
      </c>
      <c r="AY28" s="47">
        <f>RANK(AX28,AX$28:AX$45,0)</f>
        <v/>
      </c>
      <c r="AZ28" s="46">
        <f>VLOOKUP($A28,INDIRECT("'"&amp;$B$24&amp;"'!$A:$IZ"),108,FALSE)</f>
        <v/>
      </c>
      <c r="BA28" s="47">
        <f>RANK(AZ28,AZ$28:AZ$45,0)</f>
        <v/>
      </c>
      <c r="BB28" s="46">
        <f>104-(AU28+AW28+AY28+BA28)</f>
        <v/>
      </c>
      <c r="BC28" s="47">
        <f>RANK(BB28,BB$28:BB$45)</f>
        <v/>
      </c>
      <c r="BD28" s="50" t="n"/>
      <c r="BE28" s="46">
        <f>VLOOKUP($A28,INDIRECT("'"&amp;$B$24&amp;"'!$A:$IZ"),80,FALSE)</f>
        <v/>
      </c>
      <c r="BF28" s="47">
        <f>RANK(BE28,BE$28:BE$45)</f>
        <v/>
      </c>
      <c r="BG28" s="46">
        <f>VLOOKUP($A28,INDIRECT("'"&amp;$B$24&amp;"'!$A:$IZ"),177,FALSE)</f>
        <v/>
      </c>
      <c r="BH28" s="47">
        <f>RANK(BG28,BG$28:BG$45,1)</f>
        <v/>
      </c>
      <c r="BI28" s="46">
        <f>VLOOKUP($A28,INDIRECT("'"&amp;$B$24&amp;"'!$A:$IZ"),79,FALSE)</f>
        <v/>
      </c>
      <c r="BJ28" s="47">
        <f>RANK(BI28,BI$28:BI$45)</f>
        <v/>
      </c>
      <c r="BK28" s="46">
        <f>VLOOKUP($A28,INDIRECT("'"&amp;$B$24&amp;"'!$A:$IZ"),176,FALSE)</f>
        <v/>
      </c>
      <c r="BL28" s="47">
        <f>RANK(BK28,BK$28:BK$45,1)</f>
        <v/>
      </c>
      <c r="BM28" s="46">
        <f>VLOOKUP($A28,INDIRECT("'"&amp;$B$24&amp;"'!$A:$IZ"),11,FALSE)</f>
        <v/>
      </c>
      <c r="BN28" s="47">
        <f>RANK(BM28,BM$28:BM$45)</f>
        <v/>
      </c>
      <c r="BO28" s="46">
        <f>VLOOKUP($A28,INDIRECT("'"&amp;$B$24&amp;"'!$A:$IZ"),222,FALSE)</f>
        <v/>
      </c>
      <c r="BP28" s="47">
        <f>RANK(BO28,BO$28:BO$45)</f>
        <v/>
      </c>
      <c r="BQ28" s="49">
        <f>104-(BJ28+BL28+BN28+BP28)</f>
        <v/>
      </c>
      <c r="BR28" s="47">
        <f>RANK(BQ28,BQ$28:BQ$45)</f>
        <v/>
      </c>
      <c r="BS28" s="50" t="n"/>
      <c r="BT28" s="51">
        <f>VLOOKUP($A28,'Ratings Season'!$A:$M,8,FALSE)</f>
        <v/>
      </c>
      <c r="BU28" s="47">
        <f>RANK(BT28,BT$28:BT$45)</f>
        <v/>
      </c>
      <c r="BV28" s="51">
        <f>VLOOKUP($A28,'Ratings Season'!$A:$M,4,FALSE)</f>
        <v/>
      </c>
      <c r="BW28" s="47">
        <f>RANK(BV28,BV$28:BV$45)</f>
        <v/>
      </c>
      <c r="BX28" s="51">
        <f>VLOOKUP($A28,'Ratings Season'!$A:$M,2,FALSE)</f>
        <v/>
      </c>
      <c r="BY28" s="52">
        <f>RANK(BX28,BX$28:BX$45)</f>
        <v/>
      </c>
    </row>
    <row r="29" ht="25" customHeight="1">
      <c r="A29" s="76" t="inlineStr">
        <is>
          <t>Brisbane</t>
        </is>
      </c>
      <c r="B29" s="53">
        <f>VLOOKUP($A29,INDIRECT("'"&amp;$B$24&amp;"'!$A:$IZ"),222,FALSE)</f>
        <v/>
      </c>
      <c r="C29" s="54">
        <f>RANK(B29,B$28:B$45)</f>
        <v/>
      </c>
      <c r="D29" s="55">
        <f>VLOOKUP($A29,INDIRECT("'"&amp;$B$24&amp;"'!$A:$IZ"),218,FALSE)</f>
        <v/>
      </c>
      <c r="E29" s="54">
        <f>RANK(D29,D$28:D$45)</f>
        <v/>
      </c>
      <c r="F29" s="55">
        <f>VLOOKUP($A29,INDIRECT("'"&amp;$B$24&amp;"'!$A:$IZ"),49,FALSE)</f>
        <v/>
      </c>
      <c r="G29" s="54">
        <f>RANK(F29,F$28:F$45)</f>
        <v/>
      </c>
      <c r="H29" s="55">
        <f>VLOOKUP($A29,INDIRECT("'"&amp;$B$24&amp;"'!$A:$IZ"),229,FALSE)</f>
        <v/>
      </c>
      <c r="I29" s="54">
        <f>RANK(H29,H$28:H$45)</f>
        <v/>
      </c>
      <c r="J29" s="49">
        <f>104-(C29+E29+G29+I29)</f>
        <v/>
      </c>
      <c r="K29" s="47">
        <f>RANK(J29,J$28:J$45)</f>
        <v/>
      </c>
      <c r="L29" s="56" t="n"/>
      <c r="M29" s="53">
        <f>VLOOKUP($A29,INDIRECT("'"&amp;$B$24&amp;"'!$A:$IZ"),88,FALSE)</f>
        <v/>
      </c>
      <c r="N29" s="54">
        <f>RANK(M29,M$28:M$45)</f>
        <v/>
      </c>
      <c r="O29" s="53">
        <f>VLOOKUP($A29,INDIRECT("'"&amp;$B$24&amp;"'!$A:$IZ"),84,FALSE)</f>
        <v/>
      </c>
      <c r="P29" s="54">
        <f>RANK(O29,O$28:O$45)</f>
        <v/>
      </c>
      <c r="Q29" s="53">
        <f>VLOOKUP($A29,INDIRECT("'"&amp;$B$24&amp;"'!$A:$IZ"),85,FALSE)</f>
        <v/>
      </c>
      <c r="R29" s="54">
        <f>RANK(Q29,Q$28:Q$45)</f>
        <v/>
      </c>
      <c r="S29" s="55">
        <f>VLOOKUP($A29,INDIRECT("'"&amp;$B$24&amp;"'!$A:$IZ"),29,FALSE)</f>
        <v/>
      </c>
      <c r="T29" s="54">
        <f>RANK(S29,S$28:S$45)</f>
        <v/>
      </c>
      <c r="U29" s="49">
        <f>104-(N29+P29+R29+T29)</f>
        <v/>
      </c>
      <c r="V29" s="47">
        <f>RANK(U29,U$28:U$45)</f>
        <v/>
      </c>
      <c r="W29" s="56" t="n"/>
      <c r="X29" s="53">
        <f>VLOOKUP($A29,INDIRECT("'"&amp;$B$24&amp;"'!$A:$IZ"),65,FALSE)</f>
        <v/>
      </c>
      <c r="Y29" s="54">
        <f>RANK(X29,X$28:X$45)</f>
        <v/>
      </c>
      <c r="Z29" s="53">
        <f>VLOOKUP($A29,INDIRECT("'"&amp;$B$24&amp;"'!$A:$IZ"),64,FALSE)</f>
        <v/>
      </c>
      <c r="AA29" s="54">
        <f>RANK(Z29,Z$28:Z$45)</f>
        <v/>
      </c>
      <c r="AB29" s="53">
        <f>VLOOKUP($A29,INDIRECT("'"&amp;$B$24&amp;"'!$A:$IZ"),63,FALSE)</f>
        <v/>
      </c>
      <c r="AC29" s="54">
        <f>RANK(AB29,AB$28:AB$45)</f>
        <v/>
      </c>
      <c r="AD29" s="53">
        <f>VLOOKUP($A29,INDIRECT("'"&amp;$B$24&amp;"'!$A:$IZ"),71,FALSE)</f>
        <v/>
      </c>
      <c r="AE29" s="54">
        <f>RANK(AD29,AD$28:AD$45)</f>
        <v/>
      </c>
      <c r="AF29" s="65">
        <f>104-(Y29+AA29+AC29+AE29)</f>
        <v/>
      </c>
      <c r="AG29" s="47">
        <f>RANK(AF29,AF$28:AF$45)</f>
        <v/>
      </c>
      <c r="AH29" s="56" t="n"/>
      <c r="AI29" s="53">
        <f>VLOOKUP($A29,INDIRECT("'"&amp;$B$24&amp;"'!$A:$IZ"),183,FALSE)</f>
        <v/>
      </c>
      <c r="AJ29" s="54">
        <f>RANK(AI29,AI$28:AI$45,1)</f>
        <v/>
      </c>
      <c r="AK29" s="53">
        <f>VLOOKUP($A29,INDIRECT("'"&amp;$B$24&amp;"'!$A:$IZ"),181,FALSE)</f>
        <v/>
      </c>
      <c r="AL29" s="54">
        <f>RANK(AK29,AK$28:AK$45,1)</f>
        <v/>
      </c>
      <c r="AM29" s="53">
        <f>VLOOKUP($A29,INDIRECT("'"&amp;$B$24&amp;"'!$A:$IZ"),182,FALSE)</f>
        <v/>
      </c>
      <c r="AN29" s="54">
        <f>RANK(AM29,AM$28:AM$45,1)</f>
        <v/>
      </c>
      <c r="AO29" s="53">
        <f>VLOOKUP($A29,INDIRECT("'"&amp;$B$24&amp;"'!$A:$IZ"),163,FALSE)</f>
        <v/>
      </c>
      <c r="AP29" s="54">
        <f>RANK(AO29,AO$28:AO$45,1)</f>
        <v/>
      </c>
      <c r="AQ29" s="65">
        <f>104-(AJ29+AL29+AN29+AP29)</f>
        <v/>
      </c>
      <c r="AR29" s="47">
        <f>RANK(AQ29,AQ$28:AQ$45)</f>
        <v/>
      </c>
      <c r="AS29" s="56" t="n"/>
      <c r="AT29" s="46">
        <f>VLOOKUP($A29,INDIRECT("'"&amp;$B$24&amp;"'!$A:$IZ"),250,FALSE)</f>
        <v/>
      </c>
      <c r="AU29" s="47">
        <f>RANK(AT29,AT$28:AT$45,0)</f>
        <v/>
      </c>
      <c r="AV29" s="46">
        <f>VLOOKUP($A29,INDIRECT("'"&amp;$B$24&amp;"'!$A:$IZ"),92,FALSE)</f>
        <v/>
      </c>
      <c r="AW29" s="47">
        <f>RANK(AV29,AV$28:AV$45,0)</f>
        <v/>
      </c>
      <c r="AX29" s="46">
        <f>VLOOKUP($A29,INDIRECT("'"&amp;$B$24&amp;"'!$A:$IZ"),93,FALSE)</f>
        <v/>
      </c>
      <c r="AY29" s="47">
        <f>RANK(AX29,AX$28:AX$45,0)</f>
        <v/>
      </c>
      <c r="AZ29" s="46">
        <f>VLOOKUP($A29,INDIRECT("'"&amp;$B$24&amp;"'!$A:$IZ"),108,FALSE)</f>
        <v/>
      </c>
      <c r="BA29" s="47">
        <f>RANK(AZ29,AZ$28:AZ$45,0)</f>
        <v/>
      </c>
      <c r="BB29" s="46">
        <f>104-(AU29+AW29+AY29+BA29)</f>
        <v/>
      </c>
      <c r="BC29" s="47">
        <f>RANK(BB29,BB$28:BB$45)</f>
        <v/>
      </c>
      <c r="BD29" s="56" t="n"/>
      <c r="BE29" s="53">
        <f>VLOOKUP($A29,INDIRECT("'"&amp;$B$24&amp;"'!$A:$IZ"),80,FALSE)</f>
        <v/>
      </c>
      <c r="BF29" s="54">
        <f>RANK(BE29,BE$28:BE$45)</f>
        <v/>
      </c>
      <c r="BG29" s="53">
        <f>VLOOKUP($A29,INDIRECT("'"&amp;$B$24&amp;"'!$A:$IZ"),177,FALSE)</f>
        <v/>
      </c>
      <c r="BH29" s="54">
        <f>RANK(BG29,BG$28:BG$45,1)</f>
        <v/>
      </c>
      <c r="BI29" s="53">
        <f>VLOOKUP($A29,INDIRECT("'"&amp;$B$24&amp;"'!$A:$IZ"),79,FALSE)</f>
        <v/>
      </c>
      <c r="BJ29" s="54">
        <f>RANK(BI29,BI$28:BI$45)</f>
        <v/>
      </c>
      <c r="BK29" s="53">
        <f>VLOOKUP($A29,INDIRECT("'"&amp;$B$24&amp;"'!$A:$IZ"),176,FALSE)</f>
        <v/>
      </c>
      <c r="BL29" s="54">
        <f>RANK(BK29,BK$28:BK$45,1)</f>
        <v/>
      </c>
      <c r="BM29" s="53">
        <f>VLOOKUP($A29,INDIRECT("'"&amp;$B$24&amp;"'!$A:$IZ"),11,FALSE)</f>
        <v/>
      </c>
      <c r="BN29" s="54">
        <f>RANK(BM29,BM$28:BM$45)</f>
        <v/>
      </c>
      <c r="BO29" s="53">
        <f>VLOOKUP($A29,INDIRECT("'"&amp;$B$24&amp;"'!$A:$IZ"),222,FALSE)</f>
        <v/>
      </c>
      <c r="BP29" s="54">
        <f>RANK(BO29,BO$28:BO$45)</f>
        <v/>
      </c>
      <c r="BQ29" s="65">
        <f>104-(BJ29+BL29+BN29+BP29)</f>
        <v/>
      </c>
      <c r="BR29" s="47">
        <f>RANK(BQ29,BQ$28:BQ$45)</f>
        <v/>
      </c>
      <c r="BS29" s="56" t="n"/>
      <c r="BT29" s="57">
        <f>VLOOKUP($A29,'Ratings Season'!$A:$M,8,FALSE)</f>
        <v/>
      </c>
      <c r="BU29" s="54">
        <f>RANK(BT29,BT$28:BT$45)</f>
        <v/>
      </c>
      <c r="BV29" s="57">
        <f>VLOOKUP($A29,'Ratings Season'!$A:$M,4,FALSE)</f>
        <v/>
      </c>
      <c r="BW29" s="54">
        <f>RANK(BV29,BV$28:BV$45)</f>
        <v/>
      </c>
      <c r="BX29" s="57">
        <f>VLOOKUP($A29,'Ratings Season'!$A:$M,2,FALSE)</f>
        <v/>
      </c>
      <c r="BY29" s="58">
        <f>RANK(BX29,BX$28:BX$45)</f>
        <v/>
      </c>
    </row>
    <row r="30" ht="25" customHeight="1">
      <c r="A30" s="77" t="inlineStr">
        <is>
          <t>Carlton</t>
        </is>
      </c>
      <c r="B30" s="53">
        <f>VLOOKUP($A30,INDIRECT("'"&amp;$B$24&amp;"'!$A:$IZ"),222,FALSE)</f>
        <v/>
      </c>
      <c r="C30" s="54">
        <f>RANK(B30,B$28:B$45)</f>
        <v/>
      </c>
      <c r="D30" s="55">
        <f>VLOOKUP($A30,INDIRECT("'"&amp;$B$24&amp;"'!$A:$IZ"),218,FALSE)</f>
        <v/>
      </c>
      <c r="E30" s="54">
        <f>RANK(D30,D$28:D$45)</f>
        <v/>
      </c>
      <c r="F30" s="55">
        <f>VLOOKUP($A30,INDIRECT("'"&amp;$B$24&amp;"'!$A:$IZ"),49,FALSE)</f>
        <v/>
      </c>
      <c r="G30" s="54">
        <f>RANK(F30,F$28:F$45)</f>
        <v/>
      </c>
      <c r="H30" s="55">
        <f>VLOOKUP($A30,INDIRECT("'"&amp;$B$24&amp;"'!$A:$IZ"),229,FALSE)</f>
        <v/>
      </c>
      <c r="I30" s="54">
        <f>RANK(H30,H$28:H$45)</f>
        <v/>
      </c>
      <c r="J30" s="49">
        <f>104-(C30+E30+G30+I30)</f>
        <v/>
      </c>
      <c r="K30" s="47">
        <f>RANK(J30,J$28:J$45)</f>
        <v/>
      </c>
      <c r="L30" s="56" t="n"/>
      <c r="M30" s="53">
        <f>VLOOKUP($A30,INDIRECT("'"&amp;$B$24&amp;"'!$A:$IZ"),88,FALSE)</f>
        <v/>
      </c>
      <c r="N30" s="54">
        <f>RANK(M30,M$28:M$45)</f>
        <v/>
      </c>
      <c r="O30" s="53">
        <f>VLOOKUP($A30,INDIRECT("'"&amp;$B$24&amp;"'!$A:$IZ"),84,FALSE)</f>
        <v/>
      </c>
      <c r="P30" s="54">
        <f>RANK(O30,O$28:O$45)</f>
        <v/>
      </c>
      <c r="Q30" s="53">
        <f>VLOOKUP($A30,INDIRECT("'"&amp;$B$24&amp;"'!$A:$IZ"),85,FALSE)</f>
        <v/>
      </c>
      <c r="R30" s="54">
        <f>RANK(Q30,Q$28:Q$45)</f>
        <v/>
      </c>
      <c r="S30" s="55">
        <f>VLOOKUP($A30,INDIRECT("'"&amp;$B$24&amp;"'!$A:$IZ"),29,FALSE)</f>
        <v/>
      </c>
      <c r="T30" s="54">
        <f>RANK(S30,S$28:S$45)</f>
        <v/>
      </c>
      <c r="U30" s="49">
        <f>104-(N30+P30+R30+T30)</f>
        <v/>
      </c>
      <c r="V30" s="47">
        <f>RANK(U30,U$28:U$45)</f>
        <v/>
      </c>
      <c r="W30" s="56" t="n"/>
      <c r="X30" s="53">
        <f>VLOOKUP($A30,INDIRECT("'"&amp;$B$24&amp;"'!$A:$IZ"),65,FALSE)</f>
        <v/>
      </c>
      <c r="Y30" s="54">
        <f>RANK(X30,X$28:X$45)</f>
        <v/>
      </c>
      <c r="Z30" s="53">
        <f>VLOOKUP($A30,INDIRECT("'"&amp;$B$24&amp;"'!$A:$IZ"),64,FALSE)</f>
        <v/>
      </c>
      <c r="AA30" s="54">
        <f>RANK(Z30,Z$28:Z$45)</f>
        <v/>
      </c>
      <c r="AB30" s="53">
        <f>VLOOKUP($A30,INDIRECT("'"&amp;$B$24&amp;"'!$A:$IZ"),63,FALSE)</f>
        <v/>
      </c>
      <c r="AC30" s="54">
        <f>RANK(AB30,AB$28:AB$45)</f>
        <v/>
      </c>
      <c r="AD30" s="53">
        <f>VLOOKUP($A30,INDIRECT("'"&amp;$B$24&amp;"'!$A:$IZ"),71,FALSE)</f>
        <v/>
      </c>
      <c r="AE30" s="54">
        <f>RANK(AD30,AD$28:AD$45)</f>
        <v/>
      </c>
      <c r="AF30" s="65">
        <f>104-(Y30+AA30+AC30+AE30)</f>
        <v/>
      </c>
      <c r="AG30" s="47">
        <f>RANK(AF30,AF$28:AF$45)</f>
        <v/>
      </c>
      <c r="AH30" s="56" t="n"/>
      <c r="AI30" s="53">
        <f>VLOOKUP($A30,INDIRECT("'"&amp;$B$24&amp;"'!$A:$IZ"),183,FALSE)</f>
        <v/>
      </c>
      <c r="AJ30" s="54">
        <f>RANK(AI30,AI$28:AI$45,1)</f>
        <v/>
      </c>
      <c r="AK30" s="53">
        <f>VLOOKUP($A30,INDIRECT("'"&amp;$B$24&amp;"'!$A:$IZ"),181,FALSE)</f>
        <v/>
      </c>
      <c r="AL30" s="54">
        <f>RANK(AK30,AK$28:AK$45,1)</f>
        <v/>
      </c>
      <c r="AM30" s="53">
        <f>VLOOKUP($A30,INDIRECT("'"&amp;$B$24&amp;"'!$A:$IZ"),182,FALSE)</f>
        <v/>
      </c>
      <c r="AN30" s="54">
        <f>RANK(AM30,AM$28:AM$45,1)</f>
        <v/>
      </c>
      <c r="AO30" s="53">
        <f>VLOOKUP($A30,INDIRECT("'"&amp;$B$24&amp;"'!$A:$IZ"),163,FALSE)</f>
        <v/>
      </c>
      <c r="AP30" s="54">
        <f>RANK(AO30,AO$28:AO$45,1)</f>
        <v/>
      </c>
      <c r="AQ30" s="65">
        <f>104-(AJ30+AL30+AN30+AP30)</f>
        <v/>
      </c>
      <c r="AR30" s="47">
        <f>RANK(AQ30,AQ$28:AQ$45)</f>
        <v/>
      </c>
      <c r="AS30" s="56" t="n"/>
      <c r="AT30" s="46">
        <f>VLOOKUP($A30,INDIRECT("'"&amp;$B$24&amp;"'!$A:$IZ"),250,FALSE)</f>
        <v/>
      </c>
      <c r="AU30" s="47">
        <f>RANK(AT30,AT$28:AT$45,0)</f>
        <v/>
      </c>
      <c r="AV30" s="46">
        <f>VLOOKUP($A30,INDIRECT("'"&amp;$B$24&amp;"'!$A:$IZ"),92,FALSE)</f>
        <v/>
      </c>
      <c r="AW30" s="47">
        <f>RANK(AV30,AV$28:AV$45,0)</f>
        <v/>
      </c>
      <c r="AX30" s="46">
        <f>VLOOKUP($A30,INDIRECT("'"&amp;$B$24&amp;"'!$A:$IZ"),93,FALSE)</f>
        <v/>
      </c>
      <c r="AY30" s="47">
        <f>RANK(AX30,AX$28:AX$45,0)</f>
        <v/>
      </c>
      <c r="AZ30" s="46">
        <f>VLOOKUP($A30,INDIRECT("'"&amp;$B$24&amp;"'!$A:$IZ"),108,FALSE)</f>
        <v/>
      </c>
      <c r="BA30" s="47">
        <f>RANK(AZ30,AZ$28:AZ$45,0)</f>
        <v/>
      </c>
      <c r="BB30" s="46">
        <f>104-(AU30+AW30+AY30+BA30)</f>
        <v/>
      </c>
      <c r="BC30" s="47">
        <f>RANK(BB30,BB$28:BB$45)</f>
        <v/>
      </c>
      <c r="BD30" s="56" t="n"/>
      <c r="BE30" s="53">
        <f>VLOOKUP($A30,INDIRECT("'"&amp;$B$24&amp;"'!$A:$IZ"),80,FALSE)</f>
        <v/>
      </c>
      <c r="BF30" s="54">
        <f>RANK(BE30,BE$28:BE$45)</f>
        <v/>
      </c>
      <c r="BG30" s="53">
        <f>VLOOKUP($A30,INDIRECT("'"&amp;$B$24&amp;"'!$A:$IZ"),177,FALSE)</f>
        <v/>
      </c>
      <c r="BH30" s="54">
        <f>RANK(BG30,BG$28:BG$45,1)</f>
        <v/>
      </c>
      <c r="BI30" s="53">
        <f>VLOOKUP($A30,INDIRECT("'"&amp;$B$24&amp;"'!$A:$IZ"),79,FALSE)</f>
        <v/>
      </c>
      <c r="BJ30" s="54">
        <f>RANK(BI30,BI$28:BI$45)</f>
        <v/>
      </c>
      <c r="BK30" s="53">
        <f>VLOOKUP($A30,INDIRECT("'"&amp;$B$24&amp;"'!$A:$IZ"),176,FALSE)</f>
        <v/>
      </c>
      <c r="BL30" s="54">
        <f>RANK(BK30,BK$28:BK$45,1)</f>
        <v/>
      </c>
      <c r="BM30" s="53">
        <f>VLOOKUP($A30,INDIRECT("'"&amp;$B$24&amp;"'!$A:$IZ"),11,FALSE)</f>
        <v/>
      </c>
      <c r="BN30" s="54">
        <f>RANK(BM30,BM$28:BM$45)</f>
        <v/>
      </c>
      <c r="BO30" s="53">
        <f>VLOOKUP($A30,INDIRECT("'"&amp;$B$24&amp;"'!$A:$IZ"),222,FALSE)</f>
        <v/>
      </c>
      <c r="BP30" s="54">
        <f>RANK(BO30,BO$28:BO$45)</f>
        <v/>
      </c>
      <c r="BQ30" s="65">
        <f>104-(BJ30+BL30+BN30+BP30)</f>
        <v/>
      </c>
      <c r="BR30" s="47">
        <f>RANK(BQ30,BQ$28:BQ$45)</f>
        <v/>
      </c>
      <c r="BS30" s="56" t="n"/>
      <c r="BT30" s="57">
        <f>VLOOKUP($A30,'Ratings Season'!$A:$M,8,FALSE)</f>
        <v/>
      </c>
      <c r="BU30" s="54">
        <f>RANK(BT30,BT$28:BT$45)</f>
        <v/>
      </c>
      <c r="BV30" s="57">
        <f>VLOOKUP($A30,'Ratings Season'!$A:$M,4,FALSE)</f>
        <v/>
      </c>
      <c r="BW30" s="54">
        <f>RANK(BV30,BV$28:BV$45)</f>
        <v/>
      </c>
      <c r="BX30" s="57">
        <f>VLOOKUP($A30,'Ratings Season'!$A:$M,2,FALSE)</f>
        <v/>
      </c>
      <c r="BY30" s="58">
        <f>RANK(BX30,BX$28:BX$45)</f>
        <v/>
      </c>
    </row>
    <row r="31" ht="25" customHeight="1">
      <c r="A31" s="78" t="inlineStr">
        <is>
          <t>Collingwood</t>
        </is>
      </c>
      <c r="B31" s="53">
        <f>VLOOKUP($A31,INDIRECT("'"&amp;$B$24&amp;"'!$A:$IZ"),222,FALSE)</f>
        <v/>
      </c>
      <c r="C31" s="54">
        <f>RANK(B31,B$28:B$45)</f>
        <v/>
      </c>
      <c r="D31" s="55">
        <f>VLOOKUP($A31,INDIRECT("'"&amp;$B$24&amp;"'!$A:$IZ"),218,FALSE)</f>
        <v/>
      </c>
      <c r="E31" s="54">
        <f>RANK(D31,D$28:D$45)</f>
        <v/>
      </c>
      <c r="F31" s="55">
        <f>VLOOKUP($A31,INDIRECT("'"&amp;$B$24&amp;"'!$A:$IZ"),49,FALSE)</f>
        <v/>
      </c>
      <c r="G31" s="54">
        <f>RANK(F31,F$28:F$45)</f>
        <v/>
      </c>
      <c r="H31" s="55">
        <f>VLOOKUP($A31,INDIRECT("'"&amp;$B$24&amp;"'!$A:$IZ"),229,FALSE)</f>
        <v/>
      </c>
      <c r="I31" s="54">
        <f>RANK(H31,H$28:H$45)</f>
        <v/>
      </c>
      <c r="J31" s="49">
        <f>104-(C31+E31+G31+I31)</f>
        <v/>
      </c>
      <c r="K31" s="47">
        <f>RANK(J31,J$28:J$45)</f>
        <v/>
      </c>
      <c r="L31" s="56" t="n"/>
      <c r="M31" s="53">
        <f>VLOOKUP($A31,INDIRECT("'"&amp;$B$24&amp;"'!$A:$IZ"),88,FALSE)</f>
        <v/>
      </c>
      <c r="N31" s="54">
        <f>RANK(M31,M$28:M$45)</f>
        <v/>
      </c>
      <c r="O31" s="53">
        <f>VLOOKUP($A31,INDIRECT("'"&amp;$B$24&amp;"'!$A:$IZ"),84,FALSE)</f>
        <v/>
      </c>
      <c r="P31" s="54">
        <f>RANK(O31,O$28:O$45)</f>
        <v/>
      </c>
      <c r="Q31" s="53">
        <f>VLOOKUP($A31,INDIRECT("'"&amp;$B$24&amp;"'!$A:$IZ"),85,FALSE)</f>
        <v/>
      </c>
      <c r="R31" s="54">
        <f>RANK(Q31,Q$28:Q$45)</f>
        <v/>
      </c>
      <c r="S31" s="55">
        <f>VLOOKUP($A31,INDIRECT("'"&amp;$B$24&amp;"'!$A:$IZ"),29,FALSE)</f>
        <v/>
      </c>
      <c r="T31" s="54">
        <f>RANK(S31,S$28:S$45)</f>
        <v/>
      </c>
      <c r="U31" s="49">
        <f>104-(N31+P31+R31+T31)</f>
        <v/>
      </c>
      <c r="V31" s="47">
        <f>RANK(U31,U$28:U$45)</f>
        <v/>
      </c>
      <c r="W31" s="56" t="n"/>
      <c r="X31" s="53">
        <f>VLOOKUP($A31,INDIRECT("'"&amp;$B$24&amp;"'!$A:$IZ"),65,FALSE)</f>
        <v/>
      </c>
      <c r="Y31" s="54">
        <f>RANK(X31,X$28:X$45)</f>
        <v/>
      </c>
      <c r="Z31" s="53">
        <f>VLOOKUP($A31,INDIRECT("'"&amp;$B$24&amp;"'!$A:$IZ"),64,FALSE)</f>
        <v/>
      </c>
      <c r="AA31" s="54">
        <f>RANK(Z31,Z$28:Z$45)</f>
        <v/>
      </c>
      <c r="AB31" s="53">
        <f>VLOOKUP($A31,INDIRECT("'"&amp;$B$24&amp;"'!$A:$IZ"),63,FALSE)</f>
        <v/>
      </c>
      <c r="AC31" s="54">
        <f>RANK(AB31,AB$28:AB$45)</f>
        <v/>
      </c>
      <c r="AD31" s="53">
        <f>VLOOKUP($A31,INDIRECT("'"&amp;$B$24&amp;"'!$A:$IZ"),71,FALSE)</f>
        <v/>
      </c>
      <c r="AE31" s="54">
        <f>RANK(AD31,AD$28:AD$45)</f>
        <v/>
      </c>
      <c r="AF31" s="65">
        <f>104-(Y31+AA31+AC31+AE31)</f>
        <v/>
      </c>
      <c r="AG31" s="47">
        <f>RANK(AF31,AF$28:AF$45)</f>
        <v/>
      </c>
      <c r="AH31" s="56" t="n"/>
      <c r="AI31" s="53">
        <f>VLOOKUP($A31,INDIRECT("'"&amp;$B$24&amp;"'!$A:$IZ"),183,FALSE)</f>
        <v/>
      </c>
      <c r="AJ31" s="54">
        <f>RANK(AI31,AI$28:AI$45,1)</f>
        <v/>
      </c>
      <c r="AK31" s="53">
        <f>VLOOKUP($A31,INDIRECT("'"&amp;$B$24&amp;"'!$A:$IZ"),181,FALSE)</f>
        <v/>
      </c>
      <c r="AL31" s="54">
        <f>RANK(AK31,AK$28:AK$45,1)</f>
        <v/>
      </c>
      <c r="AM31" s="53">
        <f>VLOOKUP($A31,INDIRECT("'"&amp;$B$24&amp;"'!$A:$IZ"),182,FALSE)</f>
        <v/>
      </c>
      <c r="AN31" s="54">
        <f>RANK(AM31,AM$28:AM$45,1)</f>
        <v/>
      </c>
      <c r="AO31" s="53">
        <f>VLOOKUP($A31,INDIRECT("'"&amp;$B$24&amp;"'!$A:$IZ"),163,FALSE)</f>
        <v/>
      </c>
      <c r="AP31" s="54">
        <f>RANK(AO31,AO$28:AO$45,1)</f>
        <v/>
      </c>
      <c r="AQ31" s="65">
        <f>104-(AJ31+AL31+AN31+AP31)</f>
        <v/>
      </c>
      <c r="AR31" s="47">
        <f>RANK(AQ31,AQ$28:AQ$45)</f>
        <v/>
      </c>
      <c r="AS31" s="56" t="n"/>
      <c r="AT31" s="46">
        <f>VLOOKUP($A31,INDIRECT("'"&amp;$B$24&amp;"'!$A:$IZ"),250,FALSE)</f>
        <v/>
      </c>
      <c r="AU31" s="47">
        <f>RANK(AT31,AT$28:AT$45,0)</f>
        <v/>
      </c>
      <c r="AV31" s="46">
        <f>VLOOKUP($A31,INDIRECT("'"&amp;$B$24&amp;"'!$A:$IZ"),92,FALSE)</f>
        <v/>
      </c>
      <c r="AW31" s="47">
        <f>RANK(AV31,AV$28:AV$45,0)</f>
        <v/>
      </c>
      <c r="AX31" s="46">
        <f>VLOOKUP($A31,INDIRECT("'"&amp;$B$24&amp;"'!$A:$IZ"),93,FALSE)</f>
        <v/>
      </c>
      <c r="AY31" s="47">
        <f>RANK(AX31,AX$28:AX$45,0)</f>
        <v/>
      </c>
      <c r="AZ31" s="46">
        <f>VLOOKUP($A31,INDIRECT("'"&amp;$B$24&amp;"'!$A:$IZ"),108,FALSE)</f>
        <v/>
      </c>
      <c r="BA31" s="47">
        <f>RANK(AZ31,AZ$28:AZ$45,0)</f>
        <v/>
      </c>
      <c r="BB31" s="46">
        <f>104-(AU31+AW31+AY31+BA31)</f>
        <v/>
      </c>
      <c r="BC31" s="47">
        <f>RANK(BB31,BB$28:BB$45)</f>
        <v/>
      </c>
      <c r="BD31" s="56" t="n"/>
      <c r="BE31" s="53">
        <f>VLOOKUP($A31,INDIRECT("'"&amp;$B$24&amp;"'!$A:$IZ"),80,FALSE)</f>
        <v/>
      </c>
      <c r="BF31" s="54">
        <f>RANK(BE31,BE$28:BE$45)</f>
        <v/>
      </c>
      <c r="BG31" s="53">
        <f>VLOOKUP($A31,INDIRECT("'"&amp;$B$24&amp;"'!$A:$IZ"),177,FALSE)</f>
        <v/>
      </c>
      <c r="BH31" s="54">
        <f>RANK(BG31,BG$28:BG$45,1)</f>
        <v/>
      </c>
      <c r="BI31" s="53">
        <f>VLOOKUP($A31,INDIRECT("'"&amp;$B$24&amp;"'!$A:$IZ"),79,FALSE)</f>
        <v/>
      </c>
      <c r="BJ31" s="54">
        <f>RANK(BI31,BI$28:BI$45)</f>
        <v/>
      </c>
      <c r="BK31" s="53">
        <f>VLOOKUP($A31,INDIRECT("'"&amp;$B$24&amp;"'!$A:$IZ"),176,FALSE)</f>
        <v/>
      </c>
      <c r="BL31" s="54">
        <f>RANK(BK31,BK$28:BK$45,1)</f>
        <v/>
      </c>
      <c r="BM31" s="53">
        <f>VLOOKUP($A31,INDIRECT("'"&amp;$B$24&amp;"'!$A:$IZ"),11,FALSE)</f>
        <v/>
      </c>
      <c r="BN31" s="54">
        <f>RANK(BM31,BM$28:BM$45)</f>
        <v/>
      </c>
      <c r="BO31" s="53">
        <f>VLOOKUP($A31,INDIRECT("'"&amp;$B$24&amp;"'!$A:$IZ"),222,FALSE)</f>
        <v/>
      </c>
      <c r="BP31" s="54">
        <f>RANK(BO31,BO$28:BO$45)</f>
        <v/>
      </c>
      <c r="BQ31" s="65">
        <f>104-(BJ31+BL31+BN31+BP31)</f>
        <v/>
      </c>
      <c r="BR31" s="47">
        <f>RANK(BQ31,BQ$28:BQ$45)</f>
        <v/>
      </c>
      <c r="BS31" s="56" t="n"/>
      <c r="BT31" s="57">
        <f>VLOOKUP($A31,'Ratings Season'!$A:$M,8,FALSE)</f>
        <v/>
      </c>
      <c r="BU31" s="54">
        <f>RANK(BT31,BT$28:BT$45)</f>
        <v/>
      </c>
      <c r="BV31" s="57">
        <f>VLOOKUP($A31,'Ratings Season'!$A:$M,4,FALSE)</f>
        <v/>
      </c>
      <c r="BW31" s="54">
        <f>RANK(BV31,BV$28:BV$45)</f>
        <v/>
      </c>
      <c r="BX31" s="57">
        <f>VLOOKUP($A31,'Ratings Season'!$A:$M,2,FALSE)</f>
        <v/>
      </c>
      <c r="BY31" s="58">
        <f>RANK(BX31,BX$28:BX$45)</f>
        <v/>
      </c>
    </row>
    <row r="32" ht="25" customHeight="1">
      <c r="A32" s="79" t="inlineStr">
        <is>
          <t>Essendon</t>
        </is>
      </c>
      <c r="B32" s="53">
        <f>VLOOKUP($A32,INDIRECT("'"&amp;$B$24&amp;"'!$A:$IZ"),222,FALSE)</f>
        <v/>
      </c>
      <c r="C32" s="54">
        <f>RANK(B32,B$28:B$45)</f>
        <v/>
      </c>
      <c r="D32" s="55">
        <f>VLOOKUP($A32,INDIRECT("'"&amp;$B$24&amp;"'!$A:$IZ"),218,FALSE)</f>
        <v/>
      </c>
      <c r="E32" s="54">
        <f>RANK(D32,D$28:D$45)</f>
        <v/>
      </c>
      <c r="F32" s="55">
        <f>VLOOKUP($A32,INDIRECT("'"&amp;$B$24&amp;"'!$A:$IZ"),49,FALSE)</f>
        <v/>
      </c>
      <c r="G32" s="54">
        <f>RANK(F32,F$28:F$45)</f>
        <v/>
      </c>
      <c r="H32" s="55">
        <f>VLOOKUP($A32,INDIRECT("'"&amp;$B$24&amp;"'!$A:$IZ"),229,FALSE)</f>
        <v/>
      </c>
      <c r="I32" s="54">
        <f>RANK(H32,H$28:H$45)</f>
        <v/>
      </c>
      <c r="J32" s="49">
        <f>104-(C32+E32+G32+I32)</f>
        <v/>
      </c>
      <c r="K32" s="47">
        <f>RANK(J32,J$28:J$45)</f>
        <v/>
      </c>
      <c r="L32" s="56" t="n"/>
      <c r="M32" s="53">
        <f>VLOOKUP($A32,INDIRECT("'"&amp;$B$24&amp;"'!$A:$IZ"),88,FALSE)</f>
        <v/>
      </c>
      <c r="N32" s="54">
        <f>RANK(M32,M$28:M$45)</f>
        <v/>
      </c>
      <c r="O32" s="53">
        <f>VLOOKUP($A32,INDIRECT("'"&amp;$B$24&amp;"'!$A:$IZ"),84,FALSE)</f>
        <v/>
      </c>
      <c r="P32" s="54">
        <f>RANK(O32,O$28:O$45)</f>
        <v/>
      </c>
      <c r="Q32" s="53">
        <f>VLOOKUP($A32,INDIRECT("'"&amp;$B$24&amp;"'!$A:$IZ"),85,FALSE)</f>
        <v/>
      </c>
      <c r="R32" s="54">
        <f>RANK(Q32,Q$28:Q$45)</f>
        <v/>
      </c>
      <c r="S32" s="55">
        <f>VLOOKUP($A32,INDIRECT("'"&amp;$B$24&amp;"'!$A:$IZ"),29,FALSE)</f>
        <v/>
      </c>
      <c r="T32" s="54">
        <f>RANK(S32,S$28:S$45)</f>
        <v/>
      </c>
      <c r="U32" s="49">
        <f>104-(N32+P32+R32+T32)</f>
        <v/>
      </c>
      <c r="V32" s="47">
        <f>RANK(U32,U$28:U$45)</f>
        <v/>
      </c>
      <c r="W32" s="56" t="n"/>
      <c r="X32" s="53">
        <f>VLOOKUP($A32,INDIRECT("'"&amp;$B$24&amp;"'!$A:$IZ"),65,FALSE)</f>
        <v/>
      </c>
      <c r="Y32" s="54">
        <f>RANK(X32,X$28:X$45)</f>
        <v/>
      </c>
      <c r="Z32" s="53">
        <f>VLOOKUP($A32,INDIRECT("'"&amp;$B$24&amp;"'!$A:$IZ"),64,FALSE)</f>
        <v/>
      </c>
      <c r="AA32" s="54">
        <f>RANK(Z32,Z$28:Z$45)</f>
        <v/>
      </c>
      <c r="AB32" s="53">
        <f>VLOOKUP($A32,INDIRECT("'"&amp;$B$24&amp;"'!$A:$IZ"),63,FALSE)</f>
        <v/>
      </c>
      <c r="AC32" s="54">
        <f>RANK(AB32,AB$28:AB$45)</f>
        <v/>
      </c>
      <c r="AD32" s="53">
        <f>VLOOKUP($A32,INDIRECT("'"&amp;$B$24&amp;"'!$A:$IZ"),71,FALSE)</f>
        <v/>
      </c>
      <c r="AE32" s="54">
        <f>RANK(AD32,AD$28:AD$45)</f>
        <v/>
      </c>
      <c r="AF32" s="65">
        <f>104-(Y32+AA32+AC32+AE32)</f>
        <v/>
      </c>
      <c r="AG32" s="47">
        <f>RANK(AF32,AF$28:AF$45)</f>
        <v/>
      </c>
      <c r="AH32" s="56" t="n"/>
      <c r="AI32" s="53">
        <f>VLOOKUP($A32,INDIRECT("'"&amp;$B$24&amp;"'!$A:$IZ"),183,FALSE)</f>
        <v/>
      </c>
      <c r="AJ32" s="54">
        <f>RANK(AI32,AI$28:AI$45,1)</f>
        <v/>
      </c>
      <c r="AK32" s="53">
        <f>VLOOKUP($A32,INDIRECT("'"&amp;$B$24&amp;"'!$A:$IZ"),181,FALSE)</f>
        <v/>
      </c>
      <c r="AL32" s="54">
        <f>RANK(AK32,AK$28:AK$45,1)</f>
        <v/>
      </c>
      <c r="AM32" s="53">
        <f>VLOOKUP($A32,INDIRECT("'"&amp;$B$24&amp;"'!$A:$IZ"),182,FALSE)</f>
        <v/>
      </c>
      <c r="AN32" s="54">
        <f>RANK(AM32,AM$28:AM$45,1)</f>
        <v/>
      </c>
      <c r="AO32" s="53">
        <f>VLOOKUP($A32,INDIRECT("'"&amp;$B$24&amp;"'!$A:$IZ"),163,FALSE)</f>
        <v/>
      </c>
      <c r="AP32" s="54">
        <f>RANK(AO32,AO$28:AO$45,1)</f>
        <v/>
      </c>
      <c r="AQ32" s="65">
        <f>104-(AJ32+AL32+AN32+AP32)</f>
        <v/>
      </c>
      <c r="AR32" s="47">
        <f>RANK(AQ32,AQ$28:AQ$45)</f>
        <v/>
      </c>
      <c r="AS32" s="56" t="n"/>
      <c r="AT32" s="46">
        <f>VLOOKUP($A32,INDIRECT("'"&amp;$B$24&amp;"'!$A:$IZ"),250,FALSE)</f>
        <v/>
      </c>
      <c r="AU32" s="47">
        <f>RANK(AT32,AT$28:AT$45,0)</f>
        <v/>
      </c>
      <c r="AV32" s="46">
        <f>VLOOKUP($A32,INDIRECT("'"&amp;$B$24&amp;"'!$A:$IZ"),92,FALSE)</f>
        <v/>
      </c>
      <c r="AW32" s="47">
        <f>RANK(AV32,AV$28:AV$45,0)</f>
        <v/>
      </c>
      <c r="AX32" s="46">
        <f>VLOOKUP($A32,INDIRECT("'"&amp;$B$24&amp;"'!$A:$IZ"),93,FALSE)</f>
        <v/>
      </c>
      <c r="AY32" s="47">
        <f>RANK(AX32,AX$28:AX$45,0)</f>
        <v/>
      </c>
      <c r="AZ32" s="46">
        <f>VLOOKUP($A32,INDIRECT("'"&amp;$B$24&amp;"'!$A:$IZ"),108,FALSE)</f>
        <v/>
      </c>
      <c r="BA32" s="47">
        <f>RANK(AZ32,AZ$28:AZ$45,0)</f>
        <v/>
      </c>
      <c r="BB32" s="46">
        <f>104-(AU32+AW32+AY32+BA32)</f>
        <v/>
      </c>
      <c r="BC32" s="47">
        <f>RANK(BB32,BB$28:BB$45)</f>
        <v/>
      </c>
      <c r="BD32" s="56" t="n"/>
      <c r="BE32" s="53">
        <f>VLOOKUP($A32,INDIRECT("'"&amp;$B$24&amp;"'!$A:$IZ"),80,FALSE)</f>
        <v/>
      </c>
      <c r="BF32" s="54">
        <f>RANK(BE32,BE$28:BE$45)</f>
        <v/>
      </c>
      <c r="BG32" s="53">
        <f>VLOOKUP($A32,INDIRECT("'"&amp;$B$24&amp;"'!$A:$IZ"),177,FALSE)</f>
        <v/>
      </c>
      <c r="BH32" s="54">
        <f>RANK(BG32,BG$28:BG$45,1)</f>
        <v/>
      </c>
      <c r="BI32" s="53">
        <f>VLOOKUP($A32,INDIRECT("'"&amp;$B$24&amp;"'!$A:$IZ"),79,FALSE)</f>
        <v/>
      </c>
      <c r="BJ32" s="54">
        <f>RANK(BI32,BI$28:BI$45)</f>
        <v/>
      </c>
      <c r="BK32" s="53">
        <f>VLOOKUP($A32,INDIRECT("'"&amp;$B$24&amp;"'!$A:$IZ"),176,FALSE)</f>
        <v/>
      </c>
      <c r="BL32" s="54">
        <f>RANK(BK32,BK$28:BK$45,1)</f>
        <v/>
      </c>
      <c r="BM32" s="53">
        <f>VLOOKUP($A32,INDIRECT("'"&amp;$B$24&amp;"'!$A:$IZ"),11,FALSE)</f>
        <v/>
      </c>
      <c r="BN32" s="54">
        <f>RANK(BM32,BM$28:BM$45)</f>
        <v/>
      </c>
      <c r="BO32" s="53">
        <f>VLOOKUP($A32,INDIRECT("'"&amp;$B$24&amp;"'!$A:$IZ"),222,FALSE)</f>
        <v/>
      </c>
      <c r="BP32" s="54">
        <f>RANK(BO32,BO$28:BO$45)</f>
        <v/>
      </c>
      <c r="BQ32" s="65">
        <f>104-(BJ32+BL32+BN32+BP32)</f>
        <v/>
      </c>
      <c r="BR32" s="47">
        <f>RANK(BQ32,BQ$28:BQ$45)</f>
        <v/>
      </c>
      <c r="BS32" s="56" t="n"/>
      <c r="BT32" s="57">
        <f>VLOOKUP($A32,'Ratings Season'!$A:$M,8,FALSE)</f>
        <v/>
      </c>
      <c r="BU32" s="54">
        <f>RANK(BT32,BT$28:BT$45)</f>
        <v/>
      </c>
      <c r="BV32" s="57">
        <f>VLOOKUP($A32,'Ratings Season'!$A:$M,4,FALSE)</f>
        <v/>
      </c>
      <c r="BW32" s="54">
        <f>RANK(BV32,BV$28:BV$45)</f>
        <v/>
      </c>
      <c r="BX32" s="57">
        <f>VLOOKUP($A32,'Ratings Season'!$A:$M,2,FALSE)</f>
        <v/>
      </c>
      <c r="BY32" s="58">
        <f>RANK(BX32,BX$28:BX$45)</f>
        <v/>
      </c>
    </row>
    <row r="33" ht="25" customHeight="1">
      <c r="A33" s="80" t="inlineStr">
        <is>
          <t>Fremantle</t>
        </is>
      </c>
      <c r="B33" s="53">
        <f>VLOOKUP($A33,INDIRECT("'"&amp;$B$24&amp;"'!$A:$IZ"),222,FALSE)</f>
        <v/>
      </c>
      <c r="C33" s="54">
        <f>RANK(B33,B$28:B$45)</f>
        <v/>
      </c>
      <c r="D33" s="55">
        <f>VLOOKUP($A33,INDIRECT("'"&amp;$B$24&amp;"'!$A:$IZ"),218,FALSE)</f>
        <v/>
      </c>
      <c r="E33" s="54">
        <f>RANK(D33,D$28:D$45)</f>
        <v/>
      </c>
      <c r="F33" s="55">
        <f>VLOOKUP($A33,INDIRECT("'"&amp;$B$24&amp;"'!$A:$IZ"),49,FALSE)</f>
        <v/>
      </c>
      <c r="G33" s="54">
        <f>RANK(F33,F$28:F$45)</f>
        <v/>
      </c>
      <c r="H33" s="55">
        <f>VLOOKUP($A33,INDIRECT("'"&amp;$B$24&amp;"'!$A:$IZ"),229,FALSE)</f>
        <v/>
      </c>
      <c r="I33" s="54">
        <f>RANK(H33,H$28:H$45)</f>
        <v/>
      </c>
      <c r="J33" s="49">
        <f>104-(C33+E33+G33+I33)</f>
        <v/>
      </c>
      <c r="K33" s="47">
        <f>RANK(J33,J$28:J$45)</f>
        <v/>
      </c>
      <c r="L33" s="56" t="n"/>
      <c r="M33" s="53">
        <f>VLOOKUP($A33,INDIRECT("'"&amp;$B$24&amp;"'!$A:$IZ"),88,FALSE)</f>
        <v/>
      </c>
      <c r="N33" s="54">
        <f>RANK(M33,M$28:M$45)</f>
        <v/>
      </c>
      <c r="O33" s="53">
        <f>VLOOKUP($A33,INDIRECT("'"&amp;$B$24&amp;"'!$A:$IZ"),84,FALSE)</f>
        <v/>
      </c>
      <c r="P33" s="54">
        <f>RANK(O33,O$28:O$45)</f>
        <v/>
      </c>
      <c r="Q33" s="53">
        <f>VLOOKUP($A33,INDIRECT("'"&amp;$B$24&amp;"'!$A:$IZ"),85,FALSE)</f>
        <v/>
      </c>
      <c r="R33" s="54">
        <f>RANK(Q33,Q$28:Q$45)</f>
        <v/>
      </c>
      <c r="S33" s="55">
        <f>VLOOKUP($A33,INDIRECT("'"&amp;$B$24&amp;"'!$A:$IZ"),29,FALSE)</f>
        <v/>
      </c>
      <c r="T33" s="54">
        <f>RANK(S33,S$28:S$45)</f>
        <v/>
      </c>
      <c r="U33" s="49">
        <f>104-(N33+P33+R33+T33)</f>
        <v/>
      </c>
      <c r="V33" s="47">
        <f>RANK(U33,U$28:U$45)</f>
        <v/>
      </c>
      <c r="W33" s="56" t="n"/>
      <c r="X33" s="53">
        <f>VLOOKUP($A33,INDIRECT("'"&amp;$B$24&amp;"'!$A:$IZ"),65,FALSE)</f>
        <v/>
      </c>
      <c r="Y33" s="54">
        <f>RANK(X33,X$28:X$45)</f>
        <v/>
      </c>
      <c r="Z33" s="53">
        <f>VLOOKUP($A33,INDIRECT("'"&amp;$B$24&amp;"'!$A:$IZ"),64,FALSE)</f>
        <v/>
      </c>
      <c r="AA33" s="54">
        <f>RANK(Z33,Z$28:Z$45)</f>
        <v/>
      </c>
      <c r="AB33" s="53">
        <f>VLOOKUP($A33,INDIRECT("'"&amp;$B$24&amp;"'!$A:$IZ"),63,FALSE)</f>
        <v/>
      </c>
      <c r="AC33" s="54">
        <f>RANK(AB33,AB$28:AB$45)</f>
        <v/>
      </c>
      <c r="AD33" s="53">
        <f>VLOOKUP($A33,INDIRECT("'"&amp;$B$24&amp;"'!$A:$IZ"),71,FALSE)</f>
        <v/>
      </c>
      <c r="AE33" s="54">
        <f>RANK(AD33,AD$28:AD$45)</f>
        <v/>
      </c>
      <c r="AF33" s="65">
        <f>104-(Y33+AA33+AC33+AE33)</f>
        <v/>
      </c>
      <c r="AG33" s="47">
        <f>RANK(AF33,AF$28:AF$45)</f>
        <v/>
      </c>
      <c r="AH33" s="56" t="n"/>
      <c r="AI33" s="53">
        <f>VLOOKUP($A33,INDIRECT("'"&amp;$B$24&amp;"'!$A:$IZ"),183,FALSE)</f>
        <v/>
      </c>
      <c r="AJ33" s="54">
        <f>RANK(AI33,AI$28:AI$45,1)</f>
        <v/>
      </c>
      <c r="AK33" s="53">
        <f>VLOOKUP($A33,INDIRECT("'"&amp;$B$24&amp;"'!$A:$IZ"),181,FALSE)</f>
        <v/>
      </c>
      <c r="AL33" s="54">
        <f>RANK(AK33,AK$28:AK$45,1)</f>
        <v/>
      </c>
      <c r="AM33" s="53">
        <f>VLOOKUP($A33,INDIRECT("'"&amp;$B$24&amp;"'!$A:$IZ"),182,FALSE)</f>
        <v/>
      </c>
      <c r="AN33" s="54">
        <f>RANK(AM33,AM$28:AM$45,1)</f>
        <v/>
      </c>
      <c r="AO33" s="53">
        <f>VLOOKUP($A33,INDIRECT("'"&amp;$B$24&amp;"'!$A:$IZ"),163,FALSE)</f>
        <v/>
      </c>
      <c r="AP33" s="54">
        <f>RANK(AO33,AO$28:AO$45,1)</f>
        <v/>
      </c>
      <c r="AQ33" s="65">
        <f>104-(AJ33+AL33+AN33+AP33)</f>
        <v/>
      </c>
      <c r="AR33" s="47">
        <f>RANK(AQ33,AQ$28:AQ$45)</f>
        <v/>
      </c>
      <c r="AS33" s="56" t="n"/>
      <c r="AT33" s="46">
        <f>VLOOKUP($A33,INDIRECT("'"&amp;$B$24&amp;"'!$A:$IZ"),250,FALSE)</f>
        <v/>
      </c>
      <c r="AU33" s="47">
        <f>RANK(AT33,AT$28:AT$45,0)</f>
        <v/>
      </c>
      <c r="AV33" s="46">
        <f>VLOOKUP($A33,INDIRECT("'"&amp;$B$24&amp;"'!$A:$IZ"),92,FALSE)</f>
        <v/>
      </c>
      <c r="AW33" s="47">
        <f>RANK(AV33,AV$28:AV$45,0)</f>
        <v/>
      </c>
      <c r="AX33" s="46">
        <f>VLOOKUP($A33,INDIRECT("'"&amp;$B$24&amp;"'!$A:$IZ"),93,FALSE)</f>
        <v/>
      </c>
      <c r="AY33" s="47">
        <f>RANK(AX33,AX$28:AX$45,0)</f>
        <v/>
      </c>
      <c r="AZ33" s="46">
        <f>VLOOKUP($A33,INDIRECT("'"&amp;$B$24&amp;"'!$A:$IZ"),108,FALSE)</f>
        <v/>
      </c>
      <c r="BA33" s="47">
        <f>RANK(AZ33,AZ$28:AZ$45,0)</f>
        <v/>
      </c>
      <c r="BB33" s="46">
        <f>104-(AU33+AW33+AY33+BA33)</f>
        <v/>
      </c>
      <c r="BC33" s="47">
        <f>RANK(BB33,BB$28:BB$45)</f>
        <v/>
      </c>
      <c r="BD33" s="56" t="n"/>
      <c r="BE33" s="53">
        <f>VLOOKUP($A33,INDIRECT("'"&amp;$B$24&amp;"'!$A:$IZ"),80,FALSE)</f>
        <v/>
      </c>
      <c r="BF33" s="54">
        <f>RANK(BE33,BE$28:BE$45)</f>
        <v/>
      </c>
      <c r="BG33" s="53">
        <f>VLOOKUP($A33,INDIRECT("'"&amp;$B$24&amp;"'!$A:$IZ"),177,FALSE)</f>
        <v/>
      </c>
      <c r="BH33" s="54">
        <f>RANK(BG33,BG$28:BG$45,1)</f>
        <v/>
      </c>
      <c r="BI33" s="53">
        <f>VLOOKUP($A33,INDIRECT("'"&amp;$B$24&amp;"'!$A:$IZ"),79,FALSE)</f>
        <v/>
      </c>
      <c r="BJ33" s="54">
        <f>RANK(BI33,BI$28:BI$45)</f>
        <v/>
      </c>
      <c r="BK33" s="53">
        <f>VLOOKUP($A33,INDIRECT("'"&amp;$B$24&amp;"'!$A:$IZ"),176,FALSE)</f>
        <v/>
      </c>
      <c r="BL33" s="54">
        <f>RANK(BK33,BK$28:BK$45,1)</f>
        <v/>
      </c>
      <c r="BM33" s="53">
        <f>VLOOKUP($A33,INDIRECT("'"&amp;$B$24&amp;"'!$A:$IZ"),11,FALSE)</f>
        <v/>
      </c>
      <c r="BN33" s="54">
        <f>RANK(BM33,BM$28:BM$45)</f>
        <v/>
      </c>
      <c r="BO33" s="53">
        <f>VLOOKUP($A33,INDIRECT("'"&amp;$B$24&amp;"'!$A:$IZ"),222,FALSE)</f>
        <v/>
      </c>
      <c r="BP33" s="54">
        <f>RANK(BO33,BO$28:BO$45)</f>
        <v/>
      </c>
      <c r="BQ33" s="65">
        <f>104-(BJ33+BL33+BN33+BP33)</f>
        <v/>
      </c>
      <c r="BR33" s="47">
        <f>RANK(BQ33,BQ$28:BQ$45)</f>
        <v/>
      </c>
      <c r="BS33" s="56" t="n"/>
      <c r="BT33" s="57">
        <f>VLOOKUP($A33,'Ratings Season'!$A:$M,8,FALSE)</f>
        <v/>
      </c>
      <c r="BU33" s="54">
        <f>RANK(BT33,BT$28:BT$45)</f>
        <v/>
      </c>
      <c r="BV33" s="57">
        <f>VLOOKUP($A33,'Ratings Season'!$A:$M,4,FALSE)</f>
        <v/>
      </c>
      <c r="BW33" s="54">
        <f>RANK(BV33,BV$28:BV$45)</f>
        <v/>
      </c>
      <c r="BX33" s="57">
        <f>VLOOKUP($A33,'Ratings Season'!$A:$M,2,FALSE)</f>
        <v/>
      </c>
      <c r="BY33" s="58">
        <f>RANK(BX33,BX$28:BX$45)</f>
        <v/>
      </c>
    </row>
    <row r="34" ht="25" customHeight="1">
      <c r="A34" s="81" t="inlineStr">
        <is>
          <t>Geelong</t>
        </is>
      </c>
      <c r="B34" s="53">
        <f>VLOOKUP($A34,INDIRECT("'"&amp;$B$24&amp;"'!$A:$IZ"),222,FALSE)</f>
        <v/>
      </c>
      <c r="C34" s="54">
        <f>RANK(B34,B$28:B$45)</f>
        <v/>
      </c>
      <c r="D34" s="55">
        <f>VLOOKUP($A34,INDIRECT("'"&amp;$B$24&amp;"'!$A:$IZ"),218,FALSE)</f>
        <v/>
      </c>
      <c r="E34" s="54">
        <f>RANK(D34,D$28:D$45)</f>
        <v/>
      </c>
      <c r="F34" s="55">
        <f>VLOOKUP($A34,INDIRECT("'"&amp;$B$24&amp;"'!$A:$IZ"),49,FALSE)</f>
        <v/>
      </c>
      <c r="G34" s="54">
        <f>RANK(F34,F$28:F$45)</f>
        <v/>
      </c>
      <c r="H34" s="55">
        <f>VLOOKUP($A34,INDIRECT("'"&amp;$B$24&amp;"'!$A:$IZ"),229,FALSE)</f>
        <v/>
      </c>
      <c r="I34" s="54">
        <f>RANK(H34,H$28:H$45)</f>
        <v/>
      </c>
      <c r="J34" s="49">
        <f>104-(C34+E34+G34+I34)</f>
        <v/>
      </c>
      <c r="K34" s="47">
        <f>RANK(J34,J$28:J$45)</f>
        <v/>
      </c>
      <c r="L34" s="56" t="n"/>
      <c r="M34" s="53">
        <f>VLOOKUP($A34,INDIRECT("'"&amp;$B$24&amp;"'!$A:$IZ"),88,FALSE)</f>
        <v/>
      </c>
      <c r="N34" s="54">
        <f>RANK(M34,M$28:M$45)</f>
        <v/>
      </c>
      <c r="O34" s="53">
        <f>VLOOKUP($A34,INDIRECT("'"&amp;$B$24&amp;"'!$A:$IZ"),84,FALSE)</f>
        <v/>
      </c>
      <c r="P34" s="54">
        <f>RANK(O34,O$28:O$45)</f>
        <v/>
      </c>
      <c r="Q34" s="53">
        <f>VLOOKUP($A34,INDIRECT("'"&amp;$B$24&amp;"'!$A:$IZ"),85,FALSE)</f>
        <v/>
      </c>
      <c r="R34" s="54">
        <f>RANK(Q34,Q$28:Q$45)</f>
        <v/>
      </c>
      <c r="S34" s="55">
        <f>VLOOKUP($A34,INDIRECT("'"&amp;$B$24&amp;"'!$A:$IZ"),29,FALSE)</f>
        <v/>
      </c>
      <c r="T34" s="54">
        <f>RANK(S34,S$28:S$45)</f>
        <v/>
      </c>
      <c r="U34" s="49">
        <f>104-(N34+P34+R34+T34)</f>
        <v/>
      </c>
      <c r="V34" s="47">
        <f>RANK(U34,U$28:U$45)</f>
        <v/>
      </c>
      <c r="W34" s="56" t="n"/>
      <c r="X34" s="53">
        <f>VLOOKUP($A34,INDIRECT("'"&amp;$B$24&amp;"'!$A:$IZ"),65,FALSE)</f>
        <v/>
      </c>
      <c r="Y34" s="54">
        <f>RANK(X34,X$28:X$45)</f>
        <v/>
      </c>
      <c r="Z34" s="53">
        <f>VLOOKUP($A34,INDIRECT("'"&amp;$B$24&amp;"'!$A:$IZ"),64,FALSE)</f>
        <v/>
      </c>
      <c r="AA34" s="54">
        <f>RANK(Z34,Z$28:Z$45)</f>
        <v/>
      </c>
      <c r="AB34" s="53">
        <f>VLOOKUP($A34,INDIRECT("'"&amp;$B$24&amp;"'!$A:$IZ"),63,FALSE)</f>
        <v/>
      </c>
      <c r="AC34" s="54">
        <f>RANK(AB34,AB$28:AB$45)</f>
        <v/>
      </c>
      <c r="AD34" s="53">
        <f>VLOOKUP($A34,INDIRECT("'"&amp;$B$24&amp;"'!$A:$IZ"),71,FALSE)</f>
        <v/>
      </c>
      <c r="AE34" s="54">
        <f>RANK(AD34,AD$28:AD$45)</f>
        <v/>
      </c>
      <c r="AF34" s="65">
        <f>104-(Y34+AA34+AC34+AE34)</f>
        <v/>
      </c>
      <c r="AG34" s="47">
        <f>RANK(AF34,AF$28:AF$45)</f>
        <v/>
      </c>
      <c r="AH34" s="56" t="n"/>
      <c r="AI34" s="53">
        <f>VLOOKUP($A34,INDIRECT("'"&amp;$B$24&amp;"'!$A:$IZ"),183,FALSE)</f>
        <v/>
      </c>
      <c r="AJ34" s="54">
        <f>RANK(AI34,AI$28:AI$45,1)</f>
        <v/>
      </c>
      <c r="AK34" s="53">
        <f>VLOOKUP($A34,INDIRECT("'"&amp;$B$24&amp;"'!$A:$IZ"),181,FALSE)</f>
        <v/>
      </c>
      <c r="AL34" s="54">
        <f>RANK(AK34,AK$28:AK$45,1)</f>
        <v/>
      </c>
      <c r="AM34" s="53">
        <f>VLOOKUP($A34,INDIRECT("'"&amp;$B$24&amp;"'!$A:$IZ"),182,FALSE)</f>
        <v/>
      </c>
      <c r="AN34" s="54">
        <f>RANK(AM34,AM$28:AM$45,1)</f>
        <v/>
      </c>
      <c r="AO34" s="53">
        <f>VLOOKUP($A34,INDIRECT("'"&amp;$B$24&amp;"'!$A:$IZ"),163,FALSE)</f>
        <v/>
      </c>
      <c r="AP34" s="54">
        <f>RANK(AO34,AO$28:AO$45,1)</f>
        <v/>
      </c>
      <c r="AQ34" s="65">
        <f>104-(AJ34+AL34+AN34+AP34)</f>
        <v/>
      </c>
      <c r="AR34" s="47">
        <f>RANK(AQ34,AQ$28:AQ$45)</f>
        <v/>
      </c>
      <c r="AS34" s="56" t="n"/>
      <c r="AT34" s="46">
        <f>VLOOKUP($A34,INDIRECT("'"&amp;$B$24&amp;"'!$A:$IZ"),250,FALSE)</f>
        <v/>
      </c>
      <c r="AU34" s="47">
        <f>RANK(AT34,AT$28:AT$45,0)</f>
        <v/>
      </c>
      <c r="AV34" s="46">
        <f>VLOOKUP($A34,INDIRECT("'"&amp;$B$24&amp;"'!$A:$IZ"),92,FALSE)</f>
        <v/>
      </c>
      <c r="AW34" s="47">
        <f>RANK(AV34,AV$28:AV$45,0)</f>
        <v/>
      </c>
      <c r="AX34" s="46">
        <f>VLOOKUP($A34,INDIRECT("'"&amp;$B$24&amp;"'!$A:$IZ"),93,FALSE)</f>
        <v/>
      </c>
      <c r="AY34" s="47">
        <f>RANK(AX34,AX$28:AX$45,0)</f>
        <v/>
      </c>
      <c r="AZ34" s="46">
        <f>VLOOKUP($A34,INDIRECT("'"&amp;$B$24&amp;"'!$A:$IZ"),108,FALSE)</f>
        <v/>
      </c>
      <c r="BA34" s="47">
        <f>RANK(AZ34,AZ$28:AZ$45,0)</f>
        <v/>
      </c>
      <c r="BB34" s="46">
        <f>104-(AU34+AW34+AY34+BA34)</f>
        <v/>
      </c>
      <c r="BC34" s="47">
        <f>RANK(BB34,BB$28:BB$45)</f>
        <v/>
      </c>
      <c r="BD34" s="56" t="n"/>
      <c r="BE34" s="53">
        <f>VLOOKUP($A34,INDIRECT("'"&amp;$B$24&amp;"'!$A:$IZ"),80,FALSE)</f>
        <v/>
      </c>
      <c r="BF34" s="54">
        <f>RANK(BE34,BE$28:BE$45)</f>
        <v/>
      </c>
      <c r="BG34" s="53">
        <f>VLOOKUP($A34,INDIRECT("'"&amp;$B$24&amp;"'!$A:$IZ"),177,FALSE)</f>
        <v/>
      </c>
      <c r="BH34" s="54">
        <f>RANK(BG34,BG$28:BG$45,1)</f>
        <v/>
      </c>
      <c r="BI34" s="53">
        <f>VLOOKUP($A34,INDIRECT("'"&amp;$B$24&amp;"'!$A:$IZ"),79,FALSE)</f>
        <v/>
      </c>
      <c r="BJ34" s="54">
        <f>RANK(BI34,BI$28:BI$45)</f>
        <v/>
      </c>
      <c r="BK34" s="53">
        <f>VLOOKUP($A34,INDIRECT("'"&amp;$B$24&amp;"'!$A:$IZ"),176,FALSE)</f>
        <v/>
      </c>
      <c r="BL34" s="54">
        <f>RANK(BK34,BK$28:BK$45,1)</f>
        <v/>
      </c>
      <c r="BM34" s="53">
        <f>VLOOKUP($A34,INDIRECT("'"&amp;$B$24&amp;"'!$A:$IZ"),11,FALSE)</f>
        <v/>
      </c>
      <c r="BN34" s="54">
        <f>RANK(BM34,BM$28:BM$45)</f>
        <v/>
      </c>
      <c r="BO34" s="53">
        <f>VLOOKUP($A34,INDIRECT("'"&amp;$B$24&amp;"'!$A:$IZ"),222,FALSE)</f>
        <v/>
      </c>
      <c r="BP34" s="54">
        <f>RANK(BO34,BO$28:BO$45)</f>
        <v/>
      </c>
      <c r="BQ34" s="65">
        <f>104-(BJ34+BL34+BN34+BP34)</f>
        <v/>
      </c>
      <c r="BR34" s="47">
        <f>RANK(BQ34,BQ$28:BQ$45)</f>
        <v/>
      </c>
      <c r="BS34" s="56" t="n"/>
      <c r="BT34" s="57">
        <f>VLOOKUP($A34,'Ratings Season'!$A:$M,8,FALSE)</f>
        <v/>
      </c>
      <c r="BU34" s="54">
        <f>RANK(BT34,BT$28:BT$45)</f>
        <v/>
      </c>
      <c r="BV34" s="57">
        <f>VLOOKUP($A34,'Ratings Season'!$A:$M,4,FALSE)</f>
        <v/>
      </c>
      <c r="BW34" s="54">
        <f>RANK(BV34,BV$28:BV$45)</f>
        <v/>
      </c>
      <c r="BX34" s="57">
        <f>VLOOKUP($A34,'Ratings Season'!$A:$M,2,FALSE)</f>
        <v/>
      </c>
      <c r="BY34" s="58">
        <f>RANK(BX34,BX$28:BX$45)</f>
        <v/>
      </c>
    </row>
    <row r="35" ht="25" customHeight="1">
      <c r="A35" s="82" t="inlineStr">
        <is>
          <t>Gold Coast</t>
        </is>
      </c>
      <c r="B35" s="53">
        <f>VLOOKUP($A35,INDIRECT("'"&amp;$B$24&amp;"'!$A:$IZ"),222,FALSE)</f>
        <v/>
      </c>
      <c r="C35" s="54">
        <f>RANK(B35,B$28:B$45)</f>
        <v/>
      </c>
      <c r="D35" s="55">
        <f>VLOOKUP($A35,INDIRECT("'"&amp;$B$24&amp;"'!$A:$IZ"),218,FALSE)</f>
        <v/>
      </c>
      <c r="E35" s="54">
        <f>RANK(D35,D$28:D$45)</f>
        <v/>
      </c>
      <c r="F35" s="55">
        <f>VLOOKUP($A35,INDIRECT("'"&amp;$B$24&amp;"'!$A:$IZ"),49,FALSE)</f>
        <v/>
      </c>
      <c r="G35" s="54">
        <f>RANK(F35,F$28:F$45)</f>
        <v/>
      </c>
      <c r="H35" s="55">
        <f>VLOOKUP($A35,INDIRECT("'"&amp;$B$24&amp;"'!$A:$IZ"),229,FALSE)</f>
        <v/>
      </c>
      <c r="I35" s="54">
        <f>RANK(H35,H$28:H$45)</f>
        <v/>
      </c>
      <c r="J35" s="49">
        <f>104-(C35+E35+G35+I35)</f>
        <v/>
      </c>
      <c r="K35" s="47">
        <f>RANK(J35,J$28:J$45)</f>
        <v/>
      </c>
      <c r="L35" s="56" t="n"/>
      <c r="M35" s="53">
        <f>VLOOKUP($A35,INDIRECT("'"&amp;$B$24&amp;"'!$A:$IZ"),88,FALSE)</f>
        <v/>
      </c>
      <c r="N35" s="54">
        <f>RANK(M35,M$28:M$45)</f>
        <v/>
      </c>
      <c r="O35" s="53">
        <f>VLOOKUP($A35,INDIRECT("'"&amp;$B$24&amp;"'!$A:$IZ"),84,FALSE)</f>
        <v/>
      </c>
      <c r="P35" s="54">
        <f>RANK(O35,O$28:O$45)</f>
        <v/>
      </c>
      <c r="Q35" s="53">
        <f>VLOOKUP($A35,INDIRECT("'"&amp;$B$24&amp;"'!$A:$IZ"),85,FALSE)</f>
        <v/>
      </c>
      <c r="R35" s="54">
        <f>RANK(Q35,Q$28:Q$45)</f>
        <v/>
      </c>
      <c r="S35" s="55">
        <f>VLOOKUP($A35,INDIRECT("'"&amp;$B$24&amp;"'!$A:$IZ"),29,FALSE)</f>
        <v/>
      </c>
      <c r="T35" s="54">
        <f>RANK(S35,S$28:S$45)</f>
        <v/>
      </c>
      <c r="U35" s="49">
        <f>104-(N35+P35+R35+T35)</f>
        <v/>
      </c>
      <c r="V35" s="47">
        <f>RANK(U35,U$28:U$45)</f>
        <v/>
      </c>
      <c r="W35" s="56" t="n"/>
      <c r="X35" s="53">
        <f>VLOOKUP($A35,INDIRECT("'"&amp;$B$24&amp;"'!$A:$IZ"),65,FALSE)</f>
        <v/>
      </c>
      <c r="Y35" s="54">
        <f>RANK(X35,X$28:X$45)</f>
        <v/>
      </c>
      <c r="Z35" s="53">
        <f>VLOOKUP($A35,INDIRECT("'"&amp;$B$24&amp;"'!$A:$IZ"),64,FALSE)</f>
        <v/>
      </c>
      <c r="AA35" s="54">
        <f>RANK(Z35,Z$28:Z$45)</f>
        <v/>
      </c>
      <c r="AB35" s="53">
        <f>VLOOKUP($A35,INDIRECT("'"&amp;$B$24&amp;"'!$A:$IZ"),63,FALSE)</f>
        <v/>
      </c>
      <c r="AC35" s="54">
        <f>RANK(AB35,AB$28:AB$45)</f>
        <v/>
      </c>
      <c r="AD35" s="53">
        <f>VLOOKUP($A35,INDIRECT("'"&amp;$B$24&amp;"'!$A:$IZ"),71,FALSE)</f>
        <v/>
      </c>
      <c r="AE35" s="54">
        <f>RANK(AD35,AD$28:AD$45)</f>
        <v/>
      </c>
      <c r="AF35" s="65">
        <f>104-(Y35+AA35+AC35+AE35)</f>
        <v/>
      </c>
      <c r="AG35" s="47">
        <f>RANK(AF35,AF$28:AF$45)</f>
        <v/>
      </c>
      <c r="AH35" s="56" t="n"/>
      <c r="AI35" s="53">
        <f>VLOOKUP($A35,INDIRECT("'"&amp;$B$24&amp;"'!$A:$IZ"),183,FALSE)</f>
        <v/>
      </c>
      <c r="AJ35" s="54">
        <f>RANK(AI35,AI$28:AI$45,1)</f>
        <v/>
      </c>
      <c r="AK35" s="53">
        <f>VLOOKUP($A35,INDIRECT("'"&amp;$B$24&amp;"'!$A:$IZ"),181,FALSE)</f>
        <v/>
      </c>
      <c r="AL35" s="54">
        <f>RANK(AK35,AK$28:AK$45,1)</f>
        <v/>
      </c>
      <c r="AM35" s="53">
        <f>VLOOKUP($A35,INDIRECT("'"&amp;$B$24&amp;"'!$A:$IZ"),182,FALSE)</f>
        <v/>
      </c>
      <c r="AN35" s="54">
        <f>RANK(AM35,AM$28:AM$45,1)</f>
        <v/>
      </c>
      <c r="AO35" s="53">
        <f>VLOOKUP($A35,INDIRECT("'"&amp;$B$24&amp;"'!$A:$IZ"),163,FALSE)</f>
        <v/>
      </c>
      <c r="AP35" s="54">
        <f>RANK(AO35,AO$28:AO$45,1)</f>
        <v/>
      </c>
      <c r="AQ35" s="65">
        <f>104-(AJ35+AL35+AN35+AP35)</f>
        <v/>
      </c>
      <c r="AR35" s="47">
        <f>RANK(AQ35,AQ$28:AQ$45)</f>
        <v/>
      </c>
      <c r="AS35" s="56" t="n"/>
      <c r="AT35" s="46">
        <f>VLOOKUP($A35,INDIRECT("'"&amp;$B$24&amp;"'!$A:$IZ"),250,FALSE)</f>
        <v/>
      </c>
      <c r="AU35" s="47">
        <f>RANK(AT35,AT$28:AT$45,0)</f>
        <v/>
      </c>
      <c r="AV35" s="46">
        <f>VLOOKUP($A35,INDIRECT("'"&amp;$B$24&amp;"'!$A:$IZ"),92,FALSE)</f>
        <v/>
      </c>
      <c r="AW35" s="47">
        <f>RANK(AV35,AV$28:AV$45,0)</f>
        <v/>
      </c>
      <c r="AX35" s="46">
        <f>VLOOKUP($A35,INDIRECT("'"&amp;$B$24&amp;"'!$A:$IZ"),93,FALSE)</f>
        <v/>
      </c>
      <c r="AY35" s="47">
        <f>RANK(AX35,AX$28:AX$45,0)</f>
        <v/>
      </c>
      <c r="AZ35" s="46">
        <f>VLOOKUP($A35,INDIRECT("'"&amp;$B$24&amp;"'!$A:$IZ"),108,FALSE)</f>
        <v/>
      </c>
      <c r="BA35" s="47">
        <f>RANK(AZ35,AZ$28:AZ$45,0)</f>
        <v/>
      </c>
      <c r="BB35" s="46">
        <f>104-(AU35+AW35+AY35+BA35)</f>
        <v/>
      </c>
      <c r="BC35" s="47">
        <f>RANK(BB35,BB$28:BB$45)</f>
        <v/>
      </c>
      <c r="BD35" s="56" t="n"/>
      <c r="BE35" s="53">
        <f>VLOOKUP($A35,INDIRECT("'"&amp;$B$24&amp;"'!$A:$IZ"),80,FALSE)</f>
        <v/>
      </c>
      <c r="BF35" s="54">
        <f>RANK(BE35,BE$28:BE$45)</f>
        <v/>
      </c>
      <c r="BG35" s="53">
        <f>VLOOKUP($A35,INDIRECT("'"&amp;$B$24&amp;"'!$A:$IZ"),177,FALSE)</f>
        <v/>
      </c>
      <c r="BH35" s="54">
        <f>RANK(BG35,BG$28:BG$45,1)</f>
        <v/>
      </c>
      <c r="BI35" s="53">
        <f>VLOOKUP($A35,INDIRECT("'"&amp;$B$24&amp;"'!$A:$IZ"),79,FALSE)</f>
        <v/>
      </c>
      <c r="BJ35" s="54">
        <f>RANK(BI35,BI$28:BI$45)</f>
        <v/>
      </c>
      <c r="BK35" s="53">
        <f>VLOOKUP($A35,INDIRECT("'"&amp;$B$24&amp;"'!$A:$IZ"),176,FALSE)</f>
        <v/>
      </c>
      <c r="BL35" s="54">
        <f>RANK(BK35,BK$28:BK$45,1)</f>
        <v/>
      </c>
      <c r="BM35" s="53">
        <f>VLOOKUP($A35,INDIRECT("'"&amp;$B$24&amp;"'!$A:$IZ"),11,FALSE)</f>
        <v/>
      </c>
      <c r="BN35" s="54">
        <f>RANK(BM35,BM$28:BM$45)</f>
        <v/>
      </c>
      <c r="BO35" s="53">
        <f>VLOOKUP($A35,INDIRECT("'"&amp;$B$24&amp;"'!$A:$IZ"),222,FALSE)</f>
        <v/>
      </c>
      <c r="BP35" s="54">
        <f>RANK(BO35,BO$28:BO$45)</f>
        <v/>
      </c>
      <c r="BQ35" s="65">
        <f>104-(BJ35+BL35+BN35+BP35)</f>
        <v/>
      </c>
      <c r="BR35" s="47">
        <f>RANK(BQ35,BQ$28:BQ$45)</f>
        <v/>
      </c>
      <c r="BS35" s="56" t="n"/>
      <c r="BT35" s="57">
        <f>VLOOKUP($A35,'Ratings Season'!$A:$M,8,FALSE)</f>
        <v/>
      </c>
      <c r="BU35" s="54">
        <f>RANK(BT35,BT$28:BT$45)</f>
        <v/>
      </c>
      <c r="BV35" s="57">
        <f>VLOOKUP($A35,'Ratings Season'!$A:$M,4,FALSE)</f>
        <v/>
      </c>
      <c r="BW35" s="54">
        <f>RANK(BV35,BV$28:BV$45)</f>
        <v/>
      </c>
      <c r="BX35" s="57">
        <f>VLOOKUP($A35,'Ratings Season'!$A:$M,2,FALSE)</f>
        <v/>
      </c>
      <c r="BY35" s="58">
        <f>RANK(BX35,BX$28:BX$45)</f>
        <v/>
      </c>
    </row>
    <row r="36" ht="25" customHeight="1">
      <c r="A36" s="83" t="inlineStr">
        <is>
          <t>Greater Western Sydney</t>
        </is>
      </c>
      <c r="B36" s="53">
        <f>VLOOKUP($A36,INDIRECT("'"&amp;$B$24&amp;"'!$A:$IZ"),222,FALSE)</f>
        <v/>
      </c>
      <c r="C36" s="54">
        <f>RANK(B36,B$28:B$45)</f>
        <v/>
      </c>
      <c r="D36" s="55">
        <f>VLOOKUP($A36,INDIRECT("'"&amp;$B$24&amp;"'!$A:$IZ"),218,FALSE)</f>
        <v/>
      </c>
      <c r="E36" s="54">
        <f>RANK(D36,D$28:D$45)</f>
        <v/>
      </c>
      <c r="F36" s="55">
        <f>VLOOKUP($A36,INDIRECT("'"&amp;$B$24&amp;"'!$A:$IZ"),49,FALSE)</f>
        <v/>
      </c>
      <c r="G36" s="54">
        <f>RANK(F36,F$28:F$45)</f>
        <v/>
      </c>
      <c r="H36" s="55">
        <f>VLOOKUP($A36,INDIRECT("'"&amp;$B$24&amp;"'!$A:$IZ"),229,FALSE)</f>
        <v/>
      </c>
      <c r="I36" s="54">
        <f>RANK(H36,H$28:H$45)</f>
        <v/>
      </c>
      <c r="J36" s="49">
        <f>104-(C36+E36+G36+I36)</f>
        <v/>
      </c>
      <c r="K36" s="47">
        <f>RANK(J36,J$28:J$45)</f>
        <v/>
      </c>
      <c r="L36" s="56" t="n"/>
      <c r="M36" s="53">
        <f>VLOOKUP($A36,INDIRECT("'"&amp;$B$24&amp;"'!$A:$IZ"),88,FALSE)</f>
        <v/>
      </c>
      <c r="N36" s="54">
        <f>RANK(M36,M$28:M$45)</f>
        <v/>
      </c>
      <c r="O36" s="53">
        <f>VLOOKUP($A36,INDIRECT("'"&amp;$B$24&amp;"'!$A:$IZ"),84,FALSE)</f>
        <v/>
      </c>
      <c r="P36" s="54">
        <f>RANK(O36,O$28:O$45)</f>
        <v/>
      </c>
      <c r="Q36" s="53">
        <f>VLOOKUP($A36,INDIRECT("'"&amp;$B$24&amp;"'!$A:$IZ"),85,FALSE)</f>
        <v/>
      </c>
      <c r="R36" s="54">
        <f>RANK(Q36,Q$28:Q$45)</f>
        <v/>
      </c>
      <c r="S36" s="55">
        <f>VLOOKUP($A36,INDIRECT("'"&amp;$B$24&amp;"'!$A:$IZ"),29,FALSE)</f>
        <v/>
      </c>
      <c r="T36" s="54">
        <f>RANK(S36,S$28:S$45)</f>
        <v/>
      </c>
      <c r="U36" s="49">
        <f>104-(N36+P36+R36+T36)</f>
        <v/>
      </c>
      <c r="V36" s="47">
        <f>RANK(U36,U$28:U$45)</f>
        <v/>
      </c>
      <c r="W36" s="56" t="n"/>
      <c r="X36" s="53">
        <f>VLOOKUP($A36,INDIRECT("'"&amp;$B$24&amp;"'!$A:$IZ"),65,FALSE)</f>
        <v/>
      </c>
      <c r="Y36" s="54">
        <f>RANK(X36,X$28:X$45)</f>
        <v/>
      </c>
      <c r="Z36" s="53">
        <f>VLOOKUP($A36,INDIRECT("'"&amp;$B$24&amp;"'!$A:$IZ"),64,FALSE)</f>
        <v/>
      </c>
      <c r="AA36" s="54">
        <f>RANK(Z36,Z$28:Z$45)</f>
        <v/>
      </c>
      <c r="AB36" s="53">
        <f>VLOOKUP($A36,INDIRECT("'"&amp;$B$24&amp;"'!$A:$IZ"),63,FALSE)</f>
        <v/>
      </c>
      <c r="AC36" s="54">
        <f>RANK(AB36,AB$28:AB$45)</f>
        <v/>
      </c>
      <c r="AD36" s="53">
        <f>VLOOKUP($A36,INDIRECT("'"&amp;$B$24&amp;"'!$A:$IZ"),71,FALSE)</f>
        <v/>
      </c>
      <c r="AE36" s="54">
        <f>RANK(AD36,AD$28:AD$45)</f>
        <v/>
      </c>
      <c r="AF36" s="65">
        <f>104-(Y36+AA36+AC36+AE36)</f>
        <v/>
      </c>
      <c r="AG36" s="47">
        <f>RANK(AF36,AF$28:AF$45)</f>
        <v/>
      </c>
      <c r="AH36" s="56" t="n"/>
      <c r="AI36" s="53">
        <f>VLOOKUP($A36,INDIRECT("'"&amp;$B$24&amp;"'!$A:$IZ"),183,FALSE)</f>
        <v/>
      </c>
      <c r="AJ36" s="54">
        <f>RANK(AI36,AI$28:AI$45,1)</f>
        <v/>
      </c>
      <c r="AK36" s="53">
        <f>VLOOKUP($A36,INDIRECT("'"&amp;$B$24&amp;"'!$A:$IZ"),181,FALSE)</f>
        <v/>
      </c>
      <c r="AL36" s="54">
        <f>RANK(AK36,AK$28:AK$45,1)</f>
        <v/>
      </c>
      <c r="AM36" s="53">
        <f>VLOOKUP($A36,INDIRECT("'"&amp;$B$24&amp;"'!$A:$IZ"),182,FALSE)</f>
        <v/>
      </c>
      <c r="AN36" s="54">
        <f>RANK(AM36,AM$28:AM$45,1)</f>
        <v/>
      </c>
      <c r="AO36" s="53">
        <f>VLOOKUP($A36,INDIRECT("'"&amp;$B$24&amp;"'!$A:$IZ"),163,FALSE)</f>
        <v/>
      </c>
      <c r="AP36" s="54">
        <f>RANK(AO36,AO$28:AO$45,1)</f>
        <v/>
      </c>
      <c r="AQ36" s="65">
        <f>104-(AJ36+AL36+AN36+AP36)</f>
        <v/>
      </c>
      <c r="AR36" s="47">
        <f>RANK(AQ36,AQ$28:AQ$45)</f>
        <v/>
      </c>
      <c r="AS36" s="56" t="n"/>
      <c r="AT36" s="46">
        <f>VLOOKUP($A36,INDIRECT("'"&amp;$B$24&amp;"'!$A:$IZ"),250,FALSE)</f>
        <v/>
      </c>
      <c r="AU36" s="47">
        <f>RANK(AT36,AT$28:AT$45,0)</f>
        <v/>
      </c>
      <c r="AV36" s="46">
        <f>VLOOKUP($A36,INDIRECT("'"&amp;$B$24&amp;"'!$A:$IZ"),92,FALSE)</f>
        <v/>
      </c>
      <c r="AW36" s="47">
        <f>RANK(AV36,AV$28:AV$45,0)</f>
        <v/>
      </c>
      <c r="AX36" s="46">
        <f>VLOOKUP($A36,INDIRECT("'"&amp;$B$24&amp;"'!$A:$IZ"),93,FALSE)</f>
        <v/>
      </c>
      <c r="AY36" s="47">
        <f>RANK(AX36,AX$28:AX$45,0)</f>
        <v/>
      </c>
      <c r="AZ36" s="46">
        <f>VLOOKUP($A36,INDIRECT("'"&amp;$B$24&amp;"'!$A:$IZ"),108,FALSE)</f>
        <v/>
      </c>
      <c r="BA36" s="47">
        <f>RANK(AZ36,AZ$28:AZ$45,0)</f>
        <v/>
      </c>
      <c r="BB36" s="46">
        <f>104-(AU36+AW36+AY36+BA36)</f>
        <v/>
      </c>
      <c r="BC36" s="47">
        <f>RANK(BB36,BB$28:BB$45)</f>
        <v/>
      </c>
      <c r="BD36" s="56" t="n"/>
      <c r="BE36" s="53">
        <f>VLOOKUP($A36,INDIRECT("'"&amp;$B$24&amp;"'!$A:$IZ"),80,FALSE)</f>
        <v/>
      </c>
      <c r="BF36" s="54">
        <f>RANK(BE36,BE$28:BE$45)</f>
        <v/>
      </c>
      <c r="BG36" s="53">
        <f>VLOOKUP($A36,INDIRECT("'"&amp;$B$24&amp;"'!$A:$IZ"),177,FALSE)</f>
        <v/>
      </c>
      <c r="BH36" s="54">
        <f>RANK(BG36,BG$28:BG$45,1)</f>
        <v/>
      </c>
      <c r="BI36" s="53">
        <f>VLOOKUP($A36,INDIRECT("'"&amp;$B$24&amp;"'!$A:$IZ"),79,FALSE)</f>
        <v/>
      </c>
      <c r="BJ36" s="54">
        <f>RANK(BI36,BI$28:BI$45)</f>
        <v/>
      </c>
      <c r="BK36" s="53">
        <f>VLOOKUP($A36,INDIRECT("'"&amp;$B$24&amp;"'!$A:$IZ"),176,FALSE)</f>
        <v/>
      </c>
      <c r="BL36" s="54">
        <f>RANK(BK36,BK$28:BK$45,1)</f>
        <v/>
      </c>
      <c r="BM36" s="53">
        <f>VLOOKUP($A36,INDIRECT("'"&amp;$B$24&amp;"'!$A:$IZ"),11,FALSE)</f>
        <v/>
      </c>
      <c r="BN36" s="54">
        <f>RANK(BM36,BM$28:BM$45)</f>
        <v/>
      </c>
      <c r="BO36" s="53">
        <f>VLOOKUP($A36,INDIRECT("'"&amp;$B$24&amp;"'!$A:$IZ"),222,FALSE)</f>
        <v/>
      </c>
      <c r="BP36" s="54">
        <f>RANK(BO36,BO$28:BO$45)</f>
        <v/>
      </c>
      <c r="BQ36" s="65">
        <f>104-(BJ36+BL36+BN36+BP36)</f>
        <v/>
      </c>
      <c r="BR36" s="47">
        <f>RANK(BQ36,BQ$28:BQ$45)</f>
        <v/>
      </c>
      <c r="BS36" s="56" t="n"/>
      <c r="BT36" s="57">
        <f>VLOOKUP($A36,'Ratings Season'!$A:$M,8,FALSE)</f>
        <v/>
      </c>
      <c r="BU36" s="54">
        <f>RANK(BT36,BT$28:BT$45)</f>
        <v/>
      </c>
      <c r="BV36" s="57">
        <f>VLOOKUP($A36,'Ratings Season'!$A:$M,4,FALSE)</f>
        <v/>
      </c>
      <c r="BW36" s="54">
        <f>RANK(BV36,BV$28:BV$45)</f>
        <v/>
      </c>
      <c r="BX36" s="57">
        <f>VLOOKUP($A36,'Ratings Season'!$A:$M,2,FALSE)</f>
        <v/>
      </c>
      <c r="BY36" s="58">
        <f>RANK(BX36,BX$28:BX$45)</f>
        <v/>
      </c>
    </row>
    <row r="37" ht="25" customHeight="1">
      <c r="A37" s="84" t="inlineStr">
        <is>
          <t>Hawthorn</t>
        </is>
      </c>
      <c r="B37" s="53">
        <f>VLOOKUP($A37,INDIRECT("'"&amp;$B$24&amp;"'!$A:$IZ"),222,FALSE)</f>
        <v/>
      </c>
      <c r="C37" s="54">
        <f>RANK(B37,B$28:B$45)</f>
        <v/>
      </c>
      <c r="D37" s="55">
        <f>VLOOKUP($A37,INDIRECT("'"&amp;$B$24&amp;"'!$A:$IZ"),218,FALSE)</f>
        <v/>
      </c>
      <c r="E37" s="54">
        <f>RANK(D37,D$28:D$45)</f>
        <v/>
      </c>
      <c r="F37" s="55">
        <f>VLOOKUP($A37,INDIRECT("'"&amp;$B$24&amp;"'!$A:$IZ"),49,FALSE)</f>
        <v/>
      </c>
      <c r="G37" s="54">
        <f>RANK(F37,F$28:F$45)</f>
        <v/>
      </c>
      <c r="H37" s="55">
        <f>VLOOKUP($A37,INDIRECT("'"&amp;$B$24&amp;"'!$A:$IZ"),229,FALSE)</f>
        <v/>
      </c>
      <c r="I37" s="54">
        <f>RANK(H37,H$28:H$45)</f>
        <v/>
      </c>
      <c r="J37" s="49">
        <f>104-(C37+E37+G37+I37)</f>
        <v/>
      </c>
      <c r="K37" s="47">
        <f>RANK(J37,J$28:J$45)</f>
        <v/>
      </c>
      <c r="L37" s="56" t="n"/>
      <c r="M37" s="53">
        <f>VLOOKUP($A37,INDIRECT("'"&amp;$B$24&amp;"'!$A:$IZ"),88,FALSE)</f>
        <v/>
      </c>
      <c r="N37" s="54">
        <f>RANK(M37,M$28:M$45)</f>
        <v/>
      </c>
      <c r="O37" s="53">
        <f>VLOOKUP($A37,INDIRECT("'"&amp;$B$24&amp;"'!$A:$IZ"),84,FALSE)</f>
        <v/>
      </c>
      <c r="P37" s="54">
        <f>RANK(O37,O$28:O$45)</f>
        <v/>
      </c>
      <c r="Q37" s="53">
        <f>VLOOKUP($A37,INDIRECT("'"&amp;$B$24&amp;"'!$A:$IZ"),85,FALSE)</f>
        <v/>
      </c>
      <c r="R37" s="54">
        <f>RANK(Q37,Q$28:Q$45)</f>
        <v/>
      </c>
      <c r="S37" s="55">
        <f>VLOOKUP($A37,INDIRECT("'"&amp;$B$24&amp;"'!$A:$IZ"),29,FALSE)</f>
        <v/>
      </c>
      <c r="T37" s="54">
        <f>RANK(S37,S$28:S$45)</f>
        <v/>
      </c>
      <c r="U37" s="49">
        <f>104-(N37+P37+R37+T37)</f>
        <v/>
      </c>
      <c r="V37" s="47">
        <f>RANK(U37,U$28:U$45)</f>
        <v/>
      </c>
      <c r="W37" s="56" t="n"/>
      <c r="X37" s="53">
        <f>VLOOKUP($A37,INDIRECT("'"&amp;$B$24&amp;"'!$A:$IZ"),65,FALSE)</f>
        <v/>
      </c>
      <c r="Y37" s="54">
        <f>RANK(X37,X$28:X$45)</f>
        <v/>
      </c>
      <c r="Z37" s="53">
        <f>VLOOKUP($A37,INDIRECT("'"&amp;$B$24&amp;"'!$A:$IZ"),64,FALSE)</f>
        <v/>
      </c>
      <c r="AA37" s="54">
        <f>RANK(Z37,Z$28:Z$45)</f>
        <v/>
      </c>
      <c r="AB37" s="53">
        <f>VLOOKUP($A37,INDIRECT("'"&amp;$B$24&amp;"'!$A:$IZ"),63,FALSE)</f>
        <v/>
      </c>
      <c r="AC37" s="54">
        <f>RANK(AB37,AB$28:AB$45)</f>
        <v/>
      </c>
      <c r="AD37" s="53">
        <f>VLOOKUP($A37,INDIRECT("'"&amp;$B$24&amp;"'!$A:$IZ"),71,FALSE)</f>
        <v/>
      </c>
      <c r="AE37" s="54">
        <f>RANK(AD37,AD$28:AD$45)</f>
        <v/>
      </c>
      <c r="AF37" s="65">
        <f>104-(Y37+AA37+AC37+AE37)</f>
        <v/>
      </c>
      <c r="AG37" s="47">
        <f>RANK(AF37,AF$28:AF$45)</f>
        <v/>
      </c>
      <c r="AH37" s="56" t="n"/>
      <c r="AI37" s="53">
        <f>VLOOKUP($A37,INDIRECT("'"&amp;$B$24&amp;"'!$A:$IZ"),183,FALSE)</f>
        <v/>
      </c>
      <c r="AJ37" s="54">
        <f>RANK(AI37,AI$28:AI$45,1)</f>
        <v/>
      </c>
      <c r="AK37" s="53">
        <f>VLOOKUP($A37,INDIRECT("'"&amp;$B$24&amp;"'!$A:$IZ"),181,FALSE)</f>
        <v/>
      </c>
      <c r="AL37" s="54">
        <f>RANK(AK37,AK$28:AK$45,1)</f>
        <v/>
      </c>
      <c r="AM37" s="53">
        <f>VLOOKUP($A37,INDIRECT("'"&amp;$B$24&amp;"'!$A:$IZ"),182,FALSE)</f>
        <v/>
      </c>
      <c r="AN37" s="54">
        <f>RANK(AM37,AM$28:AM$45,1)</f>
        <v/>
      </c>
      <c r="AO37" s="53">
        <f>VLOOKUP($A37,INDIRECT("'"&amp;$B$24&amp;"'!$A:$IZ"),163,FALSE)</f>
        <v/>
      </c>
      <c r="AP37" s="54">
        <f>RANK(AO37,AO$28:AO$45,1)</f>
        <v/>
      </c>
      <c r="AQ37" s="65">
        <f>104-(AJ37+AL37+AN37+AP37)</f>
        <v/>
      </c>
      <c r="AR37" s="47">
        <f>RANK(AQ37,AQ$28:AQ$45)</f>
        <v/>
      </c>
      <c r="AS37" s="56" t="n"/>
      <c r="AT37" s="46">
        <f>VLOOKUP($A37,INDIRECT("'"&amp;$B$24&amp;"'!$A:$IZ"),250,FALSE)</f>
        <v/>
      </c>
      <c r="AU37" s="47">
        <f>RANK(AT37,AT$28:AT$45,0)</f>
        <v/>
      </c>
      <c r="AV37" s="46">
        <f>VLOOKUP($A37,INDIRECT("'"&amp;$B$24&amp;"'!$A:$IZ"),92,FALSE)</f>
        <v/>
      </c>
      <c r="AW37" s="47">
        <f>RANK(AV37,AV$28:AV$45,0)</f>
        <v/>
      </c>
      <c r="AX37" s="46">
        <f>VLOOKUP($A37,INDIRECT("'"&amp;$B$24&amp;"'!$A:$IZ"),93,FALSE)</f>
        <v/>
      </c>
      <c r="AY37" s="47">
        <f>RANK(AX37,AX$28:AX$45,0)</f>
        <v/>
      </c>
      <c r="AZ37" s="46">
        <f>VLOOKUP($A37,INDIRECT("'"&amp;$B$24&amp;"'!$A:$IZ"),108,FALSE)</f>
        <v/>
      </c>
      <c r="BA37" s="47">
        <f>RANK(AZ37,AZ$28:AZ$45,0)</f>
        <v/>
      </c>
      <c r="BB37" s="46">
        <f>104-(AU37+AW37+AY37+BA37)</f>
        <v/>
      </c>
      <c r="BC37" s="47">
        <f>RANK(BB37,BB$28:BB$45)</f>
        <v/>
      </c>
      <c r="BD37" s="56" t="n"/>
      <c r="BE37" s="53">
        <f>VLOOKUP($A37,INDIRECT("'"&amp;$B$24&amp;"'!$A:$IZ"),80,FALSE)</f>
        <v/>
      </c>
      <c r="BF37" s="54">
        <f>RANK(BE37,BE$28:BE$45)</f>
        <v/>
      </c>
      <c r="BG37" s="53">
        <f>VLOOKUP($A37,INDIRECT("'"&amp;$B$24&amp;"'!$A:$IZ"),177,FALSE)</f>
        <v/>
      </c>
      <c r="BH37" s="54">
        <f>RANK(BG37,BG$28:BG$45,1)</f>
        <v/>
      </c>
      <c r="BI37" s="53">
        <f>VLOOKUP($A37,INDIRECT("'"&amp;$B$24&amp;"'!$A:$IZ"),79,FALSE)</f>
        <v/>
      </c>
      <c r="BJ37" s="54">
        <f>RANK(BI37,BI$28:BI$45)</f>
        <v/>
      </c>
      <c r="BK37" s="53">
        <f>VLOOKUP($A37,INDIRECT("'"&amp;$B$24&amp;"'!$A:$IZ"),176,FALSE)</f>
        <v/>
      </c>
      <c r="BL37" s="54">
        <f>RANK(BK37,BK$28:BK$45,1)</f>
        <v/>
      </c>
      <c r="BM37" s="53">
        <f>VLOOKUP($A37,INDIRECT("'"&amp;$B$24&amp;"'!$A:$IZ"),11,FALSE)</f>
        <v/>
      </c>
      <c r="BN37" s="54">
        <f>RANK(BM37,BM$28:BM$45)</f>
        <v/>
      </c>
      <c r="BO37" s="53">
        <f>VLOOKUP($A37,INDIRECT("'"&amp;$B$24&amp;"'!$A:$IZ"),222,FALSE)</f>
        <v/>
      </c>
      <c r="BP37" s="54">
        <f>RANK(BO37,BO$28:BO$45)</f>
        <v/>
      </c>
      <c r="BQ37" s="65">
        <f>104-(BJ37+BL37+BN37+BP37)</f>
        <v/>
      </c>
      <c r="BR37" s="47">
        <f>RANK(BQ37,BQ$28:BQ$45)</f>
        <v/>
      </c>
      <c r="BS37" s="56" t="n"/>
      <c r="BT37" s="57">
        <f>VLOOKUP($A37,'Ratings Season'!$A:$M,8,FALSE)</f>
        <v/>
      </c>
      <c r="BU37" s="54">
        <f>RANK(BT37,BT$28:BT$45)</f>
        <v/>
      </c>
      <c r="BV37" s="57">
        <f>VLOOKUP($A37,'Ratings Season'!$A:$M,4,FALSE)</f>
        <v/>
      </c>
      <c r="BW37" s="54">
        <f>RANK(BV37,BV$28:BV$45)</f>
        <v/>
      </c>
      <c r="BX37" s="57">
        <f>VLOOKUP($A37,'Ratings Season'!$A:$M,2,FALSE)</f>
        <v/>
      </c>
      <c r="BY37" s="58">
        <f>RANK(BX37,BX$28:BX$45)</f>
        <v/>
      </c>
    </row>
    <row r="38" ht="25" customHeight="1">
      <c r="A38" s="85" t="inlineStr">
        <is>
          <t>Melbourne</t>
        </is>
      </c>
      <c r="B38" s="53">
        <f>VLOOKUP($A38,INDIRECT("'"&amp;$B$24&amp;"'!$A:$IZ"),222,FALSE)</f>
        <v/>
      </c>
      <c r="C38" s="54">
        <f>RANK(B38,B$28:B$45)</f>
        <v/>
      </c>
      <c r="D38" s="55">
        <f>VLOOKUP($A38,INDIRECT("'"&amp;$B$24&amp;"'!$A:$IZ"),218,FALSE)</f>
        <v/>
      </c>
      <c r="E38" s="54">
        <f>RANK(D38,D$28:D$45)</f>
        <v/>
      </c>
      <c r="F38" s="55">
        <f>VLOOKUP($A38,INDIRECT("'"&amp;$B$24&amp;"'!$A:$IZ"),49,FALSE)</f>
        <v/>
      </c>
      <c r="G38" s="54">
        <f>RANK(F38,F$28:F$45)</f>
        <v/>
      </c>
      <c r="H38" s="55">
        <f>VLOOKUP($A38,INDIRECT("'"&amp;$B$24&amp;"'!$A:$IZ"),229,FALSE)</f>
        <v/>
      </c>
      <c r="I38" s="54">
        <f>RANK(H38,H$28:H$45)</f>
        <v/>
      </c>
      <c r="J38" s="49">
        <f>104-(C38+E38+G38+I38)</f>
        <v/>
      </c>
      <c r="K38" s="47">
        <f>RANK(J38,J$28:J$45)</f>
        <v/>
      </c>
      <c r="L38" s="56" t="n"/>
      <c r="M38" s="53">
        <f>VLOOKUP($A38,INDIRECT("'"&amp;$B$24&amp;"'!$A:$IZ"),88,FALSE)</f>
        <v/>
      </c>
      <c r="N38" s="54">
        <f>RANK(M38,M$28:M$45)</f>
        <v/>
      </c>
      <c r="O38" s="53">
        <f>VLOOKUP($A38,INDIRECT("'"&amp;$B$24&amp;"'!$A:$IZ"),84,FALSE)</f>
        <v/>
      </c>
      <c r="P38" s="54">
        <f>RANK(O38,O$28:O$45)</f>
        <v/>
      </c>
      <c r="Q38" s="53">
        <f>VLOOKUP($A38,INDIRECT("'"&amp;$B$24&amp;"'!$A:$IZ"),85,FALSE)</f>
        <v/>
      </c>
      <c r="R38" s="54">
        <f>RANK(Q38,Q$28:Q$45)</f>
        <v/>
      </c>
      <c r="S38" s="55">
        <f>VLOOKUP($A38,INDIRECT("'"&amp;$B$24&amp;"'!$A:$IZ"),29,FALSE)</f>
        <v/>
      </c>
      <c r="T38" s="54">
        <f>RANK(S38,S$28:S$45)</f>
        <v/>
      </c>
      <c r="U38" s="49">
        <f>104-(N38+P38+R38+T38)</f>
        <v/>
      </c>
      <c r="V38" s="47">
        <f>RANK(U38,U$28:U$45)</f>
        <v/>
      </c>
      <c r="W38" s="56" t="n"/>
      <c r="X38" s="53">
        <f>VLOOKUP($A38,INDIRECT("'"&amp;$B$24&amp;"'!$A:$IZ"),65,FALSE)</f>
        <v/>
      </c>
      <c r="Y38" s="54">
        <f>RANK(X38,X$28:X$45)</f>
        <v/>
      </c>
      <c r="Z38" s="53">
        <f>VLOOKUP($A38,INDIRECT("'"&amp;$B$24&amp;"'!$A:$IZ"),64,FALSE)</f>
        <v/>
      </c>
      <c r="AA38" s="54">
        <f>RANK(Z38,Z$28:Z$45)</f>
        <v/>
      </c>
      <c r="AB38" s="53">
        <f>VLOOKUP($A38,INDIRECT("'"&amp;$B$24&amp;"'!$A:$IZ"),63,FALSE)</f>
        <v/>
      </c>
      <c r="AC38" s="54">
        <f>RANK(AB38,AB$28:AB$45)</f>
        <v/>
      </c>
      <c r="AD38" s="53">
        <f>VLOOKUP($A38,INDIRECT("'"&amp;$B$24&amp;"'!$A:$IZ"),71,FALSE)</f>
        <v/>
      </c>
      <c r="AE38" s="54">
        <f>RANK(AD38,AD$28:AD$45)</f>
        <v/>
      </c>
      <c r="AF38" s="65">
        <f>104-(Y38+AA38+AC38+AE38)</f>
        <v/>
      </c>
      <c r="AG38" s="47">
        <f>RANK(AF38,AF$28:AF$45)</f>
        <v/>
      </c>
      <c r="AH38" s="56" t="n"/>
      <c r="AI38" s="53">
        <f>VLOOKUP($A38,INDIRECT("'"&amp;$B$24&amp;"'!$A:$IZ"),183,FALSE)</f>
        <v/>
      </c>
      <c r="AJ38" s="54">
        <f>RANK(AI38,AI$28:AI$45,1)</f>
        <v/>
      </c>
      <c r="AK38" s="53">
        <f>VLOOKUP($A38,INDIRECT("'"&amp;$B$24&amp;"'!$A:$IZ"),181,FALSE)</f>
        <v/>
      </c>
      <c r="AL38" s="54">
        <f>RANK(AK38,AK$28:AK$45,1)</f>
        <v/>
      </c>
      <c r="AM38" s="53">
        <f>VLOOKUP($A38,INDIRECT("'"&amp;$B$24&amp;"'!$A:$IZ"),182,FALSE)</f>
        <v/>
      </c>
      <c r="AN38" s="54">
        <f>RANK(AM38,AM$28:AM$45,1)</f>
        <v/>
      </c>
      <c r="AO38" s="53">
        <f>VLOOKUP($A38,INDIRECT("'"&amp;$B$24&amp;"'!$A:$IZ"),163,FALSE)</f>
        <v/>
      </c>
      <c r="AP38" s="54">
        <f>RANK(AO38,AO$28:AO$45,1)</f>
        <v/>
      </c>
      <c r="AQ38" s="65">
        <f>104-(AJ38+AL38+AN38+AP38)</f>
        <v/>
      </c>
      <c r="AR38" s="47">
        <f>RANK(AQ38,AQ$28:AQ$45)</f>
        <v/>
      </c>
      <c r="AS38" s="56" t="n"/>
      <c r="AT38" s="46">
        <f>VLOOKUP($A38,INDIRECT("'"&amp;$B$24&amp;"'!$A:$IZ"),250,FALSE)</f>
        <v/>
      </c>
      <c r="AU38" s="47">
        <f>RANK(AT38,AT$28:AT$45,0)</f>
        <v/>
      </c>
      <c r="AV38" s="46">
        <f>VLOOKUP($A38,INDIRECT("'"&amp;$B$24&amp;"'!$A:$IZ"),92,FALSE)</f>
        <v/>
      </c>
      <c r="AW38" s="47">
        <f>RANK(AV38,AV$28:AV$45,0)</f>
        <v/>
      </c>
      <c r="AX38" s="46">
        <f>VLOOKUP($A38,INDIRECT("'"&amp;$B$24&amp;"'!$A:$IZ"),93,FALSE)</f>
        <v/>
      </c>
      <c r="AY38" s="47">
        <f>RANK(AX38,AX$28:AX$45,0)</f>
        <v/>
      </c>
      <c r="AZ38" s="46">
        <f>VLOOKUP($A38,INDIRECT("'"&amp;$B$24&amp;"'!$A:$IZ"),108,FALSE)</f>
        <v/>
      </c>
      <c r="BA38" s="47">
        <f>RANK(AZ38,AZ$28:AZ$45,0)</f>
        <v/>
      </c>
      <c r="BB38" s="46">
        <f>104-(AU38+AW38+AY38+BA38)</f>
        <v/>
      </c>
      <c r="BC38" s="47">
        <f>RANK(BB38,BB$28:BB$45)</f>
        <v/>
      </c>
      <c r="BD38" s="56" t="n"/>
      <c r="BE38" s="53">
        <f>VLOOKUP($A38,INDIRECT("'"&amp;$B$24&amp;"'!$A:$IZ"),80,FALSE)</f>
        <v/>
      </c>
      <c r="BF38" s="54">
        <f>RANK(BE38,BE$28:BE$45)</f>
        <v/>
      </c>
      <c r="BG38" s="53">
        <f>VLOOKUP($A38,INDIRECT("'"&amp;$B$24&amp;"'!$A:$IZ"),177,FALSE)</f>
        <v/>
      </c>
      <c r="BH38" s="54">
        <f>RANK(BG38,BG$28:BG$45,1)</f>
        <v/>
      </c>
      <c r="BI38" s="53">
        <f>VLOOKUP($A38,INDIRECT("'"&amp;$B$24&amp;"'!$A:$IZ"),79,FALSE)</f>
        <v/>
      </c>
      <c r="BJ38" s="54">
        <f>RANK(BI38,BI$28:BI$45)</f>
        <v/>
      </c>
      <c r="BK38" s="53">
        <f>VLOOKUP($A38,INDIRECT("'"&amp;$B$24&amp;"'!$A:$IZ"),176,FALSE)</f>
        <v/>
      </c>
      <c r="BL38" s="54">
        <f>RANK(BK38,BK$28:BK$45,1)</f>
        <v/>
      </c>
      <c r="BM38" s="53">
        <f>VLOOKUP($A38,INDIRECT("'"&amp;$B$24&amp;"'!$A:$IZ"),11,FALSE)</f>
        <v/>
      </c>
      <c r="BN38" s="54">
        <f>RANK(BM38,BM$28:BM$45)</f>
        <v/>
      </c>
      <c r="BO38" s="53">
        <f>VLOOKUP($A38,INDIRECT("'"&amp;$B$24&amp;"'!$A:$IZ"),222,FALSE)</f>
        <v/>
      </c>
      <c r="BP38" s="54">
        <f>RANK(BO38,BO$28:BO$45)</f>
        <v/>
      </c>
      <c r="BQ38" s="65">
        <f>104-(BJ38+BL38+BN38+BP38)</f>
        <v/>
      </c>
      <c r="BR38" s="47">
        <f>RANK(BQ38,BQ$28:BQ$45)</f>
        <v/>
      </c>
      <c r="BS38" s="56" t="n"/>
      <c r="BT38" s="57">
        <f>VLOOKUP($A38,'Ratings Season'!$A:$M,8,FALSE)</f>
        <v/>
      </c>
      <c r="BU38" s="54">
        <f>RANK(BT38,BT$28:BT$45)</f>
        <v/>
      </c>
      <c r="BV38" s="57">
        <f>VLOOKUP($A38,'Ratings Season'!$A:$M,4,FALSE)</f>
        <v/>
      </c>
      <c r="BW38" s="54">
        <f>RANK(BV38,BV$28:BV$45)</f>
        <v/>
      </c>
      <c r="BX38" s="57">
        <f>VLOOKUP($A38,'Ratings Season'!$A:$M,2,FALSE)</f>
        <v/>
      </c>
      <c r="BY38" s="58">
        <f>RANK(BX38,BX$28:BX$45)</f>
        <v/>
      </c>
    </row>
    <row r="39" ht="25" customHeight="1">
      <c r="A39" s="86" t="inlineStr">
        <is>
          <t>North Melbourne</t>
        </is>
      </c>
      <c r="B39" s="53">
        <f>VLOOKUP($A39,INDIRECT("'"&amp;$B$24&amp;"'!$A:$IZ"),222,FALSE)</f>
        <v/>
      </c>
      <c r="C39" s="54">
        <f>RANK(B39,B$28:B$45)</f>
        <v/>
      </c>
      <c r="D39" s="55">
        <f>VLOOKUP($A39,INDIRECT("'"&amp;$B$24&amp;"'!$A:$IZ"),218,FALSE)</f>
        <v/>
      </c>
      <c r="E39" s="54">
        <f>RANK(D39,D$28:D$45)</f>
        <v/>
      </c>
      <c r="F39" s="55">
        <f>VLOOKUP($A39,INDIRECT("'"&amp;$B$24&amp;"'!$A:$IZ"),49,FALSE)</f>
        <v/>
      </c>
      <c r="G39" s="54">
        <f>RANK(F39,F$28:F$45)</f>
        <v/>
      </c>
      <c r="H39" s="55">
        <f>VLOOKUP($A39,INDIRECT("'"&amp;$B$24&amp;"'!$A:$IZ"),229,FALSE)</f>
        <v/>
      </c>
      <c r="I39" s="54">
        <f>RANK(H39,H$28:H$45)</f>
        <v/>
      </c>
      <c r="J39" s="49">
        <f>104-(C39+E39+G39+I39)</f>
        <v/>
      </c>
      <c r="K39" s="47">
        <f>RANK(J39,J$28:J$45)</f>
        <v/>
      </c>
      <c r="L39" s="56" t="n"/>
      <c r="M39" s="53">
        <f>VLOOKUP($A39,INDIRECT("'"&amp;$B$24&amp;"'!$A:$IZ"),88,FALSE)</f>
        <v/>
      </c>
      <c r="N39" s="54">
        <f>RANK(M39,M$28:M$45)</f>
        <v/>
      </c>
      <c r="O39" s="53">
        <f>VLOOKUP($A39,INDIRECT("'"&amp;$B$24&amp;"'!$A:$IZ"),84,FALSE)</f>
        <v/>
      </c>
      <c r="P39" s="54">
        <f>RANK(O39,O$28:O$45)</f>
        <v/>
      </c>
      <c r="Q39" s="53">
        <f>VLOOKUP($A39,INDIRECT("'"&amp;$B$24&amp;"'!$A:$IZ"),85,FALSE)</f>
        <v/>
      </c>
      <c r="R39" s="54">
        <f>RANK(Q39,Q$28:Q$45)</f>
        <v/>
      </c>
      <c r="S39" s="55">
        <f>VLOOKUP($A39,INDIRECT("'"&amp;$B$24&amp;"'!$A:$IZ"),29,FALSE)</f>
        <v/>
      </c>
      <c r="T39" s="54">
        <f>RANK(S39,S$28:S$45)</f>
        <v/>
      </c>
      <c r="U39" s="49">
        <f>104-(N39+P39+R39+T39)</f>
        <v/>
      </c>
      <c r="V39" s="47">
        <f>RANK(U39,U$28:U$45)</f>
        <v/>
      </c>
      <c r="W39" s="56" t="n"/>
      <c r="X39" s="53">
        <f>VLOOKUP($A39,INDIRECT("'"&amp;$B$24&amp;"'!$A:$IZ"),65,FALSE)</f>
        <v/>
      </c>
      <c r="Y39" s="54">
        <f>RANK(X39,X$28:X$45)</f>
        <v/>
      </c>
      <c r="Z39" s="53">
        <f>VLOOKUP($A39,INDIRECT("'"&amp;$B$24&amp;"'!$A:$IZ"),64,FALSE)</f>
        <v/>
      </c>
      <c r="AA39" s="54">
        <f>RANK(Z39,Z$28:Z$45)</f>
        <v/>
      </c>
      <c r="AB39" s="53">
        <f>VLOOKUP($A39,INDIRECT("'"&amp;$B$24&amp;"'!$A:$IZ"),63,FALSE)</f>
        <v/>
      </c>
      <c r="AC39" s="54">
        <f>RANK(AB39,AB$28:AB$45)</f>
        <v/>
      </c>
      <c r="AD39" s="53">
        <f>VLOOKUP($A39,INDIRECT("'"&amp;$B$24&amp;"'!$A:$IZ"),71,FALSE)</f>
        <v/>
      </c>
      <c r="AE39" s="54">
        <f>RANK(AD39,AD$28:AD$45)</f>
        <v/>
      </c>
      <c r="AF39" s="65">
        <f>104-(Y39+AA39+AC39+AE39)</f>
        <v/>
      </c>
      <c r="AG39" s="47">
        <f>RANK(AF39,AF$28:AF$45)</f>
        <v/>
      </c>
      <c r="AH39" s="56" t="n"/>
      <c r="AI39" s="53">
        <f>VLOOKUP($A39,INDIRECT("'"&amp;$B$24&amp;"'!$A:$IZ"),183,FALSE)</f>
        <v/>
      </c>
      <c r="AJ39" s="54">
        <f>RANK(AI39,AI$28:AI$45,1)</f>
        <v/>
      </c>
      <c r="AK39" s="53">
        <f>VLOOKUP($A39,INDIRECT("'"&amp;$B$24&amp;"'!$A:$IZ"),181,FALSE)</f>
        <v/>
      </c>
      <c r="AL39" s="54">
        <f>RANK(AK39,AK$28:AK$45,1)</f>
        <v/>
      </c>
      <c r="AM39" s="53">
        <f>VLOOKUP($A39,INDIRECT("'"&amp;$B$24&amp;"'!$A:$IZ"),182,FALSE)</f>
        <v/>
      </c>
      <c r="AN39" s="54">
        <f>RANK(AM39,AM$28:AM$45,1)</f>
        <v/>
      </c>
      <c r="AO39" s="53">
        <f>VLOOKUP($A39,INDIRECT("'"&amp;$B$24&amp;"'!$A:$IZ"),163,FALSE)</f>
        <v/>
      </c>
      <c r="AP39" s="54">
        <f>RANK(AO39,AO$28:AO$45,1)</f>
        <v/>
      </c>
      <c r="AQ39" s="65">
        <f>104-(AJ39+AL39+AN39+AP39)</f>
        <v/>
      </c>
      <c r="AR39" s="47">
        <f>RANK(AQ39,AQ$28:AQ$45)</f>
        <v/>
      </c>
      <c r="AS39" s="56" t="n"/>
      <c r="AT39" s="46">
        <f>VLOOKUP($A39,INDIRECT("'"&amp;$B$24&amp;"'!$A:$IZ"),250,FALSE)</f>
        <v/>
      </c>
      <c r="AU39" s="47">
        <f>RANK(AT39,AT$28:AT$45,0)</f>
        <v/>
      </c>
      <c r="AV39" s="46">
        <f>VLOOKUP($A39,INDIRECT("'"&amp;$B$24&amp;"'!$A:$IZ"),92,FALSE)</f>
        <v/>
      </c>
      <c r="AW39" s="47">
        <f>RANK(AV39,AV$28:AV$45,0)</f>
        <v/>
      </c>
      <c r="AX39" s="46">
        <f>VLOOKUP($A39,INDIRECT("'"&amp;$B$24&amp;"'!$A:$IZ"),93,FALSE)</f>
        <v/>
      </c>
      <c r="AY39" s="47">
        <f>RANK(AX39,AX$28:AX$45,0)</f>
        <v/>
      </c>
      <c r="AZ39" s="46">
        <f>VLOOKUP($A39,INDIRECT("'"&amp;$B$24&amp;"'!$A:$IZ"),108,FALSE)</f>
        <v/>
      </c>
      <c r="BA39" s="47">
        <f>RANK(AZ39,AZ$28:AZ$45,0)</f>
        <v/>
      </c>
      <c r="BB39" s="46">
        <f>104-(AU39+AW39+AY39+BA39)</f>
        <v/>
      </c>
      <c r="BC39" s="47">
        <f>RANK(BB39,BB$28:BB$45)</f>
        <v/>
      </c>
      <c r="BD39" s="56" t="n"/>
      <c r="BE39" s="53">
        <f>VLOOKUP($A39,INDIRECT("'"&amp;$B$24&amp;"'!$A:$IZ"),80,FALSE)</f>
        <v/>
      </c>
      <c r="BF39" s="54">
        <f>RANK(BE39,BE$28:BE$45)</f>
        <v/>
      </c>
      <c r="BG39" s="53">
        <f>VLOOKUP($A39,INDIRECT("'"&amp;$B$24&amp;"'!$A:$IZ"),177,FALSE)</f>
        <v/>
      </c>
      <c r="BH39" s="54">
        <f>RANK(BG39,BG$28:BG$45,1)</f>
        <v/>
      </c>
      <c r="BI39" s="53">
        <f>VLOOKUP($A39,INDIRECT("'"&amp;$B$24&amp;"'!$A:$IZ"),79,FALSE)</f>
        <v/>
      </c>
      <c r="BJ39" s="54">
        <f>RANK(BI39,BI$28:BI$45)</f>
        <v/>
      </c>
      <c r="BK39" s="53">
        <f>VLOOKUP($A39,INDIRECT("'"&amp;$B$24&amp;"'!$A:$IZ"),176,FALSE)</f>
        <v/>
      </c>
      <c r="BL39" s="54">
        <f>RANK(BK39,BK$28:BK$45,1)</f>
        <v/>
      </c>
      <c r="BM39" s="53">
        <f>VLOOKUP($A39,INDIRECT("'"&amp;$B$24&amp;"'!$A:$IZ"),11,FALSE)</f>
        <v/>
      </c>
      <c r="BN39" s="54">
        <f>RANK(BM39,BM$28:BM$45)</f>
        <v/>
      </c>
      <c r="BO39" s="53">
        <f>VLOOKUP($A39,INDIRECT("'"&amp;$B$24&amp;"'!$A:$IZ"),222,FALSE)</f>
        <v/>
      </c>
      <c r="BP39" s="54">
        <f>RANK(BO39,BO$28:BO$45)</f>
        <v/>
      </c>
      <c r="BQ39" s="65">
        <f>104-(BJ39+BL39+BN39+BP39)</f>
        <v/>
      </c>
      <c r="BR39" s="47">
        <f>RANK(BQ39,BQ$28:BQ$45)</f>
        <v/>
      </c>
      <c r="BS39" s="56" t="n"/>
      <c r="BT39" s="57">
        <f>VLOOKUP($A39,'Ratings Season'!$A:$M,8,FALSE)</f>
        <v/>
      </c>
      <c r="BU39" s="54">
        <f>RANK(BT39,BT$28:BT$45)</f>
        <v/>
      </c>
      <c r="BV39" s="57">
        <f>VLOOKUP($A39,'Ratings Season'!$A:$M,4,FALSE)</f>
        <v/>
      </c>
      <c r="BW39" s="54">
        <f>RANK(BV39,BV$28:BV$45)</f>
        <v/>
      </c>
      <c r="BX39" s="57">
        <f>VLOOKUP($A39,'Ratings Season'!$A:$M,2,FALSE)</f>
        <v/>
      </c>
      <c r="BY39" s="58">
        <f>RANK(BX39,BX$28:BX$45)</f>
        <v/>
      </c>
    </row>
    <row r="40" ht="25" customHeight="1">
      <c r="A40" s="87" t="inlineStr">
        <is>
          <t>Port Adelaide</t>
        </is>
      </c>
      <c r="B40" s="53">
        <f>VLOOKUP($A40,INDIRECT("'"&amp;$B$24&amp;"'!$A:$IZ"),222,FALSE)</f>
        <v/>
      </c>
      <c r="C40" s="54">
        <f>RANK(B40,B$28:B$45)</f>
        <v/>
      </c>
      <c r="D40" s="55">
        <f>VLOOKUP($A40,INDIRECT("'"&amp;$B$24&amp;"'!$A:$IZ"),218,FALSE)</f>
        <v/>
      </c>
      <c r="E40" s="54">
        <f>RANK(D40,D$28:D$45)</f>
        <v/>
      </c>
      <c r="F40" s="55">
        <f>VLOOKUP($A40,INDIRECT("'"&amp;$B$24&amp;"'!$A:$IZ"),49,FALSE)</f>
        <v/>
      </c>
      <c r="G40" s="54">
        <f>RANK(F40,F$28:F$45)</f>
        <v/>
      </c>
      <c r="H40" s="55">
        <f>VLOOKUP($A40,INDIRECT("'"&amp;$B$24&amp;"'!$A:$IZ"),229,FALSE)</f>
        <v/>
      </c>
      <c r="I40" s="54">
        <f>RANK(H40,H$28:H$45)</f>
        <v/>
      </c>
      <c r="J40" s="49">
        <f>104-(C40+E40+G40+I40)</f>
        <v/>
      </c>
      <c r="K40" s="47">
        <f>RANK(J40,J$28:J$45)</f>
        <v/>
      </c>
      <c r="L40" s="56" t="n"/>
      <c r="M40" s="53">
        <f>VLOOKUP($A40,INDIRECT("'"&amp;$B$24&amp;"'!$A:$IZ"),88,FALSE)</f>
        <v/>
      </c>
      <c r="N40" s="54">
        <f>RANK(M40,M$28:M$45)</f>
        <v/>
      </c>
      <c r="O40" s="53">
        <f>VLOOKUP($A40,INDIRECT("'"&amp;$B$24&amp;"'!$A:$IZ"),84,FALSE)</f>
        <v/>
      </c>
      <c r="P40" s="54">
        <f>RANK(O40,O$28:O$45)</f>
        <v/>
      </c>
      <c r="Q40" s="53">
        <f>VLOOKUP($A40,INDIRECT("'"&amp;$B$24&amp;"'!$A:$IZ"),85,FALSE)</f>
        <v/>
      </c>
      <c r="R40" s="54">
        <f>RANK(Q40,Q$28:Q$45)</f>
        <v/>
      </c>
      <c r="S40" s="55">
        <f>VLOOKUP($A40,INDIRECT("'"&amp;$B$24&amp;"'!$A:$IZ"),29,FALSE)</f>
        <v/>
      </c>
      <c r="T40" s="54">
        <f>RANK(S40,S$28:S$45)</f>
        <v/>
      </c>
      <c r="U40" s="49">
        <f>104-(N40+P40+R40+T40)</f>
        <v/>
      </c>
      <c r="V40" s="47">
        <f>RANK(U40,U$28:U$45)</f>
        <v/>
      </c>
      <c r="W40" s="56" t="n"/>
      <c r="X40" s="53">
        <f>VLOOKUP($A40,INDIRECT("'"&amp;$B$24&amp;"'!$A:$IZ"),65,FALSE)</f>
        <v/>
      </c>
      <c r="Y40" s="54">
        <f>RANK(X40,X$28:X$45)</f>
        <v/>
      </c>
      <c r="Z40" s="53">
        <f>VLOOKUP($A40,INDIRECT("'"&amp;$B$24&amp;"'!$A:$IZ"),64,FALSE)</f>
        <v/>
      </c>
      <c r="AA40" s="54">
        <f>RANK(Z40,Z$28:Z$45)</f>
        <v/>
      </c>
      <c r="AB40" s="53">
        <f>VLOOKUP($A40,INDIRECT("'"&amp;$B$24&amp;"'!$A:$IZ"),63,FALSE)</f>
        <v/>
      </c>
      <c r="AC40" s="54">
        <f>RANK(AB40,AB$28:AB$45)</f>
        <v/>
      </c>
      <c r="AD40" s="53">
        <f>VLOOKUP($A40,INDIRECT("'"&amp;$B$24&amp;"'!$A:$IZ"),71,FALSE)</f>
        <v/>
      </c>
      <c r="AE40" s="54">
        <f>RANK(AD40,AD$28:AD$45)</f>
        <v/>
      </c>
      <c r="AF40" s="65">
        <f>104-(Y40+AA40+AC40+AE40)</f>
        <v/>
      </c>
      <c r="AG40" s="47">
        <f>RANK(AF40,AF$28:AF$45)</f>
        <v/>
      </c>
      <c r="AH40" s="56" t="n"/>
      <c r="AI40" s="53">
        <f>VLOOKUP($A40,INDIRECT("'"&amp;$B$24&amp;"'!$A:$IZ"),183,FALSE)</f>
        <v/>
      </c>
      <c r="AJ40" s="54">
        <f>RANK(AI40,AI$28:AI$45,1)</f>
        <v/>
      </c>
      <c r="AK40" s="53">
        <f>VLOOKUP($A40,INDIRECT("'"&amp;$B$24&amp;"'!$A:$IZ"),181,FALSE)</f>
        <v/>
      </c>
      <c r="AL40" s="54">
        <f>RANK(AK40,AK$28:AK$45,1)</f>
        <v/>
      </c>
      <c r="AM40" s="53">
        <f>VLOOKUP($A40,INDIRECT("'"&amp;$B$24&amp;"'!$A:$IZ"),182,FALSE)</f>
        <v/>
      </c>
      <c r="AN40" s="54">
        <f>RANK(AM40,AM$28:AM$45,1)</f>
        <v/>
      </c>
      <c r="AO40" s="53">
        <f>VLOOKUP($A40,INDIRECT("'"&amp;$B$24&amp;"'!$A:$IZ"),163,FALSE)</f>
        <v/>
      </c>
      <c r="AP40" s="54">
        <f>RANK(AO40,AO$28:AO$45,1)</f>
        <v/>
      </c>
      <c r="AQ40" s="65">
        <f>104-(AJ40+AL40+AN40+AP40)</f>
        <v/>
      </c>
      <c r="AR40" s="47">
        <f>RANK(AQ40,AQ$28:AQ$45)</f>
        <v/>
      </c>
      <c r="AS40" s="56" t="n"/>
      <c r="AT40" s="46">
        <f>VLOOKUP($A40,INDIRECT("'"&amp;$B$24&amp;"'!$A:$IZ"),250,FALSE)</f>
        <v/>
      </c>
      <c r="AU40" s="47">
        <f>RANK(AT40,AT$28:AT$45,0)</f>
        <v/>
      </c>
      <c r="AV40" s="46">
        <f>VLOOKUP($A40,INDIRECT("'"&amp;$B$24&amp;"'!$A:$IZ"),92,FALSE)</f>
        <v/>
      </c>
      <c r="AW40" s="47">
        <f>RANK(AV40,AV$28:AV$45,0)</f>
        <v/>
      </c>
      <c r="AX40" s="46">
        <f>VLOOKUP($A40,INDIRECT("'"&amp;$B$24&amp;"'!$A:$IZ"),93,FALSE)</f>
        <v/>
      </c>
      <c r="AY40" s="47">
        <f>RANK(AX40,AX$28:AX$45,0)</f>
        <v/>
      </c>
      <c r="AZ40" s="46">
        <f>VLOOKUP($A40,INDIRECT("'"&amp;$B$24&amp;"'!$A:$IZ"),108,FALSE)</f>
        <v/>
      </c>
      <c r="BA40" s="47">
        <f>RANK(AZ40,AZ$28:AZ$45,0)</f>
        <v/>
      </c>
      <c r="BB40" s="46">
        <f>104-(AU40+AW40+AY40+BA40)</f>
        <v/>
      </c>
      <c r="BC40" s="47">
        <f>RANK(BB40,BB$28:BB$45)</f>
        <v/>
      </c>
      <c r="BD40" s="56" t="n"/>
      <c r="BE40" s="53">
        <f>VLOOKUP($A40,INDIRECT("'"&amp;$B$24&amp;"'!$A:$IZ"),80,FALSE)</f>
        <v/>
      </c>
      <c r="BF40" s="54">
        <f>RANK(BE40,BE$28:BE$45)</f>
        <v/>
      </c>
      <c r="BG40" s="53">
        <f>VLOOKUP($A40,INDIRECT("'"&amp;$B$24&amp;"'!$A:$IZ"),177,FALSE)</f>
        <v/>
      </c>
      <c r="BH40" s="54">
        <f>RANK(BG40,BG$28:BG$45,1)</f>
        <v/>
      </c>
      <c r="BI40" s="53">
        <f>VLOOKUP($A40,INDIRECT("'"&amp;$B$24&amp;"'!$A:$IZ"),79,FALSE)</f>
        <v/>
      </c>
      <c r="BJ40" s="54">
        <f>RANK(BI40,BI$28:BI$45)</f>
        <v/>
      </c>
      <c r="BK40" s="53">
        <f>VLOOKUP($A40,INDIRECT("'"&amp;$B$24&amp;"'!$A:$IZ"),176,FALSE)</f>
        <v/>
      </c>
      <c r="BL40" s="54">
        <f>RANK(BK40,BK$28:BK$45,1)</f>
        <v/>
      </c>
      <c r="BM40" s="53">
        <f>VLOOKUP($A40,INDIRECT("'"&amp;$B$24&amp;"'!$A:$IZ"),11,FALSE)</f>
        <v/>
      </c>
      <c r="BN40" s="54">
        <f>RANK(BM40,BM$28:BM$45)</f>
        <v/>
      </c>
      <c r="BO40" s="53">
        <f>VLOOKUP($A40,INDIRECT("'"&amp;$B$24&amp;"'!$A:$IZ"),222,FALSE)</f>
        <v/>
      </c>
      <c r="BP40" s="54">
        <f>RANK(BO40,BO$28:BO$45)</f>
        <v/>
      </c>
      <c r="BQ40" s="65">
        <f>104-(BJ40+BL40+BN40+BP40)</f>
        <v/>
      </c>
      <c r="BR40" s="47">
        <f>RANK(BQ40,BQ$28:BQ$45)</f>
        <v/>
      </c>
      <c r="BS40" s="56" t="n"/>
      <c r="BT40" s="57">
        <f>VLOOKUP($A40,'Ratings Season'!$A:$M,8,FALSE)</f>
        <v/>
      </c>
      <c r="BU40" s="54">
        <f>RANK(BT40,BT$28:BT$45)</f>
        <v/>
      </c>
      <c r="BV40" s="57">
        <f>VLOOKUP($A40,'Ratings Season'!$A:$M,4,FALSE)</f>
        <v/>
      </c>
      <c r="BW40" s="54">
        <f>RANK(BV40,BV$28:BV$45)</f>
        <v/>
      </c>
      <c r="BX40" s="57">
        <f>VLOOKUP($A40,'Ratings Season'!$A:$M,2,FALSE)</f>
        <v/>
      </c>
      <c r="BY40" s="58">
        <f>RANK(BX40,BX$28:BX$45)</f>
        <v/>
      </c>
    </row>
    <row r="41" ht="25" customHeight="1">
      <c r="A41" s="88" t="inlineStr">
        <is>
          <t>Richmond</t>
        </is>
      </c>
      <c r="B41" s="53">
        <f>VLOOKUP($A41,INDIRECT("'"&amp;$B$24&amp;"'!$A:$IZ"),222,FALSE)</f>
        <v/>
      </c>
      <c r="C41" s="54">
        <f>RANK(B41,B$28:B$45)</f>
        <v/>
      </c>
      <c r="D41" s="55">
        <f>VLOOKUP($A41,INDIRECT("'"&amp;$B$24&amp;"'!$A:$IZ"),218,FALSE)</f>
        <v/>
      </c>
      <c r="E41" s="54">
        <f>RANK(D41,D$28:D$45)</f>
        <v/>
      </c>
      <c r="F41" s="55">
        <f>VLOOKUP($A41,INDIRECT("'"&amp;$B$24&amp;"'!$A:$IZ"),49,FALSE)</f>
        <v/>
      </c>
      <c r="G41" s="54">
        <f>RANK(F41,F$28:F$45)</f>
        <v/>
      </c>
      <c r="H41" s="55">
        <f>VLOOKUP($A41,INDIRECT("'"&amp;$B$24&amp;"'!$A:$IZ"),229,FALSE)</f>
        <v/>
      </c>
      <c r="I41" s="54">
        <f>RANK(H41,H$28:H$45)</f>
        <v/>
      </c>
      <c r="J41" s="49">
        <f>104-(C41+E41+G41+I41)</f>
        <v/>
      </c>
      <c r="K41" s="47">
        <f>RANK(J41,J$28:J$45)</f>
        <v/>
      </c>
      <c r="L41" s="56" t="n"/>
      <c r="M41" s="53">
        <f>VLOOKUP($A41,INDIRECT("'"&amp;$B$24&amp;"'!$A:$IZ"),88,FALSE)</f>
        <v/>
      </c>
      <c r="N41" s="54">
        <f>RANK(M41,M$28:M$45)</f>
        <v/>
      </c>
      <c r="O41" s="53">
        <f>VLOOKUP($A41,INDIRECT("'"&amp;$B$24&amp;"'!$A:$IZ"),84,FALSE)</f>
        <v/>
      </c>
      <c r="P41" s="54">
        <f>RANK(O41,O$28:O$45)</f>
        <v/>
      </c>
      <c r="Q41" s="53">
        <f>VLOOKUP($A41,INDIRECT("'"&amp;$B$24&amp;"'!$A:$IZ"),85,FALSE)</f>
        <v/>
      </c>
      <c r="R41" s="54">
        <f>RANK(Q41,Q$28:Q$45)</f>
        <v/>
      </c>
      <c r="S41" s="55">
        <f>VLOOKUP($A41,INDIRECT("'"&amp;$B$24&amp;"'!$A:$IZ"),29,FALSE)</f>
        <v/>
      </c>
      <c r="T41" s="54">
        <f>RANK(S41,S$28:S$45)</f>
        <v/>
      </c>
      <c r="U41" s="49">
        <f>104-(N41+P41+R41+T41)</f>
        <v/>
      </c>
      <c r="V41" s="47">
        <f>RANK(U41,U$28:U$45)</f>
        <v/>
      </c>
      <c r="W41" s="56" t="n"/>
      <c r="X41" s="53">
        <f>VLOOKUP($A41,INDIRECT("'"&amp;$B$24&amp;"'!$A:$IZ"),65,FALSE)</f>
        <v/>
      </c>
      <c r="Y41" s="54">
        <f>RANK(X41,X$28:X$45)</f>
        <v/>
      </c>
      <c r="Z41" s="53">
        <f>VLOOKUP($A41,INDIRECT("'"&amp;$B$24&amp;"'!$A:$IZ"),64,FALSE)</f>
        <v/>
      </c>
      <c r="AA41" s="54">
        <f>RANK(Z41,Z$28:Z$45)</f>
        <v/>
      </c>
      <c r="AB41" s="53">
        <f>VLOOKUP($A41,INDIRECT("'"&amp;$B$24&amp;"'!$A:$IZ"),63,FALSE)</f>
        <v/>
      </c>
      <c r="AC41" s="54">
        <f>RANK(AB41,AB$28:AB$45)</f>
        <v/>
      </c>
      <c r="AD41" s="53">
        <f>VLOOKUP($A41,INDIRECT("'"&amp;$B$24&amp;"'!$A:$IZ"),71,FALSE)</f>
        <v/>
      </c>
      <c r="AE41" s="54">
        <f>RANK(AD41,AD$28:AD$45)</f>
        <v/>
      </c>
      <c r="AF41" s="65">
        <f>104-(Y41+AA41+AC41+AE41)</f>
        <v/>
      </c>
      <c r="AG41" s="47">
        <f>RANK(AF41,AF$28:AF$45)</f>
        <v/>
      </c>
      <c r="AH41" s="56" t="n"/>
      <c r="AI41" s="53">
        <f>VLOOKUP($A41,INDIRECT("'"&amp;$B$24&amp;"'!$A:$IZ"),183,FALSE)</f>
        <v/>
      </c>
      <c r="AJ41" s="54">
        <f>RANK(AI41,AI$28:AI$45,1)</f>
        <v/>
      </c>
      <c r="AK41" s="53">
        <f>VLOOKUP($A41,INDIRECT("'"&amp;$B$24&amp;"'!$A:$IZ"),181,FALSE)</f>
        <v/>
      </c>
      <c r="AL41" s="54">
        <f>RANK(AK41,AK$28:AK$45,1)</f>
        <v/>
      </c>
      <c r="AM41" s="53">
        <f>VLOOKUP($A41,INDIRECT("'"&amp;$B$24&amp;"'!$A:$IZ"),182,FALSE)</f>
        <v/>
      </c>
      <c r="AN41" s="54">
        <f>RANK(AM41,AM$28:AM$45,1)</f>
        <v/>
      </c>
      <c r="AO41" s="53">
        <f>VLOOKUP($A41,INDIRECT("'"&amp;$B$24&amp;"'!$A:$IZ"),163,FALSE)</f>
        <v/>
      </c>
      <c r="AP41" s="54">
        <f>RANK(AO41,AO$28:AO$45,1)</f>
        <v/>
      </c>
      <c r="AQ41" s="65">
        <f>104-(AJ41+AL41+AN41+AP41)</f>
        <v/>
      </c>
      <c r="AR41" s="47">
        <f>RANK(AQ41,AQ$28:AQ$45)</f>
        <v/>
      </c>
      <c r="AS41" s="56" t="n"/>
      <c r="AT41" s="46">
        <f>VLOOKUP($A41,INDIRECT("'"&amp;$B$24&amp;"'!$A:$IZ"),250,FALSE)</f>
        <v/>
      </c>
      <c r="AU41" s="47">
        <f>RANK(AT41,AT$28:AT$45,0)</f>
        <v/>
      </c>
      <c r="AV41" s="46">
        <f>VLOOKUP($A41,INDIRECT("'"&amp;$B$24&amp;"'!$A:$IZ"),92,FALSE)</f>
        <v/>
      </c>
      <c r="AW41" s="47">
        <f>RANK(AV41,AV$28:AV$45,0)</f>
        <v/>
      </c>
      <c r="AX41" s="46">
        <f>VLOOKUP($A41,INDIRECT("'"&amp;$B$24&amp;"'!$A:$IZ"),93,FALSE)</f>
        <v/>
      </c>
      <c r="AY41" s="47">
        <f>RANK(AX41,AX$28:AX$45,0)</f>
        <v/>
      </c>
      <c r="AZ41" s="46">
        <f>VLOOKUP($A41,INDIRECT("'"&amp;$B$24&amp;"'!$A:$IZ"),108,FALSE)</f>
        <v/>
      </c>
      <c r="BA41" s="47">
        <f>RANK(AZ41,AZ$28:AZ$45,0)</f>
        <v/>
      </c>
      <c r="BB41" s="46">
        <f>104-(AU41+AW41+AY41+BA41)</f>
        <v/>
      </c>
      <c r="BC41" s="47">
        <f>RANK(BB41,BB$28:BB$45)</f>
        <v/>
      </c>
      <c r="BD41" s="56" t="n"/>
      <c r="BE41" s="53">
        <f>VLOOKUP($A41,INDIRECT("'"&amp;$B$24&amp;"'!$A:$IZ"),80,FALSE)</f>
        <v/>
      </c>
      <c r="BF41" s="54">
        <f>RANK(BE41,BE$28:BE$45)</f>
        <v/>
      </c>
      <c r="BG41" s="53">
        <f>VLOOKUP($A41,INDIRECT("'"&amp;$B$24&amp;"'!$A:$IZ"),177,FALSE)</f>
        <v/>
      </c>
      <c r="BH41" s="54">
        <f>RANK(BG41,BG$28:BG$45,1)</f>
        <v/>
      </c>
      <c r="BI41" s="53">
        <f>VLOOKUP($A41,INDIRECT("'"&amp;$B$24&amp;"'!$A:$IZ"),79,FALSE)</f>
        <v/>
      </c>
      <c r="BJ41" s="54">
        <f>RANK(BI41,BI$28:BI$45)</f>
        <v/>
      </c>
      <c r="BK41" s="53">
        <f>VLOOKUP($A41,INDIRECT("'"&amp;$B$24&amp;"'!$A:$IZ"),176,FALSE)</f>
        <v/>
      </c>
      <c r="BL41" s="54">
        <f>RANK(BK41,BK$28:BK$45,1)</f>
        <v/>
      </c>
      <c r="BM41" s="53">
        <f>VLOOKUP($A41,INDIRECT("'"&amp;$B$24&amp;"'!$A:$IZ"),11,FALSE)</f>
        <v/>
      </c>
      <c r="BN41" s="54">
        <f>RANK(BM41,BM$28:BM$45)</f>
        <v/>
      </c>
      <c r="BO41" s="53">
        <f>VLOOKUP($A41,INDIRECT("'"&amp;$B$24&amp;"'!$A:$IZ"),222,FALSE)</f>
        <v/>
      </c>
      <c r="BP41" s="54">
        <f>RANK(BO41,BO$28:BO$45)</f>
        <v/>
      </c>
      <c r="BQ41" s="65">
        <f>104-(BJ41+BL41+BN41+BP41)</f>
        <v/>
      </c>
      <c r="BR41" s="47">
        <f>RANK(BQ41,BQ$28:BQ$45)</f>
        <v/>
      </c>
      <c r="BS41" s="56" t="n"/>
      <c r="BT41" s="57">
        <f>VLOOKUP($A41,'Ratings Season'!$A:$M,8,FALSE)</f>
        <v/>
      </c>
      <c r="BU41" s="54">
        <f>RANK(BT41,BT$28:BT$45)</f>
        <v/>
      </c>
      <c r="BV41" s="57">
        <f>VLOOKUP($A41,'Ratings Season'!$A:$M,4,FALSE)</f>
        <v/>
      </c>
      <c r="BW41" s="54">
        <f>RANK(BV41,BV$28:BV$45)</f>
        <v/>
      </c>
      <c r="BX41" s="57">
        <f>VLOOKUP($A41,'Ratings Season'!$A:$M,2,FALSE)</f>
        <v/>
      </c>
      <c r="BY41" s="58">
        <f>RANK(BX41,BX$28:BX$45)</f>
        <v/>
      </c>
    </row>
    <row r="42" ht="25" customHeight="1">
      <c r="A42" s="89" t="inlineStr">
        <is>
          <t>St Kilda</t>
        </is>
      </c>
      <c r="B42" s="53">
        <f>VLOOKUP($A42,INDIRECT("'"&amp;$B$24&amp;"'!$A:$IZ"),222,FALSE)</f>
        <v/>
      </c>
      <c r="C42" s="54">
        <f>RANK(B42,B$28:B$45)</f>
        <v/>
      </c>
      <c r="D42" s="55">
        <f>VLOOKUP($A42,INDIRECT("'"&amp;$B$24&amp;"'!$A:$IZ"),218,FALSE)</f>
        <v/>
      </c>
      <c r="E42" s="54">
        <f>RANK(D42,D$28:D$45)</f>
        <v/>
      </c>
      <c r="F42" s="55">
        <f>VLOOKUP($A42,INDIRECT("'"&amp;$B$24&amp;"'!$A:$IZ"),49,FALSE)</f>
        <v/>
      </c>
      <c r="G42" s="54">
        <f>RANK(F42,F$28:F$45)</f>
        <v/>
      </c>
      <c r="H42" s="55">
        <f>VLOOKUP($A42,INDIRECT("'"&amp;$B$24&amp;"'!$A:$IZ"),229,FALSE)</f>
        <v/>
      </c>
      <c r="I42" s="54">
        <f>RANK(H42,H$28:H$45)</f>
        <v/>
      </c>
      <c r="J42" s="49">
        <f>104-(C42+E42+G42+I42)</f>
        <v/>
      </c>
      <c r="K42" s="47">
        <f>RANK(J42,J$28:J$45)</f>
        <v/>
      </c>
      <c r="L42" s="56" t="n"/>
      <c r="M42" s="53">
        <f>VLOOKUP($A42,INDIRECT("'"&amp;$B$24&amp;"'!$A:$IZ"),88,FALSE)</f>
        <v/>
      </c>
      <c r="N42" s="54">
        <f>RANK(M42,M$28:M$45)</f>
        <v/>
      </c>
      <c r="O42" s="53">
        <f>VLOOKUP($A42,INDIRECT("'"&amp;$B$24&amp;"'!$A:$IZ"),84,FALSE)</f>
        <v/>
      </c>
      <c r="P42" s="54">
        <f>RANK(O42,O$28:O$45)</f>
        <v/>
      </c>
      <c r="Q42" s="53">
        <f>VLOOKUP($A42,INDIRECT("'"&amp;$B$24&amp;"'!$A:$IZ"),85,FALSE)</f>
        <v/>
      </c>
      <c r="R42" s="54">
        <f>RANK(Q42,Q$28:Q$45)</f>
        <v/>
      </c>
      <c r="S42" s="55">
        <f>VLOOKUP($A42,INDIRECT("'"&amp;$B$24&amp;"'!$A:$IZ"),29,FALSE)</f>
        <v/>
      </c>
      <c r="T42" s="54">
        <f>RANK(S42,S$28:S$45)</f>
        <v/>
      </c>
      <c r="U42" s="49">
        <f>104-(N42+P42+R42+T42)</f>
        <v/>
      </c>
      <c r="V42" s="47">
        <f>RANK(U42,U$28:U$45)</f>
        <v/>
      </c>
      <c r="W42" s="56" t="n"/>
      <c r="X42" s="53">
        <f>VLOOKUP($A42,INDIRECT("'"&amp;$B$24&amp;"'!$A:$IZ"),65,FALSE)</f>
        <v/>
      </c>
      <c r="Y42" s="54">
        <f>RANK(X42,X$28:X$45)</f>
        <v/>
      </c>
      <c r="Z42" s="53">
        <f>VLOOKUP($A42,INDIRECT("'"&amp;$B$24&amp;"'!$A:$IZ"),64,FALSE)</f>
        <v/>
      </c>
      <c r="AA42" s="54">
        <f>RANK(Z42,Z$28:Z$45)</f>
        <v/>
      </c>
      <c r="AB42" s="53">
        <f>VLOOKUP($A42,INDIRECT("'"&amp;$B$24&amp;"'!$A:$IZ"),63,FALSE)</f>
        <v/>
      </c>
      <c r="AC42" s="54">
        <f>RANK(AB42,AB$28:AB$45)</f>
        <v/>
      </c>
      <c r="AD42" s="53">
        <f>VLOOKUP($A42,INDIRECT("'"&amp;$B$24&amp;"'!$A:$IZ"),71,FALSE)</f>
        <v/>
      </c>
      <c r="AE42" s="54">
        <f>RANK(AD42,AD$28:AD$45)</f>
        <v/>
      </c>
      <c r="AF42" s="65">
        <f>104-(Y42+AA42+AC42+AE42)</f>
        <v/>
      </c>
      <c r="AG42" s="47">
        <f>RANK(AF42,AF$28:AF$45)</f>
        <v/>
      </c>
      <c r="AH42" s="56" t="n"/>
      <c r="AI42" s="53">
        <f>VLOOKUP($A42,INDIRECT("'"&amp;$B$24&amp;"'!$A:$IZ"),183,FALSE)</f>
        <v/>
      </c>
      <c r="AJ42" s="54">
        <f>RANK(AI42,AI$28:AI$45,1)</f>
        <v/>
      </c>
      <c r="AK42" s="53">
        <f>VLOOKUP($A42,INDIRECT("'"&amp;$B$24&amp;"'!$A:$IZ"),181,FALSE)</f>
        <v/>
      </c>
      <c r="AL42" s="54">
        <f>RANK(AK42,AK$28:AK$45,1)</f>
        <v/>
      </c>
      <c r="AM42" s="53">
        <f>VLOOKUP($A42,INDIRECT("'"&amp;$B$24&amp;"'!$A:$IZ"),182,FALSE)</f>
        <v/>
      </c>
      <c r="AN42" s="54">
        <f>RANK(AM42,AM$28:AM$45,1)</f>
        <v/>
      </c>
      <c r="AO42" s="53">
        <f>VLOOKUP($A42,INDIRECT("'"&amp;$B$24&amp;"'!$A:$IZ"),163,FALSE)</f>
        <v/>
      </c>
      <c r="AP42" s="54">
        <f>RANK(AO42,AO$28:AO$45,1)</f>
        <v/>
      </c>
      <c r="AQ42" s="65">
        <f>104-(AJ42+AL42+AN42+AP42)</f>
        <v/>
      </c>
      <c r="AR42" s="47">
        <f>RANK(AQ42,AQ$28:AQ$45)</f>
        <v/>
      </c>
      <c r="AS42" s="56" t="n"/>
      <c r="AT42" s="46">
        <f>VLOOKUP($A42,INDIRECT("'"&amp;$B$24&amp;"'!$A:$IZ"),250,FALSE)</f>
        <v/>
      </c>
      <c r="AU42" s="47">
        <f>RANK(AT42,AT$28:AT$45,0)</f>
        <v/>
      </c>
      <c r="AV42" s="46">
        <f>VLOOKUP($A42,INDIRECT("'"&amp;$B$24&amp;"'!$A:$IZ"),92,FALSE)</f>
        <v/>
      </c>
      <c r="AW42" s="47">
        <f>RANK(AV42,AV$28:AV$45,0)</f>
        <v/>
      </c>
      <c r="AX42" s="46">
        <f>VLOOKUP($A42,INDIRECT("'"&amp;$B$24&amp;"'!$A:$IZ"),93,FALSE)</f>
        <v/>
      </c>
      <c r="AY42" s="47">
        <f>RANK(AX42,AX$28:AX$45,0)</f>
        <v/>
      </c>
      <c r="AZ42" s="46">
        <f>VLOOKUP($A42,INDIRECT("'"&amp;$B$24&amp;"'!$A:$IZ"),108,FALSE)</f>
        <v/>
      </c>
      <c r="BA42" s="47">
        <f>RANK(AZ42,AZ$28:AZ$45,0)</f>
        <v/>
      </c>
      <c r="BB42" s="46">
        <f>104-(AU42+AW42+AY42+BA42)</f>
        <v/>
      </c>
      <c r="BC42" s="47">
        <f>RANK(BB42,BB$28:BB$45)</f>
        <v/>
      </c>
      <c r="BD42" s="56" t="n"/>
      <c r="BE42" s="53">
        <f>VLOOKUP($A42,INDIRECT("'"&amp;$B$24&amp;"'!$A:$IZ"),80,FALSE)</f>
        <v/>
      </c>
      <c r="BF42" s="54">
        <f>RANK(BE42,BE$28:BE$45)</f>
        <v/>
      </c>
      <c r="BG42" s="53">
        <f>VLOOKUP($A42,INDIRECT("'"&amp;$B$24&amp;"'!$A:$IZ"),177,FALSE)</f>
        <v/>
      </c>
      <c r="BH42" s="54">
        <f>RANK(BG42,BG$28:BG$45,1)</f>
        <v/>
      </c>
      <c r="BI42" s="53">
        <f>VLOOKUP($A42,INDIRECT("'"&amp;$B$24&amp;"'!$A:$IZ"),79,FALSE)</f>
        <v/>
      </c>
      <c r="BJ42" s="54">
        <f>RANK(BI42,BI$28:BI$45)</f>
        <v/>
      </c>
      <c r="BK42" s="53">
        <f>VLOOKUP($A42,INDIRECT("'"&amp;$B$24&amp;"'!$A:$IZ"),176,FALSE)</f>
        <v/>
      </c>
      <c r="BL42" s="54">
        <f>RANK(BK42,BK$28:BK$45,1)</f>
        <v/>
      </c>
      <c r="BM42" s="53">
        <f>VLOOKUP($A42,INDIRECT("'"&amp;$B$24&amp;"'!$A:$IZ"),11,FALSE)</f>
        <v/>
      </c>
      <c r="BN42" s="54">
        <f>RANK(BM42,BM$28:BM$45)</f>
        <v/>
      </c>
      <c r="BO42" s="53">
        <f>VLOOKUP($A42,INDIRECT("'"&amp;$B$24&amp;"'!$A:$IZ"),222,FALSE)</f>
        <v/>
      </c>
      <c r="BP42" s="54">
        <f>RANK(BO42,BO$28:BO$45)</f>
        <v/>
      </c>
      <c r="BQ42" s="65">
        <f>104-(BJ42+BL42+BN42+BP42)</f>
        <v/>
      </c>
      <c r="BR42" s="47">
        <f>RANK(BQ42,BQ$28:BQ$45)</f>
        <v/>
      </c>
      <c r="BS42" s="56" t="n"/>
      <c r="BT42" s="57">
        <f>VLOOKUP($A42,'Ratings Season'!$A:$M,8,FALSE)</f>
        <v/>
      </c>
      <c r="BU42" s="54">
        <f>RANK(BT42,BT$28:BT$45)</f>
        <v/>
      </c>
      <c r="BV42" s="57">
        <f>VLOOKUP($A42,'Ratings Season'!$A:$M,4,FALSE)</f>
        <v/>
      </c>
      <c r="BW42" s="54">
        <f>RANK(BV42,BV$28:BV$45)</f>
        <v/>
      </c>
      <c r="BX42" s="57">
        <f>VLOOKUP($A42,'Ratings Season'!$A:$M,2,FALSE)</f>
        <v/>
      </c>
      <c r="BY42" s="58">
        <f>RANK(BX42,BX$28:BX$45)</f>
        <v/>
      </c>
    </row>
    <row r="43" ht="25" customHeight="1">
      <c r="A43" s="90" t="inlineStr">
        <is>
          <t>Sydney</t>
        </is>
      </c>
      <c r="B43" s="53">
        <f>VLOOKUP($A43,INDIRECT("'"&amp;$B$24&amp;"'!$A:$IZ"),222,FALSE)</f>
        <v/>
      </c>
      <c r="C43" s="54">
        <f>RANK(B43,B$28:B$45)</f>
        <v/>
      </c>
      <c r="D43" s="55">
        <f>VLOOKUP($A43,INDIRECT("'"&amp;$B$24&amp;"'!$A:$IZ"),218,FALSE)</f>
        <v/>
      </c>
      <c r="E43" s="54">
        <f>RANK(D43,D$28:D$45)</f>
        <v/>
      </c>
      <c r="F43" s="55">
        <f>VLOOKUP($A43,INDIRECT("'"&amp;$B$24&amp;"'!$A:$IZ"),49,FALSE)</f>
        <v/>
      </c>
      <c r="G43" s="54">
        <f>RANK(F43,F$28:F$45)</f>
        <v/>
      </c>
      <c r="H43" s="55">
        <f>VLOOKUP($A43,INDIRECT("'"&amp;$B$24&amp;"'!$A:$IZ"),229,FALSE)</f>
        <v/>
      </c>
      <c r="I43" s="54">
        <f>RANK(H43,H$28:H$45)</f>
        <v/>
      </c>
      <c r="J43" s="49">
        <f>104-(C43+E43+G43+I43)</f>
        <v/>
      </c>
      <c r="K43" s="47">
        <f>RANK(J43,J$28:J$45)</f>
        <v/>
      </c>
      <c r="L43" s="56" t="n"/>
      <c r="M43" s="53">
        <f>VLOOKUP($A43,INDIRECT("'"&amp;$B$24&amp;"'!$A:$IZ"),88,FALSE)</f>
        <v/>
      </c>
      <c r="N43" s="54">
        <f>RANK(M43,M$28:M$45)</f>
        <v/>
      </c>
      <c r="O43" s="53">
        <f>VLOOKUP($A43,INDIRECT("'"&amp;$B$24&amp;"'!$A:$IZ"),84,FALSE)</f>
        <v/>
      </c>
      <c r="P43" s="54">
        <f>RANK(O43,O$28:O$45)</f>
        <v/>
      </c>
      <c r="Q43" s="53">
        <f>VLOOKUP($A43,INDIRECT("'"&amp;$B$24&amp;"'!$A:$IZ"),85,FALSE)</f>
        <v/>
      </c>
      <c r="R43" s="54">
        <f>RANK(Q43,Q$28:Q$45)</f>
        <v/>
      </c>
      <c r="S43" s="55">
        <f>VLOOKUP($A43,INDIRECT("'"&amp;$B$24&amp;"'!$A:$IZ"),29,FALSE)</f>
        <v/>
      </c>
      <c r="T43" s="54">
        <f>RANK(S43,S$28:S$45)</f>
        <v/>
      </c>
      <c r="U43" s="49">
        <f>104-(N43+P43+R43+T43)</f>
        <v/>
      </c>
      <c r="V43" s="47">
        <f>RANK(U43,U$28:U$45)</f>
        <v/>
      </c>
      <c r="W43" s="56" t="n"/>
      <c r="X43" s="53">
        <f>VLOOKUP($A43,INDIRECT("'"&amp;$B$24&amp;"'!$A:$IZ"),65,FALSE)</f>
        <v/>
      </c>
      <c r="Y43" s="54">
        <f>RANK(X43,X$28:X$45)</f>
        <v/>
      </c>
      <c r="Z43" s="53">
        <f>VLOOKUP($A43,INDIRECT("'"&amp;$B$24&amp;"'!$A:$IZ"),64,FALSE)</f>
        <v/>
      </c>
      <c r="AA43" s="54">
        <f>RANK(Z43,Z$28:Z$45)</f>
        <v/>
      </c>
      <c r="AB43" s="53">
        <f>VLOOKUP($A43,INDIRECT("'"&amp;$B$24&amp;"'!$A:$IZ"),63,FALSE)</f>
        <v/>
      </c>
      <c r="AC43" s="54">
        <f>RANK(AB43,AB$28:AB$45)</f>
        <v/>
      </c>
      <c r="AD43" s="53">
        <f>VLOOKUP($A43,INDIRECT("'"&amp;$B$24&amp;"'!$A:$IZ"),71,FALSE)</f>
        <v/>
      </c>
      <c r="AE43" s="54">
        <f>RANK(AD43,AD$28:AD$45)</f>
        <v/>
      </c>
      <c r="AF43" s="65">
        <f>104-(Y43+AA43+AC43+AE43)</f>
        <v/>
      </c>
      <c r="AG43" s="47">
        <f>RANK(AF43,AF$28:AF$45)</f>
        <v/>
      </c>
      <c r="AH43" s="56" t="n"/>
      <c r="AI43" s="53">
        <f>VLOOKUP($A43,INDIRECT("'"&amp;$B$24&amp;"'!$A:$IZ"),183,FALSE)</f>
        <v/>
      </c>
      <c r="AJ43" s="54">
        <f>RANK(AI43,AI$28:AI$45,1)</f>
        <v/>
      </c>
      <c r="AK43" s="53">
        <f>VLOOKUP($A43,INDIRECT("'"&amp;$B$24&amp;"'!$A:$IZ"),181,FALSE)</f>
        <v/>
      </c>
      <c r="AL43" s="54">
        <f>RANK(AK43,AK$28:AK$45,1)</f>
        <v/>
      </c>
      <c r="AM43" s="53">
        <f>VLOOKUP($A43,INDIRECT("'"&amp;$B$24&amp;"'!$A:$IZ"),182,FALSE)</f>
        <v/>
      </c>
      <c r="AN43" s="54">
        <f>RANK(AM43,AM$28:AM$45,1)</f>
        <v/>
      </c>
      <c r="AO43" s="53">
        <f>VLOOKUP($A43,INDIRECT("'"&amp;$B$24&amp;"'!$A:$IZ"),163,FALSE)</f>
        <v/>
      </c>
      <c r="AP43" s="54">
        <f>RANK(AO43,AO$28:AO$45,1)</f>
        <v/>
      </c>
      <c r="AQ43" s="65">
        <f>104-(AJ43+AL43+AN43+AP43)</f>
        <v/>
      </c>
      <c r="AR43" s="47">
        <f>RANK(AQ43,AQ$28:AQ$45)</f>
        <v/>
      </c>
      <c r="AS43" s="56" t="n"/>
      <c r="AT43" s="46">
        <f>VLOOKUP($A43,INDIRECT("'"&amp;$B$24&amp;"'!$A:$IZ"),250,FALSE)</f>
        <v/>
      </c>
      <c r="AU43" s="47">
        <f>RANK(AT43,AT$28:AT$45,0)</f>
        <v/>
      </c>
      <c r="AV43" s="46">
        <f>VLOOKUP($A43,INDIRECT("'"&amp;$B$24&amp;"'!$A:$IZ"),92,FALSE)</f>
        <v/>
      </c>
      <c r="AW43" s="47">
        <f>RANK(AV43,AV$28:AV$45,0)</f>
        <v/>
      </c>
      <c r="AX43" s="46">
        <f>VLOOKUP($A43,INDIRECT("'"&amp;$B$24&amp;"'!$A:$IZ"),93,FALSE)</f>
        <v/>
      </c>
      <c r="AY43" s="47">
        <f>RANK(AX43,AX$28:AX$45,0)</f>
        <v/>
      </c>
      <c r="AZ43" s="46">
        <f>VLOOKUP($A43,INDIRECT("'"&amp;$B$24&amp;"'!$A:$IZ"),108,FALSE)</f>
        <v/>
      </c>
      <c r="BA43" s="47">
        <f>RANK(AZ43,AZ$28:AZ$45,0)</f>
        <v/>
      </c>
      <c r="BB43" s="46">
        <f>104-(AU43+AW43+AY43+BA43)</f>
        <v/>
      </c>
      <c r="BC43" s="47">
        <f>RANK(BB43,BB$28:BB$45)</f>
        <v/>
      </c>
      <c r="BD43" s="56" t="n"/>
      <c r="BE43" s="53">
        <f>VLOOKUP($A43,INDIRECT("'"&amp;$B$24&amp;"'!$A:$IZ"),80,FALSE)</f>
        <v/>
      </c>
      <c r="BF43" s="54">
        <f>RANK(BE43,BE$28:BE$45)</f>
        <v/>
      </c>
      <c r="BG43" s="53">
        <f>VLOOKUP($A43,INDIRECT("'"&amp;$B$24&amp;"'!$A:$IZ"),177,FALSE)</f>
        <v/>
      </c>
      <c r="BH43" s="54">
        <f>RANK(BG43,BG$28:BG$45,1)</f>
        <v/>
      </c>
      <c r="BI43" s="53">
        <f>VLOOKUP($A43,INDIRECT("'"&amp;$B$24&amp;"'!$A:$IZ"),79,FALSE)</f>
        <v/>
      </c>
      <c r="BJ43" s="54">
        <f>RANK(BI43,BI$28:BI$45)</f>
        <v/>
      </c>
      <c r="BK43" s="53">
        <f>VLOOKUP($A43,INDIRECT("'"&amp;$B$24&amp;"'!$A:$IZ"),176,FALSE)</f>
        <v/>
      </c>
      <c r="BL43" s="54">
        <f>RANK(BK43,BK$28:BK$45,1)</f>
        <v/>
      </c>
      <c r="BM43" s="53">
        <f>VLOOKUP($A43,INDIRECT("'"&amp;$B$24&amp;"'!$A:$IZ"),11,FALSE)</f>
        <v/>
      </c>
      <c r="BN43" s="54">
        <f>RANK(BM43,BM$28:BM$45)</f>
        <v/>
      </c>
      <c r="BO43" s="53">
        <f>VLOOKUP($A43,INDIRECT("'"&amp;$B$24&amp;"'!$A:$IZ"),222,FALSE)</f>
        <v/>
      </c>
      <c r="BP43" s="54">
        <f>RANK(BO43,BO$28:BO$45)</f>
        <v/>
      </c>
      <c r="BQ43" s="65">
        <f>104-(BJ43+BL43+BN43+BP43)</f>
        <v/>
      </c>
      <c r="BR43" s="47">
        <f>RANK(BQ43,BQ$28:BQ$45)</f>
        <v/>
      </c>
      <c r="BS43" s="56" t="n"/>
      <c r="BT43" s="57">
        <f>VLOOKUP($A43,'Ratings Season'!$A:$M,8,FALSE)</f>
        <v/>
      </c>
      <c r="BU43" s="54">
        <f>RANK(BT43,BT$28:BT$45)</f>
        <v/>
      </c>
      <c r="BV43" s="57">
        <f>VLOOKUP($A43,'Ratings Season'!$A:$M,4,FALSE)</f>
        <v/>
      </c>
      <c r="BW43" s="54">
        <f>RANK(BV43,BV$28:BV$45)</f>
        <v/>
      </c>
      <c r="BX43" s="57">
        <f>VLOOKUP($A43,'Ratings Season'!$A:$M,2,FALSE)</f>
        <v/>
      </c>
      <c r="BY43" s="58">
        <f>RANK(BX43,BX$28:BX$45)</f>
        <v/>
      </c>
    </row>
    <row r="44" ht="25" customHeight="1">
      <c r="A44" s="91" t="inlineStr">
        <is>
          <t>West Coast</t>
        </is>
      </c>
      <c r="B44" s="53">
        <f>VLOOKUP($A44,INDIRECT("'"&amp;$B$24&amp;"'!$A:$IZ"),222,FALSE)</f>
        <v/>
      </c>
      <c r="C44" s="54">
        <f>RANK(B44,B$28:B$45)</f>
        <v/>
      </c>
      <c r="D44" s="55">
        <f>VLOOKUP($A44,INDIRECT("'"&amp;$B$24&amp;"'!$A:$IZ"),218,FALSE)</f>
        <v/>
      </c>
      <c r="E44" s="54">
        <f>RANK(D44,D$28:D$45)</f>
        <v/>
      </c>
      <c r="F44" s="55">
        <f>VLOOKUP($A44,INDIRECT("'"&amp;$B$24&amp;"'!$A:$IZ"),49,FALSE)</f>
        <v/>
      </c>
      <c r="G44" s="54">
        <f>RANK(F44,F$28:F$45)</f>
        <v/>
      </c>
      <c r="H44" s="55">
        <f>VLOOKUP($A44,INDIRECT("'"&amp;$B$24&amp;"'!$A:$IZ"),229,FALSE)</f>
        <v/>
      </c>
      <c r="I44" s="54">
        <f>RANK(H44,H$28:H$45)</f>
        <v/>
      </c>
      <c r="J44" s="49">
        <f>104-(C44+E44+G44+I44)</f>
        <v/>
      </c>
      <c r="K44" s="47">
        <f>RANK(J44,J$28:J$45)</f>
        <v/>
      </c>
      <c r="L44" s="56" t="n"/>
      <c r="M44" s="53">
        <f>VLOOKUP($A44,INDIRECT("'"&amp;$B$24&amp;"'!$A:$IZ"),88,FALSE)</f>
        <v/>
      </c>
      <c r="N44" s="54">
        <f>RANK(M44,M$28:M$45)</f>
        <v/>
      </c>
      <c r="O44" s="53">
        <f>VLOOKUP($A44,INDIRECT("'"&amp;$B$24&amp;"'!$A:$IZ"),84,FALSE)</f>
        <v/>
      </c>
      <c r="P44" s="54">
        <f>RANK(O44,O$28:O$45)</f>
        <v/>
      </c>
      <c r="Q44" s="53">
        <f>VLOOKUP($A44,INDIRECT("'"&amp;$B$24&amp;"'!$A:$IZ"),85,FALSE)</f>
        <v/>
      </c>
      <c r="R44" s="54">
        <f>RANK(Q44,Q$28:Q$45)</f>
        <v/>
      </c>
      <c r="S44" s="55">
        <f>VLOOKUP($A44,INDIRECT("'"&amp;$B$24&amp;"'!$A:$IZ"),29,FALSE)</f>
        <v/>
      </c>
      <c r="T44" s="54">
        <f>RANK(S44,S$28:S$45)</f>
        <v/>
      </c>
      <c r="U44" s="49">
        <f>104-(N44+P44+R44+T44)</f>
        <v/>
      </c>
      <c r="V44" s="47">
        <f>RANK(U44,U$28:U$45)</f>
        <v/>
      </c>
      <c r="W44" s="56" t="n"/>
      <c r="X44" s="53">
        <f>VLOOKUP($A44,INDIRECT("'"&amp;$B$24&amp;"'!$A:$IZ"),65,FALSE)</f>
        <v/>
      </c>
      <c r="Y44" s="54">
        <f>RANK(X44,X$28:X$45)</f>
        <v/>
      </c>
      <c r="Z44" s="53">
        <f>VLOOKUP($A44,INDIRECT("'"&amp;$B$24&amp;"'!$A:$IZ"),64,FALSE)</f>
        <v/>
      </c>
      <c r="AA44" s="54">
        <f>RANK(Z44,Z$28:Z$45)</f>
        <v/>
      </c>
      <c r="AB44" s="53">
        <f>VLOOKUP($A44,INDIRECT("'"&amp;$B$24&amp;"'!$A:$IZ"),63,FALSE)</f>
        <v/>
      </c>
      <c r="AC44" s="54">
        <f>RANK(AB44,AB$28:AB$45)</f>
        <v/>
      </c>
      <c r="AD44" s="53">
        <f>VLOOKUP($A44,INDIRECT("'"&amp;$B$24&amp;"'!$A:$IZ"),71,FALSE)</f>
        <v/>
      </c>
      <c r="AE44" s="54">
        <f>RANK(AD44,AD$28:AD$45)</f>
        <v/>
      </c>
      <c r="AF44" s="65">
        <f>104-(Y44+AA44+AC44+AE44)</f>
        <v/>
      </c>
      <c r="AG44" s="47">
        <f>RANK(AF44,AF$28:AF$45)</f>
        <v/>
      </c>
      <c r="AH44" s="56" t="n"/>
      <c r="AI44" s="53">
        <f>VLOOKUP($A44,INDIRECT("'"&amp;$B$24&amp;"'!$A:$IZ"),183,FALSE)</f>
        <v/>
      </c>
      <c r="AJ44" s="54">
        <f>RANK(AI44,AI$28:AI$45,1)</f>
        <v/>
      </c>
      <c r="AK44" s="53">
        <f>VLOOKUP($A44,INDIRECT("'"&amp;$B$24&amp;"'!$A:$IZ"),181,FALSE)</f>
        <v/>
      </c>
      <c r="AL44" s="54">
        <f>RANK(AK44,AK$28:AK$45,1)</f>
        <v/>
      </c>
      <c r="AM44" s="53">
        <f>VLOOKUP($A44,INDIRECT("'"&amp;$B$24&amp;"'!$A:$IZ"),182,FALSE)</f>
        <v/>
      </c>
      <c r="AN44" s="54">
        <f>RANK(AM44,AM$28:AM$45,1)</f>
        <v/>
      </c>
      <c r="AO44" s="53">
        <f>VLOOKUP($A44,INDIRECT("'"&amp;$B$24&amp;"'!$A:$IZ"),163,FALSE)</f>
        <v/>
      </c>
      <c r="AP44" s="54">
        <f>RANK(AO44,AO$28:AO$45,1)</f>
        <v/>
      </c>
      <c r="AQ44" s="65">
        <f>104-(AJ44+AL44+AN44+AP44)</f>
        <v/>
      </c>
      <c r="AR44" s="47">
        <f>RANK(AQ44,AQ$28:AQ$45)</f>
        <v/>
      </c>
      <c r="AS44" s="56" t="n"/>
      <c r="AT44" s="46">
        <f>VLOOKUP($A44,INDIRECT("'"&amp;$B$24&amp;"'!$A:$IZ"),250,FALSE)</f>
        <v/>
      </c>
      <c r="AU44" s="47">
        <f>RANK(AT44,AT$28:AT$45,0)</f>
        <v/>
      </c>
      <c r="AV44" s="46">
        <f>VLOOKUP($A44,INDIRECT("'"&amp;$B$24&amp;"'!$A:$IZ"),92,FALSE)</f>
        <v/>
      </c>
      <c r="AW44" s="47">
        <f>RANK(AV44,AV$28:AV$45,0)</f>
        <v/>
      </c>
      <c r="AX44" s="46">
        <f>VLOOKUP($A44,INDIRECT("'"&amp;$B$24&amp;"'!$A:$IZ"),93,FALSE)</f>
        <v/>
      </c>
      <c r="AY44" s="47">
        <f>RANK(AX44,AX$28:AX$45,0)</f>
        <v/>
      </c>
      <c r="AZ44" s="46">
        <f>VLOOKUP($A44,INDIRECT("'"&amp;$B$24&amp;"'!$A:$IZ"),108,FALSE)</f>
        <v/>
      </c>
      <c r="BA44" s="47">
        <f>RANK(AZ44,AZ$28:AZ$45,0)</f>
        <v/>
      </c>
      <c r="BB44" s="46">
        <f>104-(AU44+AW44+AY44+BA44)</f>
        <v/>
      </c>
      <c r="BC44" s="47">
        <f>RANK(BB44,BB$28:BB$45)</f>
        <v/>
      </c>
      <c r="BD44" s="56" t="n"/>
      <c r="BE44" s="53">
        <f>VLOOKUP($A44,INDIRECT("'"&amp;$B$24&amp;"'!$A:$IZ"),80,FALSE)</f>
        <v/>
      </c>
      <c r="BF44" s="54">
        <f>RANK(BE44,BE$28:BE$45)</f>
        <v/>
      </c>
      <c r="BG44" s="53">
        <f>VLOOKUP($A44,INDIRECT("'"&amp;$B$24&amp;"'!$A:$IZ"),177,FALSE)</f>
        <v/>
      </c>
      <c r="BH44" s="54">
        <f>RANK(BG44,BG$28:BG$45,1)</f>
        <v/>
      </c>
      <c r="BI44" s="53">
        <f>VLOOKUP($A44,INDIRECT("'"&amp;$B$24&amp;"'!$A:$IZ"),79,FALSE)</f>
        <v/>
      </c>
      <c r="BJ44" s="54">
        <f>RANK(BI44,BI$28:BI$45)</f>
        <v/>
      </c>
      <c r="BK44" s="53">
        <f>VLOOKUP($A44,INDIRECT("'"&amp;$B$24&amp;"'!$A:$IZ"),176,FALSE)</f>
        <v/>
      </c>
      <c r="BL44" s="54">
        <f>RANK(BK44,BK$28:BK$45,1)</f>
        <v/>
      </c>
      <c r="BM44" s="53">
        <f>VLOOKUP($A44,INDIRECT("'"&amp;$B$24&amp;"'!$A:$IZ"),11,FALSE)</f>
        <v/>
      </c>
      <c r="BN44" s="54">
        <f>RANK(BM44,BM$28:BM$45)</f>
        <v/>
      </c>
      <c r="BO44" s="53">
        <f>VLOOKUP($A44,INDIRECT("'"&amp;$B$24&amp;"'!$A:$IZ"),222,FALSE)</f>
        <v/>
      </c>
      <c r="BP44" s="54">
        <f>RANK(BO44,BO$28:BO$45)</f>
        <v/>
      </c>
      <c r="BQ44" s="65">
        <f>104-(BJ44+BL44+BN44+BP44)</f>
        <v/>
      </c>
      <c r="BR44" s="47">
        <f>RANK(BQ44,BQ$28:BQ$45)</f>
        <v/>
      </c>
      <c r="BS44" s="56" t="n"/>
      <c r="BT44" s="57">
        <f>VLOOKUP($A44,'Ratings Season'!$A:$M,8,FALSE)</f>
        <v/>
      </c>
      <c r="BU44" s="54">
        <f>RANK(BT44,BT$28:BT$45)</f>
        <v/>
      </c>
      <c r="BV44" s="57">
        <f>VLOOKUP($A44,'Ratings Season'!$A:$M,4,FALSE)</f>
        <v/>
      </c>
      <c r="BW44" s="54">
        <f>RANK(BV44,BV$28:BV$45)</f>
        <v/>
      </c>
      <c r="BX44" s="57">
        <f>VLOOKUP($A44,'Ratings Season'!$A:$M,2,FALSE)</f>
        <v/>
      </c>
      <c r="BY44" s="58">
        <f>RANK(BX44,BX$28:BX$45)</f>
        <v/>
      </c>
    </row>
    <row r="45" ht="25" customHeight="1" thickBot="1">
      <c r="A45" s="92" t="inlineStr">
        <is>
          <t>Western Bulldogs</t>
        </is>
      </c>
      <c r="B45" s="59">
        <f>VLOOKUP($A45,INDIRECT("'"&amp;$B$24&amp;"'!$A:$IZ"),222,FALSE)</f>
        <v/>
      </c>
      <c r="C45" s="60">
        <f>RANK(B45,B$28:B$45)</f>
        <v/>
      </c>
      <c r="D45" s="61">
        <f>VLOOKUP($A45,INDIRECT("'"&amp;$B$24&amp;"'!$A:$IZ"),218,FALSE)</f>
        <v/>
      </c>
      <c r="E45" s="60">
        <f>RANK(D45,D$28:D$45)</f>
        <v/>
      </c>
      <c r="F45" s="61">
        <f>VLOOKUP($A45,INDIRECT("'"&amp;$B$24&amp;"'!$A:$IZ"),49,FALSE)</f>
        <v/>
      </c>
      <c r="G45" s="60">
        <f>RANK(F45,F$28:F$45)</f>
        <v/>
      </c>
      <c r="H45" s="61">
        <f>VLOOKUP($A45,INDIRECT("'"&amp;$B$24&amp;"'!$A:$IZ"),229,FALSE)</f>
        <v/>
      </c>
      <c r="I45" s="60">
        <f>RANK(H45,H$28:H$45)</f>
        <v/>
      </c>
      <c r="J45" s="49">
        <f>104-(C45+E45+G45+I45)</f>
        <v/>
      </c>
      <c r="K45" s="47">
        <f>RANK(J45,J$28:J$45)</f>
        <v/>
      </c>
      <c r="L45" s="62" t="n"/>
      <c r="M45" s="59">
        <f>VLOOKUP($A45,INDIRECT("'"&amp;$B$24&amp;"'!$A:$IZ"),88,FALSE)</f>
        <v/>
      </c>
      <c r="N45" s="60">
        <f>RANK(M45,M$28:M$45)</f>
        <v/>
      </c>
      <c r="O45" s="59">
        <f>VLOOKUP($A45,INDIRECT("'"&amp;$B$24&amp;"'!$A:$IZ"),84,FALSE)</f>
        <v/>
      </c>
      <c r="P45" s="60">
        <f>RANK(O45,O$28:O$45)</f>
        <v/>
      </c>
      <c r="Q45" s="59">
        <f>VLOOKUP($A45,INDIRECT("'"&amp;$B$24&amp;"'!$A:$IZ"),85,FALSE)</f>
        <v/>
      </c>
      <c r="R45" s="60">
        <f>RANK(Q45,Q$28:Q$45)</f>
        <v/>
      </c>
      <c r="S45" s="61">
        <f>VLOOKUP($A45,INDIRECT("'"&amp;$B$24&amp;"'!$A:$IZ"),29,FALSE)</f>
        <v/>
      </c>
      <c r="T45" s="60">
        <f>RANK(S45,S$28:S$45)</f>
        <v/>
      </c>
      <c r="U45" s="49">
        <f>104-(N45+P45+R45+T45)</f>
        <v/>
      </c>
      <c r="V45" s="47">
        <f>RANK(U45,U$28:U$45)</f>
        <v/>
      </c>
      <c r="W45" s="62" t="n"/>
      <c r="X45" s="59">
        <f>VLOOKUP($A45,INDIRECT("'"&amp;$B$24&amp;"'!$A:$IZ"),65,FALSE)</f>
        <v/>
      </c>
      <c r="Y45" s="60">
        <f>RANK(X45,X$28:X$45)</f>
        <v/>
      </c>
      <c r="Z45" s="59">
        <f>VLOOKUP($A45,INDIRECT("'"&amp;$B$24&amp;"'!$A:$IZ"),64,FALSE)</f>
        <v/>
      </c>
      <c r="AA45" s="60">
        <f>RANK(Z45,Z$28:Z$45)</f>
        <v/>
      </c>
      <c r="AB45" s="59">
        <f>VLOOKUP($A45,INDIRECT("'"&amp;$B$24&amp;"'!$A:$IZ"),63,FALSE)</f>
        <v/>
      </c>
      <c r="AC45" s="60">
        <f>RANK(AB45,AB$28:AB$45)</f>
        <v/>
      </c>
      <c r="AD45" s="59">
        <f>VLOOKUP($A45,INDIRECT("'"&amp;$B$24&amp;"'!$A:$IZ"),71,FALSE)</f>
        <v/>
      </c>
      <c r="AE45" s="60">
        <f>RANK(AD45,AD$28:AD$45)</f>
        <v/>
      </c>
      <c r="AF45" s="66">
        <f>104-(Y45+AA45+AC45+AE45)</f>
        <v/>
      </c>
      <c r="AG45" s="47">
        <f>RANK(AF45,AF$28:AF$45)</f>
        <v/>
      </c>
      <c r="AH45" s="62" t="n"/>
      <c r="AI45" s="59">
        <f>VLOOKUP($A45,INDIRECT("'"&amp;$B$24&amp;"'!$A:$IZ"),183,FALSE)</f>
        <v/>
      </c>
      <c r="AJ45" s="60">
        <f>RANK(AI45,AI$28:AI$45,1)</f>
        <v/>
      </c>
      <c r="AK45" s="59">
        <f>VLOOKUP($A45,INDIRECT("'"&amp;$B$24&amp;"'!$A:$IZ"),181,FALSE)</f>
        <v/>
      </c>
      <c r="AL45" s="60">
        <f>RANK(AK45,AK$28:AK$45,1)</f>
        <v/>
      </c>
      <c r="AM45" s="59">
        <f>VLOOKUP($A45,INDIRECT("'"&amp;$B$24&amp;"'!$A:$IZ"),182,FALSE)</f>
        <v/>
      </c>
      <c r="AN45" s="60">
        <f>RANK(AM45,AM$28:AM$45,1)</f>
        <v/>
      </c>
      <c r="AO45" s="59">
        <f>VLOOKUP($A45,INDIRECT("'"&amp;$B$24&amp;"'!$A:$IZ"),163,FALSE)</f>
        <v/>
      </c>
      <c r="AP45" s="60">
        <f>RANK(AO45,AO$28:AO$45,1)</f>
        <v/>
      </c>
      <c r="AQ45" s="66">
        <f>104-(AJ45+AL45+AN45+AP45)</f>
        <v/>
      </c>
      <c r="AR45" s="47">
        <f>RANK(AQ45,AQ$28:AQ$45)</f>
        <v/>
      </c>
      <c r="AS45" s="62" t="n"/>
      <c r="AT45" s="46">
        <f>VLOOKUP($A45,INDIRECT("'"&amp;$B$24&amp;"'!$A:$IZ"),250,FALSE)</f>
        <v/>
      </c>
      <c r="AU45" s="47">
        <f>RANK(AT45,AT$28:AT$45,0)</f>
        <v/>
      </c>
      <c r="AV45" s="46">
        <f>VLOOKUP($A45,INDIRECT("'"&amp;$B$24&amp;"'!$A:$IZ"),92,FALSE)</f>
        <v/>
      </c>
      <c r="AW45" s="47">
        <f>RANK(AV45,AV$28:AV$45,0)</f>
        <v/>
      </c>
      <c r="AX45" s="46">
        <f>VLOOKUP($A45,INDIRECT("'"&amp;$B$24&amp;"'!$A:$IZ"),93,FALSE)</f>
        <v/>
      </c>
      <c r="AY45" s="47">
        <f>RANK(AX45,AX$28:AX$45,0)</f>
        <v/>
      </c>
      <c r="AZ45" s="46">
        <f>VLOOKUP($A45,INDIRECT("'"&amp;$B$24&amp;"'!$A:$IZ"),108,FALSE)</f>
        <v/>
      </c>
      <c r="BA45" s="47">
        <f>RANK(AZ45,AZ$28:AZ$45,0)</f>
        <v/>
      </c>
      <c r="BB45" s="46">
        <f>104-(AU45+AW45+AY45+BA45)</f>
        <v/>
      </c>
      <c r="BC45" s="47">
        <f>RANK(BB45,BB$28:BB$45)</f>
        <v/>
      </c>
      <c r="BD45" s="62" t="n"/>
      <c r="BE45" s="59">
        <f>VLOOKUP($A45,INDIRECT("'"&amp;$B$24&amp;"'!$A:$IZ"),80,FALSE)</f>
        <v/>
      </c>
      <c r="BF45" s="60">
        <f>RANK(BE45,BE$28:BE$45)</f>
        <v/>
      </c>
      <c r="BG45" s="59">
        <f>VLOOKUP($A45,INDIRECT("'"&amp;$B$24&amp;"'!$A:$IZ"),177,FALSE)</f>
        <v/>
      </c>
      <c r="BH45" s="60">
        <f>RANK(BG45,BG$28:BG$45,1)</f>
        <v/>
      </c>
      <c r="BI45" s="59">
        <f>VLOOKUP($A45,INDIRECT("'"&amp;$B$24&amp;"'!$A:$IZ"),79,FALSE)</f>
        <v/>
      </c>
      <c r="BJ45" s="60">
        <f>RANK(BI45,BI$28:BI$45)</f>
        <v/>
      </c>
      <c r="BK45" s="59">
        <f>VLOOKUP($A45,INDIRECT("'"&amp;$B$24&amp;"'!$A:$IZ"),176,FALSE)</f>
        <v/>
      </c>
      <c r="BL45" s="60">
        <f>RANK(BK45,BK$28:BK$45,1)</f>
        <v/>
      </c>
      <c r="BM45" s="59">
        <f>VLOOKUP($A45,INDIRECT("'"&amp;$B$24&amp;"'!$A:$IZ"),11,FALSE)</f>
        <v/>
      </c>
      <c r="BN45" s="60">
        <f>RANK(BM45,BM$28:BM$45)</f>
        <v/>
      </c>
      <c r="BO45" s="59">
        <f>VLOOKUP($A45,INDIRECT("'"&amp;$B$24&amp;"'!$A:$IZ"),222,FALSE)</f>
        <v/>
      </c>
      <c r="BP45" s="60">
        <f>RANK(BO45,BO$28:BO$45)</f>
        <v/>
      </c>
      <c r="BQ45" s="66">
        <f>104-(BJ45+BL45+BN45+BP45)</f>
        <v/>
      </c>
      <c r="BR45" s="47">
        <f>RANK(BQ45,BQ$28:BQ$45)</f>
        <v/>
      </c>
      <c r="BS45" s="62" t="n"/>
      <c r="BT45" s="63">
        <f>VLOOKUP($A45,'Ratings Season'!$A:$M,8,FALSE)</f>
        <v/>
      </c>
      <c r="BU45" s="60">
        <f>RANK(BT45,BT$28:BT$45)</f>
        <v/>
      </c>
      <c r="BV45" s="63">
        <f>VLOOKUP($A45,'Ratings Season'!$A:$M,4,FALSE)</f>
        <v/>
      </c>
      <c r="BW45" s="60">
        <f>RANK(BV45,BV$28:BV$45)</f>
        <v/>
      </c>
      <c r="BX45" s="63">
        <f>VLOOKUP($A45,'Ratings Season'!$A:$M,2,FALSE)</f>
        <v/>
      </c>
      <c r="BY45" s="64">
        <f>RANK(BX45,BX$28:BX$45)</f>
        <v/>
      </c>
    </row>
    <row r="46">
      <c r="A46" s="69" t="n"/>
      <c r="B46" s="69" t="n"/>
      <c r="C46" s="69" t="n"/>
      <c r="D46" s="69" t="n"/>
      <c r="E46" s="69" t="n"/>
      <c r="F46" s="69" t="n"/>
      <c r="G46" s="69" t="n"/>
      <c r="H46" s="69" t="n"/>
      <c r="I46" s="69" t="n"/>
      <c r="J46" s="69" t="n"/>
      <c r="K46" s="69" t="n"/>
      <c r="L46" s="69" t="n"/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  <c r="Z46" s="69" t="n"/>
      <c r="AA46" s="69" t="n"/>
      <c r="AB46" s="69" t="n"/>
      <c r="AC46" s="69" t="n"/>
      <c r="AD46" s="69" t="n"/>
      <c r="AE46" s="69" t="n"/>
      <c r="AF46" s="69" t="n"/>
      <c r="AG46" s="69" t="n"/>
      <c r="AH46" s="69" t="n"/>
      <c r="AI46" s="69" t="n"/>
      <c r="AJ46" s="69" t="n"/>
      <c r="AK46" s="69" t="n"/>
      <c r="AL46" s="69" t="n"/>
      <c r="AM46" s="69" t="n"/>
      <c r="AN46" s="69" t="n"/>
      <c r="AO46" s="69" t="n"/>
      <c r="AP46" s="69" t="n"/>
      <c r="AQ46" s="69" t="n"/>
      <c r="AR46" s="69" t="n"/>
      <c r="AS46" s="69" t="n"/>
      <c r="AT46" s="69" t="n"/>
      <c r="AU46" s="69" t="n"/>
      <c r="AV46" s="69" t="n"/>
      <c r="AW46" s="69" t="n"/>
      <c r="AX46" s="69" t="n"/>
      <c r="AY46" s="69" t="n"/>
      <c r="AZ46" s="69" t="n"/>
      <c r="BA46" s="69" t="n"/>
      <c r="BB46" s="69" t="n"/>
      <c r="BC46" s="69" t="n"/>
      <c r="BD46" s="69" t="n"/>
      <c r="BE46" s="69" t="n"/>
      <c r="BF46" s="69" t="n"/>
      <c r="BG46" s="69" t="n"/>
      <c r="BH46" s="69" t="n"/>
      <c r="BI46" s="69" t="n"/>
      <c r="BJ46" s="69" t="n"/>
      <c r="BK46" s="69" t="n"/>
      <c r="BL46" s="69" t="n"/>
      <c r="BM46" s="69" t="n"/>
      <c r="BN46" s="69" t="n"/>
      <c r="BO46" s="69" t="n"/>
      <c r="BP46" s="69" t="n"/>
      <c r="BQ46" s="69" t="n"/>
      <c r="BR46" s="69" t="n"/>
      <c r="BS46" s="69" t="n"/>
      <c r="BT46" s="69" t="n"/>
      <c r="BU46" s="69" t="n"/>
      <c r="BV46" s="69" t="n"/>
      <c r="BW46" s="69" t="n"/>
      <c r="BX46" s="69" t="n"/>
      <c r="BY46" s="69" t="n"/>
    </row>
  </sheetData>
  <mergeCells count="16">
    <mergeCell ref="BE26:BR26"/>
    <mergeCell ref="M3:V3"/>
    <mergeCell ref="BT26:BY26"/>
    <mergeCell ref="A3:A4"/>
    <mergeCell ref="BE3:BR3"/>
    <mergeCell ref="A26:A27"/>
    <mergeCell ref="X3:AG3"/>
    <mergeCell ref="B26:K26"/>
    <mergeCell ref="M26:V26"/>
    <mergeCell ref="AI3:AR3"/>
    <mergeCell ref="X26:AG26"/>
    <mergeCell ref="AI26:AR26"/>
    <mergeCell ref="AT3:BC3"/>
    <mergeCell ref="AT26:BC26"/>
    <mergeCell ref="B3:K3"/>
    <mergeCell ref="BT3:BY3"/>
  </mergeCells>
  <conditionalFormatting sqref="B5:B22">
    <cfRule type="dataBar" priority="364">
      <dataBar>
        <cfvo type="min"/>
        <cfvo type="max"/>
        <color rgb="FF638EC6"/>
      </dataBar>
    </cfRule>
  </conditionalFormatting>
  <conditionalFormatting sqref="B28:B45">
    <cfRule type="dataBar" priority="164">
      <dataBar>
        <cfvo type="min"/>
        <cfvo type="max"/>
        <color rgb="FF638EC6"/>
      </dataBar>
    </cfRule>
  </conditionalFormatting>
  <conditionalFormatting sqref="D5:D22">
    <cfRule type="dataBar" priority="363">
      <dataBar>
        <cfvo type="min"/>
        <cfvo type="max"/>
        <color rgb="FF638EC6"/>
      </dataBar>
    </cfRule>
  </conditionalFormatting>
  <conditionalFormatting sqref="D28:D45">
    <cfRule type="dataBar" priority="163">
      <dataBar>
        <cfvo type="min"/>
        <cfvo type="max"/>
        <color rgb="FF638EC6"/>
      </dataBar>
    </cfRule>
  </conditionalFormatting>
  <conditionalFormatting sqref="F5:F22">
    <cfRule type="dataBar" priority="362">
      <dataBar>
        <cfvo type="min"/>
        <cfvo type="max"/>
        <color rgb="FF638EC6"/>
      </dataBar>
    </cfRule>
    <cfRule type="dataBar" priority="361">
      <dataBar>
        <cfvo type="min"/>
        <cfvo type="max"/>
        <color rgb="FF638EC6"/>
      </dataBar>
    </cfRule>
  </conditionalFormatting>
  <conditionalFormatting sqref="F28:F45">
    <cfRule type="dataBar" priority="161">
      <dataBar>
        <cfvo type="min"/>
        <cfvo type="max"/>
        <color rgb="FF638EC6"/>
      </dataBar>
    </cfRule>
    <cfRule type="dataBar" priority="162">
      <dataBar>
        <cfvo type="min"/>
        <cfvo type="max"/>
        <color rgb="FF638EC6"/>
      </dataBar>
    </cfRule>
  </conditionalFormatting>
  <conditionalFormatting sqref="H5:H22">
    <cfRule type="dataBar" priority="360">
      <dataBar>
        <cfvo type="min"/>
        <cfvo type="max"/>
        <color rgb="FF638EC6"/>
      </dataBar>
    </cfRule>
  </conditionalFormatting>
  <conditionalFormatting sqref="H28:H45">
    <cfRule type="dataBar" priority="160">
      <dataBar>
        <cfvo type="min"/>
        <cfvo type="max"/>
        <color rgb="FF638EC6"/>
      </dataBar>
    </cfRule>
  </conditionalFormatting>
  <conditionalFormatting sqref="J5:J22">
    <cfRule type="dataBar" priority="328">
      <dataBar>
        <cfvo type="min"/>
        <cfvo type="max"/>
        <color rgb="FF638EC6"/>
      </dataBar>
    </cfRule>
  </conditionalFormatting>
  <conditionalFormatting sqref="J28:J45">
    <cfRule type="dataBar" priority="128">
      <dataBar>
        <cfvo type="min"/>
        <cfvo type="max"/>
        <color rgb="FF638EC6"/>
      </dataBar>
    </cfRule>
  </conditionalFormatting>
  <conditionalFormatting sqref="M5:M22">
    <cfRule type="dataBar" priority="359">
      <dataBar>
        <cfvo type="min"/>
        <cfvo type="max"/>
        <color rgb="FF63C384"/>
      </dataBar>
    </cfRule>
    <cfRule type="dataBar" priority="358">
      <dataBar>
        <cfvo type="min"/>
        <cfvo type="max"/>
        <color rgb="FF63C384"/>
      </dataBar>
    </cfRule>
  </conditionalFormatting>
  <conditionalFormatting sqref="M28:M45">
    <cfRule type="dataBar" priority="159">
      <dataBar>
        <cfvo type="min"/>
        <cfvo type="max"/>
        <color rgb="FF63C384"/>
      </dataBar>
    </cfRule>
    <cfRule type="dataBar" priority="158">
      <dataBar>
        <cfvo type="min"/>
        <cfvo type="max"/>
        <color rgb="FF63C384"/>
      </dataBar>
    </cfRule>
  </conditionalFormatting>
  <conditionalFormatting sqref="O5:O22">
    <cfRule type="dataBar" priority="357">
      <dataBar>
        <cfvo type="min"/>
        <cfvo type="max"/>
        <color rgb="FF63C384"/>
      </dataBar>
    </cfRule>
    <cfRule type="dataBar" priority="356">
      <dataBar>
        <cfvo type="min"/>
        <cfvo type="max"/>
        <color rgb="FF63C384"/>
      </dataBar>
    </cfRule>
  </conditionalFormatting>
  <conditionalFormatting sqref="O28:O45">
    <cfRule type="dataBar" priority="157">
      <dataBar>
        <cfvo type="min"/>
        <cfvo type="max"/>
        <color rgb="FF63C384"/>
      </dataBar>
    </cfRule>
    <cfRule type="dataBar" priority="156">
      <dataBar>
        <cfvo type="min"/>
        <cfvo type="max"/>
        <color rgb="FF63C384"/>
      </dataBar>
    </cfRule>
  </conditionalFormatting>
  <conditionalFormatting sqref="Q5:Q22">
    <cfRule type="dataBar" priority="355">
      <dataBar>
        <cfvo type="min"/>
        <cfvo type="max"/>
        <color rgb="FF63C384"/>
      </dataBar>
    </cfRule>
    <cfRule type="dataBar" priority="354">
      <dataBar>
        <cfvo type="min"/>
        <cfvo type="max"/>
        <color rgb="FF63C384"/>
      </dataBar>
    </cfRule>
  </conditionalFormatting>
  <conditionalFormatting sqref="Q28:Q45">
    <cfRule type="dataBar" priority="155">
      <dataBar>
        <cfvo type="min"/>
        <cfvo type="max"/>
        <color rgb="FF63C384"/>
      </dataBar>
    </cfRule>
    <cfRule type="dataBar" priority="154">
      <dataBar>
        <cfvo type="min"/>
        <cfvo type="max"/>
        <color rgb="FF63C384"/>
      </dataBar>
    </cfRule>
  </conditionalFormatting>
  <conditionalFormatting sqref="S5:S22">
    <cfRule type="dataBar" priority="353">
      <dataBar>
        <cfvo type="min"/>
        <cfvo type="max"/>
        <color rgb="FF63C384"/>
      </dataBar>
    </cfRule>
  </conditionalFormatting>
  <conditionalFormatting sqref="S28:S45">
    <cfRule type="dataBar" priority="153">
      <dataBar>
        <cfvo type="min"/>
        <cfvo type="max"/>
        <color rgb="FF63C384"/>
      </dataBar>
    </cfRule>
  </conditionalFormatting>
  <conditionalFormatting sqref="U5:U22">
    <cfRule type="dataBar" priority="327">
      <dataBar>
        <cfvo type="min"/>
        <cfvo type="max"/>
        <color rgb="FF63C384"/>
      </dataBar>
    </cfRule>
  </conditionalFormatting>
  <conditionalFormatting sqref="U28:U45">
    <cfRule type="dataBar" priority="127">
      <dataBar>
        <cfvo type="min"/>
        <cfvo type="max"/>
        <color rgb="FF63C384"/>
      </dataBar>
    </cfRule>
  </conditionalFormatting>
  <conditionalFormatting sqref="X5:X22">
    <cfRule type="dataBar" priority="351">
      <dataBar>
        <cfvo type="min"/>
        <cfvo type="max"/>
        <color rgb="FFFFFF00"/>
      </dataBar>
    </cfRule>
    <cfRule type="dataBar" priority="352">
      <dataBar>
        <cfvo type="min"/>
        <cfvo type="max"/>
        <color rgb="FF63C384"/>
      </dataBar>
    </cfRule>
  </conditionalFormatting>
  <conditionalFormatting sqref="X28:X45">
    <cfRule type="dataBar" priority="151">
      <dataBar>
        <cfvo type="min"/>
        <cfvo type="max"/>
        <color rgb="FFFFFF00"/>
      </dataBar>
    </cfRule>
    <cfRule type="dataBar" priority="152">
      <dataBar>
        <cfvo type="min"/>
        <cfvo type="max"/>
        <color rgb="FF63C384"/>
      </dataBar>
    </cfRule>
  </conditionalFormatting>
  <conditionalFormatting sqref="Z5:Z22">
    <cfRule type="dataBar" priority="322">
      <dataBar>
        <cfvo type="min"/>
        <cfvo type="max"/>
        <color rgb="FF63C384"/>
      </dataBar>
    </cfRule>
    <cfRule type="dataBar" priority="321">
      <dataBar>
        <cfvo type="min"/>
        <cfvo type="max"/>
        <color rgb="FFFFFF00"/>
      </dataBar>
    </cfRule>
  </conditionalFormatting>
  <conditionalFormatting sqref="Z28:Z45">
    <cfRule type="dataBar" priority="121">
      <dataBar>
        <cfvo type="min"/>
        <cfvo type="max"/>
        <color rgb="FFFFFF00"/>
      </dataBar>
    </cfRule>
    <cfRule type="dataBar" priority="122">
      <dataBar>
        <cfvo type="min"/>
        <cfvo type="max"/>
        <color rgb="FF63C384"/>
      </dataBar>
    </cfRule>
  </conditionalFormatting>
  <conditionalFormatting sqref="AB5:AB22">
    <cfRule type="dataBar" priority="320">
      <dataBar>
        <cfvo type="min"/>
        <cfvo type="max"/>
        <color rgb="FF63C384"/>
      </dataBar>
    </cfRule>
    <cfRule type="dataBar" priority="319">
      <dataBar>
        <cfvo type="min"/>
        <cfvo type="max"/>
        <color rgb="FFFFFF00"/>
      </dataBar>
    </cfRule>
  </conditionalFormatting>
  <conditionalFormatting sqref="AB28:AB45">
    <cfRule type="dataBar" priority="120">
      <dataBar>
        <cfvo type="min"/>
        <cfvo type="max"/>
        <color rgb="FF63C384"/>
      </dataBar>
    </cfRule>
    <cfRule type="dataBar" priority="119">
      <dataBar>
        <cfvo type="min"/>
        <cfvo type="max"/>
        <color rgb="FFFFFF00"/>
      </dataBar>
    </cfRule>
  </conditionalFormatting>
  <conditionalFormatting sqref="AD5:AD22">
    <cfRule type="dataBar" priority="318">
      <dataBar>
        <cfvo type="min"/>
        <cfvo type="max"/>
        <color rgb="FF63C384"/>
      </dataBar>
    </cfRule>
    <cfRule type="dataBar" priority="317">
      <dataBar>
        <cfvo type="min"/>
        <cfvo type="max"/>
        <color rgb="FFFFFF00"/>
      </dataBar>
    </cfRule>
  </conditionalFormatting>
  <conditionalFormatting sqref="AD28:AD45">
    <cfRule type="dataBar" priority="118">
      <dataBar>
        <cfvo type="min"/>
        <cfvo type="max"/>
        <color rgb="FF63C384"/>
      </dataBar>
    </cfRule>
    <cfRule type="dataBar" priority="117">
      <dataBar>
        <cfvo type="min"/>
        <cfvo type="max"/>
        <color rgb="FFFFFF00"/>
      </dataBar>
    </cfRule>
  </conditionalFormatting>
  <conditionalFormatting sqref="AF5:AF22">
    <cfRule type="dataBar" priority="316">
      <dataBar>
        <cfvo type="min"/>
        <cfvo type="max"/>
        <color rgb="FF63C384"/>
      </dataBar>
    </cfRule>
    <cfRule type="dataBar" priority="315">
      <dataBar>
        <cfvo type="min"/>
        <cfvo type="max"/>
        <color rgb="FFFFFF00"/>
      </dataBar>
    </cfRule>
  </conditionalFormatting>
  <conditionalFormatting sqref="AF28:AF45">
    <cfRule type="dataBar" priority="116">
      <dataBar>
        <cfvo type="min"/>
        <cfvo type="max"/>
        <color rgb="FF63C384"/>
      </dataBar>
    </cfRule>
    <cfRule type="dataBar" priority="115">
      <dataBar>
        <cfvo type="min"/>
        <cfvo type="max"/>
        <color rgb="FFFFFF00"/>
      </dataBar>
    </cfRule>
  </conditionalFormatting>
  <conditionalFormatting sqref="AI5:AI22">
    <cfRule type="dataBar" priority="350">
      <dataBar>
        <cfvo type="min"/>
        <cfvo type="max"/>
        <color rgb="FF63C384"/>
      </dataBar>
    </cfRule>
    <cfRule type="dataBar" priority="349">
      <dataBar>
        <cfvo type="min"/>
        <cfvo type="max"/>
        <color rgb="FFFF555A"/>
      </dataBar>
    </cfRule>
  </conditionalFormatting>
  <conditionalFormatting sqref="AI28:AI45">
    <cfRule type="dataBar" priority="150">
      <dataBar>
        <cfvo type="min"/>
        <cfvo type="max"/>
        <color rgb="FF63C384"/>
      </dataBar>
    </cfRule>
    <cfRule type="dataBar" priority="149">
      <dataBar>
        <cfvo type="min"/>
        <cfvo type="max"/>
        <color rgb="FFFF555A"/>
      </dataBar>
    </cfRule>
  </conditionalFormatting>
  <conditionalFormatting sqref="AK5:AK22">
    <cfRule type="dataBar" priority="347">
      <dataBar>
        <cfvo type="min"/>
        <cfvo type="max"/>
        <color rgb="FFFF555A"/>
      </dataBar>
    </cfRule>
    <cfRule type="dataBar" priority="348">
      <dataBar>
        <cfvo type="min"/>
        <cfvo type="max"/>
        <color rgb="FF63C384"/>
      </dataBar>
    </cfRule>
  </conditionalFormatting>
  <conditionalFormatting sqref="AK28:AK45">
    <cfRule type="dataBar" priority="148">
      <dataBar>
        <cfvo type="min"/>
        <cfvo type="max"/>
        <color rgb="FF63C384"/>
      </dataBar>
    </cfRule>
    <cfRule type="dataBar" priority="147">
      <dataBar>
        <cfvo type="min"/>
        <cfvo type="max"/>
        <color rgb="FFFF555A"/>
      </dataBar>
    </cfRule>
  </conditionalFormatting>
  <conditionalFormatting sqref="AM5:AM22">
    <cfRule type="dataBar" priority="345">
      <dataBar>
        <cfvo type="min"/>
        <cfvo type="max"/>
        <color rgb="FFFF555A"/>
      </dataBar>
    </cfRule>
    <cfRule type="dataBar" priority="346">
      <dataBar>
        <cfvo type="min"/>
        <cfvo type="max"/>
        <color rgb="FF63C384"/>
      </dataBar>
    </cfRule>
  </conditionalFormatting>
  <conditionalFormatting sqref="AM28:AM45">
    <cfRule type="dataBar" priority="145">
      <dataBar>
        <cfvo type="min"/>
        <cfvo type="max"/>
        <color rgb="FFFF555A"/>
      </dataBar>
    </cfRule>
    <cfRule type="dataBar" priority="146">
      <dataBar>
        <cfvo type="min"/>
        <cfvo type="max"/>
        <color rgb="FF63C384"/>
      </dataBar>
    </cfRule>
  </conditionalFormatting>
  <conditionalFormatting sqref="AO5:AO22">
    <cfRule type="dataBar" priority="63">
      <dataBar>
        <cfvo type="min"/>
        <cfvo type="max"/>
        <color rgb="FFFF555A"/>
      </dataBar>
    </cfRule>
    <cfRule type="dataBar" priority="64">
      <dataBar>
        <cfvo type="min"/>
        <cfvo type="max"/>
        <color rgb="FF63C384"/>
      </dataBar>
    </cfRule>
  </conditionalFormatting>
  <conditionalFormatting sqref="AO28:AO45">
    <cfRule type="dataBar" priority="62">
      <dataBar>
        <cfvo type="min"/>
        <cfvo type="max"/>
        <color rgb="FF63C384"/>
      </dataBar>
    </cfRule>
    <cfRule type="dataBar" priority="61">
      <dataBar>
        <cfvo type="min"/>
        <cfvo type="max"/>
        <color rgb="FFFF555A"/>
      </dataBar>
    </cfRule>
  </conditionalFormatting>
  <conditionalFormatting sqref="AQ5:AQ22">
    <cfRule type="dataBar" priority="325">
      <dataBar>
        <cfvo type="min"/>
        <cfvo type="max"/>
        <color rgb="FFFF555A"/>
      </dataBar>
    </cfRule>
    <cfRule type="dataBar" priority="326">
      <dataBar>
        <cfvo type="min"/>
        <cfvo type="max"/>
        <color rgb="FF63C384"/>
      </dataBar>
    </cfRule>
  </conditionalFormatting>
  <conditionalFormatting sqref="AQ28:AQ45">
    <cfRule type="dataBar" priority="125">
      <dataBar>
        <cfvo type="min"/>
        <cfvo type="max"/>
        <color rgb="FFFF555A"/>
      </dataBar>
    </cfRule>
    <cfRule type="dataBar" priority="126">
      <dataBar>
        <cfvo type="min"/>
        <cfvo type="max"/>
        <color rgb="FF63C384"/>
      </dataBar>
    </cfRule>
  </conditionalFormatting>
  <conditionalFormatting sqref="AT5:AT22">
    <cfRule type="dataBar" priority="20">
      <dataBar>
        <cfvo type="min"/>
        <cfvo type="max"/>
        <color rgb="FF63C384"/>
      </dataBar>
    </cfRule>
    <cfRule type="dataBar" priority="19">
      <dataBar>
        <cfvo type="min"/>
        <cfvo type="max"/>
        <color rgb="FFD883FF"/>
      </dataBar>
    </cfRule>
  </conditionalFormatting>
  <conditionalFormatting sqref="AT28:AT45">
    <cfRule type="dataBar" priority="9">
      <dataBar>
        <cfvo type="min"/>
        <cfvo type="max"/>
        <color rgb="FFD883FF"/>
      </dataBar>
    </cfRule>
    <cfRule type="dataBar" priority="10">
      <dataBar>
        <cfvo type="min"/>
        <cfvo type="max"/>
        <color rgb="FF63C384"/>
      </dataBar>
    </cfRule>
  </conditionalFormatting>
  <conditionalFormatting sqref="AV5:AV22">
    <cfRule type="dataBar" priority="17">
      <dataBar>
        <cfvo type="min"/>
        <cfvo type="max"/>
        <color rgb="FFD883FF"/>
      </dataBar>
    </cfRule>
    <cfRule type="dataBar" priority="18">
      <dataBar>
        <cfvo type="min"/>
        <cfvo type="max"/>
        <color rgb="FF63C384"/>
      </dataBar>
    </cfRule>
  </conditionalFormatting>
  <conditionalFormatting sqref="AV28:AV45">
    <cfRule type="dataBar" priority="7">
      <dataBar>
        <cfvo type="min"/>
        <cfvo type="max"/>
        <color rgb="FFD883FF"/>
      </dataBar>
    </cfRule>
    <cfRule type="dataBar" priority="8">
      <dataBar>
        <cfvo type="min"/>
        <cfvo type="max"/>
        <color rgb="FF63C384"/>
      </dataBar>
    </cfRule>
  </conditionalFormatting>
  <conditionalFormatting sqref="AX5:AX22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rgb="FFD883FF"/>
      </dataBar>
    </cfRule>
  </conditionalFormatting>
  <conditionalFormatting sqref="AX28:AX45">
    <cfRule type="dataBar" priority="6">
      <dataBar>
        <cfvo type="min"/>
        <cfvo type="max"/>
        <color rgb="FF63C384"/>
      </dataBar>
    </cfRule>
    <cfRule type="dataBar" priority="5">
      <dataBar>
        <cfvo type="min"/>
        <cfvo type="max"/>
        <color rgb="FFD883FF"/>
      </dataBar>
    </cfRule>
  </conditionalFormatting>
  <conditionalFormatting sqref="AZ5:AZ22">
    <cfRule type="dataBar" priority="14">
      <dataBar>
        <cfvo type="min"/>
        <cfvo type="max"/>
        <color rgb="FF63C384"/>
      </dataBar>
    </cfRule>
    <cfRule type="dataBar" priority="13">
      <dataBar>
        <cfvo type="min"/>
        <cfvo type="max"/>
        <color rgb="FFD883FF"/>
      </dataBar>
    </cfRule>
  </conditionalFormatting>
  <conditionalFormatting sqref="AZ28:AZ45">
    <cfRule type="dataBar" priority="3">
      <dataBar>
        <cfvo type="min"/>
        <cfvo type="max"/>
        <color rgb="FFD883FF"/>
      </dataBar>
    </cfRule>
    <cfRule type="dataBar" priority="4">
      <dataBar>
        <cfvo type="min"/>
        <cfvo type="max"/>
        <color rgb="FF63C384"/>
      </dataBar>
    </cfRule>
  </conditionalFormatting>
  <conditionalFormatting sqref="BB5:BB22">
    <cfRule type="dataBar" priority="12">
      <dataBar>
        <cfvo type="min"/>
        <cfvo type="max"/>
        <color rgb="FF63C384"/>
      </dataBar>
    </cfRule>
    <cfRule type="dataBar" priority="11">
      <dataBar>
        <cfvo type="min"/>
        <cfvo type="max"/>
        <color rgb="FFD883FF"/>
      </dataBar>
    </cfRule>
  </conditionalFormatting>
  <conditionalFormatting sqref="BB28:BB45">
    <cfRule type="dataBar" priority="1">
      <dataBar>
        <cfvo type="min"/>
        <cfvo type="max"/>
        <color rgb="FFD883FF"/>
      </dataBar>
    </cfRule>
    <cfRule type="dataBar" priority="2">
      <dataBar>
        <cfvo type="min"/>
        <cfvo type="max"/>
        <color rgb="FF63C384"/>
      </dataBar>
    </cfRule>
  </conditionalFormatting>
  <conditionalFormatting sqref="BE5:BE22">
    <cfRule type="dataBar" priority="343">
      <dataBar>
        <cfvo type="min"/>
        <cfvo type="max"/>
        <color rgb="FF63C384"/>
      </dataBar>
    </cfRule>
    <cfRule type="dataBar" priority="342">
      <dataBar>
        <cfvo type="min"/>
        <cfvo type="max"/>
        <color theme="1" tint="0.499984740745262"/>
      </dataBar>
    </cfRule>
  </conditionalFormatting>
  <conditionalFormatting sqref="BE28:BE45">
    <cfRule type="dataBar" priority="143">
      <dataBar>
        <cfvo type="min"/>
        <cfvo type="max"/>
        <color rgb="FF63C384"/>
      </dataBar>
    </cfRule>
    <cfRule type="dataBar" priority="142">
      <dataBar>
        <cfvo type="min"/>
        <cfvo type="max"/>
        <color theme="1" tint="0.499984740745262"/>
      </dataBar>
    </cfRule>
  </conditionalFormatting>
  <conditionalFormatting sqref="BG5:BG22">
    <cfRule type="dataBar" priority="341">
      <dataBar>
        <cfvo type="min"/>
        <cfvo type="max"/>
        <color rgb="FF63C384"/>
      </dataBar>
    </cfRule>
    <cfRule type="dataBar" priority="340">
      <dataBar>
        <cfvo type="min"/>
        <cfvo type="max"/>
        <color theme="1" tint="0.499984740745262"/>
      </dataBar>
    </cfRule>
  </conditionalFormatting>
  <conditionalFormatting sqref="BG28:BG45">
    <cfRule type="dataBar" priority="140">
      <dataBar>
        <cfvo type="min"/>
        <cfvo type="max"/>
        <color theme="1" tint="0.499984740745262"/>
      </dataBar>
    </cfRule>
    <cfRule type="dataBar" priority="141">
      <dataBar>
        <cfvo type="min"/>
        <cfvo type="max"/>
        <color rgb="FF63C384"/>
      </dataBar>
    </cfRule>
  </conditionalFormatting>
  <conditionalFormatting sqref="BI5:BI22">
    <cfRule type="dataBar" priority="338">
      <dataBar>
        <cfvo type="min"/>
        <cfvo type="max"/>
        <color theme="1" tint="0.499984740745262"/>
      </dataBar>
    </cfRule>
    <cfRule type="dataBar" priority="339">
      <dataBar>
        <cfvo type="min"/>
        <cfvo type="max"/>
        <color rgb="FF63C384"/>
      </dataBar>
    </cfRule>
  </conditionalFormatting>
  <conditionalFormatting sqref="BI28:BI45">
    <cfRule type="dataBar" priority="138">
      <dataBar>
        <cfvo type="min"/>
        <cfvo type="max"/>
        <color theme="1" tint="0.499984740745262"/>
      </dataBar>
    </cfRule>
    <cfRule type="dataBar" priority="139">
      <dataBar>
        <cfvo type="min"/>
        <cfvo type="max"/>
        <color rgb="FF63C384"/>
      </dataBar>
    </cfRule>
  </conditionalFormatting>
  <conditionalFormatting sqref="BK5:BK22">
    <cfRule type="dataBar" priority="337">
      <dataBar>
        <cfvo type="min"/>
        <cfvo type="max"/>
        <color rgb="FF63C384"/>
      </dataBar>
    </cfRule>
    <cfRule type="dataBar" priority="336">
      <dataBar>
        <cfvo type="min"/>
        <cfvo type="max"/>
        <color theme="1" tint="0.499984740745262"/>
      </dataBar>
    </cfRule>
  </conditionalFormatting>
  <conditionalFormatting sqref="BK28:BK45">
    <cfRule type="dataBar" priority="137">
      <dataBar>
        <cfvo type="min"/>
        <cfvo type="max"/>
        <color rgb="FF63C384"/>
      </dataBar>
    </cfRule>
    <cfRule type="dataBar" priority="136">
      <dataBar>
        <cfvo type="min"/>
        <cfvo type="max"/>
        <color theme="1" tint="0.499984740745262"/>
      </dataBar>
    </cfRule>
  </conditionalFormatting>
  <conditionalFormatting sqref="BM5:BM22">
    <cfRule type="dataBar" priority="334">
      <dataBar>
        <cfvo type="min"/>
        <cfvo type="max"/>
        <color theme="1" tint="0.499984740745262"/>
      </dataBar>
    </cfRule>
    <cfRule type="dataBar" priority="335">
      <dataBar>
        <cfvo type="min"/>
        <cfvo type="max"/>
        <color rgb="FF63C384"/>
      </dataBar>
    </cfRule>
  </conditionalFormatting>
  <conditionalFormatting sqref="BM28:BM45">
    <cfRule type="dataBar" priority="134">
      <dataBar>
        <cfvo type="min"/>
        <cfvo type="max"/>
        <color theme="1" tint="0.499984740745262"/>
      </dataBar>
    </cfRule>
    <cfRule type="dataBar" priority="135">
      <dataBar>
        <cfvo type="min"/>
        <cfvo type="max"/>
        <color rgb="FF63C384"/>
      </dataBar>
    </cfRule>
  </conditionalFormatting>
  <conditionalFormatting sqref="BO5:BO22">
    <cfRule type="dataBar" priority="333">
      <dataBar>
        <cfvo type="min"/>
        <cfvo type="max"/>
        <color rgb="FF63C384"/>
      </dataBar>
    </cfRule>
    <cfRule type="dataBar" priority="332">
      <dataBar>
        <cfvo type="min"/>
        <cfvo type="max"/>
        <color theme="1" tint="0.499984740745262"/>
      </dataBar>
    </cfRule>
  </conditionalFormatting>
  <conditionalFormatting sqref="BO28:BO45">
    <cfRule type="dataBar" priority="133">
      <dataBar>
        <cfvo type="min"/>
        <cfvo type="max"/>
        <color rgb="FF63C384"/>
      </dataBar>
    </cfRule>
    <cfRule type="dataBar" priority="132">
      <dataBar>
        <cfvo type="min"/>
        <cfvo type="max"/>
        <color theme="1" tint="0.499984740745262"/>
      </dataBar>
    </cfRule>
  </conditionalFormatting>
  <conditionalFormatting sqref="BQ5:BQ22">
    <cfRule type="dataBar" priority="324">
      <dataBar>
        <cfvo type="min"/>
        <cfvo type="max"/>
        <color rgb="FF63C384"/>
      </dataBar>
    </cfRule>
    <cfRule type="dataBar" priority="323">
      <dataBar>
        <cfvo type="min"/>
        <cfvo type="max"/>
        <color theme="1" tint="0.499984740745262"/>
      </dataBar>
    </cfRule>
  </conditionalFormatting>
  <conditionalFormatting sqref="BQ28:BQ45">
    <cfRule type="dataBar" priority="124">
      <dataBar>
        <cfvo type="min"/>
        <cfvo type="max"/>
        <color rgb="FF63C384"/>
      </dataBar>
    </cfRule>
    <cfRule type="dataBar" priority="123">
      <dataBar>
        <cfvo type="min"/>
        <cfvo type="max"/>
        <color theme="1" tint="0.499984740745262"/>
      </dataBar>
    </cfRule>
  </conditionalFormatting>
  <conditionalFormatting sqref="BT5:BT22">
    <cfRule type="dataBar" priority="331">
      <dataBar>
        <cfvo type="min"/>
        <cfvo type="max"/>
        <color theme="5"/>
      </dataBar>
    </cfRule>
  </conditionalFormatting>
  <conditionalFormatting sqref="BT28:BT45">
    <cfRule type="dataBar" priority="131">
      <dataBar>
        <cfvo type="min"/>
        <cfvo type="max"/>
        <color theme="5"/>
      </dataBar>
    </cfRule>
  </conditionalFormatting>
  <conditionalFormatting sqref="BV5:BV22">
    <cfRule type="dataBar" priority="330">
      <dataBar>
        <cfvo type="min"/>
        <cfvo type="max"/>
        <color theme="5"/>
      </dataBar>
    </cfRule>
  </conditionalFormatting>
  <conditionalFormatting sqref="BV28:BV45">
    <cfRule type="dataBar" priority="130">
      <dataBar>
        <cfvo type="min"/>
        <cfvo type="max"/>
        <color theme="5"/>
      </dataBar>
    </cfRule>
  </conditionalFormatting>
  <conditionalFormatting sqref="BX5:BX22">
    <cfRule type="dataBar" priority="329">
      <dataBar>
        <cfvo type="min"/>
        <cfvo type="max"/>
        <color theme="5"/>
      </dataBar>
    </cfRule>
  </conditionalFormatting>
  <conditionalFormatting sqref="BX28:BX45">
    <cfRule type="dataBar" priority="129">
      <dataBar>
        <cfvo type="min"/>
        <cfvo type="max"/>
        <color theme="5"/>
      </dataBar>
    </cfRule>
  </conditionalFormatting>
  <dataValidations count="2">
    <dataValidation sqref="AD1" showDropDown="0" showInputMessage="0" showErrorMessage="1" allowBlank="1" type="list">
      <formula1>"2025, 2024, 2023, 2022, 2021, 2020, 2019, 2018"</formula1>
    </dataValidation>
    <dataValidation sqref="B1 B24" showDropDown="0" showInputMessage="1" showErrorMessage="1" allowBlank="1" type="list">
      <formula1>"2025, 2024, 2023, 2022, 2021"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X36"/>
  <sheetViews>
    <sheetView zoomScale="90" zoomScaleNormal="90" workbookViewId="0">
      <selection activeCell="S14" sqref="S14"/>
    </sheetView>
  </sheetViews>
  <sheetFormatPr baseColWidth="10" defaultRowHeight="16"/>
  <cols>
    <col width="10.83203125" customWidth="1" style="97" min="1" max="1"/>
    <col width="15.83203125" customWidth="1" style="97" min="2" max="21"/>
    <col width="10.83203125" customWidth="1" style="97" min="22" max="16384"/>
  </cols>
  <sheetData>
    <row r="1" ht="33" customHeight="1" thickBot="1">
      <c r="A1" s="103" t="n"/>
      <c r="B1" s="257" t="inlineStr">
        <is>
          <t>St Kilda</t>
        </is>
      </c>
      <c r="F1" s="326" t="inlineStr">
        <is>
          <t>Season</t>
        </is>
      </c>
      <c r="G1" s="189" t="inlineStr">
        <is>
          <t>Rating</t>
        </is>
      </c>
      <c r="H1" s="193" t="inlineStr">
        <is>
          <t xml:space="preserve">60		
		</t>
        </is>
      </c>
      <c r="I1" s="326" t="inlineStr">
        <is>
          <t>Last 10</t>
        </is>
      </c>
      <c r="J1" s="189" t="inlineStr">
        <is>
          <t>Rating</t>
        </is>
      </c>
      <c r="K1" s="202">
        <f>_xlfn.XLOOKUP(TRIM(CLEAN('2025 Team Summary'!B1)), '2025 Ladders'!#REF!, '2025 Ladders'!#REF!, "Not Available")</f>
        <v/>
      </c>
      <c r="L1" s="205" t="inlineStr">
        <is>
          <t>Change</t>
        </is>
      </c>
      <c r="M1" s="204" t="inlineStr">
        <is>
          <t>Rating</t>
        </is>
      </c>
      <c r="N1" s="206">
        <f>_xlfn.LET(
  _xlpm.a, IFERROR(_xlfn.NUMBERVALUE(SUBSTITUTE(K1,CHAR(160),"" )),0),
  _xlpm.b, IFERROR(_xlfn.NUMBERVALUE(SUBSTITUTE(H1,CHAR(160),"" )),0),
  _xlpm.a-_xlpm.b
)</f>
        <v/>
      </c>
      <c r="O1" s="104" t="n"/>
      <c r="P1" s="104" t="n"/>
      <c r="Q1" s="105" t="n"/>
      <c r="R1" s="102" t="n"/>
      <c r="S1" s="102" t="n"/>
      <c r="T1" s="102" t="n"/>
      <c r="U1" s="102" t="n"/>
      <c r="V1" s="102" t="n"/>
      <c r="W1" s="102" t="n"/>
      <c r="X1" s="102" t="n"/>
    </row>
    <row r="2" ht="32" customHeight="1" thickBot="1">
      <c r="A2" s="106" t="n"/>
      <c r="B2" s="189" t="inlineStr">
        <is>
          <t>SEASON</t>
        </is>
      </c>
      <c r="C2" s="189" t="n"/>
      <c r="D2" s="102" t="n"/>
      <c r="E2" s="102" t="n"/>
      <c r="F2" s="327" t="n"/>
      <c r="G2" s="189" t="inlineStr">
        <is>
          <t>Ranking</t>
        </is>
      </c>
      <c r="H2" s="193">
        <f>IFERROR(
  INDEX('2025 Ladders'!N4:N21, MATCH(TRIM(CLEAN('2025 Team Summary'!B1)), '2025 Ladders'!A4:A21, 0))
  &amp; IF(OR(ABS(MOD(INDEX('2025 Ladders'!N4:N21, MATCH(TRIM(CLEAN('2025 Team Summary'!B1)), '2025 Ladders'!A4:A21, 0)),100))=11,
         ABS(MOD(INDEX('2025 Ladders'!N4:N21, MATCH(TRIM(CLEAN('2025 Team Summary'!B1)), '2025 Ladders'!A4:A21, 0)),100))=12,
         ABS(MOD(INDEX('2025 Ladders'!N4:N21, MATCH(TRIM(CLEAN('2025 Team Summary'!B1)), '2025 Ladders'!A4:A21, 0)),100))=13),
     "th",
     CHOOSE(MOD(INDEX('2025 Ladders'!N4:N21, MATCH(TRIM(CLEAN('2025 Team Summary'!B1)), '2025 Ladders'!A4:A21, 0)),10)+1,
        "th","st","nd","rd","th","th","th","th","th","th")
  ),
  "Not Available"
)</f>
        <v/>
      </c>
      <c r="I2" s="327" t="n"/>
      <c r="J2" s="189" t="inlineStr">
        <is>
          <t>Ranking</t>
        </is>
      </c>
      <c r="K2" s="193">
        <f>IFERROR(
  INDEX('2025 Ladders'!#REF!, MATCH(TRIM(CLEAN('2025 Team Summary'!B1)), '2025 Ladders'!#REF!, 0))
  &amp; IF(OR(ABS(MOD(INDEX('2025 Ladders'!#REF!, MATCH(TRIM(CLEAN('2025 Team Summary'!B1)), '2025 Ladders'!#REF!, 0)),100))=11,
         ABS(MOD(INDEX('2025 Ladders'!#REF!, MATCH(TRIM(CLEAN('2025 Team Summary'!B1)), '2025 Ladders'!#REF!, 0)),100))=12,
         ABS(MOD(INDEX('2025 Ladders'!#REF!, MATCH(TRIM(CLEAN('2025 Team Summary'!B1)), '2025 Ladders'!#REF!, 0)),100))=13),
     "th",
     CHOOSE(MOD(INDEX('2025 Ladders'!#REF!, MATCH(TRIM(CLEAN('2025 Team Summary'!B1)), '2025 Ladders'!#REF!, 0)),10)+1,
        "th","st","nd","rd","th","th","th","th","th","th")
  ),
  "Not Available"
)</f>
        <v/>
      </c>
      <c r="L2" s="207" t="n"/>
      <c r="M2" s="259" t="n"/>
      <c r="N2" s="208" t="n"/>
      <c r="O2" s="189" t="n"/>
      <c r="P2" s="189" t="n"/>
      <c r="Q2" s="191" t="n"/>
      <c r="R2" s="102" t="n"/>
      <c r="S2" s="102" t="n"/>
      <c r="T2" s="102" t="n"/>
      <c r="U2" s="102" t="n"/>
      <c r="V2" s="102" t="n"/>
      <c r="W2" s="102" t="n"/>
      <c r="X2" s="102" t="n"/>
    </row>
    <row r="3" ht="26" customFormat="1" customHeight="1" s="98">
      <c r="A3" s="292" t="inlineStr">
        <is>
          <t>Phase</t>
        </is>
      </c>
      <c r="B3" s="311">
        <f>'2025 Summary'!J4</f>
        <v/>
      </c>
      <c r="C3" s="328" t="n"/>
      <c r="D3" s="328" t="n"/>
      <c r="E3" s="329" t="n"/>
      <c r="F3" s="295">
        <f>'2025 Summary'!U4</f>
        <v/>
      </c>
      <c r="G3" s="328" t="n"/>
      <c r="H3" s="328" t="n"/>
      <c r="I3" s="328" t="n"/>
      <c r="J3" s="330">
        <f>'2025 Summary'!AF4</f>
        <v/>
      </c>
      <c r="K3" s="328" t="n"/>
      <c r="L3" s="328" t="n"/>
      <c r="M3" s="331" t="n"/>
      <c r="N3" s="308">
        <f>'2025 Summary'!AQ4</f>
        <v/>
      </c>
      <c r="O3" s="328" t="n"/>
      <c r="P3" s="328" t="n"/>
      <c r="Q3" s="329" t="n"/>
      <c r="R3" s="131" t="n"/>
      <c r="S3" s="131" t="n"/>
      <c r="T3" s="131" t="n"/>
      <c r="U3" s="131" t="n"/>
      <c r="V3" s="131" t="n"/>
      <c r="W3" s="131" t="n"/>
      <c r="X3" s="131" t="n"/>
    </row>
    <row r="4" ht="41" customFormat="1" customHeight="1" s="100" thickBot="1">
      <c r="A4" s="332" t="n"/>
      <c r="B4" s="274">
        <f t="array" ref="B4">_xlfn.LET(_xlpm.team,TRIM($B$1),_xlpm.stat,TRIM($B$3),_xlpm.r,MATCH(_xlpm.team,'2025 Summary'!$A$5:$A$22,0),_xlpm.c,IFERROR(MATCH(_xlpm.stat,'2025 Summary'!$4:$4,0),MATCH("*"&amp;_xlpm.stat&amp;"*",'2025 Summary'!$4:$4,0)),IFERROR(INDEX('2025 Summary'!$A$5:$AAK$22,_xlpm.r,_xlpm.c),""))</f>
        <v/>
      </c>
      <c r="C4" s="327" t="n"/>
      <c r="D4" s="276">
        <f>_xlfn.LET(
  _xlpm.t, TRIM(CLEAN('2025 Team Summary'!B1)),
  _xlpm.r, _xlfn.XLOOKUP(_xlpm.t, '2025 Ladders'!A4:A21, '2025 Ladders'!C4:C21,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E4" s="327" t="n"/>
      <c r="F4" s="277">
        <f t="array" ref="F4">_xlfn.LET(_xlpm.team,TRIM($B$1),_xlpm.stat,TRIM($F$3),_xlpm.r,MATCH(_xlpm.team,'2025 Summary'!$A$5:$A$22,0),_xlpm.c,IFERROR(MATCH(_xlpm.stat,'2025 Summary'!$4:$4,0),MATCH("*"&amp;_xlpm.stat&amp;"*",'2025 Summary'!$4:$4,0)),IFERROR(INDEX('2025 Summary'!$A$5:$AAK$22,_xlpm.r,_xlpm.c),""))</f>
        <v/>
      </c>
      <c r="G4" s="327" t="n"/>
      <c r="H4" s="299">
        <f>_xlfn.LET(_xlpm.t,TRIM(CLEAN('2025 Team Summary'!B1)), _xlpm.r, _xlfn.XLOOKUP(_xlpm.t, '2025 Ladders'!A4:A21, '2025 Ladders'!E4:E21, ""),
 IF(_xlpm.r="","Not Available",
   _xlpm.r &amp; IF(OR(MOD(_xlpm.r,100)=11,MOD(_xlpm.r,100)=12,MOD(_xlpm.r,100)=13),"th",
          CHOOSE(MOD(_xlpm.r,10)+1,"th","st","nd","rd","th","th","th","th","th","th"))))</f>
        <v/>
      </c>
      <c r="I4" s="327" t="n"/>
      <c r="J4" s="300">
        <f t="array" ref="J4">_xlfn.LET(_xlpm.team,TRIM($B$1),_xlpm.stat,TRIM($J$3),_xlpm.r,MATCH(_xlpm.team,'2025 Summary'!$A$5:$A$22,0),_xlpm.c,IFERROR(MATCH(_xlpm.stat,'2025 Summary'!$4:$4,0),MATCH("*"&amp;_xlpm.stat&amp;"*",'2025 Summary'!$4:$4,0)),IFERROR(INDEX('2025 Summary'!$A$5:$AAK$22,_xlpm.r,_xlpm.c),""))</f>
        <v/>
      </c>
      <c r="K4" s="327" t="n"/>
      <c r="L4" s="314">
        <f>_xlfn.LET(_xlpm.t,TRIM(CLEAN('2025 Team Summary'!B1)), _xlpm.r, _xlfn.XLOOKUP(_xlpm.t, '2025 Ladders'!A4:A21, '2025 Ladders'!G4:G21, ""),
 IF(_xlpm.r="","Not Available",
   _xlpm.r &amp; IF(OR(MOD(_xlpm.r,100)=11,MOD(_xlpm.r,100)=12,MOD(_xlpm.r,100)=13),"th",
          CHOOSE(MOD(_xlpm.r,10)+1,"th","st","nd","rd","th","th","th","th","th","th"))))</f>
        <v/>
      </c>
      <c r="M4" s="333" t="n"/>
      <c r="N4" s="303">
        <f t="array" ref="N4">_xlfn.LET(_xlpm.team,TRIM($B$1),_xlpm.stat,TRIM($N$3),_xlpm.r,MATCH(_xlpm.team,'2025 Summary'!$A$5:$A$22,0),_xlpm.c,IFERROR(MATCH(_xlpm.stat,'2025 Summary'!$4:$4,0),MATCH("*"&amp;_xlpm.stat&amp;"*",'2025 Summary'!$4:$4,0)),IFERROR(INDEX('2025 Summary'!$A$5:$AAK$22,_xlpm.r,_xlpm.c),""))</f>
        <v/>
      </c>
      <c r="O4" s="327" t="n"/>
      <c r="P4" s="306">
        <f>_xlfn.LET(_xlpm.t,TRIM(CLEAN('2025 Team Summary'!B1)), _xlpm.r, _xlfn.XLOOKUP(_xlpm.t, '2025 Ladders'!A4:A21, '2025 Ladders'!I4:I21, ""),
 IF(_xlpm.r="","Not Available",
   _xlpm.r &amp; IF(OR(MOD(_xlpm.r,100)=11,MOD(_xlpm.r,100)=12,MOD(_xlpm.r,100)=13),"th",
          CHOOSE(MOD(_xlpm.r,10)+1,"th","st","nd","rd","th","th","th","th","th","th"))))</f>
        <v/>
      </c>
      <c r="Q4" s="333" t="n"/>
      <c r="R4" s="132" t="n"/>
      <c r="S4" s="132" t="n"/>
      <c r="T4" s="132" t="n"/>
      <c r="U4" s="132" t="n"/>
      <c r="V4" s="132" t="n"/>
      <c r="W4" s="132" t="n"/>
      <c r="X4" s="132" t="n"/>
    </row>
    <row r="5" ht="41" customFormat="1" customHeight="1" s="99" thickBot="1">
      <c r="A5" s="107" t="inlineStr">
        <is>
          <t>Stat</t>
        </is>
      </c>
      <c r="B5" s="119">
        <f>'2025 Summary'!B4</f>
        <v/>
      </c>
      <c r="C5" s="120">
        <f>'2025 Summary'!D4</f>
        <v/>
      </c>
      <c r="D5" s="120">
        <f>'2025 Summary'!F4</f>
        <v/>
      </c>
      <c r="E5" s="121">
        <f>'2025 Summary'!H4</f>
        <v/>
      </c>
      <c r="F5" s="155">
        <f>'2025 Summary'!M4</f>
        <v/>
      </c>
      <c r="G5" s="156">
        <f>'2025 Summary'!O4</f>
        <v/>
      </c>
      <c r="H5" s="156">
        <f>'2025 Summary'!Q4</f>
        <v/>
      </c>
      <c r="I5" s="157">
        <f>'2025 Summary'!S4</f>
        <v/>
      </c>
      <c r="J5" s="158">
        <f>'2025 Summary'!X4</f>
        <v/>
      </c>
      <c r="K5" s="159">
        <f>'2025 Summary'!Z4</f>
        <v/>
      </c>
      <c r="L5" s="159">
        <f>'2025 Summary'!AB4</f>
        <v/>
      </c>
      <c r="M5" s="160">
        <f>'2025 Summary'!AD4</f>
        <v/>
      </c>
      <c r="N5" s="163">
        <f>'2025 Summary'!AI4</f>
        <v/>
      </c>
      <c r="O5" s="161">
        <f>'2025 Summary'!AK4</f>
        <v/>
      </c>
      <c r="P5" s="161">
        <f>'2025 Summary'!AM4</f>
        <v/>
      </c>
      <c r="Q5" s="162">
        <f>'2025 Summary'!AO4</f>
        <v/>
      </c>
      <c r="R5" s="133" t="n"/>
      <c r="S5" s="133" t="n"/>
      <c r="T5" s="133" t="n"/>
      <c r="U5" s="133" t="n"/>
      <c r="V5" s="133" t="n"/>
      <c r="W5" s="133" t="n"/>
      <c r="X5" s="133" t="n"/>
    </row>
    <row r="6" ht="31" customHeight="1">
      <c r="A6" s="107" t="inlineStr">
        <is>
          <t>Raw</t>
        </is>
      </c>
      <c r="B6" s="116">
        <f>_xlfn.LET(_xlpm.team,TRIM($B$1),_xlpm.stat,TRIM(B$5),_xlpm.r,MATCH(_xlpm.team,'2025 Summary'!$A$5:$A$22,0),_xlpm.c,MATCH(_xlpm.stat,'2025 Summary'!$4:$4,0),IFERROR(INDEX('2025 Summary'!$A$5:$AAK$22,_xlpm.r,_xlpm.c),""))</f>
        <v/>
      </c>
      <c r="C6" s="117">
        <f>_xlfn.LET(_xlpm.team,TRIM($B$1),_xlpm.stat,TRIM(C$5),_xlpm.r,MATCH(_xlpm.team,'2025 Summary'!$A$5:$A$22,0),_xlpm.c,MATCH(_xlpm.stat,'2025 Summary'!$4:$4,0),IFERROR(INDEX('2025 Summary'!$A$5:$AAK$22,_xlpm.r,_xlpm.c),""))</f>
        <v/>
      </c>
      <c r="D6" s="117">
        <f>_xlfn.LET(_xlpm.team,TRIM($B$1),_xlpm.stat,TRIM(D$5),_xlpm.r,MATCH(_xlpm.team,'2025 Summary'!$A$5:$A$22,0),_xlpm.c,MATCH(_xlpm.stat,'2025 Summary'!$4:$4,0),IFERROR(INDEX('2025 Summary'!$A$5:$AAK$22,_xlpm.r,_xlpm.c),""))</f>
        <v/>
      </c>
      <c r="E6" s="118">
        <f>_xlfn.LET(_xlpm.team,TRIM($B$1),_xlpm.stat,TRIM(E$5),_xlpm.r,MATCH(_xlpm.team,'2025 Summary'!$A$5:$A$22,0),_xlpm.c,MATCH(_xlpm.stat,'2025 Summary'!$4:$4,0),IFERROR(INDEX('2025 Summary'!$A$5:$AAK$22,_xlpm.r,_xlpm.c),""))</f>
        <v/>
      </c>
      <c r="F6" s="116">
        <f>_xlfn.LET(_xlpm.team,TRIM($B$1),_xlpm.stat,TRIM(F$5),_xlpm.r,MATCH(_xlpm.team,'2025 Summary'!$A$5:$A$22,0),_xlpm.c,MATCH(_xlpm.stat,'2025 Summary'!$4:$4,0),IFERROR(INDEX('2025 Summary'!$A$5:$AAK$22,_xlpm.r,_xlpm.c),""))</f>
        <v/>
      </c>
      <c r="G6" s="117">
        <f>_xlfn.LET(_xlpm.team,TRIM($B$1),_xlpm.stat,TRIM(G$5),_xlpm.r,MATCH(_xlpm.team,'2025 Summary'!$A$5:$A$22,0),_xlpm.c,MATCH(_xlpm.stat,'2025 Summary'!$4:$4,0),IFERROR(INDEX('2025 Summary'!$A$5:$AAK$22,_xlpm.r,_xlpm.c),""))</f>
        <v/>
      </c>
      <c r="H6" s="117">
        <f>_xlfn.LET(_xlpm.team,TRIM($B$1),_xlpm.stat,TRIM(H$5),_xlpm.r,MATCH(_xlpm.team,'2025 Summary'!$A$5:$A$22,0),_xlpm.c,MATCH(_xlpm.stat,'2025 Summary'!$4:$4,0),IFERROR(INDEX('2025 Summary'!$A$5:$AAK$22,_xlpm.r,_xlpm.c),""))</f>
        <v/>
      </c>
      <c r="I6" s="118">
        <f>_xlfn.LET(_xlpm.team,TRIM($B$1),_xlpm.stat,TRIM(I$5),_xlpm.r,MATCH(_xlpm.team,'2025 Summary'!$A$5:$A$22,0),_xlpm.c,MATCH(_xlpm.stat,'2025 Summary'!$4:$4,0),IFERROR(INDEX('2025 Summary'!$A$5:$AAK$22,_xlpm.r,_xlpm.c),""))</f>
        <v/>
      </c>
      <c r="J6" s="116">
        <f>_xlfn.LET(_xlpm.team,TRIM($B$1),_xlpm.stat,TRIM(J$5),_xlpm.r,MATCH(_xlpm.team,'2025 Summary'!$A$5:$A$22,0),_xlpm.c,MATCH(_xlpm.stat,'2025 Summary'!$4:$4,0),IFERROR(INDEX('2025 Summary'!$A$5:$AAK$22,_xlpm.r,_xlpm.c),""))</f>
        <v/>
      </c>
      <c r="K6" s="117">
        <f>_xlfn.LET(_xlpm.team,TRIM($B$1),_xlpm.stat,TRIM(K$5),_xlpm.r,MATCH(_xlpm.team,'2025 Summary'!$A$5:$A$22,0),_xlpm.c,MATCH(_xlpm.stat,'2025 Summary'!$4:$4,0),IFERROR(INDEX('2025 Summary'!$A$5:$AAK$22,_xlpm.r,_xlpm.c),""))</f>
        <v/>
      </c>
      <c r="L6" s="117">
        <f>_xlfn.LET(_xlpm.team,TRIM($B$1),_xlpm.stat,TRIM(L$5),_xlpm.r,MATCH(_xlpm.team,'2025 Summary'!$A$5:$A$22,0),_xlpm.c,MATCH(_xlpm.stat,'2025 Summary'!$4:$4,0),IFERROR(INDEX('2025 Summary'!$A$5:$AAK$22,_xlpm.r,_xlpm.c),""))</f>
        <v/>
      </c>
      <c r="M6" s="118">
        <f>_xlfn.LET(_xlpm.team,TRIM($B$1),_xlpm.stat,TRIM(M$5),_xlpm.r,MATCH(_xlpm.team,'2025 Summary'!$A$5:$A$22,0),_xlpm.c,MATCH(_xlpm.stat,'2025 Summary'!$4:$4,0),IFERROR(INDEX('2025 Summary'!$A$5:$AAK$22,_xlpm.r,_xlpm.c),""))</f>
        <v/>
      </c>
      <c r="N6" s="116">
        <f>_xlfn.LET(_xlpm.team,TRIM($B$1),_xlpm.stat,TRIM(N$5),_xlpm.r,MATCH(_xlpm.team,'2025 Summary'!$A$5:$A$22,0),_xlpm.c,MATCH(_xlpm.stat,'2025 Summary'!$4:$4,0),IFERROR(INDEX('2025 Summary'!$A$5:$AAK$22,_xlpm.r,_xlpm.c),""))</f>
        <v/>
      </c>
      <c r="O6" s="117">
        <f>_xlfn.LET(_xlpm.team,TRIM($B$1),_xlpm.stat,TRIM(O$5),_xlpm.r,MATCH(_xlpm.team,'2025 Summary'!$A$5:$A$22,0),_xlpm.c,MATCH(_xlpm.stat,'2025 Summary'!$4:$4,0),IFERROR(INDEX('2025 Summary'!$A$5:$AAK$22,_xlpm.r,_xlpm.c),""))</f>
        <v/>
      </c>
      <c r="P6" s="117">
        <f>_xlfn.LET(_xlpm.team,TRIM($B$1),_xlpm.stat,TRIM(P$5),_xlpm.r,MATCH(_xlpm.team,'2025 Summary'!$A$5:$A$22,0),_xlpm.c,MATCH(_xlpm.stat,'2025 Summary'!$4:$4,0),IFERROR(INDEX('2025 Summary'!$A$5:$AAK$22,_xlpm.r,_xlpm.c),""))</f>
        <v/>
      </c>
      <c r="Q6" s="118">
        <f>_xlfn.LET(_xlpm.team,TRIM($B$1),_xlpm.stat,TRIM(Q$5),_xlpm.r,MATCH(_xlpm.team,'2025 Summary'!$A$5:$A$22,0),_xlpm.c,MATCH(_xlpm.stat,'2025 Summary'!$4:$4,0),IFERROR(INDEX('2025 Summary'!$A$5:$AAK$22,_xlpm.r,_xlpm.c),""))</f>
        <v/>
      </c>
      <c r="R6" s="102" t="n"/>
      <c r="S6" s="102" t="n"/>
      <c r="T6" s="102" t="n"/>
      <c r="U6" s="102" t="n"/>
      <c r="V6" s="102" t="n"/>
      <c r="W6" s="102" t="n"/>
      <c r="X6" s="102" t="n"/>
    </row>
    <row r="7" ht="31" customHeight="1" thickBot="1">
      <c r="A7" s="109" t="inlineStr">
        <is>
          <t>Rank</t>
        </is>
      </c>
      <c r="B7" s="115">
        <f t="array" ref="B7">_xlfn.LET(_xlpm.team,TRIM($B$1),_xlpm.stat,TRIM(B$5),_xlpm.r,MATCH(_xlpm.team,'2025 Summary'!$A$5:$A$22,0),_xlpm.c,MATCH(_xlpm.stat,'2025 Summary'!$4:$4,0),IFERROR(INDEX('2025 Summary'!$A$5:$AAK$22,_xlpm.r,_xlpm.c+1),""))</f>
        <v/>
      </c>
      <c r="C7" s="110">
        <f t="array" ref="C7">_xlfn.LET(_xlpm.team,TRIM($B$1),_xlpm.stat,TRIM(C$5),_xlpm.r,MATCH(_xlpm.team,'2025 Summary'!$A$5:$A$22,0),_xlpm.c,MATCH(_xlpm.stat,'2025 Summary'!$4:$4,0),IFERROR(INDEX('2025 Summary'!$A$5:$AAK$22,_xlpm.r,_xlpm.c+1),""))</f>
        <v/>
      </c>
      <c r="D7" s="110">
        <f t="array" ref="D7">_xlfn.LET(_xlpm.team,TRIM($B$1),_xlpm.stat,TRIM(D$5),_xlpm.r,MATCH(_xlpm.team,'2025 Summary'!$A$5:$A$22,0),_xlpm.c,MATCH(_xlpm.stat,'2025 Summary'!$4:$4,0),IFERROR(INDEX('2025 Summary'!$A$5:$AAK$22,_xlpm.r,_xlpm.c+1),""))</f>
        <v/>
      </c>
      <c r="E7" s="111">
        <f t="array" ref="E7">_xlfn.LET(_xlpm.team,TRIM($B$1),_xlpm.stat,TRIM(E$5),_xlpm.r,MATCH(_xlpm.team,'2025 Summary'!$A$5:$A$22,0),_xlpm.c,MATCH(_xlpm.stat,'2025 Summary'!$4:$4,0),IFERROR(INDEX('2025 Summary'!$A$5:$AAK$22,_xlpm.r,_xlpm.c+1),""))</f>
        <v/>
      </c>
      <c r="F7" s="115">
        <f t="array" ref="F7">_xlfn.LET(_xlpm.team,TRIM($B$1),_xlpm.stat,TRIM(F$5),_xlpm.r,MATCH(_xlpm.team,'2025 Summary'!$A$5:$A$22,0),_xlpm.c,MATCH(_xlpm.stat,'2025 Summary'!$4:$4,0),IFERROR(INDEX('2025 Summary'!$A$5:$AAK$22,_xlpm.r,_xlpm.c+1),""))</f>
        <v/>
      </c>
      <c r="G7" s="110">
        <f t="array" ref="G7">_xlfn.LET(_xlpm.team,TRIM($B$1),_xlpm.stat,TRIM(G$5),_xlpm.r,MATCH(_xlpm.team,'2025 Summary'!$A$5:$A$22,0),_xlpm.c,MATCH(_xlpm.stat,'2025 Summary'!$4:$4,0),IFERROR(INDEX('2025 Summary'!$A$5:$AAK$22,_xlpm.r,_xlpm.c+1),""))</f>
        <v/>
      </c>
      <c r="H7" s="110">
        <f t="array" ref="H7">_xlfn.LET(_xlpm.team,TRIM($B$1),_xlpm.stat,TRIM(H$5),_xlpm.r,MATCH(_xlpm.team,'2025 Summary'!$A$5:$A$22,0),_xlpm.c,MATCH(_xlpm.stat,'2025 Summary'!$4:$4,0),IFERROR(INDEX('2025 Summary'!$A$5:$AAK$22,_xlpm.r,_xlpm.c+1),""))</f>
        <v/>
      </c>
      <c r="I7" s="111">
        <f t="array" ref="I7">_xlfn.LET(_xlpm.team,TRIM($B$1),_xlpm.stat,TRIM(I$5),_xlpm.r,MATCH(_xlpm.team,'2025 Summary'!$A$5:$A$22,0),_xlpm.c,MATCH(_xlpm.stat,'2025 Summary'!$4:$4,0),IFERROR(INDEX('2025 Summary'!$A$5:$AAK$22,_xlpm.r,_xlpm.c+1),""))</f>
        <v/>
      </c>
      <c r="J7" s="115">
        <f t="array" ref="J7">_xlfn.LET(_xlpm.team,TRIM($B$1),_xlpm.stat,TRIM(J$5),_xlpm.r,MATCH(_xlpm.team,'2025 Summary'!$A$5:$A$22,0),_xlpm.c,MATCH(_xlpm.stat,'2025 Summary'!$4:$4,0),IFERROR(INDEX('2025 Summary'!$A$5:$AAK$22,_xlpm.r,_xlpm.c+1),""))</f>
        <v/>
      </c>
      <c r="K7" s="110">
        <f t="array" ref="K7">_xlfn.LET(_xlpm.team,TRIM($B$1),_xlpm.stat,TRIM(K$5),_xlpm.r,MATCH(_xlpm.team,'2025 Summary'!$A$5:$A$22,0),_xlpm.c,MATCH(_xlpm.stat,'2025 Summary'!$4:$4,0),IFERROR(INDEX('2025 Summary'!$A$5:$AAK$22,_xlpm.r,_xlpm.c+1),""))</f>
        <v/>
      </c>
      <c r="L7" s="110">
        <f t="array" ref="L7">_xlfn.LET(_xlpm.team,TRIM($B$1),_xlpm.stat,TRIM(L$5),_xlpm.r,MATCH(_xlpm.team,'2025 Summary'!$A$5:$A$22,0),_xlpm.c,MATCH(_xlpm.stat,'2025 Summary'!$4:$4,0),IFERROR(INDEX('2025 Summary'!$A$5:$AAK$22,_xlpm.r,_xlpm.c+1),""))</f>
        <v/>
      </c>
      <c r="M7" s="111">
        <f t="array" ref="M7">_xlfn.LET(_xlpm.team,TRIM($B$1),_xlpm.stat,TRIM(M$5),_xlpm.r,MATCH(_xlpm.team,'2025 Summary'!$A$5:$A$22,0),_xlpm.c,MATCH(_xlpm.stat,'2025 Summary'!$4:$4,0),IFERROR(INDEX('2025 Summary'!$A$5:$AAK$22,_xlpm.r,_xlpm.c+1),""))</f>
        <v/>
      </c>
      <c r="N7" s="115">
        <f t="array" ref="N7">_xlfn.LET(_xlpm.team,TRIM($B$1),_xlpm.stat,TRIM(N$5),_xlpm.r,MATCH(_xlpm.team,'2025 Summary'!$A$5:$A$22,0),_xlpm.c,MATCH(_xlpm.stat,'2025 Summary'!$4:$4,0),IFERROR(INDEX('2025 Summary'!$A$5:$AAK$22,_xlpm.r,_xlpm.c+1),""))</f>
        <v/>
      </c>
      <c r="O7" s="110">
        <f t="array" ref="O7">_xlfn.LET(_xlpm.team,TRIM($B$1),_xlpm.stat,TRIM(O$5),_xlpm.r,MATCH(_xlpm.team,'2025 Summary'!$A$5:$A$22,0),_xlpm.c,MATCH(_xlpm.stat,'2025 Summary'!$4:$4,0),IFERROR(INDEX('2025 Summary'!$A$5:$AAK$22,_xlpm.r,_xlpm.c+1),""))</f>
        <v/>
      </c>
      <c r="P7" s="110">
        <f t="array" ref="P7">_xlfn.LET(_xlpm.team,TRIM($B$1),_xlpm.stat,TRIM(P$5),_xlpm.r,MATCH(_xlpm.team,'2025 Summary'!$A$5:$A$22,0),_xlpm.c,MATCH(_xlpm.stat,'2025 Summary'!$4:$4,0),IFERROR(INDEX('2025 Summary'!$A$5:$AAK$22,_xlpm.r,_xlpm.c+1),""))</f>
        <v/>
      </c>
      <c r="Q7" s="111">
        <f t="array" ref="Q7">_xlfn.LET(_xlpm.team,TRIM($B$1),_xlpm.stat,TRIM(Q$5),_xlpm.r,MATCH(_xlpm.team,'2025 Summary'!$A$5:$A$22,0),_xlpm.c,MATCH(_xlpm.stat,'2025 Summary'!$4:$4,0),IFERROR(INDEX('2025 Summary'!$A$5:$AAK$22,_xlpm.r,_xlpm.c+1),""))</f>
        <v/>
      </c>
      <c r="R7" s="102" t="n"/>
      <c r="S7" s="102" t="n"/>
      <c r="T7" s="102" t="n"/>
      <c r="U7" s="102" t="n"/>
      <c r="V7" s="102" t="n"/>
      <c r="W7" s="102" t="n"/>
      <c r="X7" s="102" t="n"/>
    </row>
    <row r="8" ht="26" customHeight="1">
      <c r="A8" s="288" t="n"/>
      <c r="B8" s="334">
        <f>'2025 Summary'!BB4</f>
        <v/>
      </c>
      <c r="C8" s="328" t="n"/>
      <c r="D8" s="328" t="n"/>
      <c r="E8" s="331" t="n"/>
      <c r="F8" s="335">
        <f>'2025 Summary'!BQ4</f>
        <v/>
      </c>
      <c r="G8" s="328" t="n"/>
      <c r="H8" s="328" t="n"/>
      <c r="I8" s="328" t="n"/>
      <c r="J8" s="328" t="n"/>
      <c r="K8" s="331" t="n"/>
      <c r="L8" s="336" t="inlineStr">
        <is>
          <t>Wheelo Rating</t>
        </is>
      </c>
      <c r="M8" s="328" t="n"/>
      <c r="N8" s="331" t="n"/>
      <c r="O8" s="102" t="n"/>
      <c r="P8" s="102" t="n"/>
      <c r="Q8" s="102" t="n"/>
      <c r="R8" s="102" t="n"/>
      <c r="S8" s="102" t="n"/>
      <c r="T8" s="102" t="n"/>
      <c r="U8" s="102" t="n"/>
      <c r="V8" s="102" t="n"/>
      <c r="W8" s="102" t="n"/>
      <c r="X8" s="102" t="n"/>
    </row>
    <row r="9" ht="42" customHeight="1" thickBot="1">
      <c r="A9" s="332" t="n"/>
      <c r="B9" s="263">
        <f t="array" ref="B9">_xlfn.LET(_xlpm.team,TRIM($B$1),_xlpm.stat,TRIM($B$8),_xlpm.r,MATCH(_xlpm.team,'2025 Summary'!$A$5:$A$22,0),_xlpm.c,IFERROR(MATCH(_xlpm.stat,'2025 Summary'!$4:$4,0),MATCH("*"&amp;_xlpm.stat&amp;"*",'2025 Summary'!$4:$4,0)),IFERROR(INDEX('2025 Summary'!$A$5:$AAK$22,_xlpm.r,_xlpm.c),""))</f>
        <v/>
      </c>
      <c r="C9" s="327" t="n"/>
      <c r="D9" s="266">
        <f>_xlfn.LET(_xlpm.t,TRIM(CLEAN('2025 Team Summary'!B1)), _xlpm.r, _xlfn.XLOOKUP(_xlpm.t, '2025 Ladders'!A4:A21, '2025 Ladders'!K4:K21, ""),
 IF(_xlpm.r="","Not Available",
   _xlpm.r &amp; IF(OR(MOD(_xlpm.r,100)=11,MOD(_xlpm.r,100)=12,MOD(_xlpm.r,100)=13),"th",
          CHOOSE(MOD(_xlpm.r,10)+1,"th","st","nd","rd","th","th","th","th","th","th"))))</f>
        <v/>
      </c>
      <c r="E9" s="333" t="n"/>
      <c r="F9" s="270">
        <f t="array" ref="F9">_xlfn.LET(_xlpm.team,TRIM($B$1),_xlpm.stat,TRIM($F$8),_xlpm.r,MATCH(_xlpm.team,'2025 Summary'!$A$5:$A$22,0),_xlpm.c,IFERROR(MATCH(_xlpm.stat,'2025 Summary'!$4:$4,0),MATCH("*"&amp;_xlpm.stat&amp;"*",'2025 Summary'!$4:$4,0)),IFERROR(INDEX('2025 Summary'!$A$5:$AAK$22,_xlpm.r,_xlpm.c),""))</f>
        <v/>
      </c>
      <c r="G9" s="337" t="n"/>
      <c r="H9" s="337" t="n"/>
      <c r="I9" s="195">
        <f>_xlfn.LET(
  _xlpm.t, TRIM(CLEAN('2025 Team Summary'!B1)),
  _xlpm.r, _xlfn.XLOOKUP(_xlpm.t, '2025 Summary'!A5:A22, '2025 Summary'!BR5:BR22, ""),
  IF(_xlpm.r="","Not Available",
     _xlpm.r &amp; IF(OR(MOD(_xlpm.r,100)=11, MOD(_xlpm.r,100)=12, MOD(_xlpm.r,100)=13),
            "th",
            CHOOSE(MOD(_xlpm.r,10)+1,"th","st","nd","rd","th","th","th","th","th","th")
     )
  )
)</f>
        <v/>
      </c>
      <c r="J9" s="195" t="n"/>
      <c r="K9" s="196" t="n"/>
      <c r="L9" s="325" t="n"/>
      <c r="M9" s="337" t="n"/>
      <c r="N9" s="338" t="n"/>
      <c r="O9" s="190" t="n"/>
      <c r="P9" s="190" t="n"/>
      <c r="Q9" s="190" t="n"/>
      <c r="R9" s="102" t="n"/>
      <c r="S9" s="102" t="n"/>
      <c r="T9" s="102" t="n"/>
      <c r="U9" s="102" t="n"/>
      <c r="V9" s="102" t="n"/>
      <c r="W9" s="102" t="n"/>
      <c r="X9" s="102" t="n"/>
    </row>
    <row r="10" ht="42" customHeight="1" thickBot="1">
      <c r="A10" s="107" t="inlineStr">
        <is>
          <t>Stat</t>
        </is>
      </c>
      <c r="B10" s="198">
        <f>'2025 Summary'!AT4</f>
        <v/>
      </c>
      <c r="C10" s="199">
        <f>'2025 Summary'!AV4</f>
        <v/>
      </c>
      <c r="D10" s="199">
        <f>'2025 Summary'!AX4</f>
        <v/>
      </c>
      <c r="E10" s="200">
        <f>'2025 Summary'!AZ4</f>
        <v/>
      </c>
      <c r="F10" s="141">
        <f>'2025 Summary'!BE4</f>
        <v/>
      </c>
      <c r="G10" s="140">
        <f>'2025 Summary'!BG4</f>
        <v/>
      </c>
      <c r="H10" s="140">
        <f>'2025 Summary'!BI4</f>
        <v/>
      </c>
      <c r="I10" s="140">
        <f>'2025 Summary'!BK4</f>
        <v/>
      </c>
      <c r="J10" s="140">
        <f>'2025 Summary'!BM4</f>
        <v/>
      </c>
      <c r="K10" s="142">
        <f>'2025 Summary'!BO4</f>
        <v/>
      </c>
      <c r="L10" s="153">
        <f>'2025 Summary'!BT4</f>
        <v/>
      </c>
      <c r="M10" s="148">
        <f>'2025 Summary'!BV4</f>
        <v/>
      </c>
      <c r="N10" s="149">
        <f>'2025 Summary'!BX4</f>
        <v/>
      </c>
      <c r="O10" s="194" t="n"/>
      <c r="P10" s="194" t="n"/>
      <c r="Q10" s="194" t="n"/>
      <c r="R10" s="102" t="n"/>
      <c r="S10" s="102" t="n"/>
      <c r="T10" s="102" t="n"/>
      <c r="U10" s="102" t="n"/>
      <c r="V10" s="102" t="n"/>
      <c r="W10" s="102" t="n"/>
      <c r="X10" s="102" t="n"/>
    </row>
    <row r="11" ht="30" customHeight="1">
      <c r="A11" s="107" t="inlineStr">
        <is>
          <t>Raw</t>
        </is>
      </c>
      <c r="B11" s="116">
        <f>_xlfn.LET(_xlpm.team,TRIM($B$1),_xlpm.stat,TRIM(B$10),_xlpm.r,MATCH(_xlpm.team,'2025 Summary'!$A$5:$A$22,0),_xlpm.c,MATCH(_xlpm.stat,'2025 Summary'!$4:$4,0),IFERROR(INDEX('2025 Summary'!$A$5:$AAK$22,_xlpm.r,_xlpm.c),""))</f>
        <v/>
      </c>
      <c r="C11" s="117">
        <f>_xlfn.LET(_xlpm.team,TRIM($B$1),_xlpm.stat,TRIM(C$10),_xlpm.r,MATCH(_xlpm.team,'2025 Summary'!$A$5:$A$22,0),_xlpm.c,MATCH(_xlpm.stat,'2025 Summary'!$4:$4,0),IFERROR(INDEX('2025 Summary'!$A$5:$AAK$22,_xlpm.r,_xlpm.c),""))</f>
        <v/>
      </c>
      <c r="D11" s="117">
        <f>_xlfn.LET(_xlpm.team,TRIM($B$1),_xlpm.stat,TRIM(D$10),_xlpm.r,MATCH(_xlpm.team,'2025 Summary'!$A$5:$A$22,0),_xlpm.c,MATCH(_xlpm.stat,'2025 Summary'!$4:$4,0),IFERROR(INDEX('2025 Summary'!$A$5:$AAK$22,_xlpm.r,_xlpm.c),""))</f>
        <v/>
      </c>
      <c r="E11" s="118">
        <f>_xlfn.LET(_xlpm.team,TRIM($B$1),_xlpm.stat,TRIM(E$10),_xlpm.r,MATCH(_xlpm.team,'2025 Summary'!$A$5:$A$22,0),_xlpm.c,MATCH(_xlpm.stat,'2025 Summary'!$4:$4,0),IFERROR(INDEX('2025 Summary'!$A$5:$AAK$22,_xlpm.r,_xlpm.c),""))</f>
        <v/>
      </c>
      <c r="F11" s="114">
        <f>_xlfn.LET(_xlpm.team,TRIM($B$1),_xlpm.stat,TRIM(F$10),_xlpm.r,MATCH(_xlpm.team,'2025 Summary'!$A$5:$A$22,0),_xlpm.c,MATCH(_xlpm.stat,'2025 Summary'!$4:$4,0),IFERROR(INDEX('2025 Summary'!$A$5:$AAK$22,_xlpm.r,_xlpm.c),""))</f>
        <v/>
      </c>
      <c r="G11" s="101">
        <f>_xlfn.LET(_xlpm.team,TRIM($B$1),_xlpm.stat,TRIM(G$10),_xlpm.r,MATCH(_xlpm.team,'2025 Summary'!$A$5:$A$22,0),_xlpm.c,MATCH(_xlpm.stat,'2025 Summary'!$4:$4,0),IFERROR(INDEX('2025 Summary'!$A$5:$AAK$22,_xlpm.r,_xlpm.c),""))</f>
        <v/>
      </c>
      <c r="H11" s="101">
        <f>_xlfn.LET(_xlpm.team,TRIM($B$1),_xlpm.stat,TRIM(H$10),_xlpm.r,MATCH(_xlpm.team,'2025 Summary'!$A$5:$A$22,0),_xlpm.c,MATCH(_xlpm.stat,'2025 Summary'!$4:$4,0),IFERROR(INDEX('2025 Summary'!$A$5:$AAK$22,_xlpm.r,_xlpm.c),""))</f>
        <v/>
      </c>
      <c r="I11" s="101">
        <f>_xlfn.LET(_xlpm.team,TRIM($B$1),_xlpm.stat,TRIM(I$10),_xlpm.r,MATCH(_xlpm.team,'2025 Summary'!$A$5:$A$22,0),_xlpm.c,MATCH(_xlpm.stat,'2025 Summary'!$4:$4,0),IFERROR(INDEX('2025 Summary'!$A$5:$AAK$22,_xlpm.r,_xlpm.c),""))</f>
        <v/>
      </c>
      <c r="J11" s="101">
        <f>_xlfn.LET(_xlpm.team,TRIM($B$1),_xlpm.stat,TRIM(J$10),_xlpm.r,MATCH(_xlpm.team,'2025 Summary'!$A$5:$A$22,0),_xlpm.c,MATCH(_xlpm.stat,'2025 Summary'!$4:$4,0),IFERROR(INDEX('2025 Summary'!$A$5:$AAK$22,_xlpm.r,_xlpm.c),""))</f>
        <v/>
      </c>
      <c r="K11" s="108">
        <f>_xlfn.LET(_xlpm.team,TRIM($B$1),_xlpm.stat,TRIM(K$10),_xlpm.r,MATCH(_xlpm.team,'2025 Summary'!$A$5:$A$22,0),_xlpm.c,MATCH(_xlpm.stat,'2025 Summary'!$4:$4,0),IFERROR(INDEX('2025 Summary'!$A$5:$AAK$22,_xlpm.r,_xlpm.c),""))</f>
        <v/>
      </c>
      <c r="L11" s="112">
        <f>_xlfn.LET(_xlpm.team,TRIM($B$1),_xlpm.stat,TRIM(L$10),_xlpm.r,MATCH(_xlpm.team,'2025 Summary'!$A$5:$A$22,0),_xlpm.c,MATCH(_xlpm.stat,'2025 Summary'!$4:$4,0),IFERROR(INDEX('2025 Summary'!$A$5:$AAK$22,_xlpm.r,_xlpm.c),""))</f>
        <v/>
      </c>
      <c r="M11" s="101">
        <f>_xlfn.LET(_xlpm.team,TRIM($B$1),_xlpm.stat,TRIM(M$10),_xlpm.r,MATCH(_xlpm.team,'2025 Summary'!$A$5:$A$22,0),_xlpm.c,MATCH(_xlpm.stat,'2025 Summary'!$4:$4,0),IFERROR(INDEX('2025 Summary'!$A$5:$AAK$22,_xlpm.r,_xlpm.c),""))</f>
        <v/>
      </c>
      <c r="N11" s="108">
        <f>_xlfn.LET(_xlpm.team,TRIM($B$1),_xlpm.stat,TRIM(N$10),_xlpm.r,MATCH(_xlpm.team,'2025 Summary'!$A$5:$A$22,0),_xlpm.c,MATCH(_xlpm.stat,'2025 Summary'!$4:$4,0),IFERROR(INDEX('2025 Summary'!$A$5:$AAK$22,_xlpm.r,_xlpm.c),""))</f>
        <v/>
      </c>
      <c r="O11" s="194" t="n"/>
      <c r="P11" s="194" t="n"/>
      <c r="Q11" s="194" t="n"/>
      <c r="R11" s="102" t="n"/>
      <c r="S11" s="102" t="n"/>
      <c r="T11" s="102" t="n"/>
      <c r="U11" s="102" t="n"/>
      <c r="V11" s="102" t="n"/>
      <c r="W11" s="102" t="n"/>
      <c r="X11" s="102" t="n"/>
    </row>
    <row r="12" ht="30" customHeight="1" thickBot="1">
      <c r="A12" s="109" t="inlineStr">
        <is>
          <t>Rank</t>
        </is>
      </c>
      <c r="B12" s="115">
        <f t="array" ref="B12">_xlfn.LET(_xlpm.team,TRIM($B$1),_xlpm.stat,TRIM(B$10),_xlpm.r,MATCH(_xlpm.team,'2025 Summary'!$A$5:$A$22,0),_xlpm.c,MATCH(_xlpm.stat,'2025 Summary'!$4:$4,0),IFERROR(INDEX('2025 Summary'!$A$5:$AAK$22,_xlpm.r,_xlpm.c+1),""))</f>
        <v/>
      </c>
      <c r="C12" s="110">
        <f t="array" ref="C12">_xlfn.LET(_xlpm.team,TRIM($B$1),_xlpm.stat,TRIM(C$10),_xlpm.r,MATCH(_xlpm.team,'2025 Summary'!$A$5:$A$22,0),_xlpm.c,MATCH(_xlpm.stat,'2025 Summary'!$4:$4,0),IFERROR(INDEX('2025 Summary'!$A$5:$AAK$22,_xlpm.r,_xlpm.c+1),""))</f>
        <v/>
      </c>
      <c r="D12" s="110">
        <f t="array" ref="D12">_xlfn.LET(_xlpm.team,TRIM($B$1),_xlpm.stat,TRIM(D$10),_xlpm.r,MATCH(_xlpm.team,'2025 Summary'!$A$5:$A$22,0),_xlpm.c,MATCH(_xlpm.stat,'2025 Summary'!$4:$4,0),IFERROR(INDEX('2025 Summary'!$A$5:$AAK$22,_xlpm.r,_xlpm.c+1),""))</f>
        <v/>
      </c>
      <c r="E12" s="111">
        <f t="array" ref="E12">_xlfn.LET(_xlpm.team,TRIM($B$1),_xlpm.stat,TRIM(E$10),_xlpm.r,MATCH(_xlpm.team,'2025 Summary'!$A$5:$A$22,0),_xlpm.c,MATCH(_xlpm.stat,'2025 Summary'!$4:$4,0),IFERROR(INDEX('2025 Summary'!$A$5:$AAK$22,_xlpm.r,_xlpm.c+1),""))</f>
        <v/>
      </c>
      <c r="F12" s="115">
        <f t="array" ref="F12">_xlfn.LET(_xlpm.team,TRIM($B$1),_xlpm.stat,TRIM(F$10),_xlpm.r,MATCH(_xlpm.team,'2025 Summary'!$A$5:$A$22,0),_xlpm.c,MATCH(_xlpm.stat,'2025 Summary'!$4:$4,0),IFERROR(INDEX('2025 Summary'!$A$5:$AAK$22,_xlpm.r,_xlpm.c+1),""))</f>
        <v/>
      </c>
      <c r="G12" s="110">
        <f t="array" ref="G12">_xlfn.LET(_xlpm.team,TRIM($B$1),_xlpm.stat,TRIM(G$10),_xlpm.r,MATCH(_xlpm.team,'2025 Summary'!$A$5:$A$22,0),_xlpm.c,MATCH(_xlpm.stat,'2025 Summary'!$4:$4,0),IFERROR(INDEX('2025 Summary'!$A$5:$AAK$22,_xlpm.r,_xlpm.c+1),""))</f>
        <v/>
      </c>
      <c r="H12" s="110">
        <f t="array" ref="H12">_xlfn.LET(_xlpm.team,TRIM($B$1),_xlpm.stat,TRIM(H$10),_xlpm.r,MATCH(_xlpm.team,'2025 Summary'!$A$5:$A$22,0),_xlpm.c,MATCH(_xlpm.stat,'2025 Summary'!$4:$4,0),IFERROR(INDEX('2025 Summary'!$A$5:$AAK$22,_xlpm.r,_xlpm.c+1),""))</f>
        <v/>
      </c>
      <c r="I12" s="110">
        <f t="array" ref="I12">_xlfn.LET(_xlpm.team,TRIM($B$1),_xlpm.stat,TRIM(I$10),_xlpm.r,MATCH(_xlpm.team,'2025 Summary'!$A$5:$A$22,0),_xlpm.c,MATCH(_xlpm.stat,'2025 Summary'!$4:$4,0),IFERROR(INDEX('2025 Summary'!$A$5:$AAK$22,_xlpm.r,_xlpm.c+1),""))</f>
        <v/>
      </c>
      <c r="J12" s="110">
        <f t="array" ref="J12">_xlfn.LET(_xlpm.team,TRIM($B$1),_xlpm.stat,TRIM(J$10),_xlpm.r,MATCH(_xlpm.team,'2025 Summary'!$A$5:$A$22,0),_xlpm.c,MATCH(_xlpm.stat,'2025 Summary'!$4:$4,0),IFERROR(INDEX('2025 Summary'!$A$5:$AAK$22,_xlpm.r,_xlpm.c+1),""))</f>
        <v/>
      </c>
      <c r="K12" s="111">
        <f t="array" ref="K12">_xlfn.LET(_xlpm.team,TRIM($B$1),_xlpm.stat,TRIM(K$10),_xlpm.r,MATCH(_xlpm.team,'2025 Summary'!$A$5:$A$22,0),_xlpm.c,MATCH(_xlpm.stat,'2025 Summary'!$4:$4,0),IFERROR(INDEX('2025 Summary'!$A$5:$AAK$22,_xlpm.r,_xlpm.c+1),""))</f>
        <v/>
      </c>
      <c r="L12" s="113">
        <f t="array" ref="L12">_xlfn.LET(_xlpm.team,TRIM($B$1),_xlpm.stat,TRIM(L$10),_xlpm.r,MATCH(_xlpm.team,'2025 Summary'!$A$5:$A$22,0),_xlpm.c,MATCH(_xlpm.stat,'2025 Summary'!$4:$4,0),IFERROR(INDEX('2025 Summary'!$A$5:$AAK$22,_xlpm.r,_xlpm.c+1),""))</f>
        <v/>
      </c>
      <c r="M12" s="110">
        <f t="array" ref="M12">_xlfn.LET(_xlpm.team,TRIM($B$1),_xlpm.stat,TRIM(M$10),_xlpm.r,MATCH(_xlpm.team,'2025 Summary'!$A$5:$A$22,0),_xlpm.c,MATCH(_xlpm.stat,'2025 Summary'!$4:$4,0),IFERROR(INDEX('2025 Summary'!$A$5:$AAK$22,_xlpm.r,_xlpm.c+1),""))</f>
        <v/>
      </c>
      <c r="N12" s="111">
        <f t="array" ref="N12">_xlfn.LET(_xlpm.team,TRIM($B$1),_xlpm.stat,TRIM(N$10),_xlpm.r,MATCH(_xlpm.team,'2025 Summary'!$A$5:$A$22,0),_xlpm.c,MATCH(_xlpm.stat,'2025 Summary'!$4:$4,0),IFERROR(INDEX('2025 Summary'!$A$5:$AAK$22,_xlpm.r,_xlpm.c+1),""))</f>
        <v/>
      </c>
      <c r="O12" s="102" t="n"/>
      <c r="P12" s="102" t="n"/>
      <c r="Q12" s="102" t="n"/>
      <c r="R12" s="102" t="n"/>
      <c r="S12" s="102" t="n"/>
      <c r="T12" s="102" t="n"/>
      <c r="U12" s="102" t="n"/>
      <c r="V12" s="102" t="n"/>
      <c r="W12" s="102" t="n"/>
      <c r="X12" s="102" t="n"/>
    </row>
    <row r="13" ht="46" customHeight="1">
      <c r="A13" s="134" t="n"/>
      <c r="B13" s="217" t="n"/>
      <c r="C13" s="217" t="n"/>
      <c r="D13" s="217" t="n"/>
      <c r="E13" s="217" t="n"/>
      <c r="F13" s="217" t="n"/>
      <c r="G13" s="217" t="n"/>
      <c r="H13" s="217" t="n"/>
      <c r="I13" s="217" t="n"/>
      <c r="J13" s="217" t="n"/>
      <c r="K13" s="217" t="n"/>
      <c r="L13" s="217" t="n"/>
      <c r="M13" s="217" t="n"/>
      <c r="N13" s="217" t="n"/>
      <c r="O13" s="102" t="n"/>
      <c r="P13" s="102" t="n"/>
      <c r="Q13" s="102" t="n"/>
      <c r="R13" s="102" t="n"/>
      <c r="S13" s="102" t="n"/>
      <c r="T13" s="102" t="n"/>
      <c r="U13" s="102" t="n"/>
      <c r="V13" s="102" t="n"/>
      <c r="W13" s="102" t="n"/>
      <c r="X13" s="102" t="n"/>
    </row>
    <row r="14" ht="29" customHeight="1" thickBot="1">
      <c r="A14" s="134" t="n"/>
      <c r="B14" s="190" t="inlineStr">
        <is>
          <t>LAST 10 GAMES</t>
        </is>
      </c>
      <c r="C14" s="190" t="n"/>
      <c r="D14" s="190" t="n"/>
      <c r="E14" s="190" t="n"/>
      <c r="F14" s="190" t="n"/>
      <c r="G14" s="190" t="n"/>
      <c r="H14" s="190" t="n"/>
      <c r="I14" s="190" t="n"/>
      <c r="J14" s="190" t="n"/>
      <c r="K14" s="190" t="n"/>
      <c r="L14" s="190" t="n"/>
      <c r="M14" s="190" t="n"/>
      <c r="N14" s="190" t="n"/>
      <c r="O14" s="190" t="n"/>
      <c r="P14" s="190" t="n"/>
      <c r="Q14" s="190" t="n"/>
      <c r="R14" s="102" t="n"/>
      <c r="S14" s="102" t="n"/>
      <c r="T14" s="102" t="n"/>
      <c r="U14" s="102" t="n"/>
      <c r="V14" s="102" t="n"/>
      <c r="W14" s="102" t="n"/>
      <c r="X14" s="102" t="n"/>
    </row>
    <row r="15" ht="26" customHeight="1">
      <c r="A15" s="292" t="inlineStr">
        <is>
          <t>Phase</t>
        </is>
      </c>
      <c r="B15" s="293">
        <f>'2025 Summary'!#REF!</f>
        <v/>
      </c>
      <c r="C15" s="328" t="n"/>
      <c r="D15" s="328" t="n"/>
      <c r="E15" s="328" t="n"/>
      <c r="F15" s="295">
        <f>'2025 Summary'!#REF!</f>
        <v/>
      </c>
      <c r="G15" s="328" t="n"/>
      <c r="H15" s="328" t="n"/>
      <c r="I15" s="328" t="n"/>
      <c r="J15" s="297">
        <f>'2025 Summary'!#REF!</f>
        <v/>
      </c>
      <c r="K15" s="328" t="n"/>
      <c r="L15" s="328" t="n"/>
      <c r="M15" s="328" t="n"/>
      <c r="N15" s="339">
        <f>'2025 Summary'!#REF!</f>
        <v/>
      </c>
      <c r="O15" s="328" t="n"/>
      <c r="P15" s="328" t="n"/>
      <c r="Q15" s="331" t="n"/>
      <c r="R15" s="102" t="n"/>
      <c r="S15" s="102" t="n"/>
      <c r="T15" s="102" t="n"/>
      <c r="U15" s="102" t="n"/>
      <c r="V15" s="102" t="n"/>
      <c r="W15" s="102" t="n"/>
      <c r="X15" s="102" t="n"/>
    </row>
    <row r="16" ht="42" customHeight="1" thickBot="1">
      <c r="A16" s="332" t="n"/>
      <c r="B16" s="274">
        <f t="array" ref="B16">_xlfn.LET(_xlpm.team,TRIM($B$1),_xlpm.stat,TRIM($B$3),_xlpm.r,MATCH(_xlpm.team,'2025 Summary'!#REF!,0),_xlpm.c,IFERROR(MATCH(_xlpm.stat,'2025 Summary'!$4:$4,0),MATCH("*"&amp;_xlpm.stat&amp;"*",'2025 Summary'!$4:$4,0)),IFERROR(INDEX('2025 Summary'!#REF!,_xlpm.r,_xlpm.c),""))</f>
        <v/>
      </c>
      <c r="C16" s="327" t="n"/>
      <c r="D16" s="276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E16" s="327" t="n"/>
      <c r="F16" s="277">
        <f t="array" ref="F16">_xlfn.LET(_xlpm.team,TRIM($B$1),_xlpm.stat,TRIM($F$3),_xlpm.r,MATCH(_xlpm.team,'2025 Summary'!#REF!,0),_xlpm.c,IFERROR(MATCH(_xlpm.stat,'2025 Summary'!$4:$4,0),MATCH("*"&amp;_xlpm.stat&amp;"*",'2025 Summary'!$4:$4,0)),IFERROR(INDEX('2025 Summary'!#REF!,_xlpm.r,_xlpm.c),""))</f>
        <v/>
      </c>
      <c r="G16" s="327" t="n"/>
      <c r="H16" s="299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I16" s="327" t="n"/>
      <c r="J16" s="300">
        <f t="array" ref="J16">_xlfn.LET(_xlpm.team,TRIM($B$1),_xlpm.stat,TRIM($J$3),_xlpm.r,MATCH(_xlpm.team,'2025 Summary'!#REF!,0),_xlpm.c,IFERROR(MATCH(_xlpm.stat,'2025 Summary'!$4:$4,0),MATCH("*"&amp;_xlpm.stat&amp;"*",'2025 Summary'!$4:$4,0)),IFERROR(INDEX('2025 Summary'!#REF!,_xlpm.r,_xlpm.c),""))</f>
        <v/>
      </c>
      <c r="K16" s="327" t="n"/>
      <c r="L16" s="302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M16" s="327" t="n"/>
      <c r="N16" s="303">
        <f t="array" ref="N16">_xlfn.LET(_xlpm.team,TRIM($B$1),_xlpm.stat,TRIM($N$3),_xlpm.r,MATCH(_xlpm.team,'2025 Summary'!#REF!,0),_xlpm.c,IFERROR(MATCH(_xlpm.stat,'2025 Summary'!$4:$4,0),MATCH("*"&amp;_xlpm.stat&amp;"*",'2025 Summary'!$4:$4,0)),IFERROR(INDEX('2025 Summary'!#REF!,_xlpm.r,_xlpm.c),""))</f>
        <v/>
      </c>
      <c r="O16" s="327" t="n"/>
      <c r="P16" s="306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Q16" s="333" t="n"/>
      <c r="R16" s="102" t="n"/>
      <c r="S16" s="102" t="n"/>
      <c r="T16" s="102" t="n"/>
      <c r="U16" s="102" t="n"/>
      <c r="V16" s="102" t="n"/>
      <c r="W16" s="102" t="n"/>
      <c r="X16" s="102" t="n"/>
    </row>
    <row r="17" ht="40" customHeight="1" thickBot="1">
      <c r="A17" s="107" t="inlineStr">
        <is>
          <t>Stat</t>
        </is>
      </c>
      <c r="B17" s="164">
        <f>'2025 Summary'!#REF!</f>
        <v/>
      </c>
      <c r="C17" s="165">
        <f>'2025 Summary'!#REF!</f>
        <v/>
      </c>
      <c r="D17" s="165">
        <f>'2025 Summary'!#REF!</f>
        <v/>
      </c>
      <c r="E17" s="166">
        <f>'2025 Summary'!#REF!</f>
        <v/>
      </c>
      <c r="F17" s="155">
        <f>'2025 Summary'!#REF!</f>
        <v/>
      </c>
      <c r="G17" s="156">
        <f>'2025 Summary'!#REF!</f>
        <v/>
      </c>
      <c r="H17" s="156">
        <f>'2025 Summary'!#REF!</f>
        <v/>
      </c>
      <c r="I17" s="157">
        <f>'2025 Summary'!#REF!</f>
        <v/>
      </c>
      <c r="J17" s="158">
        <f>'2025 Summary'!#REF!</f>
        <v/>
      </c>
      <c r="K17" s="159">
        <f>'2025 Summary'!#REF!</f>
        <v/>
      </c>
      <c r="L17" s="159">
        <f>'2025 Summary'!#REF!</f>
        <v/>
      </c>
      <c r="M17" s="160">
        <f>'2025 Summary'!#REF!</f>
        <v/>
      </c>
      <c r="N17" s="163">
        <f>'2025 Summary'!#REF!</f>
        <v/>
      </c>
      <c r="O17" s="161">
        <f>'2025 Summary'!#REF!</f>
        <v/>
      </c>
      <c r="P17" s="161">
        <f>'2025 Summary'!#REF!</f>
        <v/>
      </c>
      <c r="Q17" s="162">
        <f>'2025 Summary'!#REF!</f>
        <v/>
      </c>
      <c r="R17" s="102" t="n"/>
      <c r="S17" s="102" t="n"/>
      <c r="T17" s="102" t="n"/>
      <c r="U17" s="102" t="n"/>
      <c r="V17" s="102" t="n"/>
      <c r="W17" s="102" t="n"/>
      <c r="X17" s="102" t="n"/>
    </row>
    <row r="18" ht="30" customHeight="1">
      <c r="A18" s="107" t="inlineStr">
        <is>
          <t>Raw</t>
        </is>
      </c>
      <c r="B18" s="116">
        <f>_xlfn.LET(_xlpm.team,TRIM($B$1),_xlpm.stat,TRIM(B$17),_xlpm.r,MATCH(_xlpm.team,'2025 Summary'!#REF!,0),_xlpm.c,MATCH(_xlpm.stat,'2025 Summary'!$4:$4,0),IFERROR(INDEX('2025 Summary'!#REF!,_xlpm.r,_xlpm.c),""))</f>
        <v/>
      </c>
      <c r="C18" s="117">
        <f>_xlfn.LET(_xlpm.team,TRIM($B$1),_xlpm.stat,TRIM(C$17),_xlpm.r,MATCH(_xlpm.team,'2025 Summary'!#REF!,0),_xlpm.c,MATCH(_xlpm.stat,'2025 Summary'!$4:$4,0),IFERROR(INDEX('2025 Summary'!#REF!,_xlpm.r,_xlpm.c),""))</f>
        <v/>
      </c>
      <c r="D18" s="117">
        <f>_xlfn.LET(_xlpm.team,TRIM($B$1),_xlpm.stat,TRIM(D$17),_xlpm.r,MATCH(_xlpm.team,'2025 Summary'!#REF!,0),_xlpm.c,MATCH(_xlpm.stat,'2025 Summary'!$4:$4,0),IFERROR(INDEX('2025 Summary'!#REF!,_xlpm.r,_xlpm.c),""))</f>
        <v/>
      </c>
      <c r="E18" s="118">
        <f>_xlfn.LET(_xlpm.team,TRIM($B$1),_xlpm.stat,TRIM(E$17),_xlpm.r,MATCH(_xlpm.team,'2025 Summary'!#REF!,0),_xlpm.c,MATCH(_xlpm.stat,'2025 Summary'!$4:$4,0),IFERROR(INDEX('2025 Summary'!#REF!,_xlpm.r,_xlpm.c),""))</f>
        <v/>
      </c>
      <c r="F18" s="116">
        <f>_xlfn.LET(_xlpm.team,TRIM($B$1),_xlpm.stat,TRIM(F$17),_xlpm.r,MATCH(_xlpm.team,'2025 Summary'!#REF!,0),_xlpm.c,MATCH(_xlpm.stat,'2025 Summary'!$4:$4,0),IFERROR(INDEX('2025 Summary'!#REF!,_xlpm.r,_xlpm.c),""))</f>
        <v/>
      </c>
      <c r="G18" s="117">
        <f>_xlfn.LET(_xlpm.team,TRIM($B$1),_xlpm.stat,TRIM(G$17),_xlpm.r,MATCH(_xlpm.team,'2025 Summary'!#REF!,0),_xlpm.c,MATCH(_xlpm.stat,'2025 Summary'!$4:$4,0),IFERROR(INDEX('2025 Summary'!#REF!,_xlpm.r,_xlpm.c),""))</f>
        <v/>
      </c>
      <c r="H18" s="117">
        <f>_xlfn.LET(_xlpm.team,TRIM($B$1),_xlpm.stat,TRIM(H$17),_xlpm.r,MATCH(_xlpm.team,'2025 Summary'!#REF!,0),_xlpm.c,MATCH(_xlpm.stat,'2025 Summary'!$4:$4,0),IFERROR(INDEX('2025 Summary'!#REF!,_xlpm.r,_xlpm.c),""))</f>
        <v/>
      </c>
      <c r="I18" s="118">
        <f>_xlfn.LET(_xlpm.team,TRIM($B$1),_xlpm.stat,TRIM(I$17),_xlpm.r,MATCH(_xlpm.team,'2025 Summary'!#REF!,0),_xlpm.c,MATCH(_xlpm.stat,'2025 Summary'!$4:$4,0),IFERROR(INDEX('2025 Summary'!#REF!,_xlpm.r,_xlpm.c),""))</f>
        <v/>
      </c>
      <c r="J18" s="116">
        <f>_xlfn.LET(_xlpm.team,TRIM($B$1),_xlpm.stat,TRIM(J$17),_xlpm.r,MATCH(_xlpm.team,'2025 Summary'!#REF!,0),_xlpm.c,MATCH(_xlpm.stat,'2025 Summary'!$4:$4,0),IFERROR(INDEX('2025 Summary'!#REF!,_xlpm.r,_xlpm.c),""))</f>
        <v/>
      </c>
      <c r="K18" s="117">
        <f>_xlfn.LET(_xlpm.team,TRIM($B$1),_xlpm.stat,TRIM(K$17),_xlpm.r,MATCH(_xlpm.team,'2025 Summary'!#REF!,0),_xlpm.c,MATCH(_xlpm.stat,'2025 Summary'!$4:$4,0),IFERROR(INDEX('2025 Summary'!#REF!,_xlpm.r,_xlpm.c),""))</f>
        <v/>
      </c>
      <c r="L18" s="117">
        <f>_xlfn.LET(_xlpm.team,TRIM($B$1),_xlpm.stat,TRIM(L$17),_xlpm.r,MATCH(_xlpm.team,'2025 Summary'!#REF!,0),_xlpm.c,MATCH(_xlpm.stat,'2025 Summary'!$4:$4,0),IFERROR(INDEX('2025 Summary'!#REF!,_xlpm.r,_xlpm.c),""))</f>
        <v/>
      </c>
      <c r="M18" s="118">
        <f>_xlfn.LET(_xlpm.team,TRIM($B$1),_xlpm.stat,TRIM(M$17),_xlpm.r,MATCH(_xlpm.team,'2025 Summary'!#REF!,0),_xlpm.c,MATCH(_xlpm.stat,'2025 Summary'!$4:$4,0),IFERROR(INDEX('2025 Summary'!#REF!,_xlpm.r,_xlpm.c),""))</f>
        <v/>
      </c>
      <c r="N18" s="116">
        <f>_xlfn.LET(_xlpm.team,TRIM($B$1),_xlpm.stat,TRIM(N$17),_xlpm.r,MATCH(_xlpm.team,'2025 Summary'!#REF!,0),_xlpm.c,MATCH(_xlpm.stat,'2025 Summary'!$4:$4,0),IFERROR(INDEX('2025 Summary'!#REF!,_xlpm.r,_xlpm.c),""))</f>
        <v/>
      </c>
      <c r="O18" s="117">
        <f>_xlfn.LET(_xlpm.team,TRIM($B$1),_xlpm.stat,TRIM(O$17),_xlpm.r,MATCH(_xlpm.team,'2025 Summary'!#REF!,0),_xlpm.c,MATCH(_xlpm.stat,'2025 Summary'!$4:$4,0),IFERROR(INDEX('2025 Summary'!#REF!,_xlpm.r,_xlpm.c),""))</f>
        <v/>
      </c>
      <c r="P18" s="117">
        <f>_xlfn.LET(_xlpm.team,TRIM($B$1),_xlpm.stat,TRIM(P$17),_xlpm.r,MATCH(_xlpm.team,'2025 Summary'!#REF!,0),_xlpm.c,MATCH(_xlpm.stat,'2025 Summary'!$4:$4,0),IFERROR(INDEX('2025 Summary'!#REF!,_xlpm.r,_xlpm.c),""))</f>
        <v/>
      </c>
      <c r="Q18" s="118">
        <f>_xlfn.LET(_xlpm.team,TRIM($B$1),_xlpm.stat,TRIM(Q$17),_xlpm.r,MATCH(_xlpm.team,'2025 Summary'!#REF!,0),_xlpm.c,MATCH(_xlpm.stat,'2025 Summary'!$4:$4,0),IFERROR(INDEX('2025 Summary'!#REF!,_xlpm.r,_xlpm.c),""))</f>
        <v/>
      </c>
      <c r="R18" s="102" t="n"/>
      <c r="S18" s="102" t="n"/>
      <c r="T18" s="102" t="n"/>
      <c r="U18" s="102" t="n"/>
      <c r="V18" s="102" t="n"/>
      <c r="W18" s="102" t="n"/>
      <c r="X18" s="102" t="n"/>
    </row>
    <row r="19" ht="30" customHeight="1" thickBot="1">
      <c r="A19" s="109" t="inlineStr">
        <is>
          <t>Rank</t>
        </is>
      </c>
      <c r="B19" s="115">
        <f t="array" ref="B19">_xlfn.LET(_xlpm.team,TRIM($B$1),_xlpm.stat,TRIM(B$17),_xlpm.r,MATCH(_xlpm.team,'2025 Summary'!#REF!,0),_xlpm.c,MATCH(_xlpm.stat,'2025 Summary'!$4:$4,0),IFERROR(INDEX('2025 Summary'!#REF!,_xlpm.r,_xlpm.c+1),""))</f>
        <v/>
      </c>
      <c r="C19" s="110">
        <f t="array" ref="C19">_xlfn.LET(_xlpm.team,TRIM($B$1),_xlpm.stat,TRIM(C$17),_xlpm.r,MATCH(_xlpm.team,'2025 Summary'!#REF!,0),_xlpm.c,MATCH(_xlpm.stat,'2025 Summary'!$4:$4,0),IFERROR(INDEX('2025 Summary'!#REF!,_xlpm.r,_xlpm.c+1),""))</f>
        <v/>
      </c>
      <c r="D19" s="110">
        <f t="array" ref="D19">_xlfn.LET(_xlpm.team,TRIM($B$1),_xlpm.stat,TRIM(D$17),_xlpm.r,MATCH(_xlpm.team,'2025 Summary'!#REF!,0),_xlpm.c,MATCH(_xlpm.stat,'2025 Summary'!$4:$4,0),IFERROR(INDEX('2025 Summary'!#REF!,_xlpm.r,_xlpm.c+1),""))</f>
        <v/>
      </c>
      <c r="E19" s="111">
        <f t="array" ref="E19">_xlfn.LET(_xlpm.team,TRIM($B$1),_xlpm.stat,TRIM(E$17),_xlpm.r,MATCH(_xlpm.team,'2025 Summary'!#REF!,0),_xlpm.c,MATCH(_xlpm.stat,'2025 Summary'!$4:$4,0),IFERROR(INDEX('2025 Summary'!#REF!,_xlpm.r,_xlpm.c+1),""))</f>
        <v/>
      </c>
      <c r="F19" s="115">
        <f t="array" ref="F19">_xlfn.LET(_xlpm.team,TRIM($B$1),_xlpm.stat,TRIM(F$17),_xlpm.r,MATCH(_xlpm.team,'2025 Summary'!#REF!,0),_xlpm.c,MATCH(_xlpm.stat,'2025 Summary'!$4:$4,0),IFERROR(INDEX('2025 Summary'!#REF!,_xlpm.r,_xlpm.c+1),""))</f>
        <v/>
      </c>
      <c r="G19" s="110">
        <f t="array" ref="G19">_xlfn.LET(_xlpm.team,TRIM($B$1),_xlpm.stat,TRIM(G$17),_xlpm.r,MATCH(_xlpm.team,'2025 Summary'!#REF!,0),_xlpm.c,MATCH(_xlpm.stat,'2025 Summary'!$4:$4,0),IFERROR(INDEX('2025 Summary'!#REF!,_xlpm.r,_xlpm.c+1),""))</f>
        <v/>
      </c>
      <c r="H19" s="110">
        <f t="array" ref="H19">_xlfn.LET(_xlpm.team,TRIM($B$1),_xlpm.stat,TRIM(H$17),_xlpm.r,MATCH(_xlpm.team,'2025 Summary'!#REF!,0),_xlpm.c,MATCH(_xlpm.stat,'2025 Summary'!$4:$4,0),IFERROR(INDEX('2025 Summary'!#REF!,_xlpm.r,_xlpm.c+1),""))</f>
        <v/>
      </c>
      <c r="I19" s="111">
        <f t="array" ref="I19">_xlfn.LET(_xlpm.team,TRIM($B$1),_xlpm.stat,TRIM(I$17),_xlpm.r,MATCH(_xlpm.team,'2025 Summary'!#REF!,0),_xlpm.c,MATCH(_xlpm.stat,'2025 Summary'!$4:$4,0),IFERROR(INDEX('2025 Summary'!#REF!,_xlpm.r,_xlpm.c+1),""))</f>
        <v/>
      </c>
      <c r="J19" s="115">
        <f t="array" ref="J19">_xlfn.LET(_xlpm.team,TRIM($B$1),_xlpm.stat,TRIM(J$17),_xlpm.r,MATCH(_xlpm.team,'2025 Summary'!#REF!,0),_xlpm.c,MATCH(_xlpm.stat,'2025 Summary'!$4:$4,0),IFERROR(INDEX('2025 Summary'!#REF!,_xlpm.r,_xlpm.c+1),""))</f>
        <v/>
      </c>
      <c r="K19" s="110">
        <f t="array" ref="K19">_xlfn.LET(_xlpm.team,TRIM($B$1),_xlpm.stat,TRIM(K$17),_xlpm.r,MATCH(_xlpm.team,'2025 Summary'!#REF!,0),_xlpm.c,MATCH(_xlpm.stat,'2025 Summary'!$4:$4,0),IFERROR(INDEX('2025 Summary'!#REF!,_xlpm.r,_xlpm.c+1),""))</f>
        <v/>
      </c>
      <c r="L19" s="110">
        <f t="array" ref="L19">_xlfn.LET(_xlpm.team,TRIM($B$1),_xlpm.stat,TRIM(L$17),_xlpm.r,MATCH(_xlpm.team,'2025 Summary'!#REF!,0),_xlpm.c,MATCH(_xlpm.stat,'2025 Summary'!$4:$4,0),IFERROR(INDEX('2025 Summary'!#REF!,_xlpm.r,_xlpm.c+1),""))</f>
        <v/>
      </c>
      <c r="M19" s="111">
        <f t="array" ref="M19">_xlfn.LET(_xlpm.team,TRIM($B$1),_xlpm.stat,TRIM(M$17),_xlpm.r,MATCH(_xlpm.team,'2025 Summary'!#REF!,0),_xlpm.c,MATCH(_xlpm.stat,'2025 Summary'!$4:$4,0),IFERROR(INDEX('2025 Summary'!#REF!,_xlpm.r,_xlpm.c+1),""))</f>
        <v/>
      </c>
      <c r="N19" s="115">
        <f t="array" ref="N19">_xlfn.LET(_xlpm.team,TRIM($B$1),_xlpm.stat,TRIM(N$17),_xlpm.r,MATCH(_xlpm.team,'2025 Summary'!#REF!,0),_xlpm.c,MATCH(_xlpm.stat,'2025 Summary'!$4:$4,0),IFERROR(INDEX('2025 Summary'!#REF!,_xlpm.r,_xlpm.c+1),""))</f>
        <v/>
      </c>
      <c r="O19" s="110">
        <f t="array" ref="O19">_xlfn.LET(_xlpm.team,TRIM($B$1),_xlpm.stat,TRIM(O$17),_xlpm.r,MATCH(_xlpm.team,'2025 Summary'!#REF!,0),_xlpm.c,MATCH(_xlpm.stat,'2025 Summary'!$4:$4,0),IFERROR(INDEX('2025 Summary'!#REF!,_xlpm.r,_xlpm.c+1),""))</f>
        <v/>
      </c>
      <c r="P19" s="110">
        <f t="array" ref="P19">_xlfn.LET(_xlpm.team,TRIM($B$1),_xlpm.stat,TRIM(P$17),_xlpm.r,MATCH(_xlpm.team,'2025 Summary'!#REF!,0),_xlpm.c,MATCH(_xlpm.stat,'2025 Summary'!$4:$4,0),IFERROR(INDEX('2025 Summary'!#REF!,_xlpm.r,_xlpm.c+1),""))</f>
        <v/>
      </c>
      <c r="Q19" s="111">
        <f t="array" ref="Q19">_xlfn.LET(_xlpm.team,TRIM($B$1),_xlpm.stat,TRIM(Q$17),_xlpm.r,MATCH(_xlpm.team,'2025 Summary'!#REF!,0),_xlpm.c,MATCH(_xlpm.stat,'2025 Summary'!$4:$4,0),IFERROR(INDEX('2025 Summary'!#REF!,_xlpm.r,_xlpm.c+1),""))</f>
        <v/>
      </c>
      <c r="R19" s="102" t="n"/>
      <c r="S19" s="102" t="n"/>
      <c r="T19" s="102" t="n"/>
      <c r="U19" s="102" t="n"/>
      <c r="V19" s="102" t="n"/>
      <c r="W19" s="102" t="n"/>
      <c r="X19" s="102" t="n"/>
    </row>
    <row r="20" ht="26" customHeight="1">
      <c r="A20" s="288" t="n"/>
      <c r="B20" s="334">
        <f>'2025 Summary'!#REF!</f>
        <v/>
      </c>
      <c r="C20" s="328" t="n"/>
      <c r="D20" s="328" t="n"/>
      <c r="E20" s="331" t="n"/>
      <c r="F20" s="335">
        <f>'2025 Summary'!#REF!</f>
        <v/>
      </c>
      <c r="G20" s="328" t="n"/>
      <c r="H20" s="328" t="n"/>
      <c r="I20" s="328" t="n"/>
      <c r="J20" s="328" t="n"/>
      <c r="K20" s="331" t="n"/>
      <c r="L20" s="340" t="inlineStr">
        <is>
          <t>Wheelo Rating</t>
        </is>
      </c>
      <c r="M20" s="328" t="n"/>
      <c r="N20" s="331" t="n"/>
      <c r="O20" s="102" t="n"/>
      <c r="P20" s="102" t="n"/>
      <c r="Q20" s="102" t="n"/>
      <c r="R20" s="102" t="n"/>
      <c r="S20" s="102" t="n"/>
      <c r="T20" s="102" t="n"/>
      <c r="U20" s="102" t="n"/>
      <c r="V20" s="102" t="n"/>
      <c r="W20" s="102" t="n"/>
      <c r="X20" s="102" t="n"/>
    </row>
    <row r="21" ht="42" customHeight="1" thickBot="1">
      <c r="A21" s="332" t="n"/>
      <c r="B21" s="263">
        <f t="array" ref="B21">_xlfn.LET(_xlpm.team,TRIM($B$1),_xlpm.stat,TRIM($B$20),_xlpm.r,MATCH(_xlpm.team,'2025 Summary'!#REF!,0),_xlpm.c,IFERROR(MATCH(_xlpm.stat,'2025 Summary'!$4:$4,0),MATCH("*"&amp;_xlpm.stat&amp;"*",'2025 Summary'!$4:$4,0)),IFERROR(INDEX('2025 Summary'!#REF!,_xlpm.r,_xlpm.c),""))</f>
        <v/>
      </c>
      <c r="C21" s="327" t="n"/>
      <c r="D21" s="266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E21" s="333" t="n"/>
      <c r="F21" s="272">
        <f t="array" ref="F21">_xlfn.LET(_xlpm.team,TRIM($B$1),_xlpm.stat,TRIM($F$8),_xlpm.r,MATCH(_xlpm.team,'2025 Summary'!#REF!,0),_xlpm.c,IFERROR(MATCH(_xlpm.stat,'2025 Summary'!$4:$4,0),MATCH("*"&amp;_xlpm.stat&amp;"*",'2025 Summary'!$4:$4,0)),IFERROR(INDEX('2025 Summary'!#REF!,_xlpm.r,_xlpm.c),""))</f>
        <v/>
      </c>
      <c r="G21" s="327" t="n"/>
      <c r="H21" s="327" t="n"/>
      <c r="I21" s="168">
        <f>_xlfn.LET(
  _xlpm.t, TRIM(CLEAN('2025 Team Summary'!B1)),
  _xlpm.r, _xlfn.XLOOKUP(_xlpm.t, '2025 Summary'!#REF!, '2025 Summary'!#REF!, ""),
  IF(_xlpm.r="","Not Available",
     _xlpm.r &amp; IF(OR(MOD(_xlpm.r,100)=11, MOD(_xlpm.r,100)=12, MOD(_xlpm.r,100)=13),
            "th",
            CHOOSE(MOD(_xlpm.r,10)+1,"th","st","nd","rd","th","th","th","th","th","th")
     )
  )
)</f>
        <v/>
      </c>
      <c r="J21" s="168" t="n"/>
      <c r="K21" s="197" t="n"/>
      <c r="L21" s="341" t="n"/>
      <c r="M21" s="327" t="n"/>
      <c r="N21" s="333" t="n"/>
      <c r="O21" s="190" t="n"/>
      <c r="P21" s="190" t="n"/>
      <c r="Q21" s="102" t="n"/>
      <c r="R21" s="102" t="n"/>
      <c r="S21" s="102" t="n"/>
      <c r="T21" s="102" t="n"/>
      <c r="U21" s="102" t="n"/>
      <c r="V21" s="102" t="n"/>
      <c r="W21" s="102" t="n"/>
      <c r="X21" s="102" t="n"/>
    </row>
    <row r="22" ht="40" customHeight="1" thickBot="1">
      <c r="A22" s="107" t="inlineStr">
        <is>
          <t>Stat</t>
        </is>
      </c>
      <c r="B22" s="198">
        <f>'2025 Summary'!#REF!</f>
        <v/>
      </c>
      <c r="C22" s="199">
        <f>'2025 Summary'!#REF!</f>
        <v/>
      </c>
      <c r="D22" s="199">
        <f>'2025 Summary'!#REF!</f>
        <v/>
      </c>
      <c r="E22" s="200">
        <f>'2025 Summary'!#REF!</f>
        <v/>
      </c>
      <c r="F22" s="143">
        <f>'2025 Summary'!#REF!</f>
        <v/>
      </c>
      <c r="G22" s="144">
        <f>'2025 Summary'!#REF!</f>
        <v/>
      </c>
      <c r="H22" s="144">
        <f>'2025 Summary'!#REF!</f>
        <v/>
      </c>
      <c r="I22" s="144">
        <f>'2025 Summary'!#REF!</f>
        <v/>
      </c>
      <c r="J22" s="144">
        <f>'2025 Summary'!#REF!</f>
        <v/>
      </c>
      <c r="K22" s="145">
        <f>'2025 Summary'!#REF!</f>
        <v/>
      </c>
      <c r="L22" s="150">
        <f>'2025 Summary'!#REF!</f>
        <v/>
      </c>
      <c r="M22" s="151">
        <f>'2025 Summary'!#REF!</f>
        <v/>
      </c>
      <c r="N22" s="152">
        <f>'2025 Summary'!#REF!</f>
        <v/>
      </c>
      <c r="O22" s="194" t="n"/>
      <c r="P22" s="194" t="n"/>
      <c r="Q22" s="194" t="n"/>
      <c r="R22" s="102" t="n"/>
      <c r="S22" s="102" t="n"/>
      <c r="T22" s="102" t="n"/>
      <c r="U22" s="102" t="n"/>
      <c r="V22" s="102" t="n"/>
      <c r="W22" s="102" t="n"/>
      <c r="X22" s="102" t="n"/>
    </row>
    <row r="23" ht="30" customHeight="1">
      <c r="A23" s="107" t="inlineStr">
        <is>
          <t>Raw</t>
        </is>
      </c>
      <c r="B23" s="116">
        <f>_xlfn.LET(_xlpm.team,TRIM($B$1),_xlpm.stat,TRIM(B$22),_xlpm.r,MATCH(_xlpm.team,'2025 Summary'!#REF!,0),_xlpm.c,MATCH(_xlpm.stat,'2025 Summary'!$4:$4,0),IFERROR(INDEX('2025 Summary'!#REF!,_xlpm.r,_xlpm.c),""))</f>
        <v/>
      </c>
      <c r="C23" s="117">
        <f>_xlfn.LET(_xlpm.team,TRIM($B$1),_xlpm.stat,TRIM(C$22),_xlpm.r,MATCH(_xlpm.team,'2025 Summary'!#REF!,0),_xlpm.c,MATCH(_xlpm.stat,'2025 Summary'!$4:$4,0),IFERROR(INDEX('2025 Summary'!#REF!,_xlpm.r,_xlpm.c),""))</f>
        <v/>
      </c>
      <c r="D23" s="117">
        <f>_xlfn.LET(_xlpm.team,TRIM($B$1),_xlpm.stat,TRIM(D$22),_xlpm.r,MATCH(_xlpm.team,'2025 Summary'!#REF!,0),_xlpm.c,MATCH(_xlpm.stat,'2025 Summary'!$4:$4,0),IFERROR(INDEX('2025 Summary'!#REF!,_xlpm.r,_xlpm.c),""))</f>
        <v/>
      </c>
      <c r="E23" s="118">
        <f>_xlfn.LET(_xlpm.team,TRIM($B$1),_xlpm.stat,TRIM(E$22),_xlpm.r,MATCH(_xlpm.team,'2025 Summary'!#REF!,0),_xlpm.c,MATCH(_xlpm.stat,'2025 Summary'!$4:$4,0),IFERROR(INDEX('2025 Summary'!#REF!,_xlpm.r,_xlpm.c),""))</f>
        <v/>
      </c>
      <c r="F23" s="114">
        <f>_xlfn.LET(_xlpm.team,TRIM($B$1),_xlpm.stat,TRIM(F$22),_xlpm.r,MATCH(_xlpm.team,'2025 Summary'!#REF!,0),_xlpm.c,MATCH(_xlpm.stat,'2025 Summary'!$4:$4,0),IFERROR(INDEX('2025 Summary'!#REF!,_xlpm.r,_xlpm.c),""))</f>
        <v/>
      </c>
      <c r="G23" s="101">
        <f>_xlfn.LET(_xlpm.team,TRIM($B$1),_xlpm.stat,TRIM(G$22),_xlpm.r,MATCH(_xlpm.team,'2025 Summary'!#REF!,0),_xlpm.c,MATCH(_xlpm.stat,'2025 Summary'!$4:$4,0),IFERROR(INDEX('2025 Summary'!#REF!,_xlpm.r,_xlpm.c),""))</f>
        <v/>
      </c>
      <c r="H23" s="101">
        <f>_xlfn.LET(_xlpm.team,TRIM($B$1),_xlpm.stat,TRIM(H$22),_xlpm.r,MATCH(_xlpm.team,'2025 Summary'!#REF!,0),_xlpm.c,MATCH(_xlpm.stat,'2025 Summary'!$4:$4,0),IFERROR(INDEX('2025 Summary'!#REF!,_xlpm.r,_xlpm.c),""))</f>
        <v/>
      </c>
      <c r="I23" s="101">
        <f>_xlfn.LET(_xlpm.team,TRIM($B$1),_xlpm.stat,TRIM(I$22),_xlpm.r,MATCH(_xlpm.team,'2025 Summary'!#REF!,0),_xlpm.c,MATCH(_xlpm.stat,'2025 Summary'!$4:$4,0),IFERROR(INDEX('2025 Summary'!#REF!,_xlpm.r,_xlpm.c),""))</f>
        <v/>
      </c>
      <c r="J23" s="101">
        <f>_xlfn.LET(_xlpm.team,TRIM($B$1),_xlpm.stat,TRIM(J$22),_xlpm.r,MATCH(_xlpm.team,'2025 Summary'!#REF!,0),_xlpm.c,MATCH(_xlpm.stat,'2025 Summary'!$4:$4,0),IFERROR(INDEX('2025 Summary'!#REF!,_xlpm.r,_xlpm.c),""))</f>
        <v/>
      </c>
      <c r="K23" s="146">
        <f>_xlfn.LET(_xlpm.team,TRIM($B$1),_xlpm.stat,TRIM(K$22),_xlpm.r,MATCH(_xlpm.team,'2025 Summary'!#REF!,0),_xlpm.c,MATCH(_xlpm.stat,'2025 Summary'!$4:$4,0),IFERROR(INDEX('2025 Summary'!#REF!,_xlpm.r,_xlpm.c),""))</f>
        <v/>
      </c>
      <c r="L23" s="114">
        <f>_xlfn.LET(_xlpm.team,TRIM($B$1),_xlpm.stat,TRIM(L$22),_xlpm.r,MATCH(_xlpm.team,'2025 Summary'!#REF!,0),_xlpm.c,MATCH(_xlpm.stat,'2025 Summary'!$4:$4,0),IFERROR(INDEX('2025 Summary'!#REF!,_xlpm.r,_xlpm.c),""))</f>
        <v/>
      </c>
      <c r="M23" s="101">
        <f>_xlfn.LET(_xlpm.team,TRIM($B$1),_xlpm.stat,TRIM(M$22),_xlpm.r,MATCH(_xlpm.team,'2025 Summary'!#REF!,0),_xlpm.c,MATCH(_xlpm.stat,'2025 Summary'!$4:$4,0),IFERROR(INDEX('2025 Summary'!#REF!,_xlpm.r,_xlpm.c),""))</f>
        <v/>
      </c>
      <c r="N23" s="108">
        <f>_xlfn.LET(_xlpm.team,TRIM($B$1),_xlpm.stat,TRIM(N$22),_xlpm.r,MATCH(_xlpm.team,'2025 Summary'!#REF!,0),_xlpm.c,MATCH(_xlpm.stat,'2025 Summary'!$4:$4,0),IFERROR(INDEX('2025 Summary'!#REF!,_xlpm.r,_xlpm.c),""))</f>
        <v/>
      </c>
      <c r="O23" s="194" t="n"/>
      <c r="P23" s="194" t="n"/>
      <c r="Q23" s="194" t="n"/>
      <c r="R23" s="102" t="n"/>
      <c r="S23" s="102" t="n"/>
      <c r="T23" s="102" t="n"/>
      <c r="U23" s="102" t="n"/>
      <c r="V23" s="102" t="n"/>
      <c r="W23" s="102" t="n"/>
      <c r="X23" s="102" t="n"/>
    </row>
    <row r="24" ht="30" customHeight="1" thickBot="1">
      <c r="A24" s="109" t="inlineStr">
        <is>
          <t>Rank</t>
        </is>
      </c>
      <c r="B24" s="115">
        <f t="array" ref="B24">_xlfn.LET(_xlpm.team,TRIM($B$1),_xlpm.stat,TRIM(B$22),_xlpm.r,MATCH(_xlpm.team,'2025 Summary'!#REF!,0),_xlpm.c,MATCH(_xlpm.stat,'2025 Summary'!$4:$4,0),IFERROR(INDEX('2025 Summary'!#REF!,_xlpm.r,_xlpm.c+1),""))</f>
        <v/>
      </c>
      <c r="C24" s="110">
        <f t="array" ref="C24">_xlfn.LET(_xlpm.team,TRIM($B$1),_xlpm.stat,TRIM(C$22),_xlpm.r,MATCH(_xlpm.team,'2025 Summary'!#REF!,0),_xlpm.c,MATCH(_xlpm.stat,'2025 Summary'!$4:$4,0),IFERROR(INDEX('2025 Summary'!#REF!,_xlpm.r,_xlpm.c+1),""))</f>
        <v/>
      </c>
      <c r="D24" s="110">
        <f t="array" ref="D24">_xlfn.LET(_xlpm.team,TRIM($B$1),_xlpm.stat,TRIM(D$22),_xlpm.r,MATCH(_xlpm.team,'2025 Summary'!#REF!,0),_xlpm.c,MATCH(_xlpm.stat,'2025 Summary'!$4:$4,0),IFERROR(INDEX('2025 Summary'!#REF!,_xlpm.r,_xlpm.c+1),""))</f>
        <v/>
      </c>
      <c r="E24" s="111">
        <f t="array" ref="E24">_xlfn.LET(_xlpm.team,TRIM($B$1),_xlpm.stat,TRIM(E$22),_xlpm.r,MATCH(_xlpm.team,'2025 Summary'!#REF!,0),_xlpm.c,MATCH(_xlpm.stat,'2025 Summary'!$4:$4,0),IFERROR(INDEX('2025 Summary'!#REF!,_xlpm.r,_xlpm.c+1),""))</f>
        <v/>
      </c>
      <c r="F24" s="115">
        <f t="array" ref="F24">_xlfn.LET(_xlpm.team,TRIM($B$1),_xlpm.stat,TRIM(F$22),_xlpm.r,MATCH(_xlpm.team,'2025 Summary'!#REF!,0),_xlpm.c,MATCH(_xlpm.stat,'2025 Summary'!$4:$4,0),IFERROR(INDEX('2025 Summary'!#REF!,_xlpm.r,_xlpm.c+1),""))</f>
        <v/>
      </c>
      <c r="G24" s="110">
        <f t="array" ref="G24">_xlfn.LET(_xlpm.team,TRIM($B$1),_xlpm.stat,TRIM(G$22),_xlpm.r,MATCH(_xlpm.team,'2025 Summary'!#REF!,0),_xlpm.c,MATCH(_xlpm.stat,'2025 Summary'!$4:$4,0),IFERROR(INDEX('2025 Summary'!#REF!,_xlpm.r,_xlpm.c+1),""))</f>
        <v/>
      </c>
      <c r="H24" s="110">
        <f t="array" ref="H24">_xlfn.LET(_xlpm.team,TRIM($B$1),_xlpm.stat,TRIM(H$22),_xlpm.r,MATCH(_xlpm.team,'2025 Summary'!#REF!,0),_xlpm.c,MATCH(_xlpm.stat,'2025 Summary'!$4:$4,0),IFERROR(INDEX('2025 Summary'!#REF!,_xlpm.r,_xlpm.c+1),""))</f>
        <v/>
      </c>
      <c r="I24" s="110">
        <f t="array" ref="I24">_xlfn.LET(_xlpm.team,TRIM($B$1),_xlpm.stat,TRIM(I$22),_xlpm.r,MATCH(_xlpm.team,'2025 Summary'!#REF!,0),_xlpm.c,MATCH(_xlpm.stat,'2025 Summary'!$4:$4,0),IFERROR(INDEX('2025 Summary'!#REF!,_xlpm.r,_xlpm.c+1),""))</f>
        <v/>
      </c>
      <c r="J24" s="110">
        <f t="array" ref="J24">_xlfn.LET(_xlpm.team,TRIM($B$1),_xlpm.stat,TRIM(J$22),_xlpm.r,MATCH(_xlpm.team,'2025 Summary'!#REF!,0),_xlpm.c,MATCH(_xlpm.stat,'2025 Summary'!$4:$4,0),IFERROR(INDEX('2025 Summary'!#REF!,_xlpm.r,_xlpm.c+1),""))</f>
        <v/>
      </c>
      <c r="K24" s="147">
        <f t="array" ref="K24">_xlfn.LET(_xlpm.team,TRIM($B$1),_xlpm.stat,TRIM(K$22),_xlpm.r,MATCH(_xlpm.team,'2025 Summary'!#REF!,0),_xlpm.c,MATCH(_xlpm.stat,'2025 Summary'!$4:$4,0),IFERROR(INDEX('2025 Summary'!#REF!,_xlpm.r,_xlpm.c+1),""))</f>
        <v/>
      </c>
      <c r="L24" s="115">
        <f t="array" ref="L24">_xlfn.LET(_xlpm.team,TRIM($B$1),_xlpm.stat,TRIM(L$22),_xlpm.r,MATCH(_xlpm.team,'2025 Summary'!#REF!,0),_xlpm.c,MATCH(_xlpm.stat,'2025 Summary'!$4:$4,0),IFERROR(INDEX('2025 Summary'!#REF!,_xlpm.r,_xlpm.c+1),""))</f>
        <v/>
      </c>
      <c r="M24" s="110">
        <f t="array" ref="M24">_xlfn.LET(_xlpm.team,TRIM($B$1),_xlpm.stat,TRIM(M$22),_xlpm.r,MATCH(_xlpm.team,'2025 Summary'!#REF!,0),_xlpm.c,MATCH(_xlpm.stat,'2025 Summary'!$4:$4,0),IFERROR(INDEX('2025 Summary'!#REF!,_xlpm.r,_xlpm.c+1),""))</f>
        <v/>
      </c>
      <c r="N24" s="111">
        <f t="array" ref="N24">_xlfn.LET(_xlpm.team,TRIM($B$1),_xlpm.stat,TRIM(N$22),_xlpm.r,MATCH(_xlpm.team,'2025 Summary'!#REF!,0),_xlpm.c,MATCH(_xlpm.stat,'2025 Summary'!$4:$4,0),IFERROR(INDEX('2025 Summary'!#REF!,_xlpm.r,_xlpm.c+1),""))</f>
        <v/>
      </c>
      <c r="O24" s="102" t="n"/>
      <c r="P24" s="102" t="n"/>
      <c r="Q24" s="102" t="n"/>
      <c r="R24" s="102" t="n"/>
      <c r="S24" s="102" t="n"/>
      <c r="T24" s="102" t="n"/>
      <c r="U24" s="102" t="n"/>
      <c r="V24" s="102" t="n"/>
      <c r="W24" s="102" t="n"/>
      <c r="X24" s="102" t="n"/>
    </row>
    <row r="25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  <c r="S25" s="102" t="n"/>
      <c r="T25" s="102" t="n"/>
      <c r="U25" s="102" t="n"/>
      <c r="V25" s="102" t="n"/>
      <c r="W25" s="102" t="n"/>
      <c r="X25" s="102" t="n"/>
    </row>
    <row r="26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  <c r="S26" s="102" t="n"/>
      <c r="T26" s="102" t="n"/>
      <c r="U26" s="102" t="n"/>
      <c r="V26" s="102" t="n"/>
      <c r="W26" s="102" t="n"/>
      <c r="X26" s="102" t="n"/>
    </row>
    <row r="27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  <c r="S27" s="102" t="n"/>
      <c r="T27" s="102" t="n"/>
      <c r="U27" s="102" t="n"/>
      <c r="V27" s="102" t="n"/>
      <c r="W27" s="102" t="n"/>
      <c r="X27" s="102" t="n"/>
    </row>
    <row r="28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  <c r="S28" s="102" t="n"/>
      <c r="T28" s="102" t="n"/>
      <c r="U28" s="102" t="n"/>
      <c r="V28" s="102" t="n"/>
      <c r="W28" s="102" t="n"/>
      <c r="X28" s="102" t="n"/>
    </row>
    <row r="29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  <c r="S29" s="102" t="n"/>
      <c r="T29" s="102" t="n"/>
      <c r="U29" s="102" t="n"/>
      <c r="V29" s="102" t="n"/>
      <c r="W29" s="102" t="n"/>
      <c r="X29" s="102" t="n"/>
    </row>
    <row r="30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2" t="n"/>
    </row>
    <row r="3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  <c r="S31" s="102" t="n"/>
      <c r="T31" s="102" t="n"/>
      <c r="U31" s="102" t="n"/>
      <c r="V31" s="102" t="n"/>
      <c r="W31" s="102" t="n"/>
      <c r="X31" s="102" t="n"/>
    </row>
    <row r="32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  <c r="S32" s="102" t="n"/>
      <c r="T32" s="102" t="n"/>
      <c r="U32" s="102" t="n"/>
      <c r="V32" s="102" t="n"/>
      <c r="W32" s="102" t="n"/>
      <c r="X32" s="102" t="n"/>
    </row>
    <row r="33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  <c r="S33" s="102" t="n"/>
      <c r="T33" s="102" t="n"/>
      <c r="U33" s="102" t="n"/>
      <c r="V33" s="102" t="n"/>
      <c r="W33" s="102" t="n"/>
      <c r="X33" s="102" t="n"/>
    </row>
    <row r="34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  <c r="S34" s="102" t="n"/>
      <c r="T34" s="102" t="n"/>
      <c r="U34" s="102" t="n"/>
      <c r="V34" s="102" t="n"/>
      <c r="W34" s="102" t="n"/>
      <c r="X34" s="102" t="n"/>
    </row>
    <row r="35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  <c r="S35" s="102" t="n"/>
      <c r="T35" s="102" t="n"/>
      <c r="U35" s="102" t="n"/>
      <c r="V35" s="102" t="n"/>
      <c r="W35" s="102" t="n"/>
      <c r="X35" s="102" t="n"/>
    </row>
    <row r="3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  <c r="S36" s="102" t="n"/>
      <c r="T36" s="102" t="n"/>
      <c r="U36" s="102" t="n"/>
      <c r="V36" s="102" t="n"/>
      <c r="W36" s="102" t="n"/>
      <c r="X36" s="102" t="n"/>
    </row>
  </sheetData>
  <mergeCells count="43">
    <mergeCell ref="F4:G4"/>
    <mergeCell ref="P4:Q4"/>
    <mergeCell ref="F20:K20"/>
    <mergeCell ref="B16:C16"/>
    <mergeCell ref="F16:G16"/>
    <mergeCell ref="L16:M16"/>
    <mergeCell ref="J3:M3"/>
    <mergeCell ref="N16:O16"/>
    <mergeCell ref="B15:E15"/>
    <mergeCell ref="F8:K8"/>
    <mergeCell ref="H4:I4"/>
    <mergeCell ref="B20:E20"/>
    <mergeCell ref="N15:Q15"/>
    <mergeCell ref="D21:E21"/>
    <mergeCell ref="B21:C21"/>
    <mergeCell ref="A3:A4"/>
    <mergeCell ref="B3:E3"/>
    <mergeCell ref="F9:H9"/>
    <mergeCell ref="J4:K4"/>
    <mergeCell ref="A8:A9"/>
    <mergeCell ref="D16:E16"/>
    <mergeCell ref="L4:M4"/>
    <mergeCell ref="H16:I16"/>
    <mergeCell ref="F3:I3"/>
    <mergeCell ref="J16:K16"/>
    <mergeCell ref="P16:Q16"/>
    <mergeCell ref="N3:Q3"/>
    <mergeCell ref="A20:A21"/>
    <mergeCell ref="D4:E4"/>
    <mergeCell ref="L8:N9"/>
    <mergeCell ref="F15:I15"/>
    <mergeCell ref="J15:M15"/>
    <mergeCell ref="I1:I2"/>
    <mergeCell ref="B9:C9"/>
    <mergeCell ref="D9:E9"/>
    <mergeCell ref="L20:N21"/>
    <mergeCell ref="B1:E1"/>
    <mergeCell ref="B8:E8"/>
    <mergeCell ref="A15:A16"/>
    <mergeCell ref="F1:F2"/>
    <mergeCell ref="F21:H21"/>
    <mergeCell ref="B4:C4"/>
    <mergeCell ref="N4:O4"/>
  </mergeCells>
  <conditionalFormatting sqref="B19:E19">
    <cfRule type="colorScale" priority="2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2 B7:Q7 B12:E13 B24:E24 F19:Q19">
    <cfRule type="colorScale" priority="3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14 F12:N13">
    <cfRule type="colorScale" priority="5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F24:N24">
    <cfRule type="colorScale" priority="4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R35"/>
  <sheetViews>
    <sheetView zoomScale="90" zoomScaleNormal="90" workbookViewId="0">
      <selection activeCell="T6" sqref="T6"/>
    </sheetView>
  </sheetViews>
  <sheetFormatPr baseColWidth="10" defaultRowHeight="16"/>
  <cols>
    <col width="10.83203125" customWidth="1" style="97" min="1" max="1"/>
    <col width="15.83203125" customWidth="1" style="97" min="2" max="21"/>
    <col width="10.83203125" customWidth="1" style="97" min="22" max="16384"/>
  </cols>
  <sheetData>
    <row r="1" ht="33" customHeight="1" thickBot="1">
      <c r="A1" s="103" t="n"/>
      <c r="B1" s="257" t="inlineStr">
        <is>
          <t>Fremantle</t>
        </is>
      </c>
      <c r="F1" s="326">
        <f>B2</f>
        <v/>
      </c>
      <c r="G1" s="189" t="inlineStr">
        <is>
          <t>Rating</t>
        </is>
      </c>
      <c r="H1" s="202">
        <f>_xlfn.XLOOKUP(TRIM(CLEAN('Seasons Team Summary'!B1)), 'Seasons Ladders'!A4:A21, 'Seasons Ladders'!M4:M21, "Not Available")</f>
        <v/>
      </c>
      <c r="I1" s="326">
        <f>B13</f>
        <v/>
      </c>
      <c r="J1" s="189" t="inlineStr">
        <is>
          <t>Rating</t>
        </is>
      </c>
      <c r="K1" s="202">
        <f>_xlfn.XLOOKUP(TRIM(CLEAN('Seasons Team Summary'!B1)), 'Seasons Ladders'!A26:A43, 'Seasons Ladders'!M26:M43, "Not Available")</f>
        <v/>
      </c>
      <c r="L1" s="192" t="n"/>
      <c r="M1" s="192" t="n"/>
      <c r="N1" s="192" t="n"/>
      <c r="O1" s="104" t="n"/>
      <c r="P1" s="104" t="n"/>
      <c r="Q1" s="105" t="n"/>
      <c r="R1" s="102" t="n"/>
    </row>
    <row r="2" ht="32" customHeight="1" thickBot="1">
      <c r="A2" s="106" t="n"/>
      <c r="B2" s="190">
        <f>'Seasons Summary'!B1</f>
        <v/>
      </c>
      <c r="C2" s="190" t="n"/>
      <c r="D2" s="102" t="n"/>
      <c r="E2" s="102" t="n"/>
      <c r="F2" s="327" t="n"/>
      <c r="G2" s="189" t="inlineStr">
        <is>
          <t>Ranking</t>
        </is>
      </c>
      <c r="H2" s="193">
        <f>_xlfn.LET(
  _xlpm.t, TRIM(CLEAN('Seasons Team Summary'!B1)),
  _xlpm.r, _xlfn.XLOOKUP(_xlpm.t, 'Seasons Ladders'!A4:A21, 'Seasons Ladders'!N4:N21, ""),
  IF(_xlpm.r="","Not Available",
     _xlpm.r &amp; IF(OR(MOD(_xlpm.r,100)=11, MOD(_xlpm.r,100)=12, MOD(_xlpm.r,100)=13),
             "th",
             CHOOSE(MOD(_xlpm.r,10)+1,"th","st","nd","rd","th","th","th","th","th","th")
     )
  )
)</f>
        <v/>
      </c>
      <c r="I2" s="327" t="n"/>
      <c r="J2" s="189" t="inlineStr">
        <is>
          <t>Ranking</t>
        </is>
      </c>
      <c r="K2" s="193">
        <f>_xlfn.LET(
  _xlpm.t, TRIM(CLEAN('Seasons Team Summary'!B1)),
  _xlpm.r, _xlfn.XLOOKUP(_xlpm.t, 'Seasons Ladders'!A26:A43, 'Seasons Ladders'!N26:N43, ""),
  IF(_xlpm.r="","Not Available",
     _xlpm.r &amp; IF(OR(MOD(_xlpm.r,100)=11, MOD(_xlpm.r,100)=12, MOD(_xlpm.r,100)=13),
             "th",
             CHOOSE(MOD(_xlpm.r,10)+1,"th","st","nd","rd","th","th","th","th","th","th")
     )
  )
)</f>
        <v/>
      </c>
      <c r="L2" s="190" t="n"/>
      <c r="M2" s="190" t="n"/>
      <c r="N2" s="190" t="n"/>
      <c r="O2" s="190" t="n"/>
      <c r="P2" s="190" t="n"/>
      <c r="Q2" s="203" t="n"/>
      <c r="R2" s="102" t="n"/>
    </row>
    <row r="3" ht="26" customFormat="1" customHeight="1" s="98">
      <c r="A3" s="292" t="inlineStr">
        <is>
          <t>Phase</t>
        </is>
      </c>
      <c r="B3" s="293">
        <f>'Seasons Summary'!J4</f>
        <v/>
      </c>
      <c r="C3" s="328" t="n"/>
      <c r="D3" s="328" t="n"/>
      <c r="E3" s="328" t="n"/>
      <c r="F3" s="295">
        <f>'Seasons Summary'!U4</f>
        <v/>
      </c>
      <c r="G3" s="328" t="n"/>
      <c r="H3" s="328" t="n"/>
      <c r="I3" s="328" t="n"/>
      <c r="J3" s="297">
        <f>'Seasons Summary'!AF4</f>
        <v/>
      </c>
      <c r="K3" s="328" t="n"/>
      <c r="L3" s="328" t="n"/>
      <c r="M3" s="328" t="n"/>
      <c r="N3" s="339">
        <f>'Seasons Summary'!AQ4</f>
        <v/>
      </c>
      <c r="O3" s="328" t="n"/>
      <c r="P3" s="328" t="n"/>
      <c r="Q3" s="331" t="n"/>
      <c r="R3" s="131" t="n"/>
    </row>
    <row r="4" ht="41" customFormat="1" customHeight="1" s="100" thickBot="1">
      <c r="A4" s="332" t="n"/>
      <c r="B4" s="274">
        <f t="array" ref="B4">_xlfn.LET(_xlpm.team,TRIM($B$1),_xlpm.stat,TRIM($B$3),_xlpm.r,MATCH(_xlpm.team,'Seasons Summary'!$A$5:$A$22,0),_xlpm.c,IFERROR(MATCH(_xlpm.stat,'Seasons Summary'!$4:$4,0),MATCH("*"&amp;_xlpm.stat&amp;"*",'Seasons Summary'!$4:$4,0)),IFERROR(INDEX('Seasons Summary'!$A$5:$AAK$22,_xlpm.r,_xlpm.c),""))</f>
        <v/>
      </c>
      <c r="C4" s="327" t="n"/>
      <c r="D4" s="276">
        <f>_xlfn.LET(
  _xlpm.t, TRIM(CLEAN('Seasons Team Summary'!B1)),
  _xlpm.r, _xlfn.XLOOKUP(_xlpm.t, 'Seasons Ladders'!A4:A21, 'Seasons Ladders'!C4:C21,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E4" s="327" t="n"/>
      <c r="F4" s="277">
        <f t="array" ref="F4">_xlfn.LET(_xlpm.team,TRIM($B$1),_xlpm.stat,TRIM($F$3),_xlpm.r,MATCH(_xlpm.team,'Seasons Summary'!$A$5:$A$22,0),_xlpm.c,IFERROR(MATCH(_xlpm.stat,'Seasons Summary'!$4:$4,0),MATCH("*"&amp;_xlpm.stat&amp;"*",'Seasons Summary'!$4:$4,0)),IFERROR(INDEX('Seasons Summary'!$A$5:$AAK$22,_xlpm.r,_xlpm.c),""))</f>
        <v/>
      </c>
      <c r="G4" s="327" t="n"/>
      <c r="H4" s="299">
        <f>_xlfn.LET(
  _xlpm.t, TRIM(CLEAN('Seasons Team Summary'!B1)),
  _xlpm.r, _xlfn.XLOOKUP(_xlpm.t, 'Seasons Ladders'!A4:A21, 'Seasons Ladders'!E4:E21,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I4" s="327" t="n"/>
      <c r="J4" s="300">
        <f t="array" ref="J4">_xlfn.LET(_xlpm.team,TRIM($B$1),_xlpm.stat,TRIM($J$3),_xlpm.r,MATCH(_xlpm.team,'Seasons Summary'!$A$5:$A$22,0),_xlpm.c,IFERROR(MATCH(_xlpm.stat,'Seasons Summary'!$4:$4,0),MATCH("*"&amp;_xlpm.stat&amp;"*",'Seasons Summary'!$4:$4,0)),IFERROR(INDEX('Seasons Summary'!$A$5:$AAK$22,_xlpm.r,_xlpm.c),""))</f>
        <v/>
      </c>
      <c r="K4" s="327" t="n"/>
      <c r="L4" s="302">
        <f>_xlfn.LET(
  _xlpm.t, TRIM(CLEAN('Seasons Team Summary'!B1)),
  _xlpm.r, _xlfn.XLOOKUP(_xlpm.t, 'Seasons Ladders'!A4:A21, 'Seasons Ladders'!G4:G21,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M4" s="327" t="n"/>
      <c r="N4" s="303">
        <f t="array" ref="N4">_xlfn.LET(_xlpm.team,TRIM($B$1),_xlpm.stat,TRIM($N$3),_xlpm.r,MATCH(_xlpm.team,'Seasons Summary'!$A$5:$A$22,0),_xlpm.c,IFERROR(MATCH(_xlpm.stat,'Seasons Summary'!$4:$4,0),MATCH("*"&amp;_xlpm.stat&amp;"*",'Seasons Summary'!$4:$4,0)),IFERROR(INDEX('Seasons Summary'!$A$5:$AAK$22,_xlpm.r,_xlpm.c),""))</f>
        <v/>
      </c>
      <c r="O4" s="327" t="n"/>
      <c r="P4" s="306">
        <f>_xlfn.LET(
  _xlpm.t, TRIM(CLEAN('Seasons Team Summary'!B1)),
  _xlpm.r, _xlfn.XLOOKUP(_xlpm.t, 'Seasons Ladders'!A4:A21, 'Seasons Ladders'!I4:I21,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Q4" s="333" t="n"/>
      <c r="R4" s="132" t="n"/>
    </row>
    <row r="5" ht="41" customFormat="1" customHeight="1" s="99" thickBot="1">
      <c r="A5" s="107" t="inlineStr">
        <is>
          <t>Stat</t>
        </is>
      </c>
      <c r="B5" s="164">
        <f>'Seasons Summary'!B4</f>
        <v/>
      </c>
      <c r="C5" s="165">
        <f>'Seasons Summary'!D4</f>
        <v/>
      </c>
      <c r="D5" s="165">
        <f>'Seasons Summary'!F4</f>
        <v/>
      </c>
      <c r="E5" s="166">
        <f>'Seasons Summary'!H4</f>
        <v/>
      </c>
      <c r="F5" s="155">
        <f>'Seasons Summary'!M4</f>
        <v/>
      </c>
      <c r="G5" s="156">
        <f>'Seasons Summary'!O4</f>
        <v/>
      </c>
      <c r="H5" s="156">
        <f>'Seasons Summary'!Q4</f>
        <v/>
      </c>
      <c r="I5" s="157">
        <f>'Seasons Summary'!S4</f>
        <v/>
      </c>
      <c r="J5" s="158">
        <f>'Seasons Summary'!X4</f>
        <v/>
      </c>
      <c r="K5" s="159">
        <f>'Seasons Summary'!Z4</f>
        <v/>
      </c>
      <c r="L5" s="159">
        <f>'Seasons Summary'!AB4</f>
        <v/>
      </c>
      <c r="M5" s="160">
        <f>'Seasons Summary'!AD4</f>
        <v/>
      </c>
      <c r="N5" s="163">
        <f>'Seasons Summary'!AI4</f>
        <v/>
      </c>
      <c r="O5" s="161">
        <f>'Seasons Summary'!AK4</f>
        <v/>
      </c>
      <c r="P5" s="161">
        <f>'Seasons Summary'!AM4</f>
        <v/>
      </c>
      <c r="Q5" s="162">
        <f>'Seasons Summary'!AO4</f>
        <v/>
      </c>
      <c r="R5" s="133" t="n"/>
    </row>
    <row r="6" ht="31" customHeight="1">
      <c r="A6" s="107" t="inlineStr">
        <is>
          <t>Raw</t>
        </is>
      </c>
      <c r="B6" s="116">
        <f>_xlfn.LET(_xlpm.team,TRIM($B$1),_xlpm.stat,TRIM(B$5),_xlpm.r,MATCH(_xlpm.team,'Seasons Summary'!$A$5:$A$22,0),_xlpm.c,MATCH(_xlpm.stat,'Seasons Summary'!$4:$4,0),IFERROR(INDEX('Seasons Summary'!$A$5:$AAK$22,_xlpm.r,_xlpm.c),""))</f>
        <v/>
      </c>
      <c r="C6" s="117">
        <f>_xlfn.LET(_xlpm.team,TRIM($B$1),_xlpm.stat,TRIM(C$5),_xlpm.r,MATCH(_xlpm.team,'Seasons Summary'!$A$5:$A$22,0),_xlpm.c,MATCH(_xlpm.stat,'Seasons Summary'!$4:$4,0),IFERROR(INDEX('Seasons Summary'!$A$5:$AAK$22,_xlpm.r,_xlpm.c),""))</f>
        <v/>
      </c>
      <c r="D6" s="117">
        <f>_xlfn.LET(_xlpm.team,TRIM($B$1),_xlpm.stat,TRIM(D$5),_xlpm.r,MATCH(_xlpm.team,'Seasons Summary'!$A$5:$A$22,0),_xlpm.c,MATCH(_xlpm.stat,'Seasons Summary'!$4:$4,0),IFERROR(INDEX('Seasons Summary'!$A$5:$AAK$22,_xlpm.r,_xlpm.c),""))</f>
        <v/>
      </c>
      <c r="E6" s="118">
        <f>_xlfn.LET(_xlpm.team,TRIM($B$1),_xlpm.stat,TRIM(E$5),_xlpm.r,MATCH(_xlpm.team,'Seasons Summary'!$A$5:$A$22,0),_xlpm.c,MATCH(_xlpm.stat,'Seasons Summary'!$4:$4,0),IFERROR(INDEX('Seasons Summary'!$A$5:$AAK$22,_xlpm.r,_xlpm.c),""))</f>
        <v/>
      </c>
      <c r="F6" s="116">
        <f>_xlfn.LET(_xlpm.team,TRIM($B$1),_xlpm.stat,TRIM(F$5),_xlpm.r,MATCH(_xlpm.team,'Seasons Summary'!$A$5:$A$22,0),_xlpm.c,MATCH(_xlpm.stat,'Seasons Summary'!$4:$4,0),IFERROR(INDEX('Seasons Summary'!$A$5:$AAK$22,_xlpm.r,_xlpm.c),""))</f>
        <v/>
      </c>
      <c r="G6" s="117">
        <f>_xlfn.LET(_xlpm.team,TRIM($B$1),_xlpm.stat,TRIM(G$5),_xlpm.r,MATCH(_xlpm.team,'Seasons Summary'!$A$5:$A$22,0),_xlpm.c,MATCH(_xlpm.stat,'Seasons Summary'!$4:$4,0),IFERROR(INDEX('Seasons Summary'!$A$5:$AAK$22,_xlpm.r,_xlpm.c),""))</f>
        <v/>
      </c>
      <c r="H6" s="117">
        <f>_xlfn.LET(_xlpm.team,TRIM($B$1),_xlpm.stat,TRIM(H$5),_xlpm.r,MATCH(_xlpm.team,'Seasons Summary'!$A$5:$A$22,0),_xlpm.c,MATCH(_xlpm.stat,'Seasons Summary'!$4:$4,0),IFERROR(INDEX('Seasons Summary'!$A$5:$AAK$22,_xlpm.r,_xlpm.c),""))</f>
        <v/>
      </c>
      <c r="I6" s="118">
        <f>_xlfn.LET(_xlpm.team,TRIM($B$1),_xlpm.stat,TRIM(I$5),_xlpm.r,MATCH(_xlpm.team,'Seasons Summary'!$A$5:$A$22,0),_xlpm.c,MATCH(_xlpm.stat,'Seasons Summary'!$4:$4,0),IFERROR(INDEX('Seasons Summary'!$A$5:$AAK$22,_xlpm.r,_xlpm.c),""))</f>
        <v/>
      </c>
      <c r="J6" s="116">
        <f>_xlfn.LET(_xlpm.team,TRIM($B$1),_xlpm.stat,TRIM(J$5),_xlpm.r,MATCH(_xlpm.team,'Seasons Summary'!$A$5:$A$22,0),_xlpm.c,MATCH(_xlpm.stat,'Seasons Summary'!$4:$4,0),IFERROR(INDEX('Seasons Summary'!$A$5:$AAK$22,_xlpm.r,_xlpm.c),""))</f>
        <v/>
      </c>
      <c r="K6" s="117">
        <f>_xlfn.LET(_xlpm.team,TRIM($B$1),_xlpm.stat,TRIM(K$5),_xlpm.r,MATCH(_xlpm.team,'Seasons Summary'!$A$5:$A$22,0),_xlpm.c,MATCH(_xlpm.stat,'Seasons Summary'!$4:$4,0),IFERROR(INDEX('Seasons Summary'!$A$5:$AAK$22,_xlpm.r,_xlpm.c),""))</f>
        <v/>
      </c>
      <c r="L6" s="117">
        <f>_xlfn.LET(_xlpm.team,TRIM($B$1),_xlpm.stat,TRIM(L$5),_xlpm.r,MATCH(_xlpm.team,'Seasons Summary'!$A$5:$A$22,0),_xlpm.c,MATCH(_xlpm.stat,'Seasons Summary'!$4:$4,0),IFERROR(INDEX('Seasons Summary'!$A$5:$AAK$22,_xlpm.r,_xlpm.c),""))</f>
        <v/>
      </c>
      <c r="M6" s="118">
        <f>_xlfn.LET(_xlpm.team,TRIM($B$1),_xlpm.stat,TRIM(M$5),_xlpm.r,MATCH(_xlpm.team,'Seasons Summary'!$A$5:$A$22,0),_xlpm.c,MATCH(_xlpm.stat,'Seasons Summary'!$4:$4,0),IFERROR(INDEX('Seasons Summary'!$A$5:$AAK$22,_xlpm.r,_xlpm.c),""))</f>
        <v/>
      </c>
      <c r="N6" s="116">
        <f>_xlfn.LET(_xlpm.team,TRIM($B$1),_xlpm.stat,TRIM(N$5),_xlpm.r,MATCH(_xlpm.team,'Seasons Summary'!$A$5:$A$22,0),_xlpm.c,MATCH(_xlpm.stat,'Seasons Summary'!$4:$4,0),IFERROR(INDEX('Seasons Summary'!$A$5:$AAK$22,_xlpm.r,_xlpm.c),""))</f>
        <v/>
      </c>
      <c r="O6" s="117">
        <f>_xlfn.LET(_xlpm.team,TRIM($B$1),_xlpm.stat,TRIM(O$5),_xlpm.r,MATCH(_xlpm.team,'Seasons Summary'!$A$5:$A$22,0),_xlpm.c,MATCH(_xlpm.stat,'Seasons Summary'!$4:$4,0),IFERROR(INDEX('Seasons Summary'!$A$5:$AAK$22,_xlpm.r,_xlpm.c),""))</f>
        <v/>
      </c>
      <c r="P6" s="117">
        <f>_xlfn.LET(_xlpm.team,TRIM($B$1),_xlpm.stat,TRIM(P$5),_xlpm.r,MATCH(_xlpm.team,'Seasons Summary'!$A$5:$A$22,0),_xlpm.c,MATCH(_xlpm.stat,'Seasons Summary'!$4:$4,0),IFERROR(INDEX('Seasons Summary'!$A$5:$AAK$22,_xlpm.r,_xlpm.c),""))</f>
        <v/>
      </c>
      <c r="Q6" s="118">
        <f>_xlfn.LET(_xlpm.team,TRIM($B$1),_xlpm.stat,TRIM(Q$5),_xlpm.r,MATCH(_xlpm.team,'Seasons Summary'!$A$5:$A$22,0),_xlpm.c,MATCH(_xlpm.stat,'Seasons Summary'!$4:$4,0),IFERROR(INDEX('Seasons Summary'!$A$5:$AAK$22,_xlpm.r,_xlpm.c),""))</f>
        <v/>
      </c>
      <c r="R6" s="102" t="n"/>
    </row>
    <row r="7" ht="31" customHeight="1" thickBot="1">
      <c r="A7" s="109" t="inlineStr">
        <is>
          <t>Rank</t>
        </is>
      </c>
      <c r="B7" s="115">
        <f t="array" ref="B7">_xlfn.LET(_xlpm.team,TRIM($B$1),_xlpm.stat,TRIM(B$5),_xlpm.r,MATCH(_xlpm.team,'Seasons Summary'!$A$5:$A$22,0),_xlpm.c,MATCH(_xlpm.stat,'Seasons Summary'!$4:$4,0),IFERROR(INDEX('Seasons Summary'!$A$5:$AAK$22,_xlpm.r,_xlpm.c+1),""))</f>
        <v/>
      </c>
      <c r="C7" s="110">
        <f t="array" ref="C7">_xlfn.LET(_xlpm.team,TRIM($B$1),_xlpm.stat,TRIM(C$5),_xlpm.r,MATCH(_xlpm.team,'Seasons Summary'!$A$5:$A$22,0),_xlpm.c,MATCH(_xlpm.stat,'Seasons Summary'!$4:$4,0),IFERROR(INDEX('Seasons Summary'!$A$5:$AAK$22,_xlpm.r,_xlpm.c+1),""))</f>
        <v/>
      </c>
      <c r="D7" s="110">
        <f t="array" ref="D7">_xlfn.LET(_xlpm.team,TRIM($B$1),_xlpm.stat,TRIM(D$5),_xlpm.r,MATCH(_xlpm.team,'Seasons Summary'!$A$5:$A$22,0),_xlpm.c,MATCH(_xlpm.stat,'Seasons Summary'!$4:$4,0),IFERROR(INDEX('Seasons Summary'!$A$5:$AAK$22,_xlpm.r,_xlpm.c+1),""))</f>
        <v/>
      </c>
      <c r="E7" s="111">
        <f t="array" ref="E7">_xlfn.LET(_xlpm.team,TRIM($B$1),_xlpm.stat,TRIM(E$5),_xlpm.r,MATCH(_xlpm.team,'Seasons Summary'!$A$5:$A$22,0),_xlpm.c,MATCH(_xlpm.stat,'Seasons Summary'!$4:$4,0),IFERROR(INDEX('Seasons Summary'!$A$5:$AAK$22,_xlpm.r,_xlpm.c+1),""))</f>
        <v/>
      </c>
      <c r="F7" s="115">
        <f t="array" ref="F7">_xlfn.LET(_xlpm.team,TRIM($B$1),_xlpm.stat,TRIM(F$5),_xlpm.r,MATCH(_xlpm.team,'Seasons Summary'!$A$5:$A$22,0),_xlpm.c,MATCH(_xlpm.stat,'Seasons Summary'!$4:$4,0),IFERROR(INDEX('Seasons Summary'!$A$5:$AAK$22,_xlpm.r,_xlpm.c+1),""))</f>
        <v/>
      </c>
      <c r="G7" s="110">
        <f t="array" ref="G7">_xlfn.LET(_xlpm.team,TRIM($B$1),_xlpm.stat,TRIM(G$5),_xlpm.r,MATCH(_xlpm.team,'Seasons Summary'!$A$5:$A$22,0),_xlpm.c,MATCH(_xlpm.stat,'Seasons Summary'!$4:$4,0),IFERROR(INDEX('Seasons Summary'!$A$5:$AAK$22,_xlpm.r,_xlpm.c+1),""))</f>
        <v/>
      </c>
      <c r="H7" s="110">
        <f t="array" ref="H7">_xlfn.LET(_xlpm.team,TRIM($B$1),_xlpm.stat,TRIM(H$5),_xlpm.r,MATCH(_xlpm.team,'Seasons Summary'!$A$5:$A$22,0),_xlpm.c,MATCH(_xlpm.stat,'Seasons Summary'!$4:$4,0),IFERROR(INDEX('Seasons Summary'!$A$5:$AAK$22,_xlpm.r,_xlpm.c+1),""))</f>
        <v/>
      </c>
      <c r="I7" s="111">
        <f t="array" ref="I7">_xlfn.LET(_xlpm.team,TRIM($B$1),_xlpm.stat,TRIM(I$5),_xlpm.r,MATCH(_xlpm.team,'Seasons Summary'!$A$5:$A$22,0),_xlpm.c,MATCH(_xlpm.stat,'Seasons Summary'!$4:$4,0),IFERROR(INDEX('Seasons Summary'!$A$5:$AAK$22,_xlpm.r,_xlpm.c+1),""))</f>
        <v/>
      </c>
      <c r="J7" s="115">
        <f t="array" ref="J7">_xlfn.LET(_xlpm.team,TRIM($B$1),_xlpm.stat,TRIM(J$5),_xlpm.r,MATCH(_xlpm.team,'Seasons Summary'!$A$5:$A$22,0),_xlpm.c,MATCH(_xlpm.stat,'Seasons Summary'!$4:$4,0),IFERROR(INDEX('Seasons Summary'!$A$5:$AAK$22,_xlpm.r,_xlpm.c+1),""))</f>
        <v/>
      </c>
      <c r="K7" s="110">
        <f t="array" ref="K7">_xlfn.LET(_xlpm.team,TRIM($B$1),_xlpm.stat,TRIM(K$5),_xlpm.r,MATCH(_xlpm.team,'Seasons Summary'!$A$5:$A$22,0),_xlpm.c,MATCH(_xlpm.stat,'Seasons Summary'!$4:$4,0),IFERROR(INDEX('Seasons Summary'!$A$5:$AAK$22,_xlpm.r,_xlpm.c+1),""))</f>
        <v/>
      </c>
      <c r="L7" s="110">
        <f t="array" ref="L7">_xlfn.LET(_xlpm.team,TRIM($B$1),_xlpm.stat,TRIM(L$5),_xlpm.r,MATCH(_xlpm.team,'Seasons Summary'!$A$5:$A$22,0),_xlpm.c,MATCH(_xlpm.stat,'Seasons Summary'!$4:$4,0),IFERROR(INDEX('Seasons Summary'!$A$5:$AAK$22,_xlpm.r,_xlpm.c+1),""))</f>
        <v/>
      </c>
      <c r="M7" s="111">
        <f t="array" ref="M7">_xlfn.LET(_xlpm.team,TRIM($B$1),_xlpm.stat,TRIM(M$5),_xlpm.r,MATCH(_xlpm.team,'Seasons Summary'!$A$5:$A$22,0),_xlpm.c,MATCH(_xlpm.stat,'Seasons Summary'!$4:$4,0),IFERROR(INDEX('Seasons Summary'!$A$5:$AAK$22,_xlpm.r,_xlpm.c+1),""))</f>
        <v/>
      </c>
      <c r="N7" s="115">
        <f t="array" ref="N7">_xlfn.LET(_xlpm.team,TRIM($B$1),_xlpm.stat,TRIM(N$5),_xlpm.r,MATCH(_xlpm.team,'Seasons Summary'!$A$5:$A$22,0),_xlpm.c,MATCH(_xlpm.stat,'Seasons Summary'!$4:$4,0),IFERROR(INDEX('Seasons Summary'!$A$5:$AAK$22,_xlpm.r,_xlpm.c+1),""))</f>
        <v/>
      </c>
      <c r="O7" s="110">
        <f t="array" ref="O7">_xlfn.LET(_xlpm.team,TRIM($B$1),_xlpm.stat,TRIM(O$5),_xlpm.r,MATCH(_xlpm.team,'Seasons Summary'!$A$5:$A$22,0),_xlpm.c,MATCH(_xlpm.stat,'Seasons Summary'!$4:$4,0),IFERROR(INDEX('Seasons Summary'!$A$5:$AAK$22,_xlpm.r,_xlpm.c+1),""))</f>
        <v/>
      </c>
      <c r="P7" s="110">
        <f t="array" ref="P7">_xlfn.LET(_xlpm.team,TRIM($B$1),_xlpm.stat,TRIM(P$5),_xlpm.r,MATCH(_xlpm.team,'Seasons Summary'!$A$5:$A$22,0),_xlpm.c,MATCH(_xlpm.stat,'Seasons Summary'!$4:$4,0),IFERROR(INDEX('Seasons Summary'!$A$5:$AAK$22,_xlpm.r,_xlpm.c+1),""))</f>
        <v/>
      </c>
      <c r="Q7" s="111">
        <f t="array" ref="Q7">_xlfn.LET(_xlpm.team,TRIM($B$1),_xlpm.stat,TRIM(Q$5),_xlpm.r,MATCH(_xlpm.team,'Seasons Summary'!$A$5:$A$22,0),_xlpm.c,MATCH(_xlpm.stat,'Seasons Summary'!$4:$4,0),IFERROR(INDEX('Seasons Summary'!$A$5:$AAK$22,_xlpm.r,_xlpm.c+1),""))</f>
        <v/>
      </c>
      <c r="R7" s="102" t="n"/>
    </row>
    <row r="8" ht="26" customHeight="1">
      <c r="A8" s="288" t="n"/>
      <c r="B8" s="334">
        <f>'Seasons Summary'!BB4</f>
        <v/>
      </c>
      <c r="C8" s="328" t="n"/>
      <c r="D8" s="328" t="n"/>
      <c r="E8" s="331" t="n"/>
      <c r="F8" s="335">
        <f>'Seasons Summary'!BQ4</f>
        <v/>
      </c>
      <c r="G8" s="328" t="n"/>
      <c r="H8" s="328" t="n"/>
      <c r="I8" s="328" t="n"/>
      <c r="J8" s="328" t="n"/>
      <c r="K8" s="331" t="n"/>
      <c r="L8" s="102" t="n"/>
      <c r="M8" s="102" t="n"/>
      <c r="N8" s="102" t="n"/>
      <c r="O8" s="102" t="n"/>
      <c r="P8" s="102" t="n"/>
      <c r="Q8" s="102" t="n"/>
      <c r="R8" s="102" t="n"/>
    </row>
    <row r="9" ht="42" customHeight="1" thickBot="1">
      <c r="A9" s="332" t="n"/>
      <c r="B9" s="263">
        <f t="array" ref="B9">_xlfn.LET(_xlpm.team,TRIM($B$1),_xlpm.stat,TRIM($B$8),_xlpm.r,MATCH(_xlpm.team,'Seasons Summary'!$A$5:$A$22,0),_xlpm.c,IFERROR(MATCH(_xlpm.stat,'Seasons Summary'!$4:$4,0),MATCH("*"&amp;_xlpm.stat&amp;"*",'Seasons Summary'!$4:$4,0)),IFERROR(INDEX('Seasons Summary'!$A$5:$AAK$22,_xlpm.r,_xlpm.c),""))</f>
        <v/>
      </c>
      <c r="C9" s="327" t="n"/>
      <c r="D9" s="266">
        <f>_xlfn.LET(_xlpm.t,TRIM(CLEAN('Seasons Team Summary'!B1)), _xlpm.r, _xlfn.XLOOKUP(_xlpm.t, 'Seasons Ladders'!A4:A21, 'Seasons Ladders'!K4:K21, ""),
 IF(_xlpm.r="","Not Available",
   _xlpm.r &amp; IF(OR(MOD(_xlpm.r,100)=11,MOD(_xlpm.r,100)=12,MOD(_xlpm.r,100)=13),"th",
          CHOOSE(MOD(_xlpm.r,10)+1,"th","st","nd","rd","th","th","th","th","th","th"))))</f>
        <v/>
      </c>
      <c r="E9" s="333" t="n"/>
      <c r="F9" s="272">
        <f t="array" ref="F9">_xlfn.LET(_xlpm.team,TRIM($B$1),_xlpm.stat,TRIM($F$8),_xlpm.r,MATCH(_xlpm.team,'Seasons Summary'!$A$5:$A$22,0),_xlpm.c,IFERROR(MATCH(_xlpm.stat,'Seasons Summary'!$4:$4,0),MATCH("*"&amp;_xlpm.stat&amp;"*",'Seasons Summary'!$4:$4,0)),IFERROR(INDEX('Seasons Summary'!$A$5:$AAK$22,_xlpm.r,_xlpm.c),""))</f>
        <v/>
      </c>
      <c r="G9" s="327" t="n"/>
      <c r="H9" s="327" t="n"/>
      <c r="I9" s="168">
        <f>_xlfn.LET(
  _xlpm.t, TRIM(CLEAN('Seasons Team Summary'!B1)),
  _xlpm.r, _xlfn.XLOOKUP(_xlpm.t, 'Seasons Summary'!A5:A22, 'Seasons Summary'!BR5:BR22, ""),
  IF(_xlpm.r="","Not Available",
     _xlpm.r &amp; IF(OR(MOD(_xlpm.r,100)=11, MOD(_xlpm.r,100)=12, MOD(_xlpm.r,100)=13),
            "th",
            CHOOSE(MOD(_xlpm.r,10)+1,"th","st","nd","rd","th","th","th","th","th","th")
     )
  )
)</f>
        <v/>
      </c>
      <c r="J9" s="201" t="n"/>
      <c r="K9" s="169" t="n"/>
      <c r="L9" s="190" t="n"/>
      <c r="M9" s="190" t="n"/>
      <c r="N9" s="190" t="n"/>
      <c r="O9" s="190" t="n"/>
      <c r="P9" s="190" t="n"/>
      <c r="Q9" s="102" t="n"/>
      <c r="R9" s="102" t="n"/>
    </row>
    <row r="10" ht="42" customHeight="1" thickBot="1">
      <c r="A10" s="107" t="inlineStr">
        <is>
          <t>Stat</t>
        </is>
      </c>
      <c r="B10" s="198">
        <f>'Seasons Summary'!AT4</f>
        <v/>
      </c>
      <c r="C10" s="199">
        <f>'Seasons Summary'!AV4</f>
        <v/>
      </c>
      <c r="D10" s="199">
        <f>'Seasons Summary'!AX4</f>
        <v/>
      </c>
      <c r="E10" s="200">
        <f>'Seasons Summary'!AZ4</f>
        <v/>
      </c>
      <c r="F10" s="143">
        <f>'Seasons Summary'!BE4</f>
        <v/>
      </c>
      <c r="G10" s="144">
        <f>'Seasons Summary'!BG4</f>
        <v/>
      </c>
      <c r="H10" s="144">
        <f>'Seasons Summary'!BI4</f>
        <v/>
      </c>
      <c r="I10" s="144">
        <f>'Seasons Summary'!BK4</f>
        <v/>
      </c>
      <c r="J10" s="144">
        <f>'Seasons Summary'!BM4</f>
        <v/>
      </c>
      <c r="K10" s="167">
        <f>'Seasons Summary'!BO4</f>
        <v/>
      </c>
      <c r="L10" s="170" t="n"/>
      <c r="M10" s="170" t="n"/>
      <c r="N10" s="170" t="n"/>
      <c r="O10" s="194" t="n"/>
      <c r="P10" s="194" t="n"/>
      <c r="Q10" s="194" t="n"/>
      <c r="R10" s="102" t="n"/>
    </row>
    <row r="11" ht="30" customHeight="1">
      <c r="A11" s="107" t="inlineStr">
        <is>
          <t>Raw</t>
        </is>
      </c>
      <c r="B11" s="116">
        <f>_xlfn.LET(_xlpm.team,TRIM($B$1),_xlpm.stat,TRIM(B$10),_xlpm.r,MATCH(_xlpm.team,'Seasons Summary'!$A$5:$A$22,0),_xlpm.c,MATCH(_xlpm.stat,'Seasons Summary'!$4:$4,0),IFERROR(INDEX('Seasons Summary'!$A$5:$AAK$22,_xlpm.r,_xlpm.c),""))</f>
        <v/>
      </c>
      <c r="C11" s="117">
        <f>_xlfn.LET(_xlpm.team,TRIM($B$1),_xlpm.stat,TRIM(C$10),_xlpm.r,MATCH(_xlpm.team,'Seasons Summary'!$A$5:$A$22,0),_xlpm.c,MATCH(_xlpm.stat,'Seasons Summary'!$4:$4,0),IFERROR(INDEX('Seasons Summary'!$A$5:$AAK$22,_xlpm.r,_xlpm.c),""))</f>
        <v/>
      </c>
      <c r="D11" s="117">
        <f>_xlfn.LET(_xlpm.team,TRIM($B$1),_xlpm.stat,TRIM(D$10),_xlpm.r,MATCH(_xlpm.team,'Seasons Summary'!$A$5:$A$22,0),_xlpm.c,MATCH(_xlpm.stat,'Seasons Summary'!$4:$4,0),IFERROR(INDEX('Seasons Summary'!$A$5:$AAK$22,_xlpm.r,_xlpm.c),""))</f>
        <v/>
      </c>
      <c r="E11" s="118">
        <f>_xlfn.LET(_xlpm.team,TRIM($B$1),_xlpm.stat,TRIM(E$10),_xlpm.r,MATCH(_xlpm.team,'Seasons Summary'!$A$5:$A$22,0),_xlpm.c,MATCH(_xlpm.stat,'Seasons Summary'!$4:$4,0),IFERROR(INDEX('Seasons Summary'!$A$5:$AAK$22,_xlpm.r,_xlpm.c),""))</f>
        <v/>
      </c>
      <c r="F11" s="114">
        <f>_xlfn.LET(_xlpm.team,TRIM($B$1),_xlpm.stat,TRIM(F$10),_xlpm.r,MATCH(_xlpm.team,'Seasons Summary'!$A$5:$A$22,0),_xlpm.c,MATCH(_xlpm.stat,'Seasons Summary'!$4:$4,0),IFERROR(INDEX('Seasons Summary'!$A$5:$AAK$22,_xlpm.r,_xlpm.c),""))</f>
        <v/>
      </c>
      <c r="G11" s="101">
        <f>_xlfn.LET(_xlpm.team,TRIM($B$1),_xlpm.stat,TRIM(G$10),_xlpm.r,MATCH(_xlpm.team,'Seasons Summary'!$A$5:$A$22,0),_xlpm.c,MATCH(_xlpm.stat,'Seasons Summary'!$4:$4,0),IFERROR(INDEX('Seasons Summary'!$A$5:$AAK$22,_xlpm.r,_xlpm.c),""))</f>
        <v/>
      </c>
      <c r="H11" s="101">
        <f>_xlfn.LET(_xlpm.team,TRIM($B$1),_xlpm.stat,TRIM(H$10),_xlpm.r,MATCH(_xlpm.team,'Seasons Summary'!$A$5:$A$22,0),_xlpm.c,MATCH(_xlpm.stat,'Seasons Summary'!$4:$4,0),IFERROR(INDEX('Seasons Summary'!$A$5:$AAK$22,_xlpm.r,_xlpm.c),""))</f>
        <v/>
      </c>
      <c r="I11" s="101">
        <f>_xlfn.LET(_xlpm.team,TRIM($B$1),_xlpm.stat,TRIM(I$10),_xlpm.r,MATCH(_xlpm.team,'Seasons Summary'!$A$5:$A$22,0),_xlpm.c,MATCH(_xlpm.stat,'Seasons Summary'!$4:$4,0),IFERROR(INDEX('Seasons Summary'!$A$5:$AAK$22,_xlpm.r,_xlpm.c),""))</f>
        <v/>
      </c>
      <c r="J11" s="101">
        <f>_xlfn.LET(_xlpm.team,TRIM($B$1),_xlpm.stat,TRIM(J$10),_xlpm.r,MATCH(_xlpm.team,'Seasons Summary'!$A$5:$A$22,0),_xlpm.c,MATCH(_xlpm.stat,'Seasons Summary'!$4:$4,0),IFERROR(INDEX('Seasons Summary'!$A$5:$AAK$22,_xlpm.r,_xlpm.c),""))</f>
        <v/>
      </c>
      <c r="K11" s="108">
        <f>_xlfn.LET(_xlpm.team,TRIM($B$1),_xlpm.stat,TRIM(K$10),_xlpm.r,MATCH(_xlpm.team,'Seasons Summary'!$A$5:$A$22,0),_xlpm.c,MATCH(_xlpm.stat,'Seasons Summary'!$4:$4,0),IFERROR(INDEX('Seasons Summary'!$A$5:$AAK$22,_xlpm.r,_xlpm.c),""))</f>
        <v/>
      </c>
      <c r="L11" s="170" t="n"/>
      <c r="M11" s="170" t="n"/>
      <c r="N11" s="170" t="n"/>
      <c r="O11" s="194" t="n"/>
      <c r="P11" s="194" t="n"/>
      <c r="Q11" s="194" t="n"/>
      <c r="R11" s="102" t="n"/>
    </row>
    <row r="12" ht="30" customHeight="1" thickBot="1">
      <c r="A12" s="109" t="inlineStr">
        <is>
          <t>Rank</t>
        </is>
      </c>
      <c r="B12" s="115">
        <f t="array" ref="B12">_xlfn.LET(_xlpm.team,TRIM($B$1),_xlpm.stat,TRIM(B$10),_xlpm.r,MATCH(_xlpm.team,'Seasons Summary'!$A$5:$A$22,0),_xlpm.c,MATCH(_xlpm.stat,'Seasons Summary'!$4:$4,0),IFERROR(INDEX('Seasons Summary'!$A$5:$AAK$22,_xlpm.r,_xlpm.c+1),""))</f>
        <v/>
      </c>
      <c r="C12" s="110">
        <f t="array" ref="C12">_xlfn.LET(_xlpm.team,TRIM($B$1),_xlpm.stat,TRIM(C$10),_xlpm.r,MATCH(_xlpm.team,'Seasons Summary'!$A$5:$A$22,0),_xlpm.c,MATCH(_xlpm.stat,'Seasons Summary'!$4:$4,0),IFERROR(INDEX('Seasons Summary'!$A$5:$AAK$22,_xlpm.r,_xlpm.c+1),""))</f>
        <v/>
      </c>
      <c r="D12" s="110">
        <f t="array" ref="D12">_xlfn.LET(_xlpm.team,TRIM($B$1),_xlpm.stat,TRIM(D$10),_xlpm.r,MATCH(_xlpm.team,'Seasons Summary'!$A$5:$A$22,0),_xlpm.c,MATCH(_xlpm.stat,'Seasons Summary'!$4:$4,0),IFERROR(INDEX('Seasons Summary'!$A$5:$AAK$22,_xlpm.r,_xlpm.c+1),""))</f>
        <v/>
      </c>
      <c r="E12" s="111">
        <f t="array" ref="E12">_xlfn.LET(_xlpm.team,TRIM($B$1),_xlpm.stat,TRIM(E$10),_xlpm.r,MATCH(_xlpm.team,'Seasons Summary'!$A$5:$A$22,0),_xlpm.c,MATCH(_xlpm.stat,'Seasons Summary'!$4:$4,0),IFERROR(INDEX('Seasons Summary'!$A$5:$AAK$22,_xlpm.r,_xlpm.c+1),""))</f>
        <v/>
      </c>
      <c r="F12" s="115">
        <f t="array" ref="F12">_xlfn.LET(_xlpm.team,TRIM($B$1),_xlpm.stat,TRIM(F$10),_xlpm.r,MATCH(_xlpm.team,'Seasons Summary'!$A$5:$A$22,0),_xlpm.c,MATCH(_xlpm.stat,'Seasons Summary'!$4:$4,0),IFERROR(INDEX('Seasons Summary'!$A$5:$AAK$22,_xlpm.r,_xlpm.c+1),""))</f>
        <v/>
      </c>
      <c r="G12" s="110">
        <f t="array" ref="G12">_xlfn.LET(_xlpm.team,TRIM($B$1),_xlpm.stat,TRIM(G$10),_xlpm.r,MATCH(_xlpm.team,'Seasons Summary'!$A$5:$A$22,0),_xlpm.c,MATCH(_xlpm.stat,'Seasons Summary'!$4:$4,0),IFERROR(INDEX('Seasons Summary'!$A$5:$AAK$22,_xlpm.r,_xlpm.c+1),""))</f>
        <v/>
      </c>
      <c r="H12" s="110">
        <f t="array" ref="H12">_xlfn.LET(_xlpm.team,TRIM($B$1),_xlpm.stat,TRIM(H$10),_xlpm.r,MATCH(_xlpm.team,'Seasons Summary'!$A$5:$A$22,0),_xlpm.c,MATCH(_xlpm.stat,'Seasons Summary'!$4:$4,0),IFERROR(INDEX('Seasons Summary'!$A$5:$AAK$22,_xlpm.r,_xlpm.c+1),""))</f>
        <v/>
      </c>
      <c r="I12" s="110">
        <f t="array" ref="I12">_xlfn.LET(_xlpm.team,TRIM($B$1),_xlpm.stat,TRIM(I$10),_xlpm.r,MATCH(_xlpm.team,'Seasons Summary'!$A$5:$A$22,0),_xlpm.c,MATCH(_xlpm.stat,'Seasons Summary'!$4:$4,0),IFERROR(INDEX('Seasons Summary'!$A$5:$AAK$22,_xlpm.r,_xlpm.c+1),""))</f>
        <v/>
      </c>
      <c r="J12" s="110">
        <f t="array" ref="J12">_xlfn.LET(_xlpm.team,TRIM($B$1),_xlpm.stat,TRIM(J$10),_xlpm.r,MATCH(_xlpm.team,'Seasons Summary'!$A$5:$A$22,0),_xlpm.c,MATCH(_xlpm.stat,'Seasons Summary'!$4:$4,0),IFERROR(INDEX('Seasons Summary'!$A$5:$AAK$22,_xlpm.r,_xlpm.c+1),""))</f>
        <v/>
      </c>
      <c r="K12" s="111">
        <f t="array" ref="K12">_xlfn.LET(_xlpm.team,TRIM($B$1),_xlpm.stat,TRIM(K$10),_xlpm.r,MATCH(_xlpm.team,'Seasons Summary'!$A$5:$A$22,0),_xlpm.c,MATCH(_xlpm.stat,'Seasons Summary'!$4:$4,0),IFERROR(INDEX('Seasons Summary'!$A$5:$AAK$22,_xlpm.r,_xlpm.c+1),""))</f>
        <v/>
      </c>
      <c r="L12" s="102" t="n"/>
      <c r="M12" s="102" t="n"/>
      <c r="N12" s="102" t="n"/>
      <c r="O12" s="102" t="n"/>
      <c r="P12" s="102" t="n"/>
      <c r="Q12" s="102" t="n"/>
      <c r="R12" s="102" t="n"/>
    </row>
    <row r="13" ht="29" customHeight="1" thickBot="1">
      <c r="A13" s="134" t="n"/>
      <c r="B13" s="189">
        <f>'Seasons Summary'!B24</f>
        <v/>
      </c>
      <c r="C13" s="189" t="n"/>
      <c r="D13" s="189" t="n"/>
      <c r="E13" s="189" t="n"/>
      <c r="F13" s="189" t="n"/>
      <c r="G13" s="189" t="n"/>
      <c r="H13" s="189" t="n"/>
      <c r="I13" s="189" t="n"/>
      <c r="J13" s="189" t="n"/>
      <c r="K13" s="189" t="n"/>
      <c r="L13" s="189" t="n"/>
      <c r="M13" s="189" t="n"/>
      <c r="N13" s="189" t="n"/>
      <c r="O13" s="189" t="n"/>
      <c r="P13" s="189" t="n"/>
      <c r="Q13" s="189" t="n"/>
      <c r="R13" s="102" t="n"/>
    </row>
    <row r="14" ht="26" customHeight="1">
      <c r="A14" s="292" t="inlineStr">
        <is>
          <t>Phase</t>
        </is>
      </c>
      <c r="B14" s="293">
        <f>'Seasons Summary'!J27</f>
        <v/>
      </c>
      <c r="C14" s="328" t="n"/>
      <c r="D14" s="328" t="n"/>
      <c r="E14" s="328" t="n"/>
      <c r="F14" s="315">
        <f>'Seasons Summary'!U27</f>
        <v/>
      </c>
      <c r="G14" s="328" t="n"/>
      <c r="H14" s="328" t="n"/>
      <c r="I14" s="329" t="n"/>
      <c r="J14" s="318">
        <f>'Seasons Summary'!AF27</f>
        <v/>
      </c>
      <c r="K14" s="328" t="n"/>
      <c r="L14" s="328" t="n"/>
      <c r="M14" s="329" t="n"/>
      <c r="N14" s="308">
        <f>'Seasons Summary'!AQ27</f>
        <v/>
      </c>
      <c r="O14" s="328" t="n"/>
      <c r="P14" s="328" t="n"/>
      <c r="Q14" s="329" t="n"/>
      <c r="R14" s="102" t="n"/>
    </row>
    <row r="15" ht="42" customHeight="1" thickBot="1">
      <c r="A15" s="332" t="n"/>
      <c r="B15" s="274">
        <f t="array" ref="B15">_xlfn.LET(_xlpm.team,TRIM($B$1),_xlpm.stat,TRIM($B$3),_xlpm.r,MATCH(_xlpm.team,'Seasons Summary'!$A$28:$A$45,0),_xlpm.c,IFERROR(MATCH(_xlpm.stat,'Seasons Summary'!$4:$4,0),MATCH("*"&amp;_xlpm.stat&amp;"*",'Seasons Summary'!$4:$4,0)),IFERROR(INDEX('Seasons Summary'!$A$28:$AAK$45,_xlpm.r,_xlpm.c),""))</f>
        <v/>
      </c>
      <c r="C15" s="327" t="n"/>
      <c r="D15" s="276">
        <f>_xlfn.LET(
  _xlpm.t, TRIM(CLEAN('Seasons Team Summary'!B1)),
  _xlpm.r, _xlfn.XLOOKUP(_xlpm.t, 'Seasons Ladders'!A26:A43, 'Seasons Ladders'!C26:C43,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E15" s="327" t="n"/>
      <c r="F15" s="277">
        <f t="array" ref="F15">_xlfn.LET(_xlpm.team,TRIM($B$1),_xlpm.stat,TRIM($F$3),_xlpm.r,MATCH(_xlpm.team,'Seasons Summary'!$A$28:$A$45,0),_xlpm.c,IFERROR(MATCH(_xlpm.stat,'Seasons Summary'!$4:$4,0),MATCH("*"&amp;_xlpm.stat&amp;"*",'Seasons Summary'!$4:$4,0)),IFERROR(INDEX('Seasons Summary'!$A$28:$AAK$45,_xlpm.r,_xlpm.c),""))</f>
        <v/>
      </c>
      <c r="G15" s="327" t="n"/>
      <c r="H15" s="299">
        <f>_xlfn.LET(
  _xlpm.t, TRIM(CLEAN('Seasons Team Summary'!B1)),
  _xlpm.r, _xlfn.XLOOKUP(_xlpm.t, 'Seasons Ladders'!A26:A43, 'Seasons Ladders'!E26:E43,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I15" s="327" t="n"/>
      <c r="J15" s="300">
        <f t="array" ref="J15">_xlfn.LET(_xlpm.team,TRIM($B$1),_xlpm.stat,TRIM($J$3),_xlpm.r,MATCH(_xlpm.team,'Seasons Summary'!$A$28:$A$45,0),_xlpm.c,IFERROR(MATCH(_xlpm.stat,'Seasons Summary'!$4:$4,0),MATCH("*"&amp;_xlpm.stat&amp;"*",'Seasons Summary'!$4:$4,0)),IFERROR(INDEX('Seasons Summary'!$A$28:$AAK$45,_xlpm.r,_xlpm.c),""))</f>
        <v/>
      </c>
      <c r="K15" s="327" t="n"/>
      <c r="L15" s="302">
        <f>_xlfn.LET(
  _xlpm.t, TRIM(CLEAN('Seasons Team Summary'!B1)),
  _xlpm.r, _xlfn.XLOOKUP(_xlpm.t, 'Seasons Ladders'!A26:A43, 'Seasons Ladders'!G26:G43,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M15" s="327" t="n"/>
      <c r="N15" s="303">
        <f t="array" ref="N15">_xlfn.LET(_xlpm.team,TRIM($B$1),_xlpm.stat,TRIM($N$3),_xlpm.r,MATCH(_xlpm.team,'Seasons Summary'!$A$28:$A$45,0),_xlpm.c,IFERROR(MATCH(_xlpm.stat,'Seasons Summary'!$4:$4,0),MATCH("*"&amp;_xlpm.stat&amp;"*",'Seasons Summary'!$4:$4,0)),IFERROR(INDEX('Seasons Summary'!$A$28:$AAK$45,_xlpm.r,_xlpm.c),""))</f>
        <v/>
      </c>
      <c r="O15" s="327" t="n"/>
      <c r="P15" s="306">
        <f>_xlfn.LET(
  _xlpm.t, TRIM(CLEAN('Seasons Team Summary'!B1)),
  _xlpm.r, _xlfn.XLOOKUP(_xlpm.t, 'Seasons Ladders'!A26:A43, 'Seasons Ladders'!I26:I43,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Q15" s="333" t="n"/>
      <c r="R15" s="102" t="n"/>
    </row>
    <row r="16" ht="40" customHeight="1" thickBot="1">
      <c r="A16" s="107" t="inlineStr">
        <is>
          <t>Stat</t>
        </is>
      </c>
      <c r="B16" s="119">
        <f>'Seasons Summary'!B27</f>
        <v/>
      </c>
      <c r="C16" s="120">
        <f>'Seasons Summary'!D27</f>
        <v/>
      </c>
      <c r="D16" s="120">
        <f>'Seasons Summary'!F27</f>
        <v/>
      </c>
      <c r="E16" s="121">
        <f>'Seasons Summary'!H27</f>
        <v/>
      </c>
      <c r="F16" s="122">
        <f>'Seasons Summary'!M27</f>
        <v/>
      </c>
      <c r="G16" s="123">
        <f>'Seasons Summary'!O27</f>
        <v/>
      </c>
      <c r="H16" s="123">
        <f>'Seasons Summary'!Q27</f>
        <v/>
      </c>
      <c r="I16" s="124">
        <f>'Seasons Summary'!S27</f>
        <v/>
      </c>
      <c r="J16" s="125">
        <f>'Seasons Summary'!X27</f>
        <v/>
      </c>
      <c r="K16" s="126">
        <f>'Seasons Summary'!Z27</f>
        <v/>
      </c>
      <c r="L16" s="126">
        <f>'Seasons Summary'!AB27</f>
        <v/>
      </c>
      <c r="M16" s="127">
        <f>'Seasons Summary'!AD27</f>
        <v/>
      </c>
      <c r="N16" s="128">
        <f>'Seasons Summary'!AI27</f>
        <v/>
      </c>
      <c r="O16" s="129">
        <f>'Seasons Summary'!AK27</f>
        <v/>
      </c>
      <c r="P16" s="129">
        <f>'Seasons Summary'!AM27</f>
        <v/>
      </c>
      <c r="Q16" s="130">
        <f>'Seasons Summary'!AO27</f>
        <v/>
      </c>
      <c r="R16" s="102" t="n"/>
    </row>
    <row r="17" ht="30" customHeight="1">
      <c r="A17" s="107" t="inlineStr">
        <is>
          <t>Raw</t>
        </is>
      </c>
      <c r="B17" s="116">
        <f>_xlfn.LET(_xlpm.team,TRIM($B$1),_xlpm.stat,TRIM(B$16),_xlpm.r,MATCH(_xlpm.team,'Seasons Summary'!$A$28:$A$45,0),_xlpm.c,MATCH(_xlpm.stat,'Seasons Summary'!$4:$4,0),IFERROR(INDEX('Seasons Summary'!$A$28:$AAK$45,_xlpm.r,_xlpm.c),""))</f>
        <v/>
      </c>
      <c r="C17" s="117">
        <f>_xlfn.LET(_xlpm.team,TRIM($B$1),_xlpm.stat,TRIM(C$16),_xlpm.r,MATCH(_xlpm.team,'Seasons Summary'!$A$28:$A$45,0),_xlpm.c,MATCH(_xlpm.stat,'Seasons Summary'!$4:$4,0),IFERROR(INDEX('Seasons Summary'!$A$28:$AAK$45,_xlpm.r,_xlpm.c),""))</f>
        <v/>
      </c>
      <c r="D17" s="117">
        <f>_xlfn.LET(_xlpm.team,TRIM($B$1),_xlpm.stat,TRIM(D$16),_xlpm.r,MATCH(_xlpm.team,'Seasons Summary'!$A$28:$A$45,0),_xlpm.c,MATCH(_xlpm.stat,'Seasons Summary'!$4:$4,0),IFERROR(INDEX('Seasons Summary'!$A$28:$AAK$45,_xlpm.r,_xlpm.c),""))</f>
        <v/>
      </c>
      <c r="E17" s="118">
        <f>_xlfn.LET(_xlpm.team,TRIM($B$1),_xlpm.stat,TRIM(E$16),_xlpm.r,MATCH(_xlpm.team,'Seasons Summary'!$A$28:$A$45,0),_xlpm.c,MATCH(_xlpm.stat,'Seasons Summary'!$4:$4,0),IFERROR(INDEX('Seasons Summary'!$A$28:$AAK$45,_xlpm.r,_xlpm.c),""))</f>
        <v/>
      </c>
      <c r="F17" s="116">
        <f>_xlfn.LET(_xlpm.team,TRIM($B$1),_xlpm.stat,TRIM(F$16),_xlpm.r,MATCH(_xlpm.team,'Seasons Summary'!$A$28:$A$45,0),_xlpm.c,MATCH(_xlpm.stat,'Seasons Summary'!$4:$4,0),IFERROR(INDEX('Seasons Summary'!$A$28:$AAK$45,_xlpm.r,_xlpm.c),""))</f>
        <v/>
      </c>
      <c r="G17" s="117">
        <f>_xlfn.LET(_xlpm.team,TRIM($B$1),_xlpm.stat,TRIM(G$16),_xlpm.r,MATCH(_xlpm.team,'Seasons Summary'!$A$28:$A$45,0),_xlpm.c,MATCH(_xlpm.stat,'Seasons Summary'!$4:$4,0),IFERROR(INDEX('Seasons Summary'!$A$28:$AAK$45,_xlpm.r,_xlpm.c),""))</f>
        <v/>
      </c>
      <c r="H17" s="117">
        <f>_xlfn.LET(_xlpm.team,TRIM($B$1),_xlpm.stat,TRIM(H$16),_xlpm.r,MATCH(_xlpm.team,'Seasons Summary'!$A$28:$A$45,0),_xlpm.c,MATCH(_xlpm.stat,'Seasons Summary'!$4:$4,0),IFERROR(INDEX('Seasons Summary'!$A$28:$AAK$45,_xlpm.r,_xlpm.c),""))</f>
        <v/>
      </c>
      <c r="I17" s="118">
        <f>_xlfn.LET(_xlpm.team,TRIM($B$1),_xlpm.stat,TRIM(I$16),_xlpm.r,MATCH(_xlpm.team,'Seasons Summary'!$A$28:$A$45,0),_xlpm.c,MATCH(_xlpm.stat,'Seasons Summary'!$4:$4,0),IFERROR(INDEX('Seasons Summary'!$A$28:$AAK$45,_xlpm.r,_xlpm.c),""))</f>
        <v/>
      </c>
      <c r="J17" s="116">
        <f>_xlfn.LET(_xlpm.team,TRIM($B$1),_xlpm.stat,TRIM(J$16),_xlpm.r,MATCH(_xlpm.team,'Seasons Summary'!$A$28:$A$45,0),_xlpm.c,MATCH(_xlpm.stat,'Seasons Summary'!$4:$4,0),IFERROR(INDEX('Seasons Summary'!$A$28:$AAK$45,_xlpm.r,_xlpm.c),""))</f>
        <v/>
      </c>
      <c r="K17" s="117">
        <f>_xlfn.LET(_xlpm.team,TRIM($B$1),_xlpm.stat,TRIM(K$16),_xlpm.r,MATCH(_xlpm.team,'Seasons Summary'!$A$28:$A$45,0),_xlpm.c,MATCH(_xlpm.stat,'Seasons Summary'!$4:$4,0),IFERROR(INDEX('Seasons Summary'!$A$28:$AAK$45,_xlpm.r,_xlpm.c),""))</f>
        <v/>
      </c>
      <c r="L17" s="117">
        <f>_xlfn.LET(_xlpm.team,TRIM($B$1),_xlpm.stat,TRIM(L$16),_xlpm.r,MATCH(_xlpm.team,'Seasons Summary'!$A$28:$A$45,0),_xlpm.c,MATCH(_xlpm.stat,'Seasons Summary'!$4:$4,0),IFERROR(INDEX('Seasons Summary'!$A$28:$AAK$45,_xlpm.r,_xlpm.c),""))</f>
        <v/>
      </c>
      <c r="M17" s="118">
        <f>_xlfn.LET(_xlpm.team,TRIM($B$1),_xlpm.stat,TRIM(M$16),_xlpm.r,MATCH(_xlpm.team,'Seasons Summary'!$A$28:$A$45,0),_xlpm.c,MATCH(_xlpm.stat,'Seasons Summary'!$4:$4,0),IFERROR(INDEX('Seasons Summary'!$A$28:$AAK$45,_xlpm.r,_xlpm.c),""))</f>
        <v/>
      </c>
      <c r="N17" s="116">
        <f>_xlfn.LET(_xlpm.team,TRIM($B$1),_xlpm.stat,TRIM(N$16),_xlpm.r,MATCH(_xlpm.team,'Seasons Summary'!$A$28:$A$45,0),_xlpm.c,MATCH(_xlpm.stat,'Seasons Summary'!$4:$4,0),IFERROR(INDEX('Seasons Summary'!$A$28:$AAK$45,_xlpm.r,_xlpm.c),""))</f>
        <v/>
      </c>
      <c r="O17" s="117">
        <f>_xlfn.LET(_xlpm.team,TRIM($B$1),_xlpm.stat,TRIM(O$16),_xlpm.r,MATCH(_xlpm.team,'Seasons Summary'!$A$28:$A$45,0),_xlpm.c,MATCH(_xlpm.stat,'Seasons Summary'!$4:$4,0),IFERROR(INDEX('Seasons Summary'!$A$28:$AAK$45,_xlpm.r,_xlpm.c),""))</f>
        <v/>
      </c>
      <c r="P17" s="117">
        <f>_xlfn.LET(_xlpm.team,TRIM($B$1),_xlpm.stat,TRIM(P$16),_xlpm.r,MATCH(_xlpm.team,'Seasons Summary'!$A$28:$A$45,0),_xlpm.c,MATCH(_xlpm.stat,'Seasons Summary'!$4:$4,0),IFERROR(INDEX('Seasons Summary'!$A$28:$AAK$45,_xlpm.r,_xlpm.c),""))</f>
        <v/>
      </c>
      <c r="Q17" s="118">
        <f>_xlfn.LET(_xlpm.team,TRIM($B$1),_xlpm.stat,TRIM(Q$16),_xlpm.r,MATCH(_xlpm.team,'Seasons Summary'!$A$28:$A$45,0),_xlpm.c,MATCH(_xlpm.stat,'Seasons Summary'!$4:$4,0),IFERROR(INDEX('Seasons Summary'!$A$28:$AAK$45,_xlpm.r,_xlpm.c),""))</f>
        <v/>
      </c>
      <c r="R17" s="102" t="n"/>
    </row>
    <row r="18" ht="30" customHeight="1" thickBot="1">
      <c r="A18" s="109" t="inlineStr">
        <is>
          <t>Rank</t>
        </is>
      </c>
      <c r="B18" s="115">
        <f t="array" ref="B18">_xlfn.LET(_xlpm.team,TRIM($B$1),_xlpm.stat,TRIM(B$16),_xlpm.r,MATCH(_xlpm.team,'Seasons Summary'!$A$28:$A$45,0),_xlpm.c,MATCH(_xlpm.stat,'Seasons Summary'!$4:$4,0),IFERROR(INDEX('Seasons Summary'!$A$28:$AAK$45,_xlpm.r,_xlpm.c+1),""))</f>
        <v/>
      </c>
      <c r="C18" s="110">
        <f t="array" ref="C18">_xlfn.LET(_xlpm.team,TRIM($B$1),_xlpm.stat,TRIM(C$16),_xlpm.r,MATCH(_xlpm.team,'Seasons Summary'!$A$28:$A$45,0),_xlpm.c,MATCH(_xlpm.stat,'Seasons Summary'!$4:$4,0),IFERROR(INDEX('Seasons Summary'!$A$28:$AAK$45,_xlpm.r,_xlpm.c+1),""))</f>
        <v/>
      </c>
      <c r="D18" s="110">
        <f t="array" ref="D18">_xlfn.LET(_xlpm.team,TRIM($B$1),_xlpm.stat,TRIM(D$16),_xlpm.r,MATCH(_xlpm.team,'Seasons Summary'!$A$28:$A$45,0),_xlpm.c,MATCH(_xlpm.stat,'Seasons Summary'!$4:$4,0),IFERROR(INDEX('Seasons Summary'!$A$28:$AAK$45,_xlpm.r,_xlpm.c+1),""))</f>
        <v/>
      </c>
      <c r="E18" s="111">
        <f t="array" ref="E18">_xlfn.LET(_xlpm.team,TRIM($B$1),_xlpm.stat,TRIM(E$16),_xlpm.r,MATCH(_xlpm.team,'Seasons Summary'!$A$28:$A$45,0),_xlpm.c,MATCH(_xlpm.stat,'Seasons Summary'!$4:$4,0),IFERROR(INDEX('Seasons Summary'!$A$28:$AAK$45,_xlpm.r,_xlpm.c+1),""))</f>
        <v/>
      </c>
      <c r="F18" s="115">
        <f t="array" ref="F18">_xlfn.LET(_xlpm.team,TRIM($B$1),_xlpm.stat,TRIM(F$16),_xlpm.r,MATCH(_xlpm.team,'Seasons Summary'!$A$28:$A$45,0),_xlpm.c,MATCH(_xlpm.stat,'Seasons Summary'!$4:$4,0),IFERROR(INDEX('Seasons Summary'!$A$28:$AAK$45,_xlpm.r,_xlpm.c+1),""))</f>
        <v/>
      </c>
      <c r="G18" s="110">
        <f t="array" ref="G18">_xlfn.LET(_xlpm.team,TRIM($B$1),_xlpm.stat,TRIM(G$16),_xlpm.r,MATCH(_xlpm.team,'Seasons Summary'!$A$28:$A$45,0),_xlpm.c,MATCH(_xlpm.stat,'Seasons Summary'!$4:$4,0),IFERROR(INDEX('Seasons Summary'!$A$28:$AAK$45,_xlpm.r,_xlpm.c+1),""))</f>
        <v/>
      </c>
      <c r="H18" s="110">
        <f t="array" ref="H18">_xlfn.LET(_xlpm.team,TRIM($B$1),_xlpm.stat,TRIM(H$16),_xlpm.r,MATCH(_xlpm.team,'Seasons Summary'!$A$28:$A$45,0),_xlpm.c,MATCH(_xlpm.stat,'Seasons Summary'!$4:$4,0),IFERROR(INDEX('Seasons Summary'!$A$28:$AAK$45,_xlpm.r,_xlpm.c+1),""))</f>
        <v/>
      </c>
      <c r="I18" s="111">
        <f t="array" ref="I18">_xlfn.LET(_xlpm.team,TRIM($B$1),_xlpm.stat,TRIM(I$16),_xlpm.r,MATCH(_xlpm.team,'Seasons Summary'!$A$28:$A$45,0),_xlpm.c,MATCH(_xlpm.stat,'Seasons Summary'!$4:$4,0),IFERROR(INDEX('Seasons Summary'!$A$28:$AAK$45,_xlpm.r,_xlpm.c+1),""))</f>
        <v/>
      </c>
      <c r="J18" s="115">
        <f t="array" ref="J18">_xlfn.LET(_xlpm.team,TRIM($B$1),_xlpm.stat,TRIM(J$16),_xlpm.r,MATCH(_xlpm.team,'Seasons Summary'!$A$28:$A$45,0),_xlpm.c,MATCH(_xlpm.stat,'Seasons Summary'!$4:$4,0),IFERROR(INDEX('Seasons Summary'!$A$28:$AAK$45,_xlpm.r,_xlpm.c+1),""))</f>
        <v/>
      </c>
      <c r="K18" s="110">
        <f t="array" ref="K18">_xlfn.LET(_xlpm.team,TRIM($B$1),_xlpm.stat,TRIM(K$16),_xlpm.r,MATCH(_xlpm.team,'Seasons Summary'!$A$28:$A$45,0),_xlpm.c,MATCH(_xlpm.stat,'Seasons Summary'!$4:$4,0),IFERROR(INDEX('Seasons Summary'!$A$28:$AAK$45,_xlpm.r,_xlpm.c+1),""))</f>
        <v/>
      </c>
      <c r="L18" s="110">
        <f t="array" ref="L18">_xlfn.LET(_xlpm.team,TRIM($B$1),_xlpm.stat,TRIM(L$16),_xlpm.r,MATCH(_xlpm.team,'Seasons Summary'!$A$28:$A$45,0),_xlpm.c,MATCH(_xlpm.stat,'Seasons Summary'!$4:$4,0),IFERROR(INDEX('Seasons Summary'!$A$28:$AAK$45,_xlpm.r,_xlpm.c+1),""))</f>
        <v/>
      </c>
      <c r="M18" s="111">
        <f t="array" ref="M18">_xlfn.LET(_xlpm.team,TRIM($B$1),_xlpm.stat,TRIM(M$16),_xlpm.r,MATCH(_xlpm.team,'Seasons Summary'!$A$28:$A$45,0),_xlpm.c,MATCH(_xlpm.stat,'Seasons Summary'!$4:$4,0),IFERROR(INDEX('Seasons Summary'!$A$28:$AAK$45,_xlpm.r,_xlpm.c+1),""))</f>
        <v/>
      </c>
      <c r="N18" s="115">
        <f t="array" ref="N18">_xlfn.LET(_xlpm.team,TRIM($B$1),_xlpm.stat,TRIM(N$16),_xlpm.r,MATCH(_xlpm.team,'Seasons Summary'!$A$28:$A$45,0),_xlpm.c,MATCH(_xlpm.stat,'Seasons Summary'!$4:$4,0),IFERROR(INDEX('Seasons Summary'!$A$28:$AAK$45,_xlpm.r,_xlpm.c+1),""))</f>
        <v/>
      </c>
      <c r="O18" s="110">
        <f t="array" ref="O18">_xlfn.LET(_xlpm.team,TRIM($B$1),_xlpm.stat,TRIM(O$16),_xlpm.r,MATCH(_xlpm.team,'Seasons Summary'!$A$28:$A$45,0),_xlpm.c,MATCH(_xlpm.stat,'Seasons Summary'!$4:$4,0),IFERROR(INDEX('Seasons Summary'!$A$28:$AAK$45,_xlpm.r,_xlpm.c+1),""))</f>
        <v/>
      </c>
      <c r="P18" s="110">
        <f t="array" ref="P18">_xlfn.LET(_xlpm.team,TRIM($B$1),_xlpm.stat,TRIM(P$16),_xlpm.r,MATCH(_xlpm.team,'Seasons Summary'!$A$28:$A$45,0),_xlpm.c,MATCH(_xlpm.stat,'Seasons Summary'!$4:$4,0),IFERROR(INDEX('Seasons Summary'!$A$28:$AAK$45,_xlpm.r,_xlpm.c+1),""))</f>
        <v/>
      </c>
      <c r="Q18" s="111">
        <f t="array" ref="Q18">_xlfn.LET(_xlpm.team,TRIM($B$1),_xlpm.stat,TRIM(Q$16),_xlpm.r,MATCH(_xlpm.team,'Seasons Summary'!$A$28:$A$45,0),_xlpm.c,MATCH(_xlpm.stat,'Seasons Summary'!$4:$4,0),IFERROR(INDEX('Seasons Summary'!$A$28:$AAK$45,_xlpm.r,_xlpm.c+1),""))</f>
        <v/>
      </c>
      <c r="R18" s="102" t="n"/>
    </row>
    <row r="19" ht="26" customHeight="1">
      <c r="A19" s="288" t="n"/>
      <c r="B19" s="334">
        <f>'Seasons Summary'!BB27</f>
        <v/>
      </c>
      <c r="C19" s="328" t="n"/>
      <c r="D19" s="328" t="n"/>
      <c r="E19" s="331" t="n"/>
      <c r="F19" s="267">
        <f>'Seasons Summary'!BQ27</f>
        <v/>
      </c>
      <c r="G19" s="328" t="n"/>
      <c r="H19" s="328" t="n"/>
      <c r="I19" s="328" t="n"/>
      <c r="J19" s="328" t="n"/>
      <c r="K19" s="328" t="n"/>
      <c r="L19" s="102" t="n"/>
      <c r="M19" s="102" t="n"/>
      <c r="N19" s="102" t="n"/>
      <c r="O19" s="102" t="n"/>
      <c r="P19" s="102" t="n"/>
      <c r="Q19" s="102" t="n"/>
      <c r="R19" s="102" t="n"/>
    </row>
    <row r="20" ht="42" customHeight="1" thickBot="1">
      <c r="A20" s="332" t="n"/>
      <c r="B20" s="263">
        <f t="array" ref="B20">_xlfn.LET(_xlpm.team,TRIM($B$1),_xlpm.stat,TRIM($B$19),_xlpm.r,MATCH(_xlpm.team,'Seasons Summary'!$A$28:$A$45,0),_xlpm.c,IFERROR(MATCH(_xlpm.stat,'Seasons Summary'!$4:$4,0),MATCH("*"&amp;_xlpm.stat&amp;"*",'Seasons Summary'!$4:$4,0)),IFERROR(INDEX('Seasons Summary'!$A$28:$AAK$45,_xlpm.r,_xlpm.c),""))</f>
        <v/>
      </c>
      <c r="C20" s="327" t="n"/>
      <c r="D20" s="266">
        <f>_xlfn.LET(
  _xlpm.t, TRIM(CLEAN('Seasons Team Summary'!B1)),
  _xlpm.r, _xlfn.XLOOKUP(_xlpm.t, 'Seasons Ladders'!A26:A43, 'Seasons Ladders'!K26:K43, ""),
  IF(_xlpm.r="","Not Available",
     _xlpm.r &amp; IF(OR(MOD(_xlpm.r,100)=11,MOD(_xlpm.r,100)=12,MOD(_xlpm.r,100)=13),
            "th",
            CHOOSE(MOD(_xlpm.r,10)+1,"th","st","nd","rd","th","th","th","th","th","th")
     )
  )
)</f>
        <v/>
      </c>
      <c r="E20" s="333" t="n"/>
      <c r="F20" s="272">
        <f t="array" ref="F20">_xlfn.LET(_xlpm.team,TRIM($B$1),_xlpm.stat,TRIM($F$8),_xlpm.r,MATCH(_xlpm.team,'Seasons Summary'!$A$28:$A$45,0),_xlpm.c,IFERROR(MATCH(_xlpm.stat,'Seasons Summary'!$4:$4,0),MATCH("*"&amp;_xlpm.stat&amp;"*",'Seasons Summary'!$4:$4,0)),IFERROR(INDEX('Seasons Summary'!$A$28:$AAK$45,_xlpm.r,_xlpm.c),""))</f>
        <v/>
      </c>
      <c r="G20" s="327" t="n"/>
      <c r="H20" s="327" t="n"/>
      <c r="I20" s="168">
        <f>_xlfn.LET(
  _xlpm.t, TRIM(CLEAN('Seasons Team Summary'!B1)),
  _xlpm.r, _xlfn.XLOOKUP(_xlpm.t, 'Seasons Summary'!A28:A45, 'Seasons Summary'!BR28:BR45, ""),
  IF(_xlpm.r="","Not Available",
     _xlpm.r &amp; IF(OR(MOD(_xlpm.r,100)=11, MOD(_xlpm.r,100)=12, MOD(_xlpm.r,100)=13),
            "th",
            CHOOSE(MOD(_xlpm.r,10)+1,"th","st","nd","rd","th","th","th","th","th","th")
     )
  )
)</f>
        <v/>
      </c>
      <c r="J20" s="168" t="n"/>
      <c r="K20" s="168" t="n"/>
      <c r="L20" s="190" t="n"/>
      <c r="M20" s="190" t="n"/>
      <c r="N20" s="190" t="n"/>
      <c r="O20" s="190" t="n"/>
      <c r="P20" s="190" t="n"/>
      <c r="Q20" s="102" t="n"/>
      <c r="R20" s="102" t="n"/>
    </row>
    <row r="21" ht="40" customHeight="1" thickBot="1">
      <c r="A21" s="107" t="inlineStr">
        <is>
          <t>Stat</t>
        </is>
      </c>
      <c r="B21" s="198">
        <f>'Seasons Summary'!AT27</f>
        <v/>
      </c>
      <c r="C21" s="199">
        <f>'Seasons Summary'!AV27</f>
        <v/>
      </c>
      <c r="D21" s="199">
        <f>'Seasons Summary'!AX27</f>
        <v/>
      </c>
      <c r="E21" s="200">
        <f>'Seasons Summary'!AZ27</f>
        <v/>
      </c>
      <c r="F21" s="143">
        <f>'Seasons Summary'!BE27</f>
        <v/>
      </c>
      <c r="G21" s="144">
        <f>'Seasons Summary'!BG27</f>
        <v/>
      </c>
      <c r="H21" s="144">
        <f>'Seasons Summary'!BI27</f>
        <v/>
      </c>
      <c r="I21" s="144">
        <f>'Seasons Summary'!BK27</f>
        <v/>
      </c>
      <c r="J21" s="144">
        <f>'Seasons Summary'!BM27</f>
        <v/>
      </c>
      <c r="K21" s="145">
        <f>'Seasons Summary'!BO27</f>
        <v/>
      </c>
      <c r="L21" s="170" t="n"/>
      <c r="M21" s="170" t="n"/>
      <c r="N21" s="170" t="n"/>
      <c r="O21" s="194" t="n"/>
      <c r="P21" s="194" t="n"/>
      <c r="Q21" s="194" t="n"/>
      <c r="R21" s="102" t="n"/>
    </row>
    <row r="22" ht="30" customHeight="1">
      <c r="A22" s="107" t="inlineStr">
        <is>
          <t>Raw</t>
        </is>
      </c>
      <c r="B22" s="116">
        <f>_xlfn.LET(_xlpm.team,TRIM($B$1),_xlpm.stat,TRIM(B$21),_xlpm.r,MATCH(_xlpm.team,'Seasons Summary'!$A$28:$A$45,0),_xlpm.c,MATCH(_xlpm.stat,'Seasons Summary'!$4:$4,0),IFERROR(INDEX('Seasons Summary'!$A$28:$AAK$45,_xlpm.r,_xlpm.c),""))</f>
        <v/>
      </c>
      <c r="C22" s="117">
        <f>_xlfn.LET(_xlpm.team,TRIM($B$1),_xlpm.stat,TRIM(C$21),_xlpm.r,MATCH(_xlpm.team,'Seasons Summary'!$A$28:$A$45,0),_xlpm.c,MATCH(_xlpm.stat,'Seasons Summary'!$4:$4,0),IFERROR(INDEX('Seasons Summary'!$A$28:$AAK$45,_xlpm.r,_xlpm.c),""))</f>
        <v/>
      </c>
      <c r="D22" s="117">
        <f>_xlfn.LET(_xlpm.team,TRIM($B$1),_xlpm.stat,TRIM(D$21),_xlpm.r,MATCH(_xlpm.team,'Seasons Summary'!$A$28:$A$45,0),_xlpm.c,MATCH(_xlpm.stat,'Seasons Summary'!$4:$4,0),IFERROR(INDEX('Seasons Summary'!$A$28:$AAK$45,_xlpm.r,_xlpm.c),""))</f>
        <v/>
      </c>
      <c r="E22" s="118">
        <f>_xlfn.LET(_xlpm.team,TRIM($B$1),_xlpm.stat,TRIM(E$21),_xlpm.r,MATCH(_xlpm.team,'Seasons Summary'!$A$28:$A$45,0),_xlpm.c,MATCH(_xlpm.stat,'Seasons Summary'!$4:$4,0),IFERROR(INDEX('Seasons Summary'!$A$28:$AAK$45,_xlpm.r,_xlpm.c),""))</f>
        <v/>
      </c>
      <c r="F22" s="114">
        <f>_xlfn.LET(_xlpm.team,TRIM($B$1),_xlpm.stat,TRIM(F$21),_xlpm.r,MATCH(_xlpm.team,'Seasons Summary'!$A$28:$A$45,0),_xlpm.c,MATCH(_xlpm.stat,'Seasons Summary'!$4:$4,0),IFERROR(INDEX('Seasons Summary'!$A$28:$AAK$45,_xlpm.r,_xlpm.c),""))</f>
        <v/>
      </c>
      <c r="G22" s="101">
        <f>_xlfn.LET(_xlpm.team,TRIM($B$1),_xlpm.stat,TRIM(G$21),_xlpm.r,MATCH(_xlpm.team,'Seasons Summary'!$A$28:$A$45,0),_xlpm.c,MATCH(_xlpm.stat,'Seasons Summary'!$4:$4,0),IFERROR(INDEX('Seasons Summary'!$A$28:$AAK$45,_xlpm.r,_xlpm.c),""))</f>
        <v/>
      </c>
      <c r="H22" s="101">
        <f>_xlfn.LET(_xlpm.team,TRIM($B$1),_xlpm.stat,TRIM(H$21),_xlpm.r,MATCH(_xlpm.team,'Seasons Summary'!$A$28:$A$45,0),_xlpm.c,MATCH(_xlpm.stat,'Seasons Summary'!$4:$4,0),IFERROR(INDEX('Seasons Summary'!$A$28:$AAK$45,_xlpm.r,_xlpm.c),""))</f>
        <v/>
      </c>
      <c r="I22" s="101">
        <f>_xlfn.LET(_xlpm.team,TRIM($B$1),_xlpm.stat,TRIM(I$21),_xlpm.r,MATCH(_xlpm.team,'Seasons Summary'!$A$28:$A$45,0),_xlpm.c,MATCH(_xlpm.stat,'Seasons Summary'!$4:$4,0),IFERROR(INDEX('Seasons Summary'!$A$28:$AAK$45,_xlpm.r,_xlpm.c),""))</f>
        <v/>
      </c>
      <c r="J22" s="101">
        <f>_xlfn.LET(_xlpm.team,TRIM($B$1),_xlpm.stat,TRIM(J$21),_xlpm.r,MATCH(_xlpm.team,'Seasons Summary'!$A$28:$A$45,0),_xlpm.c,MATCH(_xlpm.stat,'Seasons Summary'!$4:$4,0),IFERROR(INDEX('Seasons Summary'!$A$28:$AAK$45,_xlpm.r,_xlpm.c),""))</f>
        <v/>
      </c>
      <c r="K22" s="146">
        <f>_xlfn.LET(_xlpm.team,TRIM($B$1),_xlpm.stat,TRIM(K$21),_xlpm.r,MATCH(_xlpm.team,'Seasons Summary'!$A$28:$A$45,0),_xlpm.c,MATCH(_xlpm.stat,'Seasons Summary'!$4:$4,0),IFERROR(INDEX('Seasons Summary'!$A$28:$AAK$45,_xlpm.r,_xlpm.c),""))</f>
        <v/>
      </c>
      <c r="L22" s="170" t="n"/>
      <c r="M22" s="170" t="n"/>
      <c r="N22" s="170" t="n"/>
      <c r="O22" s="194" t="n"/>
      <c r="P22" s="194" t="n"/>
      <c r="Q22" s="194" t="n"/>
      <c r="R22" s="102" t="n"/>
    </row>
    <row r="23" ht="30" customHeight="1" thickBot="1">
      <c r="A23" s="109" t="inlineStr">
        <is>
          <t>Rank</t>
        </is>
      </c>
      <c r="B23" s="115">
        <f t="array" ref="B23">_xlfn.LET(_xlpm.team,TRIM($B$1),_xlpm.stat,TRIM(B$21),_xlpm.r,MATCH(_xlpm.team,'Seasons Summary'!$A$28:$A$45,0),_xlpm.c,MATCH(_xlpm.stat,'Seasons Summary'!$4:$4,0),IFERROR(INDEX('Seasons Summary'!$A$28:$AAK$45,_xlpm.r,_xlpm.c+1),""))</f>
        <v/>
      </c>
      <c r="C23" s="110">
        <f t="array" ref="C23">_xlfn.LET(_xlpm.team,TRIM($B$1),_xlpm.stat,TRIM(C$21),_xlpm.r,MATCH(_xlpm.team,'Seasons Summary'!$A$28:$A$45,0),_xlpm.c,MATCH(_xlpm.stat,'Seasons Summary'!$4:$4,0),IFERROR(INDEX('Seasons Summary'!$A$28:$AAK$45,_xlpm.r,_xlpm.c+1),""))</f>
        <v/>
      </c>
      <c r="D23" s="110">
        <f t="array" ref="D23">_xlfn.LET(_xlpm.team,TRIM($B$1),_xlpm.stat,TRIM(D$21),_xlpm.r,MATCH(_xlpm.team,'Seasons Summary'!$A$28:$A$45,0),_xlpm.c,MATCH(_xlpm.stat,'Seasons Summary'!$4:$4,0),IFERROR(INDEX('Seasons Summary'!$A$28:$AAK$45,_xlpm.r,_xlpm.c+1),""))</f>
        <v/>
      </c>
      <c r="E23" s="111">
        <f t="array" ref="E23">_xlfn.LET(_xlpm.team,TRIM($B$1),_xlpm.stat,TRIM(E$21),_xlpm.r,MATCH(_xlpm.team,'Seasons Summary'!$A$28:$A$45,0),_xlpm.c,MATCH(_xlpm.stat,'Seasons Summary'!$4:$4,0),IFERROR(INDEX('Seasons Summary'!$A$28:$AAK$45,_xlpm.r,_xlpm.c+1),""))</f>
        <v/>
      </c>
      <c r="F23" s="115">
        <f t="array" ref="F23">_xlfn.LET(_xlpm.team,TRIM($B$1),_xlpm.stat,TRIM(F$21),_xlpm.r,MATCH(_xlpm.team,'Seasons Summary'!$A$28:$A$45,0),_xlpm.c,MATCH(_xlpm.stat,'Seasons Summary'!$4:$4,0),IFERROR(INDEX('Seasons Summary'!$A$28:$AAK$45,_xlpm.r,_xlpm.c+1),""))</f>
        <v/>
      </c>
      <c r="G23" s="110">
        <f t="array" ref="G23">_xlfn.LET(_xlpm.team,TRIM($B$1),_xlpm.stat,TRIM(G$21),_xlpm.r,MATCH(_xlpm.team,'Seasons Summary'!$A$28:$A$45,0),_xlpm.c,MATCH(_xlpm.stat,'Seasons Summary'!$4:$4,0),IFERROR(INDEX('Seasons Summary'!$A$28:$AAK$45,_xlpm.r,_xlpm.c+1),""))</f>
        <v/>
      </c>
      <c r="H23" s="110">
        <f t="array" ref="H23">_xlfn.LET(_xlpm.team,TRIM($B$1),_xlpm.stat,TRIM(H$21),_xlpm.r,MATCH(_xlpm.team,'Seasons Summary'!$A$28:$A$45,0),_xlpm.c,MATCH(_xlpm.stat,'Seasons Summary'!$4:$4,0),IFERROR(INDEX('Seasons Summary'!$A$28:$AAK$45,_xlpm.r,_xlpm.c+1),""))</f>
        <v/>
      </c>
      <c r="I23" s="110">
        <f t="array" ref="I23">_xlfn.LET(_xlpm.team,TRIM($B$1),_xlpm.stat,TRIM(I$21),_xlpm.r,MATCH(_xlpm.team,'Seasons Summary'!$A$28:$A$45,0),_xlpm.c,MATCH(_xlpm.stat,'Seasons Summary'!$4:$4,0),IFERROR(INDEX('Seasons Summary'!$A$28:$AAK$45,_xlpm.r,_xlpm.c+1),""))</f>
        <v/>
      </c>
      <c r="J23" s="110">
        <f t="array" ref="J23">_xlfn.LET(_xlpm.team,TRIM($B$1),_xlpm.stat,TRIM(J$21),_xlpm.r,MATCH(_xlpm.team,'Seasons Summary'!$A$28:$A$45,0),_xlpm.c,MATCH(_xlpm.stat,'Seasons Summary'!$4:$4,0),IFERROR(INDEX('Seasons Summary'!$A$28:$AAK$45,_xlpm.r,_xlpm.c+1),""))</f>
        <v/>
      </c>
      <c r="K23" s="147">
        <f t="array" ref="K23">_xlfn.LET(_xlpm.team,TRIM($B$1),_xlpm.stat,TRIM(K$21),_xlpm.r,MATCH(_xlpm.team,'Seasons Summary'!$A$28:$A$45,0),_xlpm.c,MATCH(_xlpm.stat,'Seasons Summary'!$4:$4,0),IFERROR(INDEX('Seasons Summary'!$A$28:$AAK$45,_xlpm.r,_xlpm.c+1),""))</f>
        <v/>
      </c>
      <c r="L23" s="102" t="n"/>
      <c r="M23" s="102" t="n"/>
      <c r="N23" s="102" t="n"/>
      <c r="O23" s="102" t="n"/>
      <c r="P23" s="102" t="n"/>
      <c r="Q23" s="102" t="n"/>
      <c r="R23" s="102" t="n"/>
    </row>
    <row r="24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</sheetData>
  <mergeCells count="41">
    <mergeCell ref="F20:H20"/>
    <mergeCell ref="D20:E20"/>
    <mergeCell ref="F4:G4"/>
    <mergeCell ref="P4:Q4"/>
    <mergeCell ref="J3:M3"/>
    <mergeCell ref="F8:K8"/>
    <mergeCell ref="H4:I4"/>
    <mergeCell ref="F14:I14"/>
    <mergeCell ref="F15:G15"/>
    <mergeCell ref="A3:A4"/>
    <mergeCell ref="J15:K15"/>
    <mergeCell ref="L15:M15"/>
    <mergeCell ref="B3:E3"/>
    <mergeCell ref="F9:H9"/>
    <mergeCell ref="J14:M14"/>
    <mergeCell ref="A14:A15"/>
    <mergeCell ref="J4:K4"/>
    <mergeCell ref="A8:A9"/>
    <mergeCell ref="L4:M4"/>
    <mergeCell ref="F3:I3"/>
    <mergeCell ref="N3:Q3"/>
    <mergeCell ref="D4:E4"/>
    <mergeCell ref="B9:C9"/>
    <mergeCell ref="I1:I2"/>
    <mergeCell ref="D9:E9"/>
    <mergeCell ref="A19:A20"/>
    <mergeCell ref="B14:E14"/>
    <mergeCell ref="F19:K19"/>
    <mergeCell ref="B1:E1"/>
    <mergeCell ref="B8:E8"/>
    <mergeCell ref="B15:C15"/>
    <mergeCell ref="N14:Q14"/>
    <mergeCell ref="N15:O15"/>
    <mergeCell ref="D15:E15"/>
    <mergeCell ref="P15:Q15"/>
    <mergeCell ref="B20:C20"/>
    <mergeCell ref="H15:I15"/>
    <mergeCell ref="B19:E19"/>
    <mergeCell ref="F1:F2"/>
    <mergeCell ref="B4:C4"/>
    <mergeCell ref="N4:O4"/>
  </mergeCells>
  <conditionalFormatting sqref="B12:E12">
    <cfRule type="colorScale" priority="2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18:E18 F12:K12 F23:K23">
    <cfRule type="colorScale" priority="3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23:E23">
    <cfRule type="colorScale" priority="1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7:Q7">
    <cfRule type="colorScale" priority="6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F18:Q18">
    <cfRule type="colorScale" priority="5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FFC000"/>
    <outlinePr summaryBelow="1" summaryRight="1"/>
    <pageSetUpPr/>
  </sheetPr>
  <dimension ref="A1:P27"/>
  <sheetViews>
    <sheetView zoomScale="114" workbookViewId="0">
      <pane xSplit="1" topLeftCell="B1" activePane="topRight" state="frozen"/>
      <selection activeCell="A4" sqref="A4"/>
      <selection pane="topRight" activeCell="B4" sqref="B4"/>
    </sheetView>
  </sheetViews>
  <sheetFormatPr baseColWidth="10" defaultRowHeight="16"/>
  <cols>
    <col width="30.33203125" bestFit="1" customWidth="1" min="1" max="1"/>
    <col width="11" customWidth="1" min="2" max="2"/>
    <col width="3.6640625" customWidth="1" min="3" max="3"/>
    <col width="11" customWidth="1" min="4" max="4"/>
    <col width="3.6640625" customWidth="1" min="5" max="5"/>
    <col width="11" customWidth="1" min="6" max="6"/>
    <col width="3.6640625" customWidth="1" min="7" max="7"/>
    <col width="11" customWidth="1" min="8" max="8"/>
    <col width="3.6640625" customWidth="1" min="9" max="9"/>
    <col width="11" customWidth="1" min="10" max="10"/>
    <col width="3.6640625" customWidth="1" min="11" max="12"/>
    <col width="11" customWidth="1" min="13" max="13"/>
    <col width="3.6640625" customWidth="1" min="14" max="15"/>
  </cols>
  <sheetData>
    <row r="1" ht="35" customHeight="1">
      <c r="A1" s="68" t="inlineStr">
        <is>
          <t>SEASON TOTAL</t>
        </is>
      </c>
      <c r="B1" s="69" t="n"/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</row>
    <row r="3" ht="52" customFormat="1" customHeight="1" s="2" thickBot="1">
      <c r="A3" s="93" t="inlineStr">
        <is>
          <t>Team</t>
        </is>
      </c>
      <c r="B3" s="27" t="inlineStr">
        <is>
          <t>Ball Winning Ranking</t>
        </is>
      </c>
      <c r="C3" s="227" t="inlineStr">
        <is>
          <t>Rank</t>
        </is>
      </c>
      <c r="D3" s="30" t="inlineStr">
        <is>
          <t>Ball Movement Ranking</t>
        </is>
      </c>
      <c r="E3" s="232" t="inlineStr">
        <is>
          <t>Rank</t>
        </is>
      </c>
      <c r="F3" s="44" t="inlineStr">
        <is>
          <t>Scoring Ranking</t>
        </is>
      </c>
      <c r="G3" s="231" t="inlineStr">
        <is>
          <t>Rank</t>
        </is>
      </c>
      <c r="H3" s="33" t="inlineStr">
        <is>
          <t>Defence Ranking</t>
        </is>
      </c>
      <c r="I3" s="230" t="inlineStr">
        <is>
          <t>Rank</t>
        </is>
      </c>
      <c r="J3" s="186" t="inlineStr">
        <is>
          <t>Pressure Ranking</t>
        </is>
      </c>
      <c r="K3" s="229" t="inlineStr">
        <is>
          <t>Rank</t>
        </is>
      </c>
      <c r="L3" s="94" t="n"/>
      <c r="M3" s="36" t="inlineStr">
        <is>
          <t>Team Rating</t>
        </is>
      </c>
      <c r="N3" s="228" t="inlineStr">
        <is>
          <t>Rank</t>
        </is>
      </c>
      <c r="O3" s="94" t="n"/>
      <c r="P3" s="71" t="n"/>
    </row>
    <row r="4" ht="25" customFormat="1" customHeight="1" s="3">
      <c r="A4" s="209" t="inlineStr">
        <is>
          <t>Geelong</t>
        </is>
      </c>
      <c r="B4" s="49">
        <f>'2025 Summary'!J11</f>
        <v/>
      </c>
      <c r="C4" s="47">
        <f>RANK(B4,B$4:B$21)</f>
        <v/>
      </c>
      <c r="D4" s="49">
        <f>'2025 Summary'!U11</f>
        <v/>
      </c>
      <c r="E4" s="47">
        <f>RANK(D4,D$4:D$21)</f>
        <v/>
      </c>
      <c r="F4" s="49">
        <f>'2025 Summary'!AF11</f>
        <v/>
      </c>
      <c r="G4" s="47">
        <f>RANK(F4,F$4:F$21)</f>
        <v/>
      </c>
      <c r="H4" s="49">
        <f>'2025 Summary'!AQ11</f>
        <v/>
      </c>
      <c r="I4" s="47">
        <f>RANK(H4,H$4:H$21)</f>
        <v/>
      </c>
      <c r="J4" s="49">
        <f>'2025 Summary'!BB11</f>
        <v/>
      </c>
      <c r="K4" s="47">
        <f>RANK(J4,J$4:J$21)</f>
        <v/>
      </c>
      <c r="L4" s="50" t="n"/>
      <c r="M4" s="49">
        <f>AVERAGE(B4,D4,F4,H4,J4)</f>
        <v/>
      </c>
      <c r="N4" s="47">
        <f>RANK(M4,M$4:M$21)</f>
        <v/>
      </c>
      <c r="O4" s="50" t="n"/>
      <c r="P4" s="72" t="n"/>
    </row>
    <row r="5" ht="25" customFormat="1" customHeight="1" s="3">
      <c r="A5" s="210" t="inlineStr">
        <is>
          <t>Western Bulldogs</t>
        </is>
      </c>
      <c r="B5" s="49">
        <f>'2025 Summary'!J22</f>
        <v/>
      </c>
      <c r="C5" s="47">
        <f>RANK(B5,B$4:B$21)</f>
        <v/>
      </c>
      <c r="D5" s="49">
        <f>'2025 Summary'!U22</f>
        <v/>
      </c>
      <c r="E5" s="47">
        <f>RANK(D5,D$4:D$21)</f>
        <v/>
      </c>
      <c r="F5" s="49">
        <f>'2025 Summary'!AF22</f>
        <v/>
      </c>
      <c r="G5" s="47">
        <f>RANK(F5,F$4:F$21)</f>
        <v/>
      </c>
      <c r="H5" s="49">
        <f>'2025 Summary'!AQ22</f>
        <v/>
      </c>
      <c r="I5" s="47">
        <f>RANK(H5,H$4:H$21)</f>
        <v/>
      </c>
      <c r="J5" s="49">
        <f>'2025 Summary'!BB22</f>
        <v/>
      </c>
      <c r="K5" s="47">
        <f>RANK(J5,J$4:J$21)</f>
        <v/>
      </c>
      <c r="L5" s="56" t="n"/>
      <c r="M5" s="49">
        <f>AVERAGE(B5,D5,F5,H5,J5)</f>
        <v/>
      </c>
      <c r="N5" s="47">
        <f>RANK(M5,M$4:M$21)</f>
        <v/>
      </c>
      <c r="O5" s="56" t="n"/>
      <c r="P5" s="72" t="n"/>
    </row>
    <row r="6" ht="25" customFormat="1" customHeight="1" s="3">
      <c r="A6" s="172" t="inlineStr">
        <is>
          <t>Adelaide</t>
        </is>
      </c>
      <c r="B6" s="49">
        <f>'2025 Summary'!J5</f>
        <v/>
      </c>
      <c r="C6" s="47">
        <f>RANK(B6,B$4:B$21)</f>
        <v/>
      </c>
      <c r="D6" s="49">
        <f>'2025 Summary'!U5</f>
        <v/>
      </c>
      <c r="E6" s="47">
        <f>RANK(D6,D$4:D$21)</f>
        <v/>
      </c>
      <c r="F6" s="49">
        <f>'2025 Summary'!AF5</f>
        <v/>
      </c>
      <c r="G6" s="47">
        <f>RANK(F6,F$4:F$21)</f>
        <v/>
      </c>
      <c r="H6" s="49">
        <f>'2025 Summary'!AQ5</f>
        <v/>
      </c>
      <c r="I6" s="47">
        <f>RANK(H6,H$4:H$21)</f>
        <v/>
      </c>
      <c r="J6" s="49">
        <f>'2025 Summary'!BB5</f>
        <v/>
      </c>
      <c r="K6" s="47">
        <f>RANK(J6,J$4:J$21)</f>
        <v/>
      </c>
      <c r="L6" s="56" t="n"/>
      <c r="M6" s="49">
        <f>AVERAGE(B6,D6,F6,H6,J6)</f>
        <v/>
      </c>
      <c r="N6" s="47">
        <f>RANK(M6,M$4:M$21)</f>
        <v/>
      </c>
      <c r="O6" s="56" t="n"/>
      <c r="P6" s="72" t="n"/>
    </row>
    <row r="7" ht="25" customFormat="1" customHeight="1" s="3">
      <c r="A7" s="174" t="inlineStr">
        <is>
          <t>Greater Western Sydney</t>
        </is>
      </c>
      <c r="B7" s="49">
        <f>'2025 Summary'!J13</f>
        <v/>
      </c>
      <c r="C7" s="47">
        <f>RANK(B7,B$4:B$21)</f>
        <v/>
      </c>
      <c r="D7" s="49">
        <f>'2025 Summary'!U13</f>
        <v/>
      </c>
      <c r="E7" s="47">
        <f>RANK(D7,D$4:D$21)</f>
        <v/>
      </c>
      <c r="F7" s="49">
        <f>'2025 Summary'!AF13</f>
        <v/>
      </c>
      <c r="G7" s="47">
        <f>RANK(F7,F$4:F$21)</f>
        <v/>
      </c>
      <c r="H7" s="49">
        <f>'2025 Summary'!AQ13</f>
        <v/>
      </c>
      <c r="I7" s="47">
        <f>RANK(H7,H$4:H$21)</f>
        <v/>
      </c>
      <c r="J7" s="49">
        <f>'2025 Summary'!BB13</f>
        <v/>
      </c>
      <c r="K7" s="47">
        <f>RANK(J7,J$4:J$21)</f>
        <v/>
      </c>
      <c r="L7" s="56" t="n"/>
      <c r="M7" s="49">
        <f>AVERAGE(B7,D7,F7,H7,J7)</f>
        <v/>
      </c>
      <c r="N7" s="47">
        <f>RANK(M7,M$4:M$21)</f>
        <v/>
      </c>
      <c r="O7" s="56" t="n"/>
      <c r="P7" s="72" t="n"/>
    </row>
    <row r="8" ht="25" customFormat="1" customHeight="1" s="3">
      <c r="A8" s="178" t="inlineStr">
        <is>
          <t>Gold Coast</t>
        </is>
      </c>
      <c r="B8" s="49">
        <f>'2025 Summary'!J12</f>
        <v/>
      </c>
      <c r="C8" s="47">
        <f>RANK(B8,B$4:B$21)</f>
        <v/>
      </c>
      <c r="D8" s="49">
        <f>'2025 Summary'!U12</f>
        <v/>
      </c>
      <c r="E8" s="47">
        <f>RANK(D8,D$4:D$21)</f>
        <v/>
      </c>
      <c r="F8" s="49">
        <f>'2025 Summary'!AF12</f>
        <v/>
      </c>
      <c r="G8" s="47">
        <f>RANK(F8,F$4:F$21)</f>
        <v/>
      </c>
      <c r="H8" s="49">
        <f>'2025 Summary'!AQ12</f>
        <v/>
      </c>
      <c r="I8" s="47">
        <f>RANK(H8,H$4:H$21)</f>
        <v/>
      </c>
      <c r="J8" s="49">
        <f>'2025 Summary'!BB12</f>
        <v/>
      </c>
      <c r="K8" s="47">
        <f>RANK(J8,J$4:J$21)</f>
        <v/>
      </c>
      <c r="L8" s="56" t="n"/>
      <c r="M8" s="49">
        <f>AVERAGE(B8,D8,F8,H8,J8)</f>
        <v/>
      </c>
      <c r="N8" s="47">
        <f>RANK(M8,M$4:M$21)</f>
        <v/>
      </c>
      <c r="O8" s="56" t="n"/>
      <c r="P8" s="72" t="n"/>
    </row>
    <row r="9" ht="25" customFormat="1" customHeight="1" s="3">
      <c r="A9" s="180" t="inlineStr">
        <is>
          <t>Hawthorn</t>
        </is>
      </c>
      <c r="B9" s="49">
        <f>'2025 Summary'!J14</f>
        <v/>
      </c>
      <c r="C9" s="47">
        <f>RANK(B9,B$4:B$21)</f>
        <v/>
      </c>
      <c r="D9" s="49">
        <f>'2025 Summary'!U14</f>
        <v/>
      </c>
      <c r="E9" s="47">
        <f>RANK(D9,D$4:D$21)</f>
        <v/>
      </c>
      <c r="F9" s="49">
        <f>'2025 Summary'!AF14</f>
        <v/>
      </c>
      <c r="G9" s="47">
        <f>RANK(F9,F$4:F$21)</f>
        <v/>
      </c>
      <c r="H9" s="49">
        <f>'2025 Summary'!AQ14</f>
        <v/>
      </c>
      <c r="I9" s="47">
        <f>RANK(H9,H$4:H$21)</f>
        <v/>
      </c>
      <c r="J9" s="49">
        <f>'2025 Summary'!BB14</f>
        <v/>
      </c>
      <c r="K9" s="47">
        <f>RANK(J9,J$4:J$21)</f>
        <v/>
      </c>
      <c r="L9" s="56" t="n"/>
      <c r="M9" s="49">
        <f>AVERAGE(B9,D9,F9,H9,J9)</f>
        <v/>
      </c>
      <c r="N9" s="47">
        <f>RANK(M9,M$4:M$21)</f>
        <v/>
      </c>
      <c r="O9" s="56" t="n"/>
      <c r="P9" s="72" t="n"/>
    </row>
    <row r="10" ht="25" customFormat="1" customHeight="1" s="3">
      <c r="A10" s="179" t="inlineStr">
        <is>
          <t>Brisbane</t>
        </is>
      </c>
      <c r="B10" s="49">
        <f>'2025 Summary'!J6</f>
        <v/>
      </c>
      <c r="C10" s="47">
        <f>RANK(B10,B$4:B$21)</f>
        <v/>
      </c>
      <c r="D10" s="49">
        <f>'2025 Summary'!U6</f>
        <v/>
      </c>
      <c r="E10" s="47">
        <f>RANK(D10,D$4:D$21)</f>
        <v/>
      </c>
      <c r="F10" s="49">
        <f>'2025 Summary'!AF6</f>
        <v/>
      </c>
      <c r="G10" s="47">
        <f>RANK(F10,F$4:F$21)</f>
        <v/>
      </c>
      <c r="H10" s="49">
        <f>'2025 Summary'!AQ6</f>
        <v/>
      </c>
      <c r="I10" s="47">
        <f>RANK(H10,H$4:H$21)</f>
        <v/>
      </c>
      <c r="J10" s="49">
        <f>'2025 Summary'!BB6</f>
        <v/>
      </c>
      <c r="K10" s="47">
        <f>RANK(J10,J$4:J$21)</f>
        <v/>
      </c>
      <c r="L10" s="56" t="n"/>
      <c r="M10" s="49">
        <f>AVERAGE(B10,D10,F10,H10,J10)</f>
        <v/>
      </c>
      <c r="N10" s="47">
        <f>RANK(M10,M$4:M$21)</f>
        <v/>
      </c>
      <c r="O10" s="56" t="n"/>
      <c r="P10" s="72" t="n"/>
    </row>
    <row r="11" ht="25" customFormat="1" customHeight="1" s="3">
      <c r="A11" s="213" t="inlineStr">
        <is>
          <t>Collingwood</t>
        </is>
      </c>
      <c r="B11" s="49">
        <f>'2025 Summary'!J8</f>
        <v/>
      </c>
      <c r="C11" s="47">
        <f>RANK(B11,B$4:B$21)</f>
        <v/>
      </c>
      <c r="D11" s="49">
        <f>'2025 Summary'!U8</f>
        <v/>
      </c>
      <c r="E11" s="47">
        <f>RANK(D11,D$4:D$21)</f>
        <v/>
      </c>
      <c r="F11" s="49">
        <f>'2025 Summary'!AF8</f>
        <v/>
      </c>
      <c r="G11" s="47">
        <f>RANK(F11,F$4:F$21)</f>
        <v/>
      </c>
      <c r="H11" s="49">
        <f>'2025 Summary'!AQ8</f>
        <v/>
      </c>
      <c r="I11" s="47">
        <f>RANK(H11,H$4:H$21)</f>
        <v/>
      </c>
      <c r="J11" s="49">
        <f>'2025 Summary'!BB8</f>
        <v/>
      </c>
      <c r="K11" s="47">
        <f>RANK(J11,J$4:J$21)</f>
        <v/>
      </c>
      <c r="L11" s="56" t="n"/>
      <c r="M11" s="49">
        <f>AVERAGE(B11,D11,F11,H11,J11)</f>
        <v/>
      </c>
      <c r="N11" s="47">
        <f>RANK(M11,M$4:M$21)</f>
        <v/>
      </c>
      <c r="O11" s="56" t="n"/>
      <c r="P11" s="72" t="n"/>
    </row>
    <row r="12" ht="25" customFormat="1" customHeight="1" s="3">
      <c r="A12" s="214" t="inlineStr">
        <is>
          <t>Fremantle</t>
        </is>
      </c>
      <c r="B12" s="49">
        <f>'2025 Summary'!J10</f>
        <v/>
      </c>
      <c r="C12" s="47">
        <f>RANK(B12,B$4:B$21)</f>
        <v/>
      </c>
      <c r="D12" s="49">
        <f>'2025 Summary'!U10</f>
        <v/>
      </c>
      <c r="E12" s="47">
        <f>RANK(D12,D$4:D$21)</f>
        <v/>
      </c>
      <c r="F12" s="49">
        <f>'2025 Summary'!AF10</f>
        <v/>
      </c>
      <c r="G12" s="47">
        <f>RANK(F12,F$4:F$21)</f>
        <v/>
      </c>
      <c r="H12" s="49">
        <f>'2025 Summary'!AQ10</f>
        <v/>
      </c>
      <c r="I12" s="47">
        <f>RANK(H12,H$4:H$21)</f>
        <v/>
      </c>
      <c r="J12" s="49">
        <f>'2025 Summary'!BB10</f>
        <v/>
      </c>
      <c r="K12" s="47">
        <f>RANK(J12,J$4:J$21)</f>
        <v/>
      </c>
      <c r="L12" s="56" t="n"/>
      <c r="M12" s="49">
        <f>AVERAGE(B12,D12,F12,H12,J12)</f>
        <v/>
      </c>
      <c r="N12" s="47">
        <f>RANK(M12,M$4:M$21)</f>
        <v/>
      </c>
      <c r="O12" s="56" t="n"/>
      <c r="P12" s="72" t="n"/>
    </row>
    <row r="13" ht="25" customFormat="1" customHeight="1" s="3">
      <c r="A13" s="181" t="inlineStr">
        <is>
          <t>Carlton</t>
        </is>
      </c>
      <c r="B13" s="49">
        <f>'2025 Summary'!J7</f>
        <v/>
      </c>
      <c r="C13" s="47">
        <f>RANK(B13,B$4:B$21)</f>
        <v/>
      </c>
      <c r="D13" s="49">
        <f>'2025 Summary'!U7</f>
        <v/>
      </c>
      <c r="E13" s="47">
        <f>RANK(D13,D$4:D$21)</f>
        <v/>
      </c>
      <c r="F13" s="49">
        <f>'2025 Summary'!AF7</f>
        <v/>
      </c>
      <c r="G13" s="47">
        <f>RANK(F13,F$4:F$21)</f>
        <v/>
      </c>
      <c r="H13" s="49">
        <f>'2025 Summary'!AQ7</f>
        <v/>
      </c>
      <c r="I13" s="47">
        <f>RANK(H13,H$4:H$21)</f>
        <v/>
      </c>
      <c r="J13" s="49">
        <f>'2025 Summary'!BB7</f>
        <v/>
      </c>
      <c r="K13" s="47">
        <f>RANK(J13,J$4:J$21)</f>
        <v/>
      </c>
      <c r="L13" s="56" t="n"/>
      <c r="M13" s="49">
        <f>AVERAGE(B13,D13,F13,H13,J13)</f>
        <v/>
      </c>
      <c r="N13" s="47">
        <f>RANK(M13,M$4:M$21)</f>
        <v/>
      </c>
      <c r="O13" s="56" t="n"/>
      <c r="P13" s="72" t="n"/>
    </row>
    <row r="14" ht="25" customFormat="1" customHeight="1" s="3">
      <c r="A14" s="212" t="inlineStr">
        <is>
          <t>Sydney</t>
        </is>
      </c>
      <c r="B14" s="49">
        <f>'2025 Summary'!J20</f>
        <v/>
      </c>
      <c r="C14" s="47">
        <f>RANK(B14,B$4:B$21)</f>
        <v/>
      </c>
      <c r="D14" s="49">
        <f>'2025 Summary'!U20</f>
        <v/>
      </c>
      <c r="E14" s="47">
        <f>RANK(D14,D$4:D$21)</f>
        <v/>
      </c>
      <c r="F14" s="49">
        <f>'2025 Summary'!AF20</f>
        <v/>
      </c>
      <c r="G14" s="47">
        <f>RANK(F14,F$4:F$21)</f>
        <v/>
      </c>
      <c r="H14" s="49">
        <f>'2025 Summary'!AQ20</f>
        <v/>
      </c>
      <c r="I14" s="47">
        <f>RANK(H14,H$4:H$21)</f>
        <v/>
      </c>
      <c r="J14" s="49">
        <f>'2025 Summary'!BB20</f>
        <v/>
      </c>
      <c r="K14" s="47">
        <f>RANK(J14,J$4:J$21)</f>
        <v/>
      </c>
      <c r="L14" s="56" t="n"/>
      <c r="M14" s="49">
        <f>AVERAGE(B14,D14,F14,H14,J14)</f>
        <v/>
      </c>
      <c r="N14" s="47">
        <f>RANK(M14,M$4:M$21)</f>
        <v/>
      </c>
      <c r="O14" s="56" t="n"/>
      <c r="P14" s="72" t="n"/>
    </row>
    <row r="15" ht="25" customFormat="1" customHeight="1" s="3">
      <c r="A15" s="215" t="inlineStr">
        <is>
          <t>St Kilda</t>
        </is>
      </c>
      <c r="B15" s="49">
        <f>'2025 Summary'!J19</f>
        <v/>
      </c>
      <c r="C15" s="47">
        <f>RANK(B15,B$4:B$21)</f>
        <v/>
      </c>
      <c r="D15" s="49">
        <f>'2025 Summary'!U19</f>
        <v/>
      </c>
      <c r="E15" s="47">
        <f>RANK(D15,D$4:D$21)</f>
        <v/>
      </c>
      <c r="F15" s="49">
        <f>'2025 Summary'!AF19</f>
        <v/>
      </c>
      <c r="G15" s="47">
        <f>RANK(F15,F$4:F$21)</f>
        <v/>
      </c>
      <c r="H15" s="49">
        <f>'2025 Summary'!AQ19</f>
        <v/>
      </c>
      <c r="I15" s="47">
        <f>RANK(H15,H$4:H$21)</f>
        <v/>
      </c>
      <c r="J15" s="49">
        <f>'2025 Summary'!BB19</f>
        <v/>
      </c>
      <c r="K15" s="47">
        <f>RANK(J15,J$4:J$21)</f>
        <v/>
      </c>
      <c r="L15" s="56" t="n"/>
      <c r="M15" s="49">
        <f>AVERAGE(B15,D15,F15,H15,J15)</f>
        <v/>
      </c>
      <c r="N15" s="47">
        <f>RANK(M15,M$4:M$21)</f>
        <v/>
      </c>
      <c r="O15" s="56" t="n"/>
      <c r="P15" s="72" t="n"/>
    </row>
    <row r="16" ht="25" customFormat="1" customHeight="1" s="3">
      <c r="A16" s="175" t="inlineStr">
        <is>
          <t>Melbourne</t>
        </is>
      </c>
      <c r="B16" s="49">
        <f>'2025 Summary'!J15</f>
        <v/>
      </c>
      <c r="C16" s="47">
        <f>RANK(B16,B$4:B$21)</f>
        <v/>
      </c>
      <c r="D16" s="49">
        <f>'2025 Summary'!U15</f>
        <v/>
      </c>
      <c r="E16" s="47">
        <f>RANK(D16,D$4:D$21)</f>
        <v/>
      </c>
      <c r="F16" s="49">
        <f>'2025 Summary'!AF15</f>
        <v/>
      </c>
      <c r="G16" s="47">
        <f>RANK(F16,F$4:F$21)</f>
        <v/>
      </c>
      <c r="H16" s="49">
        <f>'2025 Summary'!AQ15</f>
        <v/>
      </c>
      <c r="I16" s="47">
        <f>RANK(H16,H$4:H$21)</f>
        <v/>
      </c>
      <c r="J16" s="49">
        <f>'2025 Summary'!BB15</f>
        <v/>
      </c>
      <c r="K16" s="47">
        <f>RANK(J16,J$4:J$21)</f>
        <v/>
      </c>
      <c r="L16" s="56" t="n"/>
      <c r="M16" s="49">
        <f>AVERAGE(B16,D16,F16,H16,J16)</f>
        <v/>
      </c>
      <c r="N16" s="47">
        <f>RANK(M16,M$4:M$21)</f>
        <v/>
      </c>
      <c r="O16" s="56" t="n"/>
      <c r="P16" s="72" t="n"/>
    </row>
    <row r="17" ht="25" customFormat="1" customHeight="1" s="3">
      <c r="A17" s="211" t="inlineStr">
        <is>
          <t>Port Adelaide</t>
        </is>
      </c>
      <c r="B17" s="49">
        <f>'2025 Summary'!J17</f>
        <v/>
      </c>
      <c r="C17" s="47">
        <f>RANK(B17,B$4:B$21)</f>
        <v/>
      </c>
      <c r="D17" s="49">
        <f>'2025 Summary'!U17</f>
        <v/>
      </c>
      <c r="E17" s="47">
        <f>RANK(D17,D$4:D$21)</f>
        <v/>
      </c>
      <c r="F17" s="49">
        <f>'2025 Summary'!AF17</f>
        <v/>
      </c>
      <c r="G17" s="47">
        <f>RANK(F17,F$4:F$21)</f>
        <v/>
      </c>
      <c r="H17" s="49">
        <f>'2025 Summary'!AQ17</f>
        <v/>
      </c>
      <c r="I17" s="47">
        <f>RANK(H17,H$4:H$21)</f>
        <v/>
      </c>
      <c r="J17" s="49">
        <f>'2025 Summary'!BB17</f>
        <v/>
      </c>
      <c r="K17" s="47">
        <f>RANK(J17,J$4:J$21)</f>
        <v/>
      </c>
      <c r="L17" s="56" t="n"/>
      <c r="M17" s="49">
        <f>AVERAGE(B17,D17,F17,H17,J17)</f>
        <v/>
      </c>
      <c r="N17" s="47">
        <f>RANK(M17,M$4:M$21)</f>
        <v/>
      </c>
      <c r="O17" s="56" t="n"/>
      <c r="P17" s="72" t="n"/>
    </row>
    <row r="18" ht="25" customFormat="1" customHeight="1" s="3">
      <c r="A18" s="216" t="inlineStr">
        <is>
          <t>North Melbourne</t>
        </is>
      </c>
      <c r="B18" s="49">
        <f>'2025 Summary'!J16</f>
        <v/>
      </c>
      <c r="C18" s="47">
        <f>RANK(B18,B$4:B$21)</f>
        <v/>
      </c>
      <c r="D18" s="49">
        <f>'2025 Summary'!U16</f>
        <v/>
      </c>
      <c r="E18" s="47">
        <f>RANK(D18,D$4:D$21)</f>
        <v/>
      </c>
      <c r="F18" s="49">
        <f>'2025 Summary'!AF16</f>
        <v/>
      </c>
      <c r="G18" s="47">
        <f>RANK(F18,F$4:F$21)</f>
        <v/>
      </c>
      <c r="H18" s="49">
        <f>'2025 Summary'!AQ16</f>
        <v/>
      </c>
      <c r="I18" s="47">
        <f>RANK(H18,H$4:H$21)</f>
        <v/>
      </c>
      <c r="J18" s="49">
        <f>'2025 Summary'!BB16</f>
        <v/>
      </c>
      <c r="K18" s="47">
        <f>RANK(J18,J$4:J$21)</f>
        <v/>
      </c>
      <c r="L18" s="56" t="n"/>
      <c r="M18" s="49">
        <f>AVERAGE(B18,D18,F18,H18,J18)</f>
        <v/>
      </c>
      <c r="N18" s="47">
        <f>RANK(M18,M$4:M$21)</f>
        <v/>
      </c>
      <c r="O18" s="56" t="n"/>
      <c r="P18" s="72" t="n"/>
    </row>
    <row r="19" ht="25" customFormat="1" customHeight="1" s="3">
      <c r="A19" s="176" t="inlineStr">
        <is>
          <t>Essendon</t>
        </is>
      </c>
      <c r="B19" s="49">
        <f>'2025 Summary'!J9</f>
        <v/>
      </c>
      <c r="C19" s="47">
        <f>RANK(B19,B$4:B$21)</f>
        <v/>
      </c>
      <c r="D19" s="49">
        <f>'2025 Summary'!U9</f>
        <v/>
      </c>
      <c r="E19" s="47">
        <f>RANK(D19,D$4:D$21)</f>
        <v/>
      </c>
      <c r="F19" s="49">
        <f>'2025 Summary'!AF9</f>
        <v/>
      </c>
      <c r="G19" s="47">
        <f>RANK(F19,F$4:F$21)</f>
        <v/>
      </c>
      <c r="H19" s="49">
        <f>'2025 Summary'!AQ9</f>
        <v/>
      </c>
      <c r="I19" s="47">
        <f>RANK(H19,H$4:H$21)</f>
        <v/>
      </c>
      <c r="J19" s="49">
        <f>'2025 Summary'!BB9</f>
        <v/>
      </c>
      <c r="K19" s="47">
        <f>RANK(J19,J$4:J$21)</f>
        <v/>
      </c>
      <c r="L19" s="56" t="n"/>
      <c r="M19" s="49">
        <f>AVERAGE(B19,D19,F19,H19,J19)</f>
        <v/>
      </c>
      <c r="N19" s="47">
        <f>RANK(M19,M$4:M$21)</f>
        <v/>
      </c>
      <c r="O19" s="56" t="n"/>
      <c r="P19" s="72" t="n"/>
    </row>
    <row r="20" ht="25" customFormat="1" customHeight="1" s="3">
      <c r="A20" s="88" t="inlineStr">
        <is>
          <t>Richmond</t>
        </is>
      </c>
      <c r="B20" s="49">
        <f>'2025 Summary'!J18</f>
        <v/>
      </c>
      <c r="C20" s="47">
        <f>RANK(B20,B$4:B$21)</f>
        <v/>
      </c>
      <c r="D20" s="49">
        <f>'2025 Summary'!U18</f>
        <v/>
      </c>
      <c r="E20" s="47">
        <f>RANK(D20,D$4:D$21)</f>
        <v/>
      </c>
      <c r="F20" s="49">
        <f>'2025 Summary'!AF18</f>
        <v/>
      </c>
      <c r="G20" s="47">
        <f>RANK(F20,F$4:F$21)</f>
        <v/>
      </c>
      <c r="H20" s="49">
        <f>'2025 Summary'!AQ18</f>
        <v/>
      </c>
      <c r="I20" s="47">
        <f>RANK(H20,H$4:H$21)</f>
        <v/>
      </c>
      <c r="J20" s="49">
        <f>'2025 Summary'!BB18</f>
        <v/>
      </c>
      <c r="K20" s="47">
        <f>RANK(J20,J$4:J$21)</f>
        <v/>
      </c>
      <c r="L20" s="56" t="n"/>
      <c r="M20" s="49">
        <f>AVERAGE(B20,D20,F20,H20,J20)</f>
        <v/>
      </c>
      <c r="N20" s="47">
        <f>RANK(M20,M$4:M$21)</f>
        <v/>
      </c>
      <c r="O20" s="56" t="n"/>
      <c r="P20" s="72" t="n"/>
    </row>
    <row r="21" ht="25" customFormat="1" customHeight="1" s="3" thickBot="1">
      <c r="A21" s="171" t="inlineStr">
        <is>
          <t>West Coast</t>
        </is>
      </c>
      <c r="B21" s="95">
        <f>'2025 Summary'!J21</f>
        <v/>
      </c>
      <c r="C21" s="96">
        <f>RANK(B21,B$4:B$21)</f>
        <v/>
      </c>
      <c r="D21" s="95">
        <f>'2025 Summary'!U21</f>
        <v/>
      </c>
      <c r="E21" s="96">
        <f>RANK(D21,D$4:D$21)</f>
        <v/>
      </c>
      <c r="F21" s="95">
        <f>'2025 Summary'!AF21</f>
        <v/>
      </c>
      <c r="G21" s="96">
        <f>RANK(F21,F$4:F$21)</f>
        <v/>
      </c>
      <c r="H21" s="95">
        <f>'2025 Summary'!AQ21</f>
        <v/>
      </c>
      <c r="I21" s="96">
        <f>RANK(H21,H$4:H$21)</f>
        <v/>
      </c>
      <c r="J21" s="49">
        <f>'2025 Summary'!BB21</f>
        <v/>
      </c>
      <c r="K21" s="96">
        <f>RANK(J21,J$4:J$21)</f>
        <v/>
      </c>
      <c r="L21" s="62" t="n"/>
      <c r="M21" s="49">
        <f>AVERAGE(B21,D21,F21,H21,J21)</f>
        <v/>
      </c>
      <c r="N21" s="96">
        <f>RANK(M21,M$4:M$21)</f>
        <v/>
      </c>
      <c r="O21" s="62" t="n"/>
      <c r="P21" s="72" t="n"/>
    </row>
    <row r="22">
      <c r="P22" s="69" t="n"/>
    </row>
    <row r="23">
      <c r="A23" s="69" t="n"/>
      <c r="B23" s="69" t="n"/>
      <c r="C23" s="69" t="n"/>
      <c r="D23" s="69" t="n"/>
      <c r="E23" s="69" t="n"/>
      <c r="F23" s="69" t="n"/>
      <c r="G23" s="69" t="n"/>
      <c r="H23" s="69" t="n"/>
      <c r="I23" s="69" t="n"/>
      <c r="J23" s="69" t="n"/>
      <c r="K23" s="69" t="n"/>
      <c r="L23" s="69" t="n"/>
      <c r="M23" s="69" t="n"/>
      <c r="N23" s="69" t="n"/>
      <c r="O23" s="69" t="n"/>
      <c r="P23" s="69" t="n"/>
    </row>
    <row r="24">
      <c r="A24" s="69" t="n"/>
      <c r="B24" s="69" t="n"/>
      <c r="C24" s="69" t="n"/>
      <c r="D24" s="69" t="n"/>
      <c r="E24" s="69" t="n"/>
      <c r="F24" s="69" t="n"/>
      <c r="G24" s="69" t="n"/>
      <c r="H24" s="69" t="n"/>
      <c r="I24" s="69" t="n"/>
      <c r="J24" s="69" t="n"/>
      <c r="K24" s="69" t="n"/>
      <c r="L24" s="69" t="n"/>
      <c r="M24" s="69" t="n"/>
      <c r="N24" s="69" t="n"/>
      <c r="O24" s="69" t="n"/>
      <c r="P24" s="69" t="n"/>
    </row>
    <row r="25">
      <c r="A25" s="69" t="n"/>
      <c r="B25" s="69" t="n"/>
      <c r="C25" s="69" t="n"/>
      <c r="D25" s="69" t="n"/>
      <c r="E25" s="69" t="n"/>
      <c r="F25" s="69" t="n"/>
      <c r="G25" s="69" t="n"/>
      <c r="H25" s="69" t="n"/>
      <c r="I25" s="69" t="n"/>
      <c r="J25" s="69" t="n"/>
      <c r="K25" s="69" t="n"/>
      <c r="L25" s="69" t="n"/>
      <c r="M25" s="69" t="n"/>
      <c r="N25" s="69" t="n"/>
      <c r="O25" s="69" t="n"/>
      <c r="P25" s="69" t="n"/>
    </row>
    <row r="26">
      <c r="A26" s="69" t="n"/>
      <c r="B26" s="69" t="n"/>
      <c r="C26" s="69" t="n"/>
      <c r="D26" s="69" t="n"/>
      <c r="E26" s="69" t="n"/>
      <c r="F26" s="69" t="n"/>
      <c r="G26" s="69" t="n"/>
      <c r="H26" s="69" t="n"/>
      <c r="I26" s="69" t="n"/>
      <c r="J26" s="69" t="n"/>
      <c r="K26" s="69" t="n"/>
      <c r="L26" s="69" t="n"/>
      <c r="M26" s="69" t="n"/>
      <c r="N26" s="69" t="n"/>
      <c r="O26" s="69" t="n"/>
      <c r="P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</row>
  </sheetData>
  <conditionalFormatting sqref="B4:B21">
    <cfRule type="dataBar" priority="128">
      <dataBar>
        <cfvo type="min"/>
        <cfvo type="max"/>
        <color rgb="FF638EC6"/>
      </dataBar>
    </cfRule>
  </conditionalFormatting>
  <conditionalFormatting sqref="D4:D21">
    <cfRule type="dataBar" priority="127">
      <dataBar>
        <cfvo type="min"/>
        <cfvo type="max"/>
        <color rgb="FF63C384"/>
      </dataBar>
    </cfRule>
  </conditionalFormatting>
  <conditionalFormatting sqref="F4:F21">
    <cfRule type="dataBar" priority="115">
      <dataBar>
        <cfvo type="min"/>
        <cfvo type="max"/>
        <color rgb="FFFFFF00"/>
      </dataBar>
    </cfRule>
    <cfRule type="dataBar" priority="116">
      <dataBar>
        <cfvo type="min"/>
        <cfvo type="max"/>
        <color rgb="FF63C384"/>
      </dataBar>
    </cfRule>
  </conditionalFormatting>
  <conditionalFormatting sqref="H4:H21">
    <cfRule type="dataBar" priority="126">
      <dataBar>
        <cfvo type="min"/>
        <cfvo type="max"/>
        <color rgb="FF63C384"/>
      </dataBar>
    </cfRule>
    <cfRule type="dataBar" priority="125">
      <dataBar>
        <cfvo type="min"/>
        <cfvo type="max"/>
        <color rgb="FFFF555A"/>
      </dataBar>
    </cfRule>
  </conditionalFormatting>
  <conditionalFormatting sqref="J4:J21">
    <cfRule type="dataBar" priority="5">
      <dataBar>
        <cfvo type="min"/>
        <cfvo type="max"/>
        <color rgb="FFD883FF"/>
      </dataBar>
    </cfRule>
    <cfRule type="dataBar" priority="6">
      <dataBar>
        <cfvo type="min"/>
        <cfvo type="max"/>
        <color rgb="FF63C384"/>
      </dataBar>
    </cfRule>
  </conditionalFormatting>
  <conditionalFormatting sqref="M4:M21">
    <cfRule type="dataBar" priority="123">
      <dataBar>
        <cfvo type="min"/>
        <cfvo type="max"/>
        <color theme="1" tint="0.499984740745262"/>
      </dataBar>
    </cfRule>
    <cfRule type="dataBar" priority="124">
      <dataBar>
        <cfvo type="min"/>
        <cfvo type="max"/>
        <color rgb="FF63C384"/>
      </dataBar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P22"/>
  <sheetViews>
    <sheetView zoomScale="114" workbookViewId="0">
      <pane xSplit="1" topLeftCell="B1" activePane="topRight" state="frozen"/>
      <selection activeCell="A4" sqref="A4"/>
      <selection pane="topRight" activeCell="A3" sqref="A3:O3"/>
    </sheetView>
  </sheetViews>
  <sheetFormatPr baseColWidth="10" defaultRowHeight="16"/>
  <cols>
    <col width="30.33203125" bestFit="1" customWidth="1" min="1" max="1"/>
    <col width="11" customWidth="1" min="2" max="2"/>
    <col width="3.6640625" customWidth="1" min="3" max="3"/>
    <col width="11" customWidth="1" min="4" max="4"/>
    <col width="3.6640625" customWidth="1" min="5" max="5"/>
    <col width="11" customWidth="1" min="6" max="6"/>
    <col width="3.6640625" customWidth="1" min="7" max="7"/>
    <col width="11" customWidth="1" min="8" max="8"/>
    <col width="3.6640625" customWidth="1" min="9" max="9"/>
    <col width="11" customWidth="1" min="10" max="10"/>
    <col width="3.6640625" customWidth="1" min="11" max="12"/>
    <col width="11" customWidth="1" min="13" max="13"/>
    <col width="3.6640625" customWidth="1" min="14" max="15"/>
  </cols>
  <sheetData>
    <row r="1" ht="35" customHeight="1">
      <c r="A1" s="68">
        <f>'Seasons Summary'!B1</f>
        <v/>
      </c>
      <c r="B1" s="69" t="n"/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</row>
    <row r="3" ht="52" customFormat="1" customHeight="1" s="2" thickBot="1">
      <c r="A3" s="93" t="inlineStr">
        <is>
          <t>Team</t>
        </is>
      </c>
      <c r="B3" s="27" t="inlineStr">
        <is>
          <t>Ball Winning Ranking</t>
        </is>
      </c>
      <c r="C3" s="227" t="inlineStr">
        <is>
          <t>Rank</t>
        </is>
      </c>
      <c r="D3" s="30" t="inlineStr">
        <is>
          <t>Ball Movement Ranking</t>
        </is>
      </c>
      <c r="E3" s="232" t="inlineStr">
        <is>
          <t>Rank</t>
        </is>
      </c>
      <c r="F3" s="44" t="inlineStr">
        <is>
          <t>Scoring Ranking</t>
        </is>
      </c>
      <c r="G3" s="231" t="inlineStr">
        <is>
          <t>Rank</t>
        </is>
      </c>
      <c r="H3" s="33" t="inlineStr">
        <is>
          <t>Defence Ranking</t>
        </is>
      </c>
      <c r="I3" s="230" t="inlineStr">
        <is>
          <t>Rank</t>
        </is>
      </c>
      <c r="J3" s="186" t="inlineStr">
        <is>
          <t>Pressure Ranking</t>
        </is>
      </c>
      <c r="K3" s="229" t="inlineStr">
        <is>
          <t>Rank</t>
        </is>
      </c>
      <c r="L3" s="94" t="n"/>
      <c r="M3" s="36" t="inlineStr">
        <is>
          <t>Team Rating</t>
        </is>
      </c>
      <c r="N3" s="228" t="inlineStr">
        <is>
          <t>Rank</t>
        </is>
      </c>
      <c r="O3" s="94" t="n"/>
      <c r="P3" s="71" t="n"/>
    </row>
    <row r="4" ht="25" customFormat="1" customHeight="1" s="3">
      <c r="A4" s="212" t="inlineStr">
        <is>
          <t>Sydney</t>
        </is>
      </c>
      <c r="B4" s="49">
        <f>'Seasons Summary'!J20</f>
        <v/>
      </c>
      <c r="C4" s="47">
        <f>RANK(B4,B$4:B$21)</f>
        <v/>
      </c>
      <c r="D4" s="49">
        <f>'Seasons Summary'!U20</f>
        <v/>
      </c>
      <c r="E4" s="47">
        <f>RANK(D4,D$4:D$21)</f>
        <v/>
      </c>
      <c r="F4" s="49">
        <f>'Seasons Summary'!AF20</f>
        <v/>
      </c>
      <c r="G4" s="47">
        <f>RANK(F4,F$4:F$21)</f>
        <v/>
      </c>
      <c r="H4" s="49">
        <f>'Seasons Summary'!AQ20</f>
        <v/>
      </c>
      <c r="I4" s="47">
        <f>RANK(H4,H$4:H$21)</f>
        <v/>
      </c>
      <c r="J4" s="49">
        <f>'Seasons Summary'!BB20</f>
        <v/>
      </c>
      <c r="K4" s="47">
        <f>RANK(J4,J$4:J$21)</f>
        <v/>
      </c>
      <c r="L4" s="50" t="n"/>
      <c r="M4" s="49">
        <f>AVERAGE(B4,D4,F4,H4,J4)</f>
        <v/>
      </c>
      <c r="N4" s="47">
        <f>RANK(M4,M$4:M$21)</f>
        <v/>
      </c>
      <c r="O4" s="50" t="n"/>
      <c r="P4" s="72" t="n"/>
    </row>
    <row r="5" ht="25" customFormat="1" customHeight="1" s="3">
      <c r="A5" s="173" t="inlineStr">
        <is>
          <t>Geelong</t>
        </is>
      </c>
      <c r="B5" s="49">
        <f>'Seasons Summary'!J11</f>
        <v/>
      </c>
      <c r="C5" s="47">
        <f>RANK(B5,B$4:B$21)</f>
        <v/>
      </c>
      <c r="D5" s="49">
        <f>'Seasons Summary'!U11</f>
        <v/>
      </c>
      <c r="E5" s="47">
        <f>RANK(D5,D$4:D$21)</f>
        <v/>
      </c>
      <c r="F5" s="49">
        <f>'Seasons Summary'!AF11</f>
        <v/>
      </c>
      <c r="G5" s="47">
        <f>RANK(F5,F$4:F$21)</f>
        <v/>
      </c>
      <c r="H5" s="49">
        <f>'Seasons Summary'!AQ11</f>
        <v/>
      </c>
      <c r="I5" s="47">
        <f>RANK(H5,H$4:H$21)</f>
        <v/>
      </c>
      <c r="J5" s="49">
        <f>'Seasons Summary'!BB11</f>
        <v/>
      </c>
      <c r="K5" s="47">
        <f>RANK(J5,J$4:J$21)</f>
        <v/>
      </c>
      <c r="L5" s="56" t="n"/>
      <c r="M5" s="49">
        <f>AVERAGE(B5,D5,F5,H5,J5)</f>
        <v/>
      </c>
      <c r="N5" s="47">
        <f>RANK(M5,M$4:M$21)</f>
        <v/>
      </c>
      <c r="O5" s="56" t="n"/>
      <c r="P5" s="72" t="n"/>
    </row>
    <row r="6" ht="25" customFormat="1" customHeight="1" s="3">
      <c r="A6" s="226" t="inlineStr">
        <is>
          <t>Brisbane</t>
        </is>
      </c>
      <c r="B6" s="49">
        <f>'Seasons Summary'!J6</f>
        <v/>
      </c>
      <c r="C6" s="47">
        <f>RANK(B6,B$4:B$21)</f>
        <v/>
      </c>
      <c r="D6" s="49">
        <f>'Seasons Summary'!U6</f>
        <v/>
      </c>
      <c r="E6" s="47">
        <f>RANK(D6,D$4:D$21)</f>
        <v/>
      </c>
      <c r="F6" s="49">
        <f>'Seasons Summary'!AF6</f>
        <v/>
      </c>
      <c r="G6" s="47">
        <f>RANK(F6,F$4:F$21)</f>
        <v/>
      </c>
      <c r="H6" s="49">
        <f>'Seasons Summary'!AQ6</f>
        <v/>
      </c>
      <c r="I6" s="47">
        <f>RANK(H6,H$4:H$21)</f>
        <v/>
      </c>
      <c r="J6" s="49">
        <f>'Seasons Summary'!BB6</f>
        <v/>
      </c>
      <c r="K6" s="47">
        <f>RANK(J6,J$4:J$21)</f>
        <v/>
      </c>
      <c r="L6" s="56" t="n"/>
      <c r="M6" s="49">
        <f>AVERAGE(B6,D6,F6,H6,J6)</f>
        <v/>
      </c>
      <c r="N6" s="47">
        <f>RANK(M6,M$4:M$21)</f>
        <v/>
      </c>
      <c r="O6" s="56" t="n"/>
      <c r="P6" s="72" t="n"/>
    </row>
    <row r="7" ht="25" customFormat="1" customHeight="1" s="3">
      <c r="A7" s="86" t="inlineStr">
        <is>
          <t>Western Bulldogs</t>
        </is>
      </c>
      <c r="B7" s="49">
        <f>'Seasons Summary'!J22</f>
        <v/>
      </c>
      <c r="C7" s="47">
        <f>RANK(B7,B$4:B$21)</f>
        <v/>
      </c>
      <c r="D7" s="49">
        <f>'Seasons Summary'!U22</f>
        <v/>
      </c>
      <c r="E7" s="47">
        <f>RANK(D7,D$4:D$21)</f>
        <v/>
      </c>
      <c r="F7" s="49">
        <f>'Seasons Summary'!AF22</f>
        <v/>
      </c>
      <c r="G7" s="47">
        <f>RANK(F7,F$4:F$21)</f>
        <v/>
      </c>
      <c r="H7" s="49">
        <f>'Seasons Summary'!AQ22</f>
        <v/>
      </c>
      <c r="I7" s="47">
        <f>RANK(H7,H$4:H$21)</f>
        <v/>
      </c>
      <c r="J7" s="49">
        <f>'Seasons Summary'!BB22</f>
        <v/>
      </c>
      <c r="K7" s="47">
        <f>RANK(J7,J$4:J$21)</f>
        <v/>
      </c>
      <c r="L7" s="56" t="n"/>
      <c r="M7" s="49">
        <f>AVERAGE(B7,D7,F7,H7,J7)</f>
        <v/>
      </c>
      <c r="N7" s="47">
        <f>RANK(M7,M$4:M$21)</f>
        <v/>
      </c>
      <c r="O7" s="56" t="n"/>
      <c r="P7" s="72" t="n"/>
    </row>
    <row r="8" ht="25" customFormat="1" customHeight="1" s="3">
      <c r="A8" s="220" t="inlineStr">
        <is>
          <t>Hawthorn</t>
        </is>
      </c>
      <c r="B8" s="49">
        <f>'Seasons Summary'!J14</f>
        <v/>
      </c>
      <c r="C8" s="47">
        <f>RANK(B8,B$4:B$21)</f>
        <v/>
      </c>
      <c r="D8" s="49">
        <f>'Seasons Summary'!U14</f>
        <v/>
      </c>
      <c r="E8" s="47">
        <f>RANK(D8,D$4:D$21)</f>
        <v/>
      </c>
      <c r="F8" s="49">
        <f>'Seasons Summary'!AF14</f>
        <v/>
      </c>
      <c r="G8" s="47">
        <f>RANK(F8,F$4:F$21)</f>
        <v/>
      </c>
      <c r="H8" s="49">
        <f>'Seasons Summary'!AQ14</f>
        <v/>
      </c>
      <c r="I8" s="47">
        <f>RANK(H8,H$4:H$21)</f>
        <v/>
      </c>
      <c r="J8" s="49">
        <f>'Seasons Summary'!BB14</f>
        <v/>
      </c>
      <c r="K8" s="47">
        <f>RANK(J8,J$4:J$21)</f>
        <v/>
      </c>
      <c r="L8" s="56" t="n"/>
      <c r="M8" s="49">
        <f>AVERAGE(B8,D8,F8,H8,J8)</f>
        <v/>
      </c>
      <c r="N8" s="47">
        <f>RANK(M8,M$4:M$21)</f>
        <v/>
      </c>
      <c r="O8" s="56" t="n"/>
      <c r="P8" s="72" t="n"/>
    </row>
    <row r="9" ht="25" customFormat="1" customHeight="1" s="3">
      <c r="A9" s="174" t="inlineStr">
        <is>
          <t>Greater Western Sydney</t>
        </is>
      </c>
      <c r="B9" s="49">
        <f>'Seasons Summary'!J13</f>
        <v/>
      </c>
      <c r="C9" s="47">
        <f>RANK(B9,B$4:B$21)</f>
        <v/>
      </c>
      <c r="D9" s="49">
        <f>'Seasons Summary'!U13</f>
        <v/>
      </c>
      <c r="E9" s="47">
        <f>RANK(D9,D$4:D$21)</f>
        <v/>
      </c>
      <c r="F9" s="49">
        <f>'Seasons Summary'!AF13</f>
        <v/>
      </c>
      <c r="G9" s="47">
        <f>RANK(F9,F$4:F$21)</f>
        <v/>
      </c>
      <c r="H9" s="49">
        <f>'Seasons Summary'!AQ13</f>
        <v/>
      </c>
      <c r="I9" s="47">
        <f>RANK(H9,H$4:H$21)</f>
        <v/>
      </c>
      <c r="J9" s="49">
        <f>'Seasons Summary'!BB13</f>
        <v/>
      </c>
      <c r="K9" s="47">
        <f>RANK(J9,J$4:J$21)</f>
        <v/>
      </c>
      <c r="L9" s="56" t="n"/>
      <c r="M9" s="49">
        <f>AVERAGE(B9,D9,F9,H9,J9)</f>
        <v/>
      </c>
      <c r="N9" s="47">
        <f>RANK(M9,M$4:M$21)</f>
        <v/>
      </c>
      <c r="O9" s="56" t="n"/>
      <c r="P9" s="72" t="n"/>
    </row>
    <row r="10" ht="25" customFormat="1" customHeight="1" s="3">
      <c r="A10" s="218" t="inlineStr">
        <is>
          <t>St Kilda</t>
        </is>
      </c>
      <c r="B10" s="49">
        <f>'Seasons Summary'!J19</f>
        <v/>
      </c>
      <c r="C10" s="47">
        <f>RANK(B10,B$4:B$21)</f>
        <v/>
      </c>
      <c r="D10" s="49">
        <f>'Seasons Summary'!U19</f>
        <v/>
      </c>
      <c r="E10" s="47">
        <f>RANK(D10,D$4:D$21)</f>
        <v/>
      </c>
      <c r="F10" s="49">
        <f>'Seasons Summary'!AF19</f>
        <v/>
      </c>
      <c r="G10" s="47">
        <f>RANK(F10,F$4:F$21)</f>
        <v/>
      </c>
      <c r="H10" s="49">
        <f>'Seasons Summary'!AQ19</f>
        <v/>
      </c>
      <c r="I10" s="47">
        <f>RANK(H10,H$4:H$21)</f>
        <v/>
      </c>
      <c r="J10" s="49">
        <f>'Seasons Summary'!BB19</f>
        <v/>
      </c>
      <c r="K10" s="47">
        <f>RANK(J10,J$4:J$21)</f>
        <v/>
      </c>
      <c r="L10" s="56" t="n"/>
      <c r="M10" s="49">
        <f>AVERAGE(B10,D10,F10,H10,J10)</f>
        <v/>
      </c>
      <c r="N10" s="47">
        <f>RANK(M10,M$4:M$21)</f>
        <v/>
      </c>
      <c r="O10" s="56" t="n"/>
      <c r="P10" s="72" t="n"/>
    </row>
    <row r="11" ht="25" customFormat="1" customHeight="1" s="3">
      <c r="A11" s="181" t="inlineStr">
        <is>
          <t>Carlton</t>
        </is>
      </c>
      <c r="B11" s="49">
        <f>'Seasons Summary'!J7</f>
        <v/>
      </c>
      <c r="C11" s="47">
        <f>RANK(B11,B$4:B$21)</f>
        <v/>
      </c>
      <c r="D11" s="49">
        <f>'Seasons Summary'!U7</f>
        <v/>
      </c>
      <c r="E11" s="47">
        <f>RANK(D11,D$4:D$21)</f>
        <v/>
      </c>
      <c r="F11" s="49">
        <f>'Seasons Summary'!AF7</f>
        <v/>
      </c>
      <c r="G11" s="47">
        <f>RANK(F11,F$4:F$21)</f>
        <v/>
      </c>
      <c r="H11" s="49">
        <f>'Seasons Summary'!AQ7</f>
        <v/>
      </c>
      <c r="I11" s="47">
        <f>RANK(H11,H$4:H$21)</f>
        <v/>
      </c>
      <c r="J11" s="49">
        <f>'Seasons Summary'!BB7</f>
        <v/>
      </c>
      <c r="K11" s="47">
        <f>RANK(J11,J$4:J$21)</f>
        <v/>
      </c>
      <c r="L11" s="56" t="n"/>
      <c r="M11" s="49">
        <f>AVERAGE(B11,D11,F11,H11,J11)</f>
        <v/>
      </c>
      <c r="N11" s="47">
        <f>RANK(M11,M$4:M$21)</f>
        <v/>
      </c>
      <c r="O11" s="56" t="n"/>
      <c r="P11" s="72" t="n"/>
    </row>
    <row r="12" ht="25" customFormat="1" customHeight="1" s="3">
      <c r="A12" s="224" t="inlineStr">
        <is>
          <t>Port Adelaide</t>
        </is>
      </c>
      <c r="B12" s="49">
        <f>'Seasons Summary'!J17</f>
        <v/>
      </c>
      <c r="C12" s="47">
        <f>RANK(B12,B$4:B$21)</f>
        <v/>
      </c>
      <c r="D12" s="49">
        <f>'Seasons Summary'!U17</f>
        <v/>
      </c>
      <c r="E12" s="47">
        <f>RANK(D12,D$4:D$21)</f>
        <v/>
      </c>
      <c r="F12" s="49">
        <f>'Seasons Summary'!AF17</f>
        <v/>
      </c>
      <c r="G12" s="47">
        <f>RANK(F12,F$4:F$21)</f>
        <v/>
      </c>
      <c r="H12" s="49">
        <f>'Seasons Summary'!AQ17</f>
        <v/>
      </c>
      <c r="I12" s="47">
        <f>RANK(H12,H$4:H$21)</f>
        <v/>
      </c>
      <c r="J12" s="49">
        <f>'Seasons Summary'!BB17</f>
        <v/>
      </c>
      <c r="K12" s="47">
        <f>RANK(J12,J$4:J$21)</f>
        <v/>
      </c>
      <c r="L12" s="56" t="n"/>
      <c r="M12" s="49">
        <f>AVERAGE(B12,D12,F12,H12,J12)</f>
        <v/>
      </c>
      <c r="N12" s="47">
        <f>RANK(M12,M$4:M$21)</f>
        <v/>
      </c>
      <c r="O12" s="56" t="n"/>
      <c r="P12" s="72" t="n"/>
    </row>
    <row r="13" ht="25" customFormat="1" customHeight="1" s="3">
      <c r="A13" s="213" t="inlineStr">
        <is>
          <t>Collingwood</t>
        </is>
      </c>
      <c r="B13" s="49">
        <f>'Seasons Summary'!J8</f>
        <v/>
      </c>
      <c r="C13" s="47">
        <f>RANK(B13,B$4:B$21)</f>
        <v/>
      </c>
      <c r="D13" s="49">
        <f>'Seasons Summary'!U8</f>
        <v/>
      </c>
      <c r="E13" s="47">
        <f>RANK(D13,D$4:D$21)</f>
        <v/>
      </c>
      <c r="F13" s="49">
        <f>'Seasons Summary'!AF8</f>
        <v/>
      </c>
      <c r="G13" s="47">
        <f>RANK(F13,F$4:F$21)</f>
        <v/>
      </c>
      <c r="H13" s="49">
        <f>'Seasons Summary'!AQ8</f>
        <v/>
      </c>
      <c r="I13" s="47">
        <f>RANK(H13,H$4:H$21)</f>
        <v/>
      </c>
      <c r="J13" s="49">
        <f>'Seasons Summary'!BB8</f>
        <v/>
      </c>
      <c r="K13" s="47">
        <f>RANK(J13,J$4:J$21)</f>
        <v/>
      </c>
      <c r="L13" s="56" t="n"/>
      <c r="M13" s="49">
        <f>AVERAGE(B13,D13,F13,H13,J13)</f>
        <v/>
      </c>
      <c r="N13" s="47">
        <f>RANK(M13,M$4:M$21)</f>
        <v/>
      </c>
      <c r="O13" s="56" t="n"/>
      <c r="P13" s="72" t="n"/>
    </row>
    <row r="14" ht="25" customFormat="1" customHeight="1" s="3">
      <c r="A14" s="223" t="inlineStr">
        <is>
          <t>Fremantle</t>
        </is>
      </c>
      <c r="B14" s="49">
        <f>'Seasons Summary'!J10</f>
        <v/>
      </c>
      <c r="C14" s="47">
        <f>RANK(B14,B$4:B$21)</f>
        <v/>
      </c>
      <c r="D14" s="49">
        <f>'Seasons Summary'!U10</f>
        <v/>
      </c>
      <c r="E14" s="47">
        <f>RANK(D14,D$4:D$21)</f>
        <v/>
      </c>
      <c r="F14" s="49">
        <f>'Seasons Summary'!AF10</f>
        <v/>
      </c>
      <c r="G14" s="47">
        <f>RANK(F14,F$4:F$21)</f>
        <v/>
      </c>
      <c r="H14" s="49">
        <f>'Seasons Summary'!AQ10</f>
        <v/>
      </c>
      <c r="I14" s="47">
        <f>RANK(H14,H$4:H$21)</f>
        <v/>
      </c>
      <c r="J14" s="49">
        <f>'Seasons Summary'!BB10</f>
        <v/>
      </c>
      <c r="K14" s="47">
        <f>RANK(J14,J$4:J$21)</f>
        <v/>
      </c>
      <c r="L14" s="56" t="n"/>
      <c r="M14" s="49">
        <f>AVERAGE(B14,D14,F14,H14,J14)</f>
        <v/>
      </c>
      <c r="N14" s="47">
        <f>RANK(M14,M$4:M$21)</f>
        <v/>
      </c>
      <c r="O14" s="56" t="n"/>
      <c r="P14" s="72" t="n"/>
    </row>
    <row r="15" ht="25" customFormat="1" customHeight="1" s="3">
      <c r="A15" s="172" t="inlineStr">
        <is>
          <t>Adelaide</t>
        </is>
      </c>
      <c r="B15" s="49">
        <f>'Seasons Summary'!J5</f>
        <v/>
      </c>
      <c r="C15" s="47">
        <f>RANK(B15,B$4:B$21)</f>
        <v/>
      </c>
      <c r="D15" s="49">
        <f>'Seasons Summary'!U5</f>
        <v/>
      </c>
      <c r="E15" s="47">
        <f>RANK(D15,D$4:D$21)</f>
        <v/>
      </c>
      <c r="F15" s="49">
        <f>'Seasons Summary'!AF5</f>
        <v/>
      </c>
      <c r="G15" s="47">
        <f>RANK(F15,F$4:F$21)</f>
        <v/>
      </c>
      <c r="H15" s="49">
        <f>'Seasons Summary'!AQ5</f>
        <v/>
      </c>
      <c r="I15" s="47">
        <f>RANK(H15,H$4:H$21)</f>
        <v/>
      </c>
      <c r="J15" s="49">
        <f>'Seasons Summary'!BB5</f>
        <v/>
      </c>
      <c r="K15" s="47">
        <f>RANK(J15,J$4:J$21)</f>
        <v/>
      </c>
      <c r="L15" s="56" t="n"/>
      <c r="M15" s="49">
        <f>AVERAGE(B15,D15,F15,H15,J15)</f>
        <v/>
      </c>
      <c r="N15" s="47">
        <f>RANK(M15,M$4:M$21)</f>
        <v/>
      </c>
      <c r="O15" s="56" t="n"/>
      <c r="P15" s="72" t="n"/>
    </row>
    <row r="16" ht="25" customFormat="1" customHeight="1" s="3">
      <c r="A16" s="225" t="inlineStr">
        <is>
          <t>Gold Coast</t>
        </is>
      </c>
      <c r="B16" s="49">
        <f>'Seasons Summary'!J12</f>
        <v/>
      </c>
      <c r="C16" s="47">
        <f>RANK(B16,B$4:B$21)</f>
        <v/>
      </c>
      <c r="D16" s="49">
        <f>'Seasons Summary'!U12</f>
        <v/>
      </c>
      <c r="E16" s="47">
        <f>RANK(D16,D$4:D$21)</f>
        <v/>
      </c>
      <c r="F16" s="49">
        <f>'Seasons Summary'!AF12</f>
        <v/>
      </c>
      <c r="G16" s="47">
        <f>RANK(F16,F$4:F$21)</f>
        <v/>
      </c>
      <c r="H16" s="49">
        <f>'Seasons Summary'!AQ12</f>
        <v/>
      </c>
      <c r="I16" s="47">
        <f>RANK(H16,H$4:H$21)</f>
        <v/>
      </c>
      <c r="J16" s="49">
        <f>'Seasons Summary'!BB12</f>
        <v/>
      </c>
      <c r="K16" s="47">
        <f>RANK(J16,J$4:J$21)</f>
        <v/>
      </c>
      <c r="L16" s="56" t="n"/>
      <c r="M16" s="49">
        <f>AVERAGE(B16,D16,F16,H16,J16)</f>
        <v/>
      </c>
      <c r="N16" s="47">
        <f>RANK(M16,M$4:M$21)</f>
        <v/>
      </c>
      <c r="O16" s="56" t="n"/>
      <c r="P16" s="72" t="n"/>
    </row>
    <row r="17" ht="25" customFormat="1" customHeight="1" s="3">
      <c r="A17" s="222" t="inlineStr">
        <is>
          <t>Melbourne</t>
        </is>
      </c>
      <c r="B17" s="49">
        <f>'Seasons Summary'!J15</f>
        <v/>
      </c>
      <c r="C17" s="47">
        <f>RANK(B17,B$4:B$21)</f>
        <v/>
      </c>
      <c r="D17" s="49">
        <f>'Seasons Summary'!U15</f>
        <v/>
      </c>
      <c r="E17" s="47">
        <f>RANK(D17,D$4:D$21)</f>
        <v/>
      </c>
      <c r="F17" s="49">
        <f>'Seasons Summary'!AF15</f>
        <v/>
      </c>
      <c r="G17" s="47">
        <f>RANK(F17,F$4:F$21)</f>
        <v/>
      </c>
      <c r="H17" s="49">
        <f>'Seasons Summary'!AQ15</f>
        <v/>
      </c>
      <c r="I17" s="47">
        <f>RANK(H17,H$4:H$21)</f>
        <v/>
      </c>
      <c r="J17" s="49">
        <f>'Seasons Summary'!BB15</f>
        <v/>
      </c>
      <c r="K17" s="47">
        <f>RANK(J17,J$4:J$21)</f>
        <v/>
      </c>
      <c r="L17" s="56" t="n"/>
      <c r="M17" s="49">
        <f>AVERAGE(B17,D17,F17,H17,J17)</f>
        <v/>
      </c>
      <c r="N17" s="47">
        <f>RANK(M17,M$4:M$21)</f>
        <v/>
      </c>
      <c r="O17" s="56" t="n"/>
      <c r="P17" s="72" t="n"/>
    </row>
    <row r="18" ht="25" customFormat="1" customHeight="1" s="3">
      <c r="A18" s="219" t="inlineStr">
        <is>
          <t>Essendon</t>
        </is>
      </c>
      <c r="B18" s="49">
        <f>'Seasons Summary'!J9</f>
        <v/>
      </c>
      <c r="C18" s="47">
        <f>RANK(B18,B$4:B$21)</f>
        <v/>
      </c>
      <c r="D18" s="49">
        <f>'Seasons Summary'!U9</f>
        <v/>
      </c>
      <c r="E18" s="47">
        <f>RANK(D18,D$4:D$21)</f>
        <v/>
      </c>
      <c r="F18" s="49">
        <f>'Seasons Summary'!AF9</f>
        <v/>
      </c>
      <c r="G18" s="47">
        <f>RANK(F18,F$4:F$21)</f>
        <v/>
      </c>
      <c r="H18" s="49">
        <f>'Seasons Summary'!AQ9</f>
        <v/>
      </c>
      <c r="I18" s="47">
        <f>RANK(H18,H$4:H$21)</f>
        <v/>
      </c>
      <c r="J18" s="49">
        <f>'Seasons Summary'!BB9</f>
        <v/>
      </c>
      <c r="K18" s="47">
        <f>RANK(J18,J$4:J$21)</f>
        <v/>
      </c>
      <c r="L18" s="56" t="n"/>
      <c r="M18" s="49">
        <f>AVERAGE(B18,D18,F18,H18,J18)</f>
        <v/>
      </c>
      <c r="N18" s="47">
        <f>RANK(M18,M$4:M$21)</f>
        <v/>
      </c>
      <c r="O18" s="56" t="n"/>
      <c r="P18" s="72" t="n"/>
    </row>
    <row r="19" ht="25" customFormat="1" customHeight="1" s="3">
      <c r="A19" s="86" t="inlineStr">
        <is>
          <t>North Melbourne</t>
        </is>
      </c>
      <c r="B19" s="49">
        <f>'Seasons Summary'!J16</f>
        <v/>
      </c>
      <c r="C19" s="47">
        <f>RANK(B19,B$4:B$21)</f>
        <v/>
      </c>
      <c r="D19" s="49">
        <f>'Seasons Summary'!U16</f>
        <v/>
      </c>
      <c r="E19" s="47">
        <f>RANK(D19,D$4:D$21)</f>
        <v/>
      </c>
      <c r="F19" s="49">
        <f>'Seasons Summary'!AF16</f>
        <v/>
      </c>
      <c r="G19" s="47">
        <f>RANK(F19,F$4:F$21)</f>
        <v/>
      </c>
      <c r="H19" s="49">
        <f>'Seasons Summary'!AQ16</f>
        <v/>
      </c>
      <c r="I19" s="47">
        <f>RANK(H19,H$4:H$21)</f>
        <v/>
      </c>
      <c r="J19" s="49">
        <f>'Seasons Summary'!BB16</f>
        <v/>
      </c>
      <c r="K19" s="47">
        <f>RANK(J19,J$4:J$21)</f>
        <v/>
      </c>
      <c r="L19" s="56" t="n"/>
      <c r="M19" s="49">
        <f>AVERAGE(B19,D19,F19,H19,J19)</f>
        <v/>
      </c>
      <c r="N19" s="47">
        <f>RANK(M19,M$4:M$21)</f>
        <v/>
      </c>
      <c r="O19" s="56" t="n"/>
      <c r="P19" s="72" t="n"/>
    </row>
    <row r="20" ht="25" customFormat="1" customHeight="1" s="3">
      <c r="A20" s="91" t="inlineStr">
        <is>
          <t>West Coast</t>
        </is>
      </c>
      <c r="B20" s="49">
        <f>'Seasons Summary'!J21</f>
        <v/>
      </c>
      <c r="C20" s="47">
        <f>RANK(B20,B$4:B$21)</f>
        <v/>
      </c>
      <c r="D20" s="49">
        <f>'Seasons Summary'!U21</f>
        <v/>
      </c>
      <c r="E20" s="47">
        <f>RANK(D20,D$4:D$21)</f>
        <v/>
      </c>
      <c r="F20" s="49">
        <f>'Seasons Summary'!AF21</f>
        <v/>
      </c>
      <c r="G20" s="47">
        <f>RANK(F20,F$4:F$21)</f>
        <v/>
      </c>
      <c r="H20" s="49">
        <f>'Seasons Summary'!AQ21</f>
        <v/>
      </c>
      <c r="I20" s="47">
        <f>RANK(H20,H$4:H$21)</f>
        <v/>
      </c>
      <c r="J20" s="49">
        <f>'Seasons Summary'!BB21</f>
        <v/>
      </c>
      <c r="K20" s="47">
        <f>RANK(J20,J$4:J$21)</f>
        <v/>
      </c>
      <c r="L20" s="56" t="n"/>
      <c r="M20" s="49">
        <f>AVERAGE(B20,D20,F20,H20,J20)</f>
        <v/>
      </c>
      <c r="N20" s="47">
        <f>RANK(M20,M$4:M$21)</f>
        <v/>
      </c>
      <c r="O20" s="56" t="n"/>
      <c r="P20" s="72" t="n"/>
    </row>
    <row r="21" ht="25" customFormat="1" customHeight="1" s="3" thickBot="1">
      <c r="A21" s="221" t="inlineStr">
        <is>
          <t>Richmond</t>
        </is>
      </c>
      <c r="B21" s="95">
        <f>'Seasons Summary'!J18</f>
        <v/>
      </c>
      <c r="C21" s="96">
        <f>RANK(B21,B$4:B$21)</f>
        <v/>
      </c>
      <c r="D21" s="95">
        <f>'Seasons Summary'!U18</f>
        <v/>
      </c>
      <c r="E21" s="96">
        <f>RANK(D21,D$4:D$21)</f>
        <v/>
      </c>
      <c r="F21" s="95">
        <f>'Seasons Summary'!AF18</f>
        <v/>
      </c>
      <c r="G21" s="96">
        <f>RANK(F21,F$4:F$21)</f>
        <v/>
      </c>
      <c r="H21" s="95">
        <f>'Seasons Summary'!AQ18</f>
        <v/>
      </c>
      <c r="I21" s="96">
        <f>RANK(H21,H$4:H$21)</f>
        <v/>
      </c>
      <c r="J21" s="49">
        <f>'Seasons Summary'!BB18</f>
        <v/>
      </c>
      <c r="K21" s="96">
        <f>RANK(J21,J$4:J$21)</f>
        <v/>
      </c>
      <c r="L21" s="62" t="n"/>
      <c r="M21" s="49">
        <f>AVERAGE(B21,D21,F21,H21,J21)</f>
        <v/>
      </c>
      <c r="N21" s="96">
        <f>RANK(M21,M$4:M$21)</f>
        <v/>
      </c>
      <c r="O21" s="62" t="n"/>
      <c r="P21" s="72" t="n"/>
    </row>
    <row r="22">
      <c r="P22" s="69" t="n"/>
    </row>
  </sheetData>
  <conditionalFormatting sqref="B4:B21">
    <cfRule type="dataBar" priority="28">
      <dataBar>
        <cfvo type="min"/>
        <cfvo type="max"/>
        <color rgb="FF638EC6"/>
      </dataBar>
    </cfRule>
  </conditionalFormatting>
  <conditionalFormatting sqref="D4:D21">
    <cfRule type="dataBar" priority="27">
      <dataBar>
        <cfvo type="min"/>
        <cfvo type="max"/>
        <color rgb="FF63C384"/>
      </dataBar>
    </cfRule>
  </conditionalFormatting>
  <conditionalFormatting sqref="F4:F21">
    <cfRule type="dataBar" priority="21">
      <dataBar>
        <cfvo type="min"/>
        <cfvo type="max"/>
        <color rgb="FFFFFF00"/>
      </dataBar>
    </cfRule>
    <cfRule type="dataBar" priority="22">
      <dataBar>
        <cfvo type="min"/>
        <cfvo type="max"/>
        <color rgb="FF63C384"/>
      </dataBar>
    </cfRule>
  </conditionalFormatting>
  <conditionalFormatting sqref="H4:H21">
    <cfRule type="dataBar" priority="26">
      <dataBar>
        <cfvo type="min"/>
        <cfvo type="max"/>
        <color rgb="FF63C384"/>
      </dataBar>
    </cfRule>
    <cfRule type="dataBar" priority="25">
      <dataBar>
        <cfvo type="min"/>
        <cfvo type="max"/>
        <color rgb="FFFF555A"/>
      </dataBar>
    </cfRule>
  </conditionalFormatting>
  <conditionalFormatting sqref="J4:J21">
    <cfRule type="dataBar" priority="3">
      <dataBar>
        <cfvo type="min"/>
        <cfvo type="max"/>
        <color rgb="FFD883FF"/>
      </dataBar>
    </cfRule>
    <cfRule type="dataBar" priority="4">
      <dataBar>
        <cfvo type="min"/>
        <cfvo type="max"/>
        <color rgb="FF63C384"/>
      </dataBar>
    </cfRule>
  </conditionalFormatting>
  <conditionalFormatting sqref="M4:M21">
    <cfRule type="dataBar" priority="23">
      <dataBar>
        <cfvo type="min"/>
        <cfvo type="max"/>
        <color theme="1" tint="0.499984740745262"/>
      </dataBar>
    </cfRule>
    <cfRule type="dataBar" priority="24">
      <dataBar>
        <cfvo type="min"/>
        <cfvo type="max"/>
        <color rgb="FF63C384"/>
      </dataBar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FFC000"/>
    <outlinePr summaryBelow="1" summaryRight="1"/>
    <pageSetUpPr/>
  </sheetPr>
  <dimension ref="A1:P25"/>
  <sheetViews>
    <sheetView zoomScale="114" workbookViewId="0">
      <pane xSplit="1" topLeftCell="B1" activePane="topRight" state="frozen"/>
      <selection activeCell="A4" sqref="A4"/>
      <selection pane="topRight" activeCell="B4" sqref="B4"/>
    </sheetView>
  </sheetViews>
  <sheetFormatPr baseColWidth="10" defaultRowHeight="16"/>
  <cols>
    <col width="30.33203125" bestFit="1" customWidth="1" min="1" max="1"/>
    <col width="11" customWidth="1" min="2" max="2"/>
    <col width="3.6640625" customWidth="1" min="3" max="3"/>
    <col width="11" customWidth="1" min="4" max="4"/>
    <col width="3.6640625" customWidth="1" min="5" max="5"/>
    <col width="11" customWidth="1" min="6" max="6"/>
    <col width="3.6640625" customWidth="1" min="7" max="7"/>
    <col width="11" customWidth="1" min="8" max="8"/>
    <col width="3.6640625" customWidth="1" min="9" max="9"/>
    <col width="11" customWidth="1" min="10" max="10"/>
    <col width="3.6640625" customWidth="1" min="11" max="12"/>
    <col width="11" customWidth="1" min="13" max="13"/>
    <col width="3.6640625" customWidth="1" min="14" max="15"/>
  </cols>
  <sheetData>
    <row r="1" ht="35" customHeight="1">
      <c r="A1" s="67">
        <f>'Seasons Summary'!B24</f>
        <v/>
      </c>
      <c r="P1" s="69" t="n"/>
    </row>
    <row r="2" ht="17" customHeight="1" thickBot="1">
      <c r="P2" s="69" t="n"/>
    </row>
    <row r="3" ht="52" customHeight="1" thickBot="1">
      <c r="A3" s="93" t="inlineStr">
        <is>
          <t>Team</t>
        </is>
      </c>
      <c r="B3" s="27" t="inlineStr">
        <is>
          <t>Ball Winning Ranking</t>
        </is>
      </c>
      <c r="C3" s="227" t="inlineStr">
        <is>
          <t>Rank</t>
        </is>
      </c>
      <c r="D3" s="30" t="inlineStr">
        <is>
          <t>Ball Movement Ranking</t>
        </is>
      </c>
      <c r="E3" s="232" t="inlineStr">
        <is>
          <t>Rank</t>
        </is>
      </c>
      <c r="F3" s="44" t="inlineStr">
        <is>
          <t>Scoring Ranking</t>
        </is>
      </c>
      <c r="G3" s="231" t="inlineStr">
        <is>
          <t>Rank</t>
        </is>
      </c>
      <c r="H3" s="33" t="inlineStr">
        <is>
          <t>Defence Ranking</t>
        </is>
      </c>
      <c r="I3" s="230" t="inlineStr">
        <is>
          <t>Rank</t>
        </is>
      </c>
      <c r="J3" s="186" t="inlineStr">
        <is>
          <t>Pressure Ranking</t>
        </is>
      </c>
      <c r="K3" s="229" t="inlineStr">
        <is>
          <t>Rank</t>
        </is>
      </c>
      <c r="L3" s="94" t="n"/>
      <c r="M3" s="36" t="inlineStr">
        <is>
          <t>Team Rating</t>
        </is>
      </c>
      <c r="N3" s="228" t="inlineStr">
        <is>
          <t>Rank</t>
        </is>
      </c>
      <c r="O3" s="94" t="n"/>
      <c r="P3" s="69" t="n"/>
    </row>
    <row r="4" ht="25" customHeight="1">
      <c r="A4" s="75" t="inlineStr">
        <is>
          <t>Adelaide</t>
        </is>
      </c>
      <c r="B4" s="49">
        <f>'Seasons Summary'!J28</f>
        <v/>
      </c>
      <c r="C4" s="47">
        <f>RANK(B4,B$4:B$21)</f>
        <v/>
      </c>
      <c r="D4" s="49">
        <f>'Seasons Summary'!U28</f>
        <v/>
      </c>
      <c r="E4" s="47">
        <f>RANK(D4,D$4:D$21)</f>
        <v/>
      </c>
      <c r="F4" s="49">
        <f>'Seasons Summary'!AF28</f>
        <v/>
      </c>
      <c r="G4" s="47">
        <f>RANK(F4,F$4:F$21)</f>
        <v/>
      </c>
      <c r="H4" s="49">
        <f>'Seasons Summary'!AQ28</f>
        <v/>
      </c>
      <c r="I4" s="47">
        <f>RANK(H4,H$4:H$21)</f>
        <v/>
      </c>
      <c r="J4" s="49">
        <f>'Seasons Summary'!BB28</f>
        <v/>
      </c>
      <c r="K4" s="47">
        <f>RANK(J4,J$4:J$21)</f>
        <v/>
      </c>
      <c r="L4" s="50" t="n"/>
      <c r="M4" s="49">
        <f>AVERAGE(B4,D4,F4,H4,J4)</f>
        <v/>
      </c>
      <c r="N4" s="47">
        <f>RANK(M4,M$4:M$21)</f>
        <v/>
      </c>
      <c r="O4" s="50" t="n"/>
      <c r="P4" s="69" t="n"/>
    </row>
    <row r="5" ht="25" customHeight="1">
      <c r="A5" s="76" t="inlineStr">
        <is>
          <t>Brisbane</t>
        </is>
      </c>
      <c r="B5" s="49">
        <f>'Seasons Summary'!J29</f>
        <v/>
      </c>
      <c r="C5" s="47">
        <f>RANK(B5,B$4:B$21)</f>
        <v/>
      </c>
      <c r="D5" s="49">
        <f>'Seasons Summary'!U29</f>
        <v/>
      </c>
      <c r="E5" s="47">
        <f>RANK(D5,D$4:D$21)</f>
        <v/>
      </c>
      <c r="F5" s="49">
        <f>'Seasons Summary'!AF29</f>
        <v/>
      </c>
      <c r="G5" s="47">
        <f>RANK(F5,F$4:F$21)</f>
        <v/>
      </c>
      <c r="H5" s="49">
        <f>'Seasons Summary'!AQ29</f>
        <v/>
      </c>
      <c r="I5" s="47">
        <f>RANK(H5,H$4:H$21)</f>
        <v/>
      </c>
      <c r="J5" s="49">
        <f>'Seasons Summary'!BB29</f>
        <v/>
      </c>
      <c r="K5" s="47">
        <f>RANK(J5,J$4:J$21)</f>
        <v/>
      </c>
      <c r="L5" s="56" t="n"/>
      <c r="M5" s="49">
        <f>AVERAGE(B5,D5,F5,H5,J5)</f>
        <v/>
      </c>
      <c r="N5" s="47">
        <f>RANK(M5,M$4:M$21)</f>
        <v/>
      </c>
      <c r="O5" s="56" t="n"/>
      <c r="P5" s="69" t="n"/>
    </row>
    <row r="6" ht="25" customHeight="1">
      <c r="A6" s="77" t="inlineStr">
        <is>
          <t>Carlton</t>
        </is>
      </c>
      <c r="B6" s="49">
        <f>'Seasons Summary'!J30</f>
        <v/>
      </c>
      <c r="C6" s="47">
        <f>RANK(B6,B$4:B$21)</f>
        <v/>
      </c>
      <c r="D6" s="49">
        <f>'Seasons Summary'!U30</f>
        <v/>
      </c>
      <c r="E6" s="47">
        <f>RANK(D6,D$4:D$21)</f>
        <v/>
      </c>
      <c r="F6" s="49">
        <f>'Seasons Summary'!AF30</f>
        <v/>
      </c>
      <c r="G6" s="47">
        <f>RANK(F6,F$4:F$21)</f>
        <v/>
      </c>
      <c r="H6" s="49">
        <f>'Seasons Summary'!AQ30</f>
        <v/>
      </c>
      <c r="I6" s="47">
        <f>RANK(H6,H$4:H$21)</f>
        <v/>
      </c>
      <c r="J6" s="49">
        <f>'Seasons Summary'!BB30</f>
        <v/>
      </c>
      <c r="K6" s="47">
        <f>RANK(J6,J$4:J$21)</f>
        <v/>
      </c>
      <c r="L6" s="56" t="n"/>
      <c r="M6" s="49">
        <f>AVERAGE(B6,D6,F6,H6,J6)</f>
        <v/>
      </c>
      <c r="N6" s="47">
        <f>RANK(M6,M$4:M$21)</f>
        <v/>
      </c>
      <c r="O6" s="56" t="n"/>
      <c r="P6" s="69" t="n"/>
    </row>
    <row r="7" ht="25" customHeight="1">
      <c r="A7" s="78" t="inlineStr">
        <is>
          <t>Collingwood</t>
        </is>
      </c>
      <c r="B7" s="49">
        <f>'Seasons Summary'!J31</f>
        <v/>
      </c>
      <c r="C7" s="47">
        <f>RANK(B7,B$4:B$21)</f>
        <v/>
      </c>
      <c r="D7" s="49">
        <f>'Seasons Summary'!U31</f>
        <v/>
      </c>
      <c r="E7" s="47">
        <f>RANK(D7,D$4:D$21)</f>
        <v/>
      </c>
      <c r="F7" s="49">
        <f>'Seasons Summary'!AF31</f>
        <v/>
      </c>
      <c r="G7" s="47">
        <f>RANK(F7,F$4:F$21)</f>
        <v/>
      </c>
      <c r="H7" s="49">
        <f>'Seasons Summary'!AQ31</f>
        <v/>
      </c>
      <c r="I7" s="47">
        <f>RANK(H7,H$4:H$21)</f>
        <v/>
      </c>
      <c r="J7" s="49">
        <f>'Seasons Summary'!BB31</f>
        <v/>
      </c>
      <c r="K7" s="47">
        <f>RANK(J7,J$4:J$21)</f>
        <v/>
      </c>
      <c r="L7" s="56" t="n"/>
      <c r="M7" s="49">
        <f>AVERAGE(B7,D7,F7,H7,J7)</f>
        <v/>
      </c>
      <c r="N7" s="47">
        <f>RANK(M7,M$4:M$21)</f>
        <v/>
      </c>
      <c r="O7" s="56" t="n"/>
      <c r="P7" s="69" t="n"/>
    </row>
    <row r="8" ht="25" customHeight="1">
      <c r="A8" s="79" t="inlineStr">
        <is>
          <t>Essendon</t>
        </is>
      </c>
      <c r="B8" s="49">
        <f>'Seasons Summary'!J32</f>
        <v/>
      </c>
      <c r="C8" s="47">
        <f>RANK(B8,B$4:B$21)</f>
        <v/>
      </c>
      <c r="D8" s="49">
        <f>'Seasons Summary'!U32</f>
        <v/>
      </c>
      <c r="E8" s="47">
        <f>RANK(D8,D$4:D$21)</f>
        <v/>
      </c>
      <c r="F8" s="49">
        <f>'Seasons Summary'!AF32</f>
        <v/>
      </c>
      <c r="G8" s="47">
        <f>RANK(F8,F$4:F$21)</f>
        <v/>
      </c>
      <c r="H8" s="49">
        <f>'Seasons Summary'!AQ32</f>
        <v/>
      </c>
      <c r="I8" s="47">
        <f>RANK(H8,H$4:H$21)</f>
        <v/>
      </c>
      <c r="J8" s="49">
        <f>'Seasons Summary'!BB32</f>
        <v/>
      </c>
      <c r="K8" s="47">
        <f>RANK(J8,J$4:J$21)</f>
        <v/>
      </c>
      <c r="L8" s="56" t="n"/>
      <c r="M8" s="49">
        <f>AVERAGE(B8,D8,F8,H8,J8)</f>
        <v/>
      </c>
      <c r="N8" s="47">
        <f>RANK(M8,M$4:M$21)</f>
        <v/>
      </c>
      <c r="O8" s="56" t="n"/>
      <c r="P8" s="69" t="n"/>
    </row>
    <row r="9" ht="25" customHeight="1">
      <c r="A9" s="80" t="inlineStr">
        <is>
          <t>Fremantle</t>
        </is>
      </c>
      <c r="B9" s="49">
        <f>'Seasons Summary'!J33</f>
        <v/>
      </c>
      <c r="C9" s="47">
        <f>RANK(B9,B$4:B$21)</f>
        <v/>
      </c>
      <c r="D9" s="49">
        <f>'Seasons Summary'!U33</f>
        <v/>
      </c>
      <c r="E9" s="47">
        <f>RANK(D9,D$4:D$21)</f>
        <v/>
      </c>
      <c r="F9" s="49">
        <f>'Seasons Summary'!AF33</f>
        <v/>
      </c>
      <c r="G9" s="47">
        <f>RANK(F9,F$4:F$21)</f>
        <v/>
      </c>
      <c r="H9" s="49">
        <f>'Seasons Summary'!AQ33</f>
        <v/>
      </c>
      <c r="I9" s="47">
        <f>RANK(H9,H$4:H$21)</f>
        <v/>
      </c>
      <c r="J9" s="49">
        <f>'Seasons Summary'!BB33</f>
        <v/>
      </c>
      <c r="K9" s="47">
        <f>RANK(J9,J$4:J$21)</f>
        <v/>
      </c>
      <c r="L9" s="56" t="n"/>
      <c r="M9" s="49">
        <f>AVERAGE(B9,D9,F9,H9,J9)</f>
        <v/>
      </c>
      <c r="N9" s="47">
        <f>RANK(M9,M$4:M$21)</f>
        <v/>
      </c>
      <c r="O9" s="56" t="n"/>
      <c r="P9" s="69" t="n"/>
    </row>
    <row r="10" ht="25" customHeight="1">
      <c r="A10" s="81" t="inlineStr">
        <is>
          <t>Geelong</t>
        </is>
      </c>
      <c r="B10" s="49">
        <f>'Seasons Summary'!J34</f>
        <v/>
      </c>
      <c r="C10" s="47">
        <f>RANK(B10,B$4:B$21)</f>
        <v/>
      </c>
      <c r="D10" s="49">
        <f>'Seasons Summary'!U34</f>
        <v/>
      </c>
      <c r="E10" s="47">
        <f>RANK(D10,D$4:D$21)</f>
        <v/>
      </c>
      <c r="F10" s="49">
        <f>'Seasons Summary'!AF34</f>
        <v/>
      </c>
      <c r="G10" s="47">
        <f>RANK(F10,F$4:F$21)</f>
        <v/>
      </c>
      <c r="H10" s="49">
        <f>'Seasons Summary'!AQ34</f>
        <v/>
      </c>
      <c r="I10" s="47">
        <f>RANK(H10,H$4:H$21)</f>
        <v/>
      </c>
      <c r="J10" s="49">
        <f>'Seasons Summary'!BB34</f>
        <v/>
      </c>
      <c r="K10" s="47">
        <f>RANK(J10,J$4:J$21)</f>
        <v/>
      </c>
      <c r="L10" s="56" t="n"/>
      <c r="M10" s="49">
        <f>AVERAGE(B10,D10,F10,H10,J10)</f>
        <v/>
      </c>
      <c r="N10" s="47">
        <f>RANK(M10,M$4:M$21)</f>
        <v/>
      </c>
      <c r="O10" s="56" t="n"/>
      <c r="P10" s="69" t="n"/>
    </row>
    <row r="11" ht="25" customHeight="1">
      <c r="A11" s="82" t="inlineStr">
        <is>
          <t>Gold Coast</t>
        </is>
      </c>
      <c r="B11" s="49">
        <f>'Seasons Summary'!J35</f>
        <v/>
      </c>
      <c r="C11" s="47">
        <f>RANK(B11,B$4:B$21)</f>
        <v/>
      </c>
      <c r="D11" s="49">
        <f>'Seasons Summary'!U35</f>
        <v/>
      </c>
      <c r="E11" s="47">
        <f>RANK(D11,D$4:D$21)</f>
        <v/>
      </c>
      <c r="F11" s="49">
        <f>'Seasons Summary'!AF35</f>
        <v/>
      </c>
      <c r="G11" s="47">
        <f>RANK(F11,F$4:F$21)</f>
        <v/>
      </c>
      <c r="H11" s="49">
        <f>'Seasons Summary'!AQ35</f>
        <v/>
      </c>
      <c r="I11" s="47">
        <f>RANK(H11,H$4:H$21)</f>
        <v/>
      </c>
      <c r="J11" s="49">
        <f>'Seasons Summary'!BB35</f>
        <v/>
      </c>
      <c r="K11" s="47">
        <f>RANK(J11,J$4:J$21)</f>
        <v/>
      </c>
      <c r="L11" s="56" t="n"/>
      <c r="M11" s="49">
        <f>AVERAGE(B11,D11,F11,H11,J11)</f>
        <v/>
      </c>
      <c r="N11" s="47">
        <f>RANK(M11,M$4:M$21)</f>
        <v/>
      </c>
      <c r="O11" s="56" t="n"/>
      <c r="P11" s="69" t="n"/>
    </row>
    <row r="12" ht="25" customHeight="1">
      <c r="A12" s="83" t="inlineStr">
        <is>
          <t>Greater Western Sydney</t>
        </is>
      </c>
      <c r="B12" s="49">
        <f>'Seasons Summary'!J36</f>
        <v/>
      </c>
      <c r="C12" s="47">
        <f>RANK(B12,B$4:B$21)</f>
        <v/>
      </c>
      <c r="D12" s="49">
        <f>'Seasons Summary'!U36</f>
        <v/>
      </c>
      <c r="E12" s="47">
        <f>RANK(D12,D$4:D$21)</f>
        <v/>
      </c>
      <c r="F12" s="49">
        <f>'Seasons Summary'!AF36</f>
        <v/>
      </c>
      <c r="G12" s="47">
        <f>RANK(F12,F$4:F$21)</f>
        <v/>
      </c>
      <c r="H12" s="49">
        <f>'Seasons Summary'!AQ36</f>
        <v/>
      </c>
      <c r="I12" s="47">
        <f>RANK(H12,H$4:H$21)</f>
        <v/>
      </c>
      <c r="J12" s="49">
        <f>'Seasons Summary'!BB36</f>
        <v/>
      </c>
      <c r="K12" s="47">
        <f>RANK(J12,J$4:J$21)</f>
        <v/>
      </c>
      <c r="L12" s="56" t="n"/>
      <c r="M12" s="49">
        <f>AVERAGE(B12,D12,F12,H12,J12)</f>
        <v/>
      </c>
      <c r="N12" s="47">
        <f>RANK(M12,M$4:M$21)</f>
        <v/>
      </c>
      <c r="O12" s="56" t="n"/>
      <c r="P12" s="69" t="n"/>
    </row>
    <row r="13" ht="25" customHeight="1">
      <c r="A13" s="84" t="inlineStr">
        <is>
          <t>Hawthorn</t>
        </is>
      </c>
      <c r="B13" s="49">
        <f>'Seasons Summary'!J37</f>
        <v/>
      </c>
      <c r="C13" s="47">
        <f>RANK(B13,B$4:B$21)</f>
        <v/>
      </c>
      <c r="D13" s="49">
        <f>'Seasons Summary'!U37</f>
        <v/>
      </c>
      <c r="E13" s="47">
        <f>RANK(D13,D$4:D$21)</f>
        <v/>
      </c>
      <c r="F13" s="49">
        <f>'Seasons Summary'!AF37</f>
        <v/>
      </c>
      <c r="G13" s="47">
        <f>RANK(F13,F$4:F$21)</f>
        <v/>
      </c>
      <c r="H13" s="49">
        <f>'Seasons Summary'!AQ37</f>
        <v/>
      </c>
      <c r="I13" s="47">
        <f>RANK(H13,H$4:H$21)</f>
        <v/>
      </c>
      <c r="J13" s="49">
        <f>'Seasons Summary'!BB37</f>
        <v/>
      </c>
      <c r="K13" s="47">
        <f>RANK(J13,J$4:J$21)</f>
        <v/>
      </c>
      <c r="L13" s="56" t="n"/>
      <c r="M13" s="49">
        <f>AVERAGE(B13,D13,F13,H13,J13)</f>
        <v/>
      </c>
      <c r="N13" s="47">
        <f>RANK(M13,M$4:M$21)</f>
        <v/>
      </c>
      <c r="O13" s="56" t="n"/>
      <c r="P13" s="69" t="n"/>
    </row>
    <row r="14" ht="25" customHeight="1">
      <c r="A14" s="85" t="inlineStr">
        <is>
          <t>Melbourne</t>
        </is>
      </c>
      <c r="B14" s="49">
        <f>'Seasons Summary'!J38</f>
        <v/>
      </c>
      <c r="C14" s="47">
        <f>RANK(B14,B$4:B$21)</f>
        <v/>
      </c>
      <c r="D14" s="49">
        <f>'Seasons Summary'!U38</f>
        <v/>
      </c>
      <c r="E14" s="47">
        <f>RANK(D14,D$4:D$21)</f>
        <v/>
      </c>
      <c r="F14" s="49">
        <f>'Seasons Summary'!AF38</f>
        <v/>
      </c>
      <c r="G14" s="47">
        <f>RANK(F14,F$4:F$21)</f>
        <v/>
      </c>
      <c r="H14" s="49">
        <f>'Seasons Summary'!AQ38</f>
        <v/>
      </c>
      <c r="I14" s="47">
        <f>RANK(H14,H$4:H$21)</f>
        <v/>
      </c>
      <c r="J14" s="49">
        <f>'Seasons Summary'!BB38</f>
        <v/>
      </c>
      <c r="K14" s="47">
        <f>RANK(J14,J$4:J$21)</f>
        <v/>
      </c>
      <c r="L14" s="56" t="n"/>
      <c r="M14" s="49">
        <f>AVERAGE(B14,D14,F14,H14,J14)</f>
        <v/>
      </c>
      <c r="N14" s="47">
        <f>RANK(M14,M$4:M$21)</f>
        <v/>
      </c>
      <c r="O14" s="56" t="n"/>
      <c r="P14" s="69" t="n"/>
    </row>
    <row r="15" ht="25" customHeight="1">
      <c r="A15" s="86" t="inlineStr">
        <is>
          <t>North Melbourne</t>
        </is>
      </c>
      <c r="B15" s="49">
        <f>'Seasons Summary'!J39</f>
        <v/>
      </c>
      <c r="C15" s="47">
        <f>RANK(B15,B$4:B$21)</f>
        <v/>
      </c>
      <c r="D15" s="49">
        <f>'Seasons Summary'!U39</f>
        <v/>
      </c>
      <c r="E15" s="47">
        <f>RANK(D15,D$4:D$21)</f>
        <v/>
      </c>
      <c r="F15" s="49">
        <f>'Seasons Summary'!AF39</f>
        <v/>
      </c>
      <c r="G15" s="47">
        <f>RANK(F15,F$4:F$21)</f>
        <v/>
      </c>
      <c r="H15" s="49">
        <f>'Seasons Summary'!AQ39</f>
        <v/>
      </c>
      <c r="I15" s="47">
        <f>RANK(H15,H$4:H$21)</f>
        <v/>
      </c>
      <c r="J15" s="49">
        <f>'Seasons Summary'!BB39</f>
        <v/>
      </c>
      <c r="K15" s="47">
        <f>RANK(J15,J$4:J$21)</f>
        <v/>
      </c>
      <c r="L15" s="56" t="n"/>
      <c r="M15" s="49">
        <f>AVERAGE(B15,D15,F15,H15,J15)</f>
        <v/>
      </c>
      <c r="N15" s="47">
        <f>RANK(M15,M$4:M$21)</f>
        <v/>
      </c>
      <c r="O15" s="56" t="n"/>
      <c r="P15" s="69" t="n"/>
    </row>
    <row r="16" ht="25" customHeight="1">
      <c r="A16" s="87" t="inlineStr">
        <is>
          <t>Port Adelaide</t>
        </is>
      </c>
      <c r="B16" s="49">
        <f>'Seasons Summary'!J40</f>
        <v/>
      </c>
      <c r="C16" s="47">
        <f>RANK(B16,B$4:B$21)</f>
        <v/>
      </c>
      <c r="D16" s="49">
        <f>'Seasons Summary'!U40</f>
        <v/>
      </c>
      <c r="E16" s="47">
        <f>RANK(D16,D$4:D$21)</f>
        <v/>
      </c>
      <c r="F16" s="49">
        <f>'Seasons Summary'!AF40</f>
        <v/>
      </c>
      <c r="G16" s="47">
        <f>RANK(F16,F$4:F$21)</f>
        <v/>
      </c>
      <c r="H16" s="49">
        <f>'Seasons Summary'!AQ40</f>
        <v/>
      </c>
      <c r="I16" s="47">
        <f>RANK(H16,H$4:H$21)</f>
        <v/>
      </c>
      <c r="J16" s="49">
        <f>'Seasons Summary'!BB40</f>
        <v/>
      </c>
      <c r="K16" s="47">
        <f>RANK(J16,J$4:J$21)</f>
        <v/>
      </c>
      <c r="L16" s="56" t="n"/>
      <c r="M16" s="49">
        <f>AVERAGE(B16,D16,F16,H16,J16)</f>
        <v/>
      </c>
      <c r="N16" s="47">
        <f>RANK(M16,M$4:M$21)</f>
        <v/>
      </c>
      <c r="O16" s="56" t="n"/>
      <c r="P16" s="69" t="n"/>
    </row>
    <row r="17" ht="25" customHeight="1">
      <c r="A17" s="88" t="inlineStr">
        <is>
          <t>Richmond</t>
        </is>
      </c>
      <c r="B17" s="49">
        <f>'Seasons Summary'!J41</f>
        <v/>
      </c>
      <c r="C17" s="47">
        <f>RANK(B17,B$4:B$21)</f>
        <v/>
      </c>
      <c r="D17" s="49">
        <f>'Seasons Summary'!U41</f>
        <v/>
      </c>
      <c r="E17" s="47">
        <f>RANK(D17,D$4:D$21)</f>
        <v/>
      </c>
      <c r="F17" s="49">
        <f>'Seasons Summary'!AF41</f>
        <v/>
      </c>
      <c r="G17" s="47">
        <f>RANK(F17,F$4:F$21)</f>
        <v/>
      </c>
      <c r="H17" s="49">
        <f>'Seasons Summary'!AQ41</f>
        <v/>
      </c>
      <c r="I17" s="47">
        <f>RANK(H17,H$4:H$21)</f>
        <v/>
      </c>
      <c r="J17" s="49">
        <f>'Seasons Summary'!BB41</f>
        <v/>
      </c>
      <c r="K17" s="47">
        <f>RANK(J17,J$4:J$21)</f>
        <v/>
      </c>
      <c r="L17" s="56" t="n"/>
      <c r="M17" s="49">
        <f>AVERAGE(B17,D17,F17,H17,J17)</f>
        <v/>
      </c>
      <c r="N17" s="47">
        <f>RANK(M17,M$4:M$21)</f>
        <v/>
      </c>
      <c r="O17" s="56" t="n"/>
      <c r="P17" s="69" t="n"/>
    </row>
    <row r="18" ht="25" customHeight="1">
      <c r="A18" s="89" t="inlineStr">
        <is>
          <t>St Kilda</t>
        </is>
      </c>
      <c r="B18" s="49">
        <f>'Seasons Summary'!J42</f>
        <v/>
      </c>
      <c r="C18" s="47">
        <f>RANK(B18,B$4:B$21)</f>
        <v/>
      </c>
      <c r="D18" s="49">
        <f>'Seasons Summary'!U42</f>
        <v/>
      </c>
      <c r="E18" s="47">
        <f>RANK(D18,D$4:D$21)</f>
        <v/>
      </c>
      <c r="F18" s="49">
        <f>'Seasons Summary'!AF42</f>
        <v/>
      </c>
      <c r="G18" s="47">
        <f>RANK(F18,F$4:F$21)</f>
        <v/>
      </c>
      <c r="H18" s="49">
        <f>'Seasons Summary'!AQ42</f>
        <v/>
      </c>
      <c r="I18" s="47">
        <f>RANK(H18,H$4:H$21)</f>
        <v/>
      </c>
      <c r="J18" s="49">
        <f>'Seasons Summary'!BB42</f>
        <v/>
      </c>
      <c r="K18" s="47">
        <f>RANK(J18,J$4:J$21)</f>
        <v/>
      </c>
      <c r="L18" s="56" t="n"/>
      <c r="M18" s="49">
        <f>AVERAGE(B18,D18,F18,H18,J18)</f>
        <v/>
      </c>
      <c r="N18" s="47">
        <f>RANK(M18,M$4:M$21)</f>
        <v/>
      </c>
      <c r="O18" s="56" t="n"/>
      <c r="P18" s="69" t="n"/>
    </row>
    <row r="19" ht="25" customHeight="1">
      <c r="A19" s="90" t="inlineStr">
        <is>
          <t>Sydney</t>
        </is>
      </c>
      <c r="B19" s="49">
        <f>'Seasons Summary'!J43</f>
        <v/>
      </c>
      <c r="C19" s="47">
        <f>RANK(B19,B$4:B$21)</f>
        <v/>
      </c>
      <c r="D19" s="49">
        <f>'Seasons Summary'!U43</f>
        <v/>
      </c>
      <c r="E19" s="47">
        <f>RANK(D19,D$4:D$21)</f>
        <v/>
      </c>
      <c r="F19" s="49">
        <f>'Seasons Summary'!AF43</f>
        <v/>
      </c>
      <c r="G19" s="47">
        <f>RANK(F19,F$4:F$21)</f>
        <v/>
      </c>
      <c r="H19" s="49">
        <f>'Seasons Summary'!AQ43</f>
        <v/>
      </c>
      <c r="I19" s="47">
        <f>RANK(H19,H$4:H$21)</f>
        <v/>
      </c>
      <c r="J19" s="49">
        <f>'Seasons Summary'!BB43</f>
        <v/>
      </c>
      <c r="K19" s="47">
        <f>RANK(J19,J$4:J$21)</f>
        <v/>
      </c>
      <c r="L19" s="56" t="n"/>
      <c r="M19" s="49">
        <f>AVERAGE(B19,D19,F19,H19,J19)</f>
        <v/>
      </c>
      <c r="N19" s="47">
        <f>RANK(M19,M$4:M$21)</f>
        <v/>
      </c>
      <c r="O19" s="56" t="n"/>
      <c r="P19" s="69" t="n"/>
    </row>
    <row r="20" ht="25" customHeight="1">
      <c r="A20" s="91" t="inlineStr">
        <is>
          <t>West Coast</t>
        </is>
      </c>
      <c r="B20" s="49">
        <f>'Seasons Summary'!J44</f>
        <v/>
      </c>
      <c r="C20" s="47">
        <f>RANK(B20,B$4:B$21)</f>
        <v/>
      </c>
      <c r="D20" s="49">
        <f>'Seasons Summary'!U44</f>
        <v/>
      </c>
      <c r="E20" s="47">
        <f>RANK(D20,D$4:D$21)</f>
        <v/>
      </c>
      <c r="F20" s="49">
        <f>'Seasons Summary'!AF44</f>
        <v/>
      </c>
      <c r="G20" s="47">
        <f>RANK(F20,F$4:F$21)</f>
        <v/>
      </c>
      <c r="H20" s="49">
        <f>'Seasons Summary'!AQ44</f>
        <v/>
      </c>
      <c r="I20" s="47">
        <f>RANK(H20,H$4:H$21)</f>
        <v/>
      </c>
      <c r="J20" s="49">
        <f>'Seasons Summary'!BB44</f>
        <v/>
      </c>
      <c r="K20" s="47">
        <f>RANK(J20,J$4:J$21)</f>
        <v/>
      </c>
      <c r="L20" s="56" t="n"/>
      <c r="M20" s="49">
        <f>AVERAGE(B20,D20,F20,H20,J20)</f>
        <v/>
      </c>
      <c r="N20" s="47">
        <f>RANK(M20,M$4:M$21)</f>
        <v/>
      </c>
      <c r="O20" s="56" t="n"/>
      <c r="P20" s="69" t="n"/>
    </row>
    <row r="21" ht="25" customHeight="1" thickBot="1">
      <c r="A21" s="92" t="inlineStr">
        <is>
          <t>Western Bulldogs</t>
        </is>
      </c>
      <c r="B21" s="95">
        <f>'Seasons Summary'!J45</f>
        <v/>
      </c>
      <c r="C21" s="96">
        <f>RANK(B21,B$4:B$21)</f>
        <v/>
      </c>
      <c r="D21" s="95">
        <f>'Seasons Summary'!U45</f>
        <v/>
      </c>
      <c r="E21" s="96">
        <f>RANK(D21,D$4:D$21)</f>
        <v/>
      </c>
      <c r="F21" s="95">
        <f>'Seasons Summary'!AF45</f>
        <v/>
      </c>
      <c r="G21" s="96">
        <f>RANK(F21,F$4:F$21)</f>
        <v/>
      </c>
      <c r="H21" s="95">
        <f>'Seasons Summary'!AQ45</f>
        <v/>
      </c>
      <c r="I21" s="96">
        <f>RANK(H21,H$4:H$21)</f>
        <v/>
      </c>
      <c r="J21" s="49">
        <f>'Seasons Summary'!BB45</f>
        <v/>
      </c>
      <c r="K21" s="96">
        <f>RANK(J21,J$4:J$21)</f>
        <v/>
      </c>
      <c r="L21" s="62" t="n"/>
      <c r="M21" s="49">
        <f>AVERAGE(B21,D21,F21,H21,J21)</f>
        <v/>
      </c>
      <c r="N21" s="96">
        <f>RANK(M21,M$4:M$21)</f>
        <v/>
      </c>
      <c r="O21" s="62" t="n"/>
      <c r="P21" s="69" t="n"/>
    </row>
    <row r="22">
      <c r="A22" s="69" t="n"/>
      <c r="B22" s="69" t="n"/>
      <c r="C22" s="69" t="n"/>
      <c r="D22" s="69" t="n"/>
      <c r="E22" s="69" t="n"/>
      <c r="F22" s="69" t="n"/>
      <c r="G22" s="69" t="n"/>
      <c r="H22" s="69" t="n"/>
      <c r="I22" s="69" t="n"/>
      <c r="J22" s="69" t="n"/>
      <c r="K22" s="69" t="n"/>
      <c r="L22" s="69" t="n"/>
      <c r="M22" s="69" t="n"/>
      <c r="N22" s="69" t="n"/>
      <c r="O22" s="69" t="n"/>
      <c r="P22" s="69" t="n"/>
    </row>
    <row r="23">
      <c r="A23" s="69" t="n"/>
      <c r="B23" s="69" t="n"/>
      <c r="C23" s="69" t="n"/>
      <c r="D23" s="69" t="n"/>
      <c r="E23" s="69" t="n"/>
      <c r="F23" s="69" t="n"/>
      <c r="G23" s="69" t="n"/>
      <c r="H23" s="69" t="n"/>
      <c r="I23" s="69" t="n"/>
      <c r="L23" s="69" t="n"/>
      <c r="M23" s="69" t="n"/>
      <c r="N23" s="69" t="n"/>
      <c r="O23" s="69" t="n"/>
      <c r="P23" s="69" t="n"/>
    </row>
    <row r="24">
      <c r="A24" s="69" t="n"/>
      <c r="B24" s="69" t="n"/>
      <c r="C24" s="69" t="n"/>
      <c r="D24" s="69" t="n"/>
      <c r="E24" s="69" t="n"/>
      <c r="F24" s="69" t="n"/>
      <c r="G24" s="69" t="n"/>
      <c r="H24" s="69" t="n"/>
      <c r="I24" s="69" t="n"/>
      <c r="L24" s="69" t="n"/>
      <c r="M24" s="69" t="n"/>
      <c r="N24" s="69" t="n"/>
      <c r="O24" s="69" t="n"/>
      <c r="P24" s="69" t="n"/>
    </row>
    <row r="25">
      <c r="A25" s="69" t="n"/>
      <c r="B25" s="69" t="n"/>
      <c r="C25" s="69" t="n"/>
      <c r="D25" s="69" t="n"/>
      <c r="E25" s="69" t="n"/>
      <c r="F25" s="69" t="n"/>
      <c r="G25" s="69" t="n"/>
      <c r="H25" s="69" t="n"/>
      <c r="I25" s="69" t="n"/>
      <c r="L25" s="69" t="n"/>
      <c r="M25" s="69" t="n"/>
      <c r="N25" s="69" t="n"/>
      <c r="O25" s="69" t="n"/>
    </row>
  </sheetData>
  <conditionalFormatting sqref="B4:B21">
    <cfRule type="dataBar" priority="12">
      <dataBar>
        <cfvo type="min"/>
        <cfvo type="max"/>
        <color rgb="FF638EC6"/>
      </dataBar>
    </cfRule>
  </conditionalFormatting>
  <conditionalFormatting sqref="D4:D21">
    <cfRule type="dataBar" priority="11">
      <dataBar>
        <cfvo type="min"/>
        <cfvo type="max"/>
        <color rgb="FF63C384"/>
      </dataBar>
    </cfRule>
  </conditionalFormatting>
  <conditionalFormatting sqref="F4:F21">
    <cfRule type="dataBar" priority="8">
      <dataBar>
        <cfvo type="min"/>
        <cfvo type="max"/>
        <color rgb="FF63C384"/>
      </dataBar>
    </cfRule>
    <cfRule type="dataBar" priority="7">
      <dataBar>
        <cfvo type="min"/>
        <cfvo type="max"/>
        <color rgb="FFFFFF00"/>
      </dataBar>
    </cfRule>
  </conditionalFormatting>
  <conditionalFormatting sqref="H4:H21">
    <cfRule type="dataBar" priority="9">
      <dataBar>
        <cfvo type="min"/>
        <cfvo type="max"/>
        <color rgb="FFFF555A"/>
      </dataBar>
    </cfRule>
    <cfRule type="dataBar" priority="10">
      <dataBar>
        <cfvo type="min"/>
        <cfvo type="max"/>
        <color rgb="FF63C384"/>
      </dataBar>
    </cfRule>
  </conditionalFormatting>
  <conditionalFormatting sqref="J4:J21">
    <cfRule type="dataBar" priority="1">
      <dataBar>
        <cfvo type="min"/>
        <cfvo type="max"/>
        <color rgb="FFD883FF"/>
      </dataBar>
    </cfRule>
    <cfRule type="dataBar" priority="2">
      <dataBar>
        <cfvo type="min"/>
        <cfvo type="max"/>
        <color rgb="FF63C384"/>
      </dataBar>
    </cfRule>
  </conditionalFormatting>
  <conditionalFormatting sqref="M4:M21">
    <cfRule type="dataBar" priority="5">
      <dataBar>
        <cfvo type="min"/>
        <cfvo type="max"/>
        <color theme="1" tint="0.499984740745262"/>
      </dataBar>
    </cfRule>
    <cfRule type="dataBar" priority="6">
      <dataBar>
        <cfvo type="min"/>
        <cfvo type="max"/>
        <color rgb="FF63C384"/>
      </dataBar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FFC000"/>
    <outlinePr summaryBelow="1" summaryRight="1"/>
    <pageSetUpPr/>
  </sheetPr>
  <dimension ref="A1:P26"/>
  <sheetViews>
    <sheetView topLeftCell="A13" zoomScale="114" workbookViewId="0">
      <pane xSplit="1" topLeftCell="B1" activePane="topRight" state="frozen"/>
      <selection activeCell="A4" sqref="A4"/>
      <selection pane="topRight" activeCell="A23" sqref="A23:XFD65"/>
    </sheetView>
  </sheetViews>
  <sheetFormatPr baseColWidth="10" defaultRowHeight="16"/>
  <cols>
    <col width="30.33203125" bestFit="1" customWidth="1" min="1" max="1"/>
    <col width="11" customWidth="1" min="2" max="2"/>
    <col width="3.6640625" customWidth="1" min="3" max="3"/>
    <col width="11" customWidth="1" min="4" max="4"/>
    <col width="3.6640625" customWidth="1" min="5" max="5"/>
    <col width="11" customWidth="1" min="6" max="6"/>
    <col width="3.6640625" customWidth="1" min="7" max="7"/>
    <col width="11" customWidth="1" min="8" max="8"/>
    <col width="3.6640625" customWidth="1" min="9" max="9"/>
    <col width="11" customWidth="1" min="10" max="10"/>
    <col width="3.6640625" customWidth="1" min="11" max="12"/>
    <col width="11" customWidth="1" min="13" max="13"/>
    <col width="3.6640625" customWidth="1" min="14" max="15"/>
  </cols>
  <sheetData>
    <row r="1" ht="35" customHeight="1">
      <c r="A1" s="68">
        <f>'Seasons Summary (2)'!B1</f>
        <v/>
      </c>
      <c r="B1" s="69" t="n"/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</row>
    <row r="3" ht="52" customFormat="1" customHeight="1" s="2" thickBot="1">
      <c r="A3" s="93" t="inlineStr">
        <is>
          <t>Team</t>
        </is>
      </c>
      <c r="B3" s="27" t="inlineStr">
        <is>
          <t>Ball Winning Ranking</t>
        </is>
      </c>
      <c r="C3" s="38" t="inlineStr">
        <is>
          <t>#</t>
        </is>
      </c>
      <c r="D3" s="30" t="inlineStr">
        <is>
          <t>Ball Movement Ranking</t>
        </is>
      </c>
      <c r="E3" s="31" t="inlineStr">
        <is>
          <t>#</t>
        </is>
      </c>
      <c r="F3" s="44" t="inlineStr">
        <is>
          <t>Scoring Ranking</t>
        </is>
      </c>
      <c r="G3" s="45" t="inlineStr">
        <is>
          <t>#</t>
        </is>
      </c>
      <c r="H3" s="33" t="inlineStr">
        <is>
          <t>Defence Ranking</t>
        </is>
      </c>
      <c r="I3" s="34" t="inlineStr">
        <is>
          <t>#</t>
        </is>
      </c>
      <c r="J3" s="186" t="inlineStr">
        <is>
          <t>Pressure Ranking</t>
        </is>
      </c>
      <c r="K3" s="187" t="inlineStr">
        <is>
          <t>#</t>
        </is>
      </c>
      <c r="L3" s="94" t="n"/>
      <c r="M3" s="36" t="inlineStr">
        <is>
          <t>Team Rating</t>
        </is>
      </c>
      <c r="N3" s="37" t="inlineStr">
        <is>
          <t>#</t>
        </is>
      </c>
      <c r="O3" s="94" t="n"/>
      <c r="P3" s="71" t="n"/>
    </row>
    <row r="4" ht="25" customFormat="1" customHeight="1" s="3">
      <c r="A4" s="212" t="inlineStr">
        <is>
          <t>Sydney</t>
        </is>
      </c>
      <c r="B4" s="49">
        <f>'Seasons Summary (2)'!J20</f>
        <v/>
      </c>
      <c r="C4" s="47">
        <f>RANK(B4,B$4:B$21)</f>
        <v/>
      </c>
      <c r="D4" s="49">
        <f>'Seasons Summary (2)'!U20</f>
        <v/>
      </c>
      <c r="E4" s="47">
        <f>RANK(D4,D$4:D$21)</f>
        <v/>
      </c>
      <c r="F4" s="49">
        <f>'Seasons Summary (2)'!AF20</f>
        <v/>
      </c>
      <c r="G4" s="47">
        <f>RANK(F4,F$4:F$21)</f>
        <v/>
      </c>
      <c r="H4" s="49">
        <f>'Seasons Summary (2)'!AQ20</f>
        <v/>
      </c>
      <c r="I4" s="47">
        <f>RANK(H4,H$4:H$21)</f>
        <v/>
      </c>
      <c r="J4" s="49">
        <f>'Seasons Summary (2)'!BB20</f>
        <v/>
      </c>
      <c r="K4" s="47">
        <f>RANK(J4,J$4:J$21)</f>
        <v/>
      </c>
      <c r="L4" s="50" t="n"/>
      <c r="M4" s="49">
        <f>AVERAGE(B4,D4,F4,H4,J4)</f>
        <v/>
      </c>
      <c r="N4" s="47">
        <f>RANK(M4,M$4:M$21)</f>
        <v/>
      </c>
      <c r="O4" s="50" t="n"/>
      <c r="P4" s="72" t="n"/>
    </row>
    <row r="5" ht="25" customFormat="1" customHeight="1" s="3">
      <c r="A5" s="173" t="inlineStr">
        <is>
          <t>Geelong</t>
        </is>
      </c>
      <c r="B5" s="49">
        <f>'Seasons Summary (2)'!J11</f>
        <v/>
      </c>
      <c r="C5" s="47">
        <f>RANK(B5,B$4:B$21)</f>
        <v/>
      </c>
      <c r="D5" s="49">
        <f>'Seasons Summary (2)'!U11</f>
        <v/>
      </c>
      <c r="E5" s="47">
        <f>RANK(D5,D$4:D$21)</f>
        <v/>
      </c>
      <c r="F5" s="49">
        <f>'Seasons Summary (2)'!AF11</f>
        <v/>
      </c>
      <c r="G5" s="47">
        <f>RANK(F5,F$4:F$21)</f>
        <v/>
      </c>
      <c r="H5" s="49">
        <f>'Seasons Summary (2)'!AQ11</f>
        <v/>
      </c>
      <c r="I5" s="47">
        <f>RANK(H5,H$4:H$21)</f>
        <v/>
      </c>
      <c r="J5" s="49">
        <f>'Seasons Summary (2)'!BB11</f>
        <v/>
      </c>
      <c r="K5" s="47">
        <f>RANK(J5,J$4:J$21)</f>
        <v/>
      </c>
      <c r="L5" s="56" t="n"/>
      <c r="M5" s="49">
        <f>AVERAGE(B5,D5,F5,H5,J5)</f>
        <v/>
      </c>
      <c r="N5" s="47">
        <f>RANK(M5,M$4:M$21)</f>
        <v/>
      </c>
      <c r="O5" s="56" t="n"/>
      <c r="P5" s="72" t="n"/>
    </row>
    <row r="6" ht="25" customFormat="1" customHeight="1" s="3">
      <c r="A6" s="226" t="inlineStr">
        <is>
          <t>Brisbane</t>
        </is>
      </c>
      <c r="B6" s="49">
        <f>'Seasons Summary (2)'!J6</f>
        <v/>
      </c>
      <c r="C6" s="47">
        <f>RANK(B6,B$4:B$21)</f>
        <v/>
      </c>
      <c r="D6" s="49">
        <f>'Seasons Summary (2)'!U6</f>
        <v/>
      </c>
      <c r="E6" s="47">
        <f>RANK(D6,D$4:D$21)</f>
        <v/>
      </c>
      <c r="F6" s="49">
        <f>'Seasons Summary (2)'!AF6</f>
        <v/>
      </c>
      <c r="G6" s="47">
        <f>RANK(F6,F$4:F$21)</f>
        <v/>
      </c>
      <c r="H6" s="49">
        <f>'Seasons Summary (2)'!AQ6</f>
        <v/>
      </c>
      <c r="I6" s="47">
        <f>RANK(H6,H$4:H$21)</f>
        <v/>
      </c>
      <c r="J6" s="49">
        <f>'Seasons Summary (2)'!BB6</f>
        <v/>
      </c>
      <c r="K6" s="47">
        <f>RANK(J6,J$4:J$21)</f>
        <v/>
      </c>
      <c r="L6" s="56" t="n"/>
      <c r="M6" s="49">
        <f>AVERAGE(B6,D6,F6,H6,J6)</f>
        <v/>
      </c>
      <c r="N6" s="47">
        <f>RANK(M6,M$4:M$21)</f>
        <v/>
      </c>
      <c r="O6" s="56" t="n"/>
      <c r="P6" s="72" t="n"/>
    </row>
    <row r="7" ht="25" customFormat="1" customHeight="1" s="3">
      <c r="A7" s="86" t="inlineStr">
        <is>
          <t>Western Bulldogs</t>
        </is>
      </c>
      <c r="B7" s="49">
        <f>'Seasons Summary (2)'!J22</f>
        <v/>
      </c>
      <c r="C7" s="47">
        <f>RANK(B7,B$4:B$21)</f>
        <v/>
      </c>
      <c r="D7" s="49">
        <f>'Seasons Summary (2)'!U22</f>
        <v/>
      </c>
      <c r="E7" s="47">
        <f>RANK(D7,D$4:D$21)</f>
        <v/>
      </c>
      <c r="F7" s="49">
        <f>'Seasons Summary (2)'!AF22</f>
        <v/>
      </c>
      <c r="G7" s="47">
        <f>RANK(F7,F$4:F$21)</f>
        <v/>
      </c>
      <c r="H7" s="49">
        <f>'Seasons Summary (2)'!AQ22</f>
        <v/>
      </c>
      <c r="I7" s="47">
        <f>RANK(H7,H$4:H$21)</f>
        <v/>
      </c>
      <c r="J7" s="49">
        <f>'Seasons Summary (2)'!BB22</f>
        <v/>
      </c>
      <c r="K7" s="47">
        <f>RANK(J7,J$4:J$21)</f>
        <v/>
      </c>
      <c r="L7" s="56" t="n"/>
      <c r="M7" s="49">
        <f>AVERAGE(B7,D7,F7,H7,J7)</f>
        <v/>
      </c>
      <c r="N7" s="47">
        <f>RANK(M7,M$4:M$21)</f>
        <v/>
      </c>
      <c r="O7" s="56" t="n"/>
      <c r="P7" s="72" t="n"/>
    </row>
    <row r="8" ht="25" customFormat="1" customHeight="1" s="3">
      <c r="A8" s="220" t="inlineStr">
        <is>
          <t>Hawthorn</t>
        </is>
      </c>
      <c r="B8" s="49">
        <f>'Seasons Summary (2)'!J14</f>
        <v/>
      </c>
      <c r="C8" s="47">
        <f>RANK(B8,B$4:B$21)</f>
        <v/>
      </c>
      <c r="D8" s="49">
        <f>'Seasons Summary (2)'!U14</f>
        <v/>
      </c>
      <c r="E8" s="47">
        <f>RANK(D8,D$4:D$21)</f>
        <v/>
      </c>
      <c r="F8" s="49">
        <f>'Seasons Summary (2)'!AF14</f>
        <v/>
      </c>
      <c r="G8" s="47">
        <f>RANK(F8,F$4:F$21)</f>
        <v/>
      </c>
      <c r="H8" s="49">
        <f>'Seasons Summary (2)'!AQ14</f>
        <v/>
      </c>
      <c r="I8" s="47">
        <f>RANK(H8,H$4:H$21)</f>
        <v/>
      </c>
      <c r="J8" s="49">
        <f>'Seasons Summary (2)'!BB14</f>
        <v/>
      </c>
      <c r="K8" s="47">
        <f>RANK(J8,J$4:J$21)</f>
        <v/>
      </c>
      <c r="L8" s="56" t="n"/>
      <c r="M8" s="49">
        <f>AVERAGE(B8,D8,F8,H8,J8)</f>
        <v/>
      </c>
      <c r="N8" s="47">
        <f>RANK(M8,M$4:M$21)</f>
        <v/>
      </c>
      <c r="O8" s="56" t="n"/>
      <c r="P8" s="72" t="n"/>
    </row>
    <row r="9" ht="25" customFormat="1" customHeight="1" s="3">
      <c r="A9" s="174" t="inlineStr">
        <is>
          <t>Greater Western Sydney</t>
        </is>
      </c>
      <c r="B9" s="49">
        <f>'Seasons Summary (2)'!J13</f>
        <v/>
      </c>
      <c r="C9" s="47">
        <f>RANK(B9,B$4:B$21)</f>
        <v/>
      </c>
      <c r="D9" s="49">
        <f>'Seasons Summary (2)'!U13</f>
        <v/>
      </c>
      <c r="E9" s="47">
        <f>RANK(D9,D$4:D$21)</f>
        <v/>
      </c>
      <c r="F9" s="49">
        <f>'Seasons Summary (2)'!AF13</f>
        <v/>
      </c>
      <c r="G9" s="47">
        <f>RANK(F9,F$4:F$21)</f>
        <v/>
      </c>
      <c r="H9" s="49">
        <f>'Seasons Summary (2)'!AQ13</f>
        <v/>
      </c>
      <c r="I9" s="47">
        <f>RANK(H9,H$4:H$21)</f>
        <v/>
      </c>
      <c r="J9" s="49">
        <f>'Seasons Summary (2)'!BB13</f>
        <v/>
      </c>
      <c r="K9" s="47">
        <f>RANK(J9,J$4:J$21)</f>
        <v/>
      </c>
      <c r="L9" s="56" t="n"/>
      <c r="M9" s="49">
        <f>AVERAGE(B9,D9,F9,H9,J9)</f>
        <v/>
      </c>
      <c r="N9" s="47">
        <f>RANK(M9,M$4:M$21)</f>
        <v/>
      </c>
      <c r="O9" s="56" t="n"/>
      <c r="P9" s="72" t="n"/>
    </row>
    <row r="10" ht="25" customFormat="1" customHeight="1" s="3">
      <c r="A10" s="218" t="inlineStr">
        <is>
          <t>St Kilda</t>
        </is>
      </c>
      <c r="B10" s="49">
        <f>'Seasons Summary (2)'!J19</f>
        <v/>
      </c>
      <c r="C10" s="47">
        <f>RANK(B10,B$4:B$21)</f>
        <v/>
      </c>
      <c r="D10" s="49">
        <f>'Seasons Summary (2)'!U19</f>
        <v/>
      </c>
      <c r="E10" s="47">
        <f>RANK(D10,D$4:D$21)</f>
        <v/>
      </c>
      <c r="F10" s="49">
        <f>'Seasons Summary (2)'!AF19</f>
        <v/>
      </c>
      <c r="G10" s="47">
        <f>RANK(F10,F$4:F$21)</f>
        <v/>
      </c>
      <c r="H10" s="49">
        <f>'Seasons Summary (2)'!AQ19</f>
        <v/>
      </c>
      <c r="I10" s="47">
        <f>RANK(H10,H$4:H$21)</f>
        <v/>
      </c>
      <c r="J10" s="49">
        <f>'Seasons Summary (2)'!BB19</f>
        <v/>
      </c>
      <c r="K10" s="47">
        <f>RANK(J10,J$4:J$21)</f>
        <v/>
      </c>
      <c r="L10" s="56" t="n"/>
      <c r="M10" s="49">
        <f>AVERAGE(B10,D10,F10,H10,J10)</f>
        <v/>
      </c>
      <c r="N10" s="47">
        <f>RANK(M10,M$4:M$21)</f>
        <v/>
      </c>
      <c r="O10" s="56" t="n"/>
      <c r="P10" s="72" t="n"/>
    </row>
    <row r="11" ht="25" customFormat="1" customHeight="1" s="3">
      <c r="A11" s="181" t="inlineStr">
        <is>
          <t>Carlton</t>
        </is>
      </c>
      <c r="B11" s="49">
        <f>'Seasons Summary (2)'!J7</f>
        <v/>
      </c>
      <c r="C11" s="47">
        <f>RANK(B11,B$4:B$21)</f>
        <v/>
      </c>
      <c r="D11" s="49">
        <f>'Seasons Summary (2)'!U7</f>
        <v/>
      </c>
      <c r="E11" s="47">
        <f>RANK(D11,D$4:D$21)</f>
        <v/>
      </c>
      <c r="F11" s="49">
        <f>'Seasons Summary (2)'!AF7</f>
        <v/>
      </c>
      <c r="G11" s="47">
        <f>RANK(F11,F$4:F$21)</f>
        <v/>
      </c>
      <c r="H11" s="49">
        <f>'Seasons Summary (2)'!AQ7</f>
        <v/>
      </c>
      <c r="I11" s="47">
        <f>RANK(H11,H$4:H$21)</f>
        <v/>
      </c>
      <c r="J11" s="49">
        <f>'Seasons Summary (2)'!BB7</f>
        <v/>
      </c>
      <c r="K11" s="47">
        <f>RANK(J11,J$4:J$21)</f>
        <v/>
      </c>
      <c r="L11" s="56" t="n"/>
      <c r="M11" s="49">
        <f>AVERAGE(B11,D11,F11,H11,J11)</f>
        <v/>
      </c>
      <c r="N11" s="47">
        <f>RANK(M11,M$4:M$21)</f>
        <v/>
      </c>
      <c r="O11" s="56" t="n"/>
      <c r="P11" s="72" t="n"/>
    </row>
    <row r="12" ht="25" customFormat="1" customHeight="1" s="3">
      <c r="A12" s="224" t="inlineStr">
        <is>
          <t>Port Adelaide</t>
        </is>
      </c>
      <c r="B12" s="49">
        <f>'Seasons Summary (2)'!J17</f>
        <v/>
      </c>
      <c r="C12" s="47">
        <f>RANK(B12,B$4:B$21)</f>
        <v/>
      </c>
      <c r="D12" s="49">
        <f>'Seasons Summary (2)'!U17</f>
        <v/>
      </c>
      <c r="E12" s="47">
        <f>RANK(D12,D$4:D$21)</f>
        <v/>
      </c>
      <c r="F12" s="49">
        <f>'Seasons Summary (2)'!AF17</f>
        <v/>
      </c>
      <c r="G12" s="47">
        <f>RANK(F12,F$4:F$21)</f>
        <v/>
      </c>
      <c r="H12" s="49">
        <f>'Seasons Summary (2)'!AQ17</f>
        <v/>
      </c>
      <c r="I12" s="47">
        <f>RANK(H12,H$4:H$21)</f>
        <v/>
      </c>
      <c r="J12" s="49">
        <f>'Seasons Summary (2)'!BB17</f>
        <v/>
      </c>
      <c r="K12" s="47">
        <f>RANK(J12,J$4:J$21)</f>
        <v/>
      </c>
      <c r="L12" s="56" t="n"/>
      <c r="M12" s="49">
        <f>AVERAGE(B12,D12,F12,H12,J12)</f>
        <v/>
      </c>
      <c r="N12" s="47">
        <f>RANK(M12,M$4:M$21)</f>
        <v/>
      </c>
      <c r="O12" s="56" t="n"/>
      <c r="P12" s="72" t="n"/>
    </row>
    <row r="13" ht="25" customFormat="1" customHeight="1" s="3">
      <c r="A13" s="213" t="inlineStr">
        <is>
          <t>Collingwood</t>
        </is>
      </c>
      <c r="B13" s="49">
        <f>'Seasons Summary (2)'!J8</f>
        <v/>
      </c>
      <c r="C13" s="47">
        <f>RANK(B13,B$4:B$21)</f>
        <v/>
      </c>
      <c r="D13" s="49">
        <f>'Seasons Summary (2)'!U8</f>
        <v/>
      </c>
      <c r="E13" s="47">
        <f>RANK(D13,D$4:D$21)</f>
        <v/>
      </c>
      <c r="F13" s="49">
        <f>'Seasons Summary (2)'!AF8</f>
        <v/>
      </c>
      <c r="G13" s="47">
        <f>RANK(F13,F$4:F$21)</f>
        <v/>
      </c>
      <c r="H13" s="49">
        <f>'Seasons Summary (2)'!AQ8</f>
        <v/>
      </c>
      <c r="I13" s="47">
        <f>RANK(H13,H$4:H$21)</f>
        <v/>
      </c>
      <c r="J13" s="49">
        <f>'Seasons Summary (2)'!BB8</f>
        <v/>
      </c>
      <c r="K13" s="47">
        <f>RANK(J13,J$4:J$21)</f>
        <v/>
      </c>
      <c r="L13" s="56" t="n"/>
      <c r="M13" s="49">
        <f>AVERAGE(B13,D13,F13,H13,J13)</f>
        <v/>
      </c>
      <c r="N13" s="47">
        <f>RANK(M13,M$4:M$21)</f>
        <v/>
      </c>
      <c r="O13" s="56" t="n"/>
      <c r="P13" s="72" t="n"/>
    </row>
    <row r="14" ht="25" customFormat="1" customHeight="1" s="3">
      <c r="A14" s="223" t="inlineStr">
        <is>
          <t>Fremantle</t>
        </is>
      </c>
      <c r="B14" s="49">
        <f>'Seasons Summary (2)'!J10</f>
        <v/>
      </c>
      <c r="C14" s="47">
        <f>RANK(B14,B$4:B$21)</f>
        <v/>
      </c>
      <c r="D14" s="49">
        <f>'Seasons Summary (2)'!U10</f>
        <v/>
      </c>
      <c r="E14" s="47">
        <f>RANK(D14,D$4:D$21)</f>
        <v/>
      </c>
      <c r="F14" s="49">
        <f>'Seasons Summary (2)'!AF10</f>
        <v/>
      </c>
      <c r="G14" s="47">
        <f>RANK(F14,F$4:F$21)</f>
        <v/>
      </c>
      <c r="H14" s="49">
        <f>'Seasons Summary (2)'!AQ10</f>
        <v/>
      </c>
      <c r="I14" s="47">
        <f>RANK(H14,H$4:H$21)</f>
        <v/>
      </c>
      <c r="J14" s="49">
        <f>'Seasons Summary (2)'!BB10</f>
        <v/>
      </c>
      <c r="K14" s="47">
        <f>RANK(J14,J$4:J$21)</f>
        <v/>
      </c>
      <c r="L14" s="56" t="n"/>
      <c r="M14" s="49">
        <f>AVERAGE(B14,D14,F14,H14,J14)</f>
        <v/>
      </c>
      <c r="N14" s="47">
        <f>RANK(M14,M$4:M$21)</f>
        <v/>
      </c>
      <c r="O14" s="56" t="n"/>
      <c r="P14" s="72" t="n"/>
    </row>
    <row r="15" ht="25" customFormat="1" customHeight="1" s="3">
      <c r="A15" s="172" t="inlineStr">
        <is>
          <t>Adelaide</t>
        </is>
      </c>
      <c r="B15" s="49">
        <f>'Seasons Summary (2)'!J5</f>
        <v/>
      </c>
      <c r="C15" s="47">
        <f>RANK(B15,B$4:B$21)</f>
        <v/>
      </c>
      <c r="D15" s="49">
        <f>'Seasons Summary (2)'!U5</f>
        <v/>
      </c>
      <c r="E15" s="47">
        <f>RANK(D15,D$4:D$21)</f>
        <v/>
      </c>
      <c r="F15" s="49">
        <f>'Seasons Summary (2)'!AF5</f>
        <v/>
      </c>
      <c r="G15" s="47">
        <f>RANK(F15,F$4:F$21)</f>
        <v/>
      </c>
      <c r="H15" s="49">
        <f>'Seasons Summary (2)'!AQ5</f>
        <v/>
      </c>
      <c r="I15" s="47">
        <f>RANK(H15,H$4:H$21)</f>
        <v/>
      </c>
      <c r="J15" s="49">
        <f>'Seasons Summary (2)'!BB5</f>
        <v/>
      </c>
      <c r="K15" s="47">
        <f>RANK(J15,J$4:J$21)</f>
        <v/>
      </c>
      <c r="L15" s="56" t="n"/>
      <c r="M15" s="49">
        <f>AVERAGE(B15,D15,F15,H15,J15)</f>
        <v/>
      </c>
      <c r="N15" s="47">
        <f>RANK(M15,M$4:M$21)</f>
        <v/>
      </c>
      <c r="O15" s="56" t="n"/>
      <c r="P15" s="72" t="n"/>
    </row>
    <row r="16" ht="25" customFormat="1" customHeight="1" s="3">
      <c r="A16" s="225" t="inlineStr">
        <is>
          <t>Gold Coast</t>
        </is>
      </c>
      <c r="B16" s="49">
        <f>'Seasons Summary (2)'!J12</f>
        <v/>
      </c>
      <c r="C16" s="47">
        <f>RANK(B16,B$4:B$21)</f>
        <v/>
      </c>
      <c r="D16" s="49">
        <f>'Seasons Summary (2)'!U12</f>
        <v/>
      </c>
      <c r="E16" s="47">
        <f>RANK(D16,D$4:D$21)</f>
        <v/>
      </c>
      <c r="F16" s="49">
        <f>'Seasons Summary (2)'!AF12</f>
        <v/>
      </c>
      <c r="G16" s="47">
        <f>RANK(F16,F$4:F$21)</f>
        <v/>
      </c>
      <c r="H16" s="49">
        <f>'Seasons Summary (2)'!AQ12</f>
        <v/>
      </c>
      <c r="I16" s="47">
        <f>RANK(H16,H$4:H$21)</f>
        <v/>
      </c>
      <c r="J16" s="49">
        <f>'Seasons Summary (2)'!BB12</f>
        <v/>
      </c>
      <c r="K16" s="47">
        <f>RANK(J16,J$4:J$21)</f>
        <v/>
      </c>
      <c r="L16" s="56" t="n"/>
      <c r="M16" s="49">
        <f>AVERAGE(B16,D16,F16,H16,J16)</f>
        <v/>
      </c>
      <c r="N16" s="47">
        <f>RANK(M16,M$4:M$21)</f>
        <v/>
      </c>
      <c r="O16" s="56" t="n"/>
      <c r="P16" s="72" t="n"/>
    </row>
    <row r="17" ht="25" customFormat="1" customHeight="1" s="3">
      <c r="A17" s="222" t="inlineStr">
        <is>
          <t>Melbourne</t>
        </is>
      </c>
      <c r="B17" s="49">
        <f>'Seasons Summary (2)'!J15</f>
        <v/>
      </c>
      <c r="C17" s="47">
        <f>RANK(B17,B$4:B$21)</f>
        <v/>
      </c>
      <c r="D17" s="49">
        <f>'Seasons Summary (2)'!U15</f>
        <v/>
      </c>
      <c r="E17" s="47">
        <f>RANK(D17,D$4:D$21)</f>
        <v/>
      </c>
      <c r="F17" s="49">
        <f>'Seasons Summary (2)'!AF15</f>
        <v/>
      </c>
      <c r="G17" s="47">
        <f>RANK(F17,F$4:F$21)</f>
        <v/>
      </c>
      <c r="H17" s="49">
        <f>'Seasons Summary (2)'!AQ15</f>
        <v/>
      </c>
      <c r="I17" s="47">
        <f>RANK(H17,H$4:H$21)</f>
        <v/>
      </c>
      <c r="J17" s="49">
        <f>'Seasons Summary (2)'!BB15</f>
        <v/>
      </c>
      <c r="K17" s="47">
        <f>RANK(J17,J$4:J$21)</f>
        <v/>
      </c>
      <c r="L17" s="56" t="n"/>
      <c r="M17" s="49">
        <f>AVERAGE(B17,D17,F17,H17,J17)</f>
        <v/>
      </c>
      <c r="N17" s="47">
        <f>RANK(M17,M$4:M$21)</f>
        <v/>
      </c>
      <c r="O17" s="56" t="n"/>
      <c r="P17" s="72" t="n"/>
    </row>
    <row r="18" ht="25" customFormat="1" customHeight="1" s="3">
      <c r="A18" s="219" t="inlineStr">
        <is>
          <t>Essendon</t>
        </is>
      </c>
      <c r="B18" s="49">
        <f>'Seasons Summary (2)'!J9</f>
        <v/>
      </c>
      <c r="C18" s="47">
        <f>RANK(B18,B$4:B$21)</f>
        <v/>
      </c>
      <c r="D18" s="49">
        <f>'Seasons Summary (2)'!U9</f>
        <v/>
      </c>
      <c r="E18" s="47">
        <f>RANK(D18,D$4:D$21)</f>
        <v/>
      </c>
      <c r="F18" s="49">
        <f>'Seasons Summary (2)'!AF9</f>
        <v/>
      </c>
      <c r="G18" s="47">
        <f>RANK(F18,F$4:F$21)</f>
        <v/>
      </c>
      <c r="H18" s="49">
        <f>'Seasons Summary (2)'!AQ9</f>
        <v/>
      </c>
      <c r="I18" s="47">
        <f>RANK(H18,H$4:H$21)</f>
        <v/>
      </c>
      <c r="J18" s="49">
        <f>'Seasons Summary (2)'!BB9</f>
        <v/>
      </c>
      <c r="K18" s="47">
        <f>RANK(J18,J$4:J$21)</f>
        <v/>
      </c>
      <c r="L18" s="56" t="n"/>
      <c r="M18" s="49">
        <f>AVERAGE(B18,D18,F18,H18,J18)</f>
        <v/>
      </c>
      <c r="N18" s="47">
        <f>RANK(M18,M$4:M$21)</f>
        <v/>
      </c>
      <c r="O18" s="56" t="n"/>
      <c r="P18" s="72" t="n"/>
    </row>
    <row r="19" ht="25" customFormat="1" customHeight="1" s="3">
      <c r="A19" s="86" t="inlineStr">
        <is>
          <t>North Melbourne</t>
        </is>
      </c>
      <c r="B19" s="49">
        <f>'Seasons Summary (2)'!J16</f>
        <v/>
      </c>
      <c r="C19" s="47">
        <f>RANK(B19,B$4:B$21)</f>
        <v/>
      </c>
      <c r="D19" s="49">
        <f>'Seasons Summary (2)'!U16</f>
        <v/>
      </c>
      <c r="E19" s="47">
        <f>RANK(D19,D$4:D$21)</f>
        <v/>
      </c>
      <c r="F19" s="49">
        <f>'Seasons Summary (2)'!AF16</f>
        <v/>
      </c>
      <c r="G19" s="47">
        <f>RANK(F19,F$4:F$21)</f>
        <v/>
      </c>
      <c r="H19" s="49">
        <f>'Seasons Summary (2)'!AQ16</f>
        <v/>
      </c>
      <c r="I19" s="47">
        <f>RANK(H19,H$4:H$21)</f>
        <v/>
      </c>
      <c r="J19" s="49">
        <f>'Seasons Summary (2)'!BB16</f>
        <v/>
      </c>
      <c r="K19" s="47">
        <f>RANK(J19,J$4:J$21)</f>
        <v/>
      </c>
      <c r="L19" s="56" t="n"/>
      <c r="M19" s="49">
        <f>AVERAGE(B19,D19,F19,H19,J19)</f>
        <v/>
      </c>
      <c r="N19" s="47">
        <f>RANK(M19,M$4:M$21)</f>
        <v/>
      </c>
      <c r="O19" s="56" t="n"/>
      <c r="P19" s="72" t="n"/>
    </row>
    <row r="20" ht="25" customFormat="1" customHeight="1" s="3">
      <c r="A20" s="91" t="inlineStr">
        <is>
          <t>West Coast</t>
        </is>
      </c>
      <c r="B20" s="49">
        <f>'Seasons Summary (2)'!J21</f>
        <v/>
      </c>
      <c r="C20" s="47">
        <f>RANK(B20,B$4:B$21)</f>
        <v/>
      </c>
      <c r="D20" s="49">
        <f>'Seasons Summary (2)'!U21</f>
        <v/>
      </c>
      <c r="E20" s="47">
        <f>RANK(D20,D$4:D$21)</f>
        <v/>
      </c>
      <c r="F20" s="49">
        <f>'Seasons Summary (2)'!AF21</f>
        <v/>
      </c>
      <c r="G20" s="47">
        <f>RANK(F20,F$4:F$21)</f>
        <v/>
      </c>
      <c r="H20" s="49">
        <f>'Seasons Summary (2)'!AQ21</f>
        <v/>
      </c>
      <c r="I20" s="47">
        <f>RANK(H20,H$4:H$21)</f>
        <v/>
      </c>
      <c r="J20" s="49">
        <f>'Seasons Summary (2)'!BB21</f>
        <v/>
      </c>
      <c r="K20" s="47">
        <f>RANK(J20,J$4:J$21)</f>
        <v/>
      </c>
      <c r="L20" s="56" t="n"/>
      <c r="M20" s="49">
        <f>AVERAGE(B20,D20,F20,H20,J20)</f>
        <v/>
      </c>
      <c r="N20" s="47">
        <f>RANK(M20,M$4:M$21)</f>
        <v/>
      </c>
      <c r="O20" s="56" t="n"/>
      <c r="P20" s="72" t="n"/>
    </row>
    <row r="21" ht="25" customFormat="1" customHeight="1" s="3" thickBot="1">
      <c r="A21" s="221" t="inlineStr">
        <is>
          <t>Richmond</t>
        </is>
      </c>
      <c r="B21" s="95">
        <f>'Seasons Summary (2)'!J18</f>
        <v/>
      </c>
      <c r="C21" s="96">
        <f>RANK(B21,B$4:B$21)</f>
        <v/>
      </c>
      <c r="D21" s="95">
        <f>'Seasons Summary (2)'!U18</f>
        <v/>
      </c>
      <c r="E21" s="96">
        <f>RANK(D21,D$4:D$21)</f>
        <v/>
      </c>
      <c r="F21" s="95">
        <f>'Seasons Summary (2)'!AF18</f>
        <v/>
      </c>
      <c r="G21" s="96">
        <f>RANK(F21,F$4:F$21)</f>
        <v/>
      </c>
      <c r="H21" s="95">
        <f>'Seasons Summary (2)'!AQ18</f>
        <v/>
      </c>
      <c r="I21" s="96">
        <f>RANK(H21,H$4:H$21)</f>
        <v/>
      </c>
      <c r="J21" s="49">
        <f>'Seasons Summary (2)'!BB18</f>
        <v/>
      </c>
      <c r="K21" s="96">
        <f>RANK(J21,J$4:J$21)</f>
        <v/>
      </c>
      <c r="L21" s="62" t="n"/>
      <c r="M21" s="49">
        <f>AVERAGE(B21,D21,F21,H21,J21)</f>
        <v/>
      </c>
      <c r="N21" s="96">
        <f>RANK(M21,M$4:M$21)</f>
        <v/>
      </c>
      <c r="O21" s="62" t="n"/>
      <c r="P21" s="72" t="n"/>
    </row>
    <row r="22">
      <c r="P22" s="69" t="n"/>
    </row>
    <row r="23">
      <c r="A23" s="69" t="n"/>
      <c r="B23" s="69" t="n"/>
      <c r="C23" s="69" t="n"/>
      <c r="D23" s="69" t="n"/>
      <c r="E23" s="69" t="n"/>
      <c r="F23" s="69" t="n"/>
      <c r="G23" s="69" t="n"/>
      <c r="H23" s="69" t="n"/>
      <c r="I23" s="69" t="n"/>
      <c r="L23" s="69" t="n"/>
      <c r="M23" s="69" t="n"/>
      <c r="N23" s="69" t="n"/>
      <c r="O23" s="69" t="n"/>
      <c r="P23" s="69" t="n"/>
    </row>
    <row r="24">
      <c r="A24" s="69" t="n"/>
      <c r="B24" s="69" t="n"/>
      <c r="C24" s="69" t="n"/>
      <c r="D24" s="69" t="n"/>
      <c r="E24" s="69" t="n"/>
      <c r="F24" s="69" t="n"/>
      <c r="G24" s="69" t="n"/>
      <c r="H24" s="69" t="n"/>
      <c r="I24" s="69" t="n"/>
      <c r="L24" s="69" t="n"/>
      <c r="M24" s="69" t="n"/>
      <c r="N24" s="69" t="n"/>
      <c r="O24" s="69" t="n"/>
      <c r="P24" s="69" t="n"/>
    </row>
    <row r="25">
      <c r="A25" s="69" t="n"/>
      <c r="B25" s="69" t="n"/>
      <c r="C25" s="69" t="n"/>
      <c r="D25" s="69" t="n"/>
      <c r="E25" s="69" t="n"/>
      <c r="F25" s="69" t="n"/>
      <c r="G25" s="69" t="n"/>
      <c r="H25" s="69" t="n"/>
      <c r="I25" s="69" t="n"/>
      <c r="L25" s="69" t="n"/>
      <c r="M25" s="69" t="n"/>
      <c r="N25" s="69" t="n"/>
      <c r="O25" s="69" t="n"/>
      <c r="P25" s="69" t="n"/>
    </row>
    <row r="26">
      <c r="A26" s="69" t="n"/>
      <c r="B26" s="69" t="n"/>
      <c r="C26" s="69" t="n"/>
      <c r="D26" s="69" t="n"/>
      <c r="E26" s="69" t="n"/>
      <c r="F26" s="69" t="n"/>
      <c r="G26" s="69" t="n"/>
      <c r="H26" s="69" t="n"/>
      <c r="I26" s="69" t="n"/>
      <c r="L26" s="69" t="n"/>
      <c r="M26" s="69" t="n"/>
      <c r="N26" s="69" t="n"/>
      <c r="O26" s="69" t="n"/>
    </row>
  </sheetData>
  <conditionalFormatting sqref="B4:B21">
    <cfRule type="dataBar" priority="28">
      <dataBar>
        <cfvo type="min"/>
        <cfvo type="max"/>
        <color rgb="FF638EC6"/>
      </dataBar>
    </cfRule>
  </conditionalFormatting>
  <conditionalFormatting sqref="D4:D21">
    <cfRule type="dataBar" priority="27">
      <dataBar>
        <cfvo type="min"/>
        <cfvo type="max"/>
        <color rgb="FF63C384"/>
      </dataBar>
    </cfRule>
  </conditionalFormatting>
  <conditionalFormatting sqref="F4:F21">
    <cfRule type="dataBar" priority="21">
      <dataBar>
        <cfvo type="min"/>
        <cfvo type="max"/>
        <color rgb="FFFFFF00"/>
      </dataBar>
    </cfRule>
    <cfRule type="dataBar" priority="22">
      <dataBar>
        <cfvo type="min"/>
        <cfvo type="max"/>
        <color rgb="FF63C384"/>
      </dataBar>
    </cfRule>
  </conditionalFormatting>
  <conditionalFormatting sqref="H4:H21">
    <cfRule type="dataBar" priority="26">
      <dataBar>
        <cfvo type="min"/>
        <cfvo type="max"/>
        <color rgb="FF63C384"/>
      </dataBar>
    </cfRule>
    <cfRule type="dataBar" priority="25">
      <dataBar>
        <cfvo type="min"/>
        <cfvo type="max"/>
        <color rgb="FFFF555A"/>
      </dataBar>
    </cfRule>
  </conditionalFormatting>
  <conditionalFormatting sqref="J4:J21">
    <cfRule type="dataBar" priority="3">
      <dataBar>
        <cfvo type="min"/>
        <cfvo type="max"/>
        <color rgb="FFD883FF"/>
      </dataBar>
    </cfRule>
    <cfRule type="dataBar" priority="4">
      <dataBar>
        <cfvo type="min"/>
        <cfvo type="max"/>
        <color rgb="FF63C384"/>
      </dataBar>
    </cfRule>
  </conditionalFormatting>
  <conditionalFormatting sqref="M4:M21">
    <cfRule type="dataBar" priority="23">
      <dataBar>
        <cfvo type="min"/>
        <cfvo type="max"/>
        <color theme="1" tint="0.499984740745262"/>
      </dataBar>
    </cfRule>
    <cfRule type="dataBar" priority="24">
      <dataBar>
        <cfvo type="min"/>
        <cfvo type="max"/>
        <color rgb="FF63C384"/>
      </dataBar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C000"/>
    <outlinePr summaryBelow="1" summaryRight="1"/>
    <pageSetUpPr/>
  </sheetPr>
  <dimension ref="A1:P47"/>
  <sheetViews>
    <sheetView topLeftCell="A3" zoomScale="114" workbookViewId="0">
      <pane xSplit="1" topLeftCell="B1" activePane="topRight" state="frozen"/>
      <selection activeCell="A4" sqref="A4"/>
      <selection pane="topRight" activeCell="Q11" sqref="Q11"/>
    </sheetView>
  </sheetViews>
  <sheetFormatPr baseColWidth="10" defaultRowHeight="16"/>
  <cols>
    <col width="30.33203125" bestFit="1" customWidth="1" min="1" max="1"/>
    <col width="11" customWidth="1" min="2" max="2"/>
    <col width="3.6640625" customWidth="1" min="3" max="3"/>
    <col width="11" customWidth="1" min="4" max="4"/>
    <col width="3.6640625" customWidth="1" min="5" max="5"/>
    <col width="11" customWidth="1" min="6" max="6"/>
    <col width="3.6640625" customWidth="1" min="7" max="7"/>
    <col width="11" customWidth="1" min="8" max="8"/>
    <col width="3.6640625" customWidth="1" min="9" max="9"/>
    <col width="11" customWidth="1" min="10" max="10"/>
    <col width="3.6640625" customWidth="1" min="11" max="12"/>
    <col width="11" customWidth="1" min="13" max="13"/>
    <col width="3.6640625" customWidth="1" min="14" max="15"/>
  </cols>
  <sheetData>
    <row r="1" ht="35" customHeight="1">
      <c r="A1" s="67">
        <f>'Seasons Summary (2)'!B24</f>
        <v/>
      </c>
      <c r="P1" s="69" t="n"/>
    </row>
    <row r="2" ht="17" customHeight="1" thickBot="1">
      <c r="P2" s="69" t="n"/>
    </row>
    <row r="3" ht="52" customHeight="1" thickBot="1">
      <c r="A3" s="93" t="inlineStr">
        <is>
          <t>Team</t>
        </is>
      </c>
      <c r="B3" s="27" t="inlineStr">
        <is>
          <t>Ball Winning Ranking</t>
        </is>
      </c>
      <c r="C3" s="28" t="inlineStr">
        <is>
          <t>#</t>
        </is>
      </c>
      <c r="D3" s="30" t="inlineStr">
        <is>
          <t>Ball Movement Ranking</t>
        </is>
      </c>
      <c r="E3" s="31" t="inlineStr">
        <is>
          <t>#</t>
        </is>
      </c>
      <c r="F3" s="44" t="inlineStr">
        <is>
          <t>Scoring Ranking</t>
        </is>
      </c>
      <c r="G3" s="45" t="inlineStr">
        <is>
          <t>#</t>
        </is>
      </c>
      <c r="H3" s="33" t="inlineStr">
        <is>
          <t>Defence Ranking</t>
        </is>
      </c>
      <c r="I3" s="34" t="inlineStr">
        <is>
          <t>#</t>
        </is>
      </c>
      <c r="J3" s="186" t="inlineStr">
        <is>
          <t>Pressure Ranking</t>
        </is>
      </c>
      <c r="K3" s="187" t="inlineStr">
        <is>
          <t>#</t>
        </is>
      </c>
      <c r="L3" s="94" t="n"/>
      <c r="M3" s="36" t="inlineStr">
        <is>
          <t>Team Rating</t>
        </is>
      </c>
      <c r="N3" s="37" t="inlineStr">
        <is>
          <t>#</t>
        </is>
      </c>
      <c r="O3" s="94" t="n"/>
      <c r="P3" s="69" t="n"/>
    </row>
    <row r="4" ht="25" customHeight="1">
      <c r="A4" s="75" t="inlineStr">
        <is>
          <t>Adelaide</t>
        </is>
      </c>
      <c r="B4" s="49">
        <f>'Seasons Summary (2)'!J28</f>
        <v/>
      </c>
      <c r="C4" s="47">
        <f>RANK(B4,B$4:B$21)</f>
        <v/>
      </c>
      <c r="D4" s="49">
        <f>'Seasons Summary (2)'!U28</f>
        <v/>
      </c>
      <c r="E4" s="47">
        <f>RANK(D4,D$4:D$21)</f>
        <v/>
      </c>
      <c r="F4" s="49">
        <f>'Seasons Summary (2)'!AF28</f>
        <v/>
      </c>
      <c r="G4" s="47">
        <f>RANK(F4,F$4:F$21)</f>
        <v/>
      </c>
      <c r="H4" s="49">
        <f>'Seasons Summary (2)'!AQ28</f>
        <v/>
      </c>
      <c r="I4" s="47">
        <f>RANK(H4,H$4:H$21)</f>
        <v/>
      </c>
      <c r="J4" s="49">
        <f>'Seasons Summary (2)'!BB28</f>
        <v/>
      </c>
      <c r="K4" s="47">
        <f>RANK(J4,J$4:J$21)</f>
        <v/>
      </c>
      <c r="L4" s="50" t="n"/>
      <c r="M4" s="49">
        <f>AVERAGE(B4,D4,F4,H4,J4)</f>
        <v/>
      </c>
      <c r="N4" s="47">
        <f>RANK(M4,M$4:M$21)</f>
        <v/>
      </c>
      <c r="O4" s="50" t="n"/>
      <c r="P4" s="69" t="n"/>
    </row>
    <row r="5" ht="25" customHeight="1">
      <c r="A5" s="76" t="inlineStr">
        <is>
          <t>Brisbane</t>
        </is>
      </c>
      <c r="B5" s="49">
        <f>'Seasons Summary (2)'!J29</f>
        <v/>
      </c>
      <c r="C5" s="47">
        <f>RANK(B5,B$4:B$21)</f>
        <v/>
      </c>
      <c r="D5" s="49">
        <f>'Seasons Summary (2)'!U29</f>
        <v/>
      </c>
      <c r="E5" s="47">
        <f>RANK(D5,D$4:D$21)</f>
        <v/>
      </c>
      <c r="F5" s="49">
        <f>'Seasons Summary (2)'!AF29</f>
        <v/>
      </c>
      <c r="G5" s="47">
        <f>RANK(F5,F$4:F$21)</f>
        <v/>
      </c>
      <c r="H5" s="49">
        <f>'Seasons Summary (2)'!AQ29</f>
        <v/>
      </c>
      <c r="I5" s="47">
        <f>RANK(H5,H$4:H$21)</f>
        <v/>
      </c>
      <c r="J5" s="49">
        <f>'Seasons Summary (2)'!BB29</f>
        <v/>
      </c>
      <c r="K5" s="47">
        <f>RANK(J5,J$4:J$21)</f>
        <v/>
      </c>
      <c r="L5" s="56" t="n"/>
      <c r="M5" s="49">
        <f>AVERAGE(B5,D5,F5,H5,J5)</f>
        <v/>
      </c>
      <c r="N5" s="47">
        <f>RANK(M5,M$4:M$21)</f>
        <v/>
      </c>
      <c r="O5" s="56" t="n"/>
      <c r="P5" s="69" t="n"/>
    </row>
    <row r="6" ht="25" customHeight="1">
      <c r="A6" s="77" t="inlineStr">
        <is>
          <t>Carlton</t>
        </is>
      </c>
      <c r="B6" s="49">
        <f>'Seasons Summary (2)'!J30</f>
        <v/>
      </c>
      <c r="C6" s="47">
        <f>RANK(B6,B$4:B$21)</f>
        <v/>
      </c>
      <c r="D6" s="49">
        <f>'Seasons Summary (2)'!U30</f>
        <v/>
      </c>
      <c r="E6" s="47">
        <f>RANK(D6,D$4:D$21)</f>
        <v/>
      </c>
      <c r="F6" s="49">
        <f>'Seasons Summary (2)'!AF30</f>
        <v/>
      </c>
      <c r="G6" s="47">
        <f>RANK(F6,F$4:F$21)</f>
        <v/>
      </c>
      <c r="H6" s="49">
        <f>'Seasons Summary (2)'!AQ30</f>
        <v/>
      </c>
      <c r="I6" s="47">
        <f>RANK(H6,H$4:H$21)</f>
        <v/>
      </c>
      <c r="J6" s="49">
        <f>'Seasons Summary (2)'!BB30</f>
        <v/>
      </c>
      <c r="K6" s="47">
        <f>RANK(J6,J$4:J$21)</f>
        <v/>
      </c>
      <c r="L6" s="56" t="n"/>
      <c r="M6" s="49">
        <f>AVERAGE(B6,D6,F6,H6,J6)</f>
        <v/>
      </c>
      <c r="N6" s="47">
        <f>RANK(M6,M$4:M$21)</f>
        <v/>
      </c>
      <c r="O6" s="56" t="n"/>
      <c r="P6" s="69" t="n"/>
    </row>
    <row r="7" ht="25" customHeight="1">
      <c r="A7" s="78" t="inlineStr">
        <is>
          <t>Collingwood</t>
        </is>
      </c>
      <c r="B7" s="49">
        <f>'Seasons Summary (2)'!J31</f>
        <v/>
      </c>
      <c r="C7" s="47">
        <f>RANK(B7,B$4:B$21)</f>
        <v/>
      </c>
      <c r="D7" s="49">
        <f>'Seasons Summary (2)'!U31</f>
        <v/>
      </c>
      <c r="E7" s="47">
        <f>RANK(D7,D$4:D$21)</f>
        <v/>
      </c>
      <c r="F7" s="49">
        <f>'Seasons Summary (2)'!AF31</f>
        <v/>
      </c>
      <c r="G7" s="47">
        <f>RANK(F7,F$4:F$21)</f>
        <v/>
      </c>
      <c r="H7" s="49">
        <f>'Seasons Summary (2)'!AQ31</f>
        <v/>
      </c>
      <c r="I7" s="47">
        <f>RANK(H7,H$4:H$21)</f>
        <v/>
      </c>
      <c r="J7" s="49">
        <f>'Seasons Summary (2)'!BB31</f>
        <v/>
      </c>
      <c r="K7" s="47">
        <f>RANK(J7,J$4:J$21)</f>
        <v/>
      </c>
      <c r="L7" s="56" t="n"/>
      <c r="M7" s="49">
        <f>AVERAGE(B7,D7,F7,H7,J7)</f>
        <v/>
      </c>
      <c r="N7" s="47">
        <f>RANK(M7,M$4:M$21)</f>
        <v/>
      </c>
      <c r="O7" s="56" t="n"/>
      <c r="P7" s="69" t="n"/>
    </row>
    <row r="8" ht="25" customHeight="1">
      <c r="A8" s="79" t="inlineStr">
        <is>
          <t>Essendon</t>
        </is>
      </c>
      <c r="B8" s="49">
        <f>'Seasons Summary (2)'!J32</f>
        <v/>
      </c>
      <c r="C8" s="47">
        <f>RANK(B8,B$4:B$21)</f>
        <v/>
      </c>
      <c r="D8" s="49">
        <f>'Seasons Summary (2)'!U32</f>
        <v/>
      </c>
      <c r="E8" s="47">
        <f>RANK(D8,D$4:D$21)</f>
        <v/>
      </c>
      <c r="F8" s="49">
        <f>'Seasons Summary (2)'!AF32</f>
        <v/>
      </c>
      <c r="G8" s="47">
        <f>RANK(F8,F$4:F$21)</f>
        <v/>
      </c>
      <c r="H8" s="49">
        <f>'Seasons Summary (2)'!AQ32</f>
        <v/>
      </c>
      <c r="I8" s="47">
        <f>RANK(H8,H$4:H$21)</f>
        <v/>
      </c>
      <c r="J8" s="49">
        <f>'Seasons Summary (2)'!BB32</f>
        <v/>
      </c>
      <c r="K8" s="47">
        <f>RANK(J8,J$4:J$21)</f>
        <v/>
      </c>
      <c r="L8" s="56" t="n"/>
      <c r="M8" s="49">
        <f>AVERAGE(B8,D8,F8,H8,J8)</f>
        <v/>
      </c>
      <c r="N8" s="47">
        <f>RANK(M8,M$4:M$21)</f>
        <v/>
      </c>
      <c r="O8" s="56" t="n"/>
      <c r="P8" s="69" t="n"/>
    </row>
    <row r="9" ht="25" customHeight="1">
      <c r="A9" s="80" t="inlineStr">
        <is>
          <t>Fremantle</t>
        </is>
      </c>
      <c r="B9" s="49">
        <f>'Seasons Summary (2)'!J33</f>
        <v/>
      </c>
      <c r="C9" s="47">
        <f>RANK(B9,B$4:B$21)</f>
        <v/>
      </c>
      <c r="D9" s="49">
        <f>'Seasons Summary (2)'!U33</f>
        <v/>
      </c>
      <c r="E9" s="47">
        <f>RANK(D9,D$4:D$21)</f>
        <v/>
      </c>
      <c r="F9" s="49">
        <f>'Seasons Summary (2)'!AF33</f>
        <v/>
      </c>
      <c r="G9" s="47">
        <f>RANK(F9,F$4:F$21)</f>
        <v/>
      </c>
      <c r="H9" s="49">
        <f>'Seasons Summary (2)'!AQ33</f>
        <v/>
      </c>
      <c r="I9" s="47">
        <f>RANK(H9,H$4:H$21)</f>
        <v/>
      </c>
      <c r="J9" s="49">
        <f>'Seasons Summary (2)'!BB33</f>
        <v/>
      </c>
      <c r="K9" s="47">
        <f>RANK(J9,J$4:J$21)</f>
        <v/>
      </c>
      <c r="L9" s="56" t="n"/>
      <c r="M9" s="49">
        <f>AVERAGE(B9,D9,F9,H9,J9)</f>
        <v/>
      </c>
      <c r="N9" s="47">
        <f>RANK(M9,M$4:M$21)</f>
        <v/>
      </c>
      <c r="O9" s="56" t="n"/>
      <c r="P9" s="69" t="n"/>
    </row>
    <row r="10" ht="25" customHeight="1">
      <c r="A10" s="81" t="inlineStr">
        <is>
          <t>Geelong</t>
        </is>
      </c>
      <c r="B10" s="49">
        <f>'Seasons Summary (2)'!J34</f>
        <v/>
      </c>
      <c r="C10" s="47">
        <f>RANK(B10,B$4:B$21)</f>
        <v/>
      </c>
      <c r="D10" s="49">
        <f>'Seasons Summary (2)'!U34</f>
        <v/>
      </c>
      <c r="E10" s="47">
        <f>RANK(D10,D$4:D$21)</f>
        <v/>
      </c>
      <c r="F10" s="49">
        <f>'Seasons Summary (2)'!AF34</f>
        <v/>
      </c>
      <c r="G10" s="47">
        <f>RANK(F10,F$4:F$21)</f>
        <v/>
      </c>
      <c r="H10" s="49">
        <f>'Seasons Summary (2)'!AQ34</f>
        <v/>
      </c>
      <c r="I10" s="47">
        <f>RANK(H10,H$4:H$21)</f>
        <v/>
      </c>
      <c r="J10" s="49">
        <f>'Seasons Summary (2)'!BB34</f>
        <v/>
      </c>
      <c r="K10" s="47">
        <f>RANK(J10,J$4:J$21)</f>
        <v/>
      </c>
      <c r="L10" s="56" t="n"/>
      <c r="M10" s="49">
        <f>AVERAGE(B10,D10,F10,H10,J10)</f>
        <v/>
      </c>
      <c r="N10" s="47">
        <f>RANK(M10,M$4:M$21)</f>
        <v/>
      </c>
      <c r="O10" s="56" t="n"/>
      <c r="P10" s="69" t="n"/>
    </row>
    <row r="11" ht="25" customHeight="1">
      <c r="A11" s="82" t="inlineStr">
        <is>
          <t>Gold Coast</t>
        </is>
      </c>
      <c r="B11" s="49">
        <f>'Seasons Summary (2)'!J35</f>
        <v/>
      </c>
      <c r="C11" s="47">
        <f>RANK(B11,B$4:B$21)</f>
        <v/>
      </c>
      <c r="D11" s="49">
        <f>'Seasons Summary (2)'!U35</f>
        <v/>
      </c>
      <c r="E11" s="47">
        <f>RANK(D11,D$4:D$21)</f>
        <v/>
      </c>
      <c r="F11" s="49">
        <f>'Seasons Summary (2)'!AF35</f>
        <v/>
      </c>
      <c r="G11" s="47">
        <f>RANK(F11,F$4:F$21)</f>
        <v/>
      </c>
      <c r="H11" s="49">
        <f>'Seasons Summary (2)'!AQ35</f>
        <v/>
      </c>
      <c r="I11" s="47">
        <f>RANK(H11,H$4:H$21)</f>
        <v/>
      </c>
      <c r="J11" s="49">
        <f>'Seasons Summary (2)'!BB35</f>
        <v/>
      </c>
      <c r="K11" s="47">
        <f>RANK(J11,J$4:J$21)</f>
        <v/>
      </c>
      <c r="L11" s="56" t="n"/>
      <c r="M11" s="49">
        <f>AVERAGE(B11,D11,F11,H11,J11)</f>
        <v/>
      </c>
      <c r="N11" s="47">
        <f>RANK(M11,M$4:M$21)</f>
        <v/>
      </c>
      <c r="O11" s="56" t="n"/>
      <c r="P11" s="69" t="n"/>
    </row>
    <row r="12" ht="25" customHeight="1">
      <c r="A12" s="83" t="inlineStr">
        <is>
          <t>Greater Western Sydney</t>
        </is>
      </c>
      <c r="B12" s="49">
        <f>'Seasons Summary (2)'!J36</f>
        <v/>
      </c>
      <c r="C12" s="47">
        <f>RANK(B12,B$4:B$21)</f>
        <v/>
      </c>
      <c r="D12" s="49">
        <f>'Seasons Summary (2)'!U36</f>
        <v/>
      </c>
      <c r="E12" s="47">
        <f>RANK(D12,D$4:D$21)</f>
        <v/>
      </c>
      <c r="F12" s="49">
        <f>'Seasons Summary (2)'!AF36</f>
        <v/>
      </c>
      <c r="G12" s="47">
        <f>RANK(F12,F$4:F$21)</f>
        <v/>
      </c>
      <c r="H12" s="49">
        <f>'Seasons Summary (2)'!AQ36</f>
        <v/>
      </c>
      <c r="I12" s="47">
        <f>RANK(H12,H$4:H$21)</f>
        <v/>
      </c>
      <c r="J12" s="49">
        <f>'Seasons Summary (2)'!BB36</f>
        <v/>
      </c>
      <c r="K12" s="47">
        <f>RANK(J12,J$4:J$21)</f>
        <v/>
      </c>
      <c r="L12" s="56" t="n"/>
      <c r="M12" s="49">
        <f>AVERAGE(B12,D12,F12,H12,J12)</f>
        <v/>
      </c>
      <c r="N12" s="47">
        <f>RANK(M12,M$4:M$21)</f>
        <v/>
      </c>
      <c r="O12" s="56" t="n"/>
      <c r="P12" s="69" t="n"/>
    </row>
    <row r="13" ht="25" customHeight="1">
      <c r="A13" s="84" t="inlineStr">
        <is>
          <t>Hawthorn</t>
        </is>
      </c>
      <c r="B13" s="49">
        <f>'Seasons Summary (2)'!J37</f>
        <v/>
      </c>
      <c r="C13" s="47">
        <f>RANK(B13,B$4:B$21)</f>
        <v/>
      </c>
      <c r="D13" s="49">
        <f>'Seasons Summary (2)'!U37</f>
        <v/>
      </c>
      <c r="E13" s="47">
        <f>RANK(D13,D$4:D$21)</f>
        <v/>
      </c>
      <c r="F13" s="49">
        <f>'Seasons Summary (2)'!AF37</f>
        <v/>
      </c>
      <c r="G13" s="47">
        <f>RANK(F13,F$4:F$21)</f>
        <v/>
      </c>
      <c r="H13" s="49">
        <f>'Seasons Summary (2)'!AQ37</f>
        <v/>
      </c>
      <c r="I13" s="47">
        <f>RANK(H13,H$4:H$21)</f>
        <v/>
      </c>
      <c r="J13" s="49">
        <f>'Seasons Summary (2)'!BB37</f>
        <v/>
      </c>
      <c r="K13" s="47">
        <f>RANK(J13,J$4:J$21)</f>
        <v/>
      </c>
      <c r="L13" s="56" t="n"/>
      <c r="M13" s="49">
        <f>AVERAGE(B13,D13,F13,H13,J13)</f>
        <v/>
      </c>
      <c r="N13" s="47">
        <f>RANK(M13,M$4:M$21)</f>
        <v/>
      </c>
      <c r="O13" s="56" t="n"/>
      <c r="P13" s="69" t="n"/>
    </row>
    <row r="14" ht="25" customHeight="1">
      <c r="A14" s="85" t="inlineStr">
        <is>
          <t>Melbourne</t>
        </is>
      </c>
      <c r="B14" s="49">
        <f>'Seasons Summary (2)'!J38</f>
        <v/>
      </c>
      <c r="C14" s="47">
        <f>RANK(B14,B$4:B$21)</f>
        <v/>
      </c>
      <c r="D14" s="49">
        <f>'Seasons Summary (2)'!U38</f>
        <v/>
      </c>
      <c r="E14" s="47">
        <f>RANK(D14,D$4:D$21)</f>
        <v/>
      </c>
      <c r="F14" s="49">
        <f>'Seasons Summary (2)'!AF38</f>
        <v/>
      </c>
      <c r="G14" s="47">
        <f>RANK(F14,F$4:F$21)</f>
        <v/>
      </c>
      <c r="H14" s="49">
        <f>'Seasons Summary (2)'!AQ38</f>
        <v/>
      </c>
      <c r="I14" s="47">
        <f>RANK(H14,H$4:H$21)</f>
        <v/>
      </c>
      <c r="J14" s="49">
        <f>'Seasons Summary (2)'!BB38</f>
        <v/>
      </c>
      <c r="K14" s="47">
        <f>RANK(J14,J$4:J$21)</f>
        <v/>
      </c>
      <c r="L14" s="56" t="n"/>
      <c r="M14" s="49">
        <f>AVERAGE(B14,D14,F14,H14,J14)</f>
        <v/>
      </c>
      <c r="N14" s="47">
        <f>RANK(M14,M$4:M$21)</f>
        <v/>
      </c>
      <c r="O14" s="56" t="n"/>
      <c r="P14" s="69" t="n"/>
    </row>
    <row r="15" ht="25" customHeight="1">
      <c r="A15" s="86" t="inlineStr">
        <is>
          <t>North Melbourne</t>
        </is>
      </c>
      <c r="B15" s="49">
        <f>'Seasons Summary (2)'!J39</f>
        <v/>
      </c>
      <c r="C15" s="47">
        <f>RANK(B15,B$4:B$21)</f>
        <v/>
      </c>
      <c r="D15" s="49">
        <f>'Seasons Summary (2)'!U39</f>
        <v/>
      </c>
      <c r="E15" s="47">
        <f>RANK(D15,D$4:D$21)</f>
        <v/>
      </c>
      <c r="F15" s="49">
        <f>'Seasons Summary (2)'!AF39</f>
        <v/>
      </c>
      <c r="G15" s="47">
        <f>RANK(F15,F$4:F$21)</f>
        <v/>
      </c>
      <c r="H15" s="49">
        <f>'Seasons Summary (2)'!AQ39</f>
        <v/>
      </c>
      <c r="I15" s="47">
        <f>RANK(H15,H$4:H$21)</f>
        <v/>
      </c>
      <c r="J15" s="49">
        <f>'Seasons Summary (2)'!BB39</f>
        <v/>
      </c>
      <c r="K15" s="47">
        <f>RANK(J15,J$4:J$21)</f>
        <v/>
      </c>
      <c r="L15" s="56" t="n"/>
      <c r="M15" s="49">
        <f>AVERAGE(B15,D15,F15,H15,J15)</f>
        <v/>
      </c>
      <c r="N15" s="47">
        <f>RANK(M15,M$4:M$21)</f>
        <v/>
      </c>
      <c r="O15" s="56" t="n"/>
      <c r="P15" s="69" t="n"/>
    </row>
    <row r="16" ht="25" customHeight="1">
      <c r="A16" s="87" t="inlineStr">
        <is>
          <t>Port Adelaide</t>
        </is>
      </c>
      <c r="B16" s="49">
        <f>'Seasons Summary (2)'!J40</f>
        <v/>
      </c>
      <c r="C16" s="47">
        <f>RANK(B16,B$4:B$21)</f>
        <v/>
      </c>
      <c r="D16" s="49">
        <f>'Seasons Summary (2)'!U40</f>
        <v/>
      </c>
      <c r="E16" s="47">
        <f>RANK(D16,D$4:D$21)</f>
        <v/>
      </c>
      <c r="F16" s="49">
        <f>'Seasons Summary (2)'!AF40</f>
        <v/>
      </c>
      <c r="G16" s="47">
        <f>RANK(F16,F$4:F$21)</f>
        <v/>
      </c>
      <c r="H16" s="49">
        <f>'Seasons Summary (2)'!AQ40</f>
        <v/>
      </c>
      <c r="I16" s="47">
        <f>RANK(H16,H$4:H$21)</f>
        <v/>
      </c>
      <c r="J16" s="49">
        <f>'Seasons Summary (2)'!BB40</f>
        <v/>
      </c>
      <c r="K16" s="47">
        <f>RANK(J16,J$4:J$21)</f>
        <v/>
      </c>
      <c r="L16" s="56" t="n"/>
      <c r="M16" s="49">
        <f>AVERAGE(B16,D16,F16,H16,J16)</f>
        <v/>
      </c>
      <c r="N16" s="47">
        <f>RANK(M16,M$4:M$21)</f>
        <v/>
      </c>
      <c r="O16" s="56" t="n"/>
      <c r="P16" s="69" t="n"/>
    </row>
    <row r="17" ht="25" customHeight="1">
      <c r="A17" s="88" t="inlineStr">
        <is>
          <t>Richmond</t>
        </is>
      </c>
      <c r="B17" s="49">
        <f>'Seasons Summary (2)'!J41</f>
        <v/>
      </c>
      <c r="C17" s="47">
        <f>RANK(B17,B$4:B$21)</f>
        <v/>
      </c>
      <c r="D17" s="49">
        <f>'Seasons Summary (2)'!U41</f>
        <v/>
      </c>
      <c r="E17" s="47">
        <f>RANK(D17,D$4:D$21)</f>
        <v/>
      </c>
      <c r="F17" s="49">
        <f>'Seasons Summary (2)'!AF41</f>
        <v/>
      </c>
      <c r="G17" s="47">
        <f>RANK(F17,F$4:F$21)</f>
        <v/>
      </c>
      <c r="H17" s="49">
        <f>'Seasons Summary (2)'!AQ41</f>
        <v/>
      </c>
      <c r="I17" s="47">
        <f>RANK(H17,H$4:H$21)</f>
        <v/>
      </c>
      <c r="J17" s="49">
        <f>'Seasons Summary (2)'!BB41</f>
        <v/>
      </c>
      <c r="K17" s="47">
        <f>RANK(J17,J$4:J$21)</f>
        <v/>
      </c>
      <c r="L17" s="56" t="n"/>
      <c r="M17" s="49">
        <f>AVERAGE(B17,D17,F17,H17,J17)</f>
        <v/>
      </c>
      <c r="N17" s="47">
        <f>RANK(M17,M$4:M$21)</f>
        <v/>
      </c>
      <c r="O17" s="56" t="n"/>
      <c r="P17" s="69" t="n"/>
    </row>
    <row r="18" ht="25" customHeight="1">
      <c r="A18" s="89" t="inlineStr">
        <is>
          <t>St Kilda</t>
        </is>
      </c>
      <c r="B18" s="49">
        <f>'Seasons Summary (2)'!J42</f>
        <v/>
      </c>
      <c r="C18" s="47">
        <f>RANK(B18,B$4:B$21)</f>
        <v/>
      </c>
      <c r="D18" s="49">
        <f>'Seasons Summary (2)'!U42</f>
        <v/>
      </c>
      <c r="E18" s="47">
        <f>RANK(D18,D$4:D$21)</f>
        <v/>
      </c>
      <c r="F18" s="49">
        <f>'Seasons Summary (2)'!AF42</f>
        <v/>
      </c>
      <c r="G18" s="47">
        <f>RANK(F18,F$4:F$21)</f>
        <v/>
      </c>
      <c r="H18" s="49">
        <f>'Seasons Summary (2)'!AQ42</f>
        <v/>
      </c>
      <c r="I18" s="47">
        <f>RANK(H18,H$4:H$21)</f>
        <v/>
      </c>
      <c r="J18" s="49">
        <f>'Seasons Summary (2)'!BB42</f>
        <v/>
      </c>
      <c r="K18" s="47">
        <f>RANK(J18,J$4:J$21)</f>
        <v/>
      </c>
      <c r="L18" s="56" t="n"/>
      <c r="M18" s="49">
        <f>AVERAGE(B18,D18,F18,H18,J18)</f>
        <v/>
      </c>
      <c r="N18" s="47">
        <f>RANK(M18,M$4:M$21)</f>
        <v/>
      </c>
      <c r="O18" s="56" t="n"/>
      <c r="P18" s="69" t="n"/>
    </row>
    <row r="19" ht="25" customHeight="1">
      <c r="A19" s="90" t="inlineStr">
        <is>
          <t>Sydney</t>
        </is>
      </c>
      <c r="B19" s="49">
        <f>'Seasons Summary (2)'!J43</f>
        <v/>
      </c>
      <c r="C19" s="47">
        <f>RANK(B19,B$4:B$21)</f>
        <v/>
      </c>
      <c r="D19" s="49">
        <f>'Seasons Summary (2)'!U43</f>
        <v/>
      </c>
      <c r="E19" s="47">
        <f>RANK(D19,D$4:D$21)</f>
        <v/>
      </c>
      <c r="F19" s="49">
        <f>'Seasons Summary (2)'!AF43</f>
        <v/>
      </c>
      <c r="G19" s="47">
        <f>RANK(F19,F$4:F$21)</f>
        <v/>
      </c>
      <c r="H19" s="49">
        <f>'Seasons Summary (2)'!AQ43</f>
        <v/>
      </c>
      <c r="I19" s="47">
        <f>RANK(H19,H$4:H$21)</f>
        <v/>
      </c>
      <c r="J19" s="49">
        <f>'Seasons Summary (2)'!BB43</f>
        <v/>
      </c>
      <c r="K19" s="47">
        <f>RANK(J19,J$4:J$21)</f>
        <v/>
      </c>
      <c r="L19" s="56" t="n"/>
      <c r="M19" s="49">
        <f>AVERAGE(B19,D19,F19,H19,J19)</f>
        <v/>
      </c>
      <c r="N19" s="47">
        <f>RANK(M19,M$4:M$21)</f>
        <v/>
      </c>
      <c r="O19" s="56" t="n"/>
      <c r="P19" s="69" t="n"/>
    </row>
    <row r="20" ht="25" customHeight="1">
      <c r="A20" s="91" t="inlineStr">
        <is>
          <t>West Coast</t>
        </is>
      </c>
      <c r="B20" s="49">
        <f>'Seasons Summary (2)'!J44</f>
        <v/>
      </c>
      <c r="C20" s="47">
        <f>RANK(B20,B$4:B$21)</f>
        <v/>
      </c>
      <c r="D20" s="49">
        <f>'Seasons Summary (2)'!U44</f>
        <v/>
      </c>
      <c r="E20" s="47">
        <f>RANK(D20,D$4:D$21)</f>
        <v/>
      </c>
      <c r="F20" s="49">
        <f>'Seasons Summary (2)'!AF44</f>
        <v/>
      </c>
      <c r="G20" s="47">
        <f>RANK(F20,F$4:F$21)</f>
        <v/>
      </c>
      <c r="H20" s="49">
        <f>'Seasons Summary (2)'!AQ44</f>
        <v/>
      </c>
      <c r="I20" s="47">
        <f>RANK(H20,H$4:H$21)</f>
        <v/>
      </c>
      <c r="J20" s="49">
        <f>'Seasons Summary (2)'!BB44</f>
        <v/>
      </c>
      <c r="K20" s="47">
        <f>RANK(J20,J$4:J$21)</f>
        <v/>
      </c>
      <c r="L20" s="56" t="n"/>
      <c r="M20" s="49">
        <f>AVERAGE(B20,D20,F20,H20,J20)</f>
        <v/>
      </c>
      <c r="N20" s="47">
        <f>RANK(M20,M$4:M$21)</f>
        <v/>
      </c>
      <c r="O20" s="56" t="n"/>
      <c r="P20" s="69" t="n"/>
    </row>
    <row r="21" ht="25" customHeight="1" thickBot="1">
      <c r="A21" s="92" t="inlineStr">
        <is>
          <t>Western Bulldogs</t>
        </is>
      </c>
      <c r="B21" s="95">
        <f>'Seasons Summary (2)'!J45</f>
        <v/>
      </c>
      <c r="C21" s="96">
        <f>RANK(B21,B$4:B$21)</f>
        <v/>
      </c>
      <c r="D21" s="95">
        <f>'Seasons Summary (2)'!U45</f>
        <v/>
      </c>
      <c r="E21" s="96">
        <f>RANK(D21,D$4:D$21)</f>
        <v/>
      </c>
      <c r="F21" s="95">
        <f>'Seasons Summary (2)'!AF45</f>
        <v/>
      </c>
      <c r="G21" s="96">
        <f>RANK(F21,F$4:F$21)</f>
        <v/>
      </c>
      <c r="H21" s="95">
        <f>'Seasons Summary (2)'!AQ45</f>
        <v/>
      </c>
      <c r="I21" s="96">
        <f>RANK(H21,H$4:H$21)</f>
        <v/>
      </c>
      <c r="J21" s="49">
        <f>'Seasons Summary (2)'!BB45</f>
        <v/>
      </c>
      <c r="K21" s="96">
        <f>RANK(J21,J$4:J$21)</f>
        <v/>
      </c>
      <c r="L21" s="62" t="n"/>
      <c r="M21" s="49">
        <f>AVERAGE(B21,D21,F21,H21,J21)</f>
        <v/>
      </c>
      <c r="N21" s="96">
        <f>RANK(M21,M$4:M$21)</f>
        <v/>
      </c>
      <c r="O21" s="62" t="n"/>
      <c r="P21" s="69" t="n"/>
    </row>
    <row r="22">
      <c r="A22" s="69" t="n"/>
      <c r="B22" s="69" t="n"/>
      <c r="C22" s="69" t="n"/>
      <c r="D22" s="69" t="n"/>
      <c r="E22" s="69" t="n"/>
      <c r="F22" s="69" t="n"/>
      <c r="G22" s="69" t="n"/>
      <c r="H22" s="69" t="n"/>
      <c r="I22" s="69" t="n"/>
      <c r="J22" s="69" t="n"/>
      <c r="K22" s="69" t="n"/>
      <c r="L22" s="69" t="n"/>
      <c r="M22" s="69" t="n"/>
      <c r="N22" s="69" t="n"/>
      <c r="O22" s="69" t="n"/>
      <c r="P22" s="69" t="n"/>
    </row>
    <row r="23" ht="35" customHeight="1">
      <c r="A23" s="68" t="inlineStr">
        <is>
          <t>TREND</t>
        </is>
      </c>
      <c r="B23" s="69" t="n"/>
      <c r="C23" s="69" t="n"/>
      <c r="D23" s="69" t="n"/>
      <c r="E23" s="69" t="n"/>
      <c r="F23" s="69" t="n"/>
      <c r="G23" s="69" t="n"/>
      <c r="H23" s="69" t="n"/>
      <c r="I23" s="69" t="n"/>
      <c r="J23" s="69" t="n"/>
      <c r="K23" s="69" t="n"/>
      <c r="L23" s="69" t="n"/>
      <c r="M23" s="69" t="n"/>
      <c r="N23" s="69" t="n"/>
      <c r="O23" s="69" t="n"/>
      <c r="P23" s="69" t="n"/>
    </row>
    <row r="24" ht="17" customHeight="1" thickBot="1">
      <c r="A24" s="69" t="n"/>
      <c r="B24" s="69" t="n"/>
      <c r="C24" s="69" t="n"/>
      <c r="D24" s="69" t="n"/>
      <c r="E24" s="69" t="n"/>
      <c r="F24" s="69" t="n"/>
      <c r="G24" s="69" t="n"/>
      <c r="H24" s="69" t="n"/>
      <c r="I24" s="69" t="n"/>
      <c r="J24" s="69" t="n"/>
      <c r="K24" s="69" t="n"/>
      <c r="L24" s="69" t="n"/>
      <c r="M24" s="69" t="n"/>
      <c r="N24" s="69" t="n"/>
      <c r="O24" s="69" t="n"/>
      <c r="P24" s="69" t="n"/>
    </row>
    <row r="25" ht="52" customHeight="1" thickBot="1">
      <c r="A25" s="93" t="inlineStr">
        <is>
          <t>Team</t>
        </is>
      </c>
      <c r="B25" s="27" t="inlineStr">
        <is>
          <t>Ball Winning Ranking</t>
        </is>
      </c>
      <c r="C25" s="28" t="inlineStr">
        <is>
          <t>#</t>
        </is>
      </c>
      <c r="D25" s="30" t="inlineStr">
        <is>
          <t>Ball Movement Ranking</t>
        </is>
      </c>
      <c r="E25" s="31" t="inlineStr">
        <is>
          <t>#</t>
        </is>
      </c>
      <c r="F25" s="44" t="inlineStr">
        <is>
          <t>Scoring Ranking</t>
        </is>
      </c>
      <c r="G25" s="45" t="inlineStr">
        <is>
          <t>#</t>
        </is>
      </c>
      <c r="H25" s="33" t="inlineStr">
        <is>
          <t>Defence Ranking</t>
        </is>
      </c>
      <c r="I25" s="34" t="inlineStr">
        <is>
          <t>#</t>
        </is>
      </c>
      <c r="J25" s="69" t="n"/>
      <c r="K25" s="69" t="n"/>
      <c r="L25" s="94" t="n"/>
      <c r="M25" s="36" t="inlineStr">
        <is>
          <t>Team Rating</t>
        </is>
      </c>
      <c r="N25" s="37" t="inlineStr">
        <is>
          <t>#</t>
        </is>
      </c>
      <c r="O25" s="94" t="n"/>
      <c r="P25" s="69" t="n"/>
    </row>
    <row r="26" ht="25" customHeight="1">
      <c r="A26" s="75" t="inlineStr">
        <is>
          <t>Adelaide</t>
        </is>
      </c>
      <c r="B26" s="49">
        <f>B4-#REF!</f>
        <v/>
      </c>
      <c r="C26" s="47">
        <f>RANK(B26,B$26:B$43)</f>
        <v/>
      </c>
      <c r="D26" s="49">
        <f>D4-#REF!</f>
        <v/>
      </c>
      <c r="E26" s="47">
        <f>RANK(D26,D$26:D$43)</f>
        <v/>
      </c>
      <c r="F26" s="49">
        <f>F4-#REF!</f>
        <v/>
      </c>
      <c r="G26" s="47">
        <f>RANK(F26,F$26:F$43)</f>
        <v/>
      </c>
      <c r="H26" s="49">
        <f>H4-#REF!</f>
        <v/>
      </c>
      <c r="I26" s="47">
        <f>RANK(H26,H$26:H$43)</f>
        <v/>
      </c>
      <c r="J26" s="69" t="n"/>
      <c r="K26" s="69" t="n"/>
      <c r="L26" s="50" t="n"/>
      <c r="M26" s="49">
        <f>M4-#REF!</f>
        <v/>
      </c>
      <c r="N26" s="47">
        <f>RANK(M26,M$26:M$43)</f>
        <v/>
      </c>
      <c r="O26" s="50" t="n"/>
      <c r="P26" s="69" t="n"/>
    </row>
    <row r="27" ht="25" customHeight="1">
      <c r="A27" s="76" t="inlineStr">
        <is>
          <t>Brisbane</t>
        </is>
      </c>
      <c r="B27" s="49">
        <f>B5-#REF!</f>
        <v/>
      </c>
      <c r="C27" s="47">
        <f>RANK(B27,B$26:B$43)</f>
        <v/>
      </c>
      <c r="D27" s="49">
        <f>D5-#REF!</f>
        <v/>
      </c>
      <c r="E27" s="47">
        <f>RANK(D27,D$26:D$43)</f>
        <v/>
      </c>
      <c r="F27" s="65">
        <f>F5-#REF!</f>
        <v/>
      </c>
      <c r="G27" s="47">
        <f>RANK(F27,F$26:F$43)</f>
        <v/>
      </c>
      <c r="H27" s="65">
        <f>H5-#REF!</f>
        <v/>
      </c>
      <c r="I27" s="47">
        <f>RANK(H27,H$26:H$43)</f>
        <v/>
      </c>
      <c r="L27" s="56" t="n"/>
      <c r="M27" s="65">
        <f>M5-#REF!</f>
        <v/>
      </c>
      <c r="N27" s="47">
        <f>RANK(M27,M$26:M$43)</f>
        <v/>
      </c>
      <c r="O27" s="56" t="n"/>
      <c r="P27" s="69" t="n"/>
    </row>
    <row r="28" ht="25" customHeight="1">
      <c r="A28" s="77" t="inlineStr">
        <is>
          <t>Carlton</t>
        </is>
      </c>
      <c r="B28" s="49">
        <f>B6-#REF!</f>
        <v/>
      </c>
      <c r="C28" s="47">
        <f>RANK(B28,B$26:B$43)</f>
        <v/>
      </c>
      <c r="D28" s="49">
        <f>D6-#REF!</f>
        <v/>
      </c>
      <c r="E28" s="47">
        <f>RANK(D28,D$26:D$43)</f>
        <v/>
      </c>
      <c r="F28" s="65">
        <f>F6-#REF!</f>
        <v/>
      </c>
      <c r="G28" s="47">
        <f>RANK(F28,F$26:F$43)</f>
        <v/>
      </c>
      <c r="H28" s="65">
        <f>H6-#REF!</f>
        <v/>
      </c>
      <c r="I28" s="47">
        <f>RANK(H28,H$26:H$43)</f>
        <v/>
      </c>
      <c r="L28" s="56" t="n"/>
      <c r="M28" s="65">
        <f>M6-#REF!</f>
        <v/>
      </c>
      <c r="N28" s="47">
        <f>RANK(M28,M$26:M$43)</f>
        <v/>
      </c>
      <c r="O28" s="56" t="n"/>
      <c r="P28" s="69" t="n"/>
    </row>
    <row r="29" ht="25" customHeight="1">
      <c r="A29" s="78" t="inlineStr">
        <is>
          <t>Collingwood</t>
        </is>
      </c>
      <c r="B29" s="49">
        <f>B7-#REF!</f>
        <v/>
      </c>
      <c r="C29" s="47">
        <f>RANK(B29,B$26:B$43)</f>
        <v/>
      </c>
      <c r="D29" s="49">
        <f>D7-#REF!</f>
        <v/>
      </c>
      <c r="E29" s="47">
        <f>RANK(D29,D$26:D$43)</f>
        <v/>
      </c>
      <c r="F29" s="65">
        <f>F7-#REF!</f>
        <v/>
      </c>
      <c r="G29" s="47">
        <f>RANK(F29,F$26:F$43)</f>
        <v/>
      </c>
      <c r="H29" s="65">
        <f>H7-#REF!</f>
        <v/>
      </c>
      <c r="I29" s="47">
        <f>RANK(H29,H$26:H$43)</f>
        <v/>
      </c>
      <c r="L29" s="56" t="n"/>
      <c r="M29" s="65">
        <f>M7-#REF!</f>
        <v/>
      </c>
      <c r="N29" s="47">
        <f>RANK(M29,M$26:M$43)</f>
        <v/>
      </c>
      <c r="O29" s="56" t="n"/>
      <c r="P29" s="69" t="n"/>
    </row>
    <row r="30" ht="25" customHeight="1">
      <c r="A30" s="79" t="inlineStr">
        <is>
          <t>Essendon</t>
        </is>
      </c>
      <c r="B30" s="49">
        <f>B8-#REF!</f>
        <v/>
      </c>
      <c r="C30" s="47">
        <f>RANK(B30,B$26:B$43)</f>
        <v/>
      </c>
      <c r="D30" s="49">
        <f>D8-#REF!</f>
        <v/>
      </c>
      <c r="E30" s="47">
        <f>RANK(D30,D$26:D$43)</f>
        <v/>
      </c>
      <c r="F30" s="65">
        <f>F8-#REF!</f>
        <v/>
      </c>
      <c r="G30" s="47">
        <f>RANK(F30,F$26:F$43)</f>
        <v/>
      </c>
      <c r="H30" s="65">
        <f>H8-#REF!</f>
        <v/>
      </c>
      <c r="I30" s="47">
        <f>RANK(H30,H$26:H$43)</f>
        <v/>
      </c>
      <c r="L30" s="56" t="n"/>
      <c r="M30" s="65">
        <f>M8-#REF!</f>
        <v/>
      </c>
      <c r="N30" s="47">
        <f>RANK(M30,M$26:M$43)</f>
        <v/>
      </c>
      <c r="O30" s="56" t="n"/>
      <c r="P30" s="69" t="n"/>
    </row>
    <row r="31" ht="25" customHeight="1">
      <c r="A31" s="80" t="inlineStr">
        <is>
          <t>Fremantle</t>
        </is>
      </c>
      <c r="B31" s="49">
        <f>B9-#REF!</f>
        <v/>
      </c>
      <c r="C31" s="47">
        <f>RANK(B31,B$26:B$43)</f>
        <v/>
      </c>
      <c r="D31" s="49">
        <f>D9-#REF!</f>
        <v/>
      </c>
      <c r="E31" s="47">
        <f>RANK(D31,D$26:D$43)</f>
        <v/>
      </c>
      <c r="F31" s="65">
        <f>F9-#REF!</f>
        <v/>
      </c>
      <c r="G31" s="47">
        <f>RANK(F31,F$26:F$43)</f>
        <v/>
      </c>
      <c r="H31" s="65">
        <f>H9-#REF!</f>
        <v/>
      </c>
      <c r="I31" s="47">
        <f>RANK(H31,H$26:H$43)</f>
        <v/>
      </c>
      <c r="L31" s="56" t="n"/>
      <c r="M31" s="65">
        <f>M9-#REF!</f>
        <v/>
      </c>
      <c r="N31" s="47">
        <f>RANK(M31,M$26:M$43)</f>
        <v/>
      </c>
      <c r="O31" s="56" t="n"/>
      <c r="P31" s="69" t="n"/>
    </row>
    <row r="32" ht="25" customHeight="1">
      <c r="A32" s="81" t="inlineStr">
        <is>
          <t>Geelong</t>
        </is>
      </c>
      <c r="B32" s="49">
        <f>B10-#REF!</f>
        <v/>
      </c>
      <c r="C32" s="47">
        <f>RANK(B32,B$26:B$43)</f>
        <v/>
      </c>
      <c r="D32" s="49">
        <f>D10-#REF!</f>
        <v/>
      </c>
      <c r="E32" s="47">
        <f>RANK(D32,D$26:D$43)</f>
        <v/>
      </c>
      <c r="F32" s="65">
        <f>F10-#REF!</f>
        <v/>
      </c>
      <c r="G32" s="47">
        <f>RANK(F32,F$26:F$43)</f>
        <v/>
      </c>
      <c r="H32" s="65">
        <f>H10-#REF!</f>
        <v/>
      </c>
      <c r="I32" s="47">
        <f>RANK(H32,H$26:H$43)</f>
        <v/>
      </c>
      <c r="L32" s="56" t="n"/>
      <c r="M32" s="65">
        <f>M10-#REF!</f>
        <v/>
      </c>
      <c r="N32" s="47">
        <f>RANK(M32,M$26:M$43)</f>
        <v/>
      </c>
      <c r="O32" s="56" t="n"/>
      <c r="P32" s="69" t="n"/>
    </row>
    <row r="33" ht="25" customHeight="1">
      <c r="A33" s="82" t="inlineStr">
        <is>
          <t>Gold Coast</t>
        </is>
      </c>
      <c r="B33" s="49">
        <f>B11-#REF!</f>
        <v/>
      </c>
      <c r="C33" s="47">
        <f>RANK(B33,B$26:B$43)</f>
        <v/>
      </c>
      <c r="D33" s="49">
        <f>D11-#REF!</f>
        <v/>
      </c>
      <c r="E33" s="47">
        <f>RANK(D33,D$26:D$43)</f>
        <v/>
      </c>
      <c r="F33" s="65">
        <f>F11-#REF!</f>
        <v/>
      </c>
      <c r="G33" s="47">
        <f>RANK(F33,F$26:F$43)</f>
        <v/>
      </c>
      <c r="H33" s="65">
        <f>H11-#REF!</f>
        <v/>
      </c>
      <c r="I33" s="47">
        <f>RANK(H33,H$26:H$43)</f>
        <v/>
      </c>
      <c r="L33" s="56" t="n"/>
      <c r="M33" s="65">
        <f>M11-#REF!</f>
        <v/>
      </c>
      <c r="N33" s="47">
        <f>RANK(M33,M$26:M$43)</f>
        <v/>
      </c>
      <c r="O33" s="56" t="n"/>
      <c r="P33" s="69" t="n"/>
    </row>
    <row r="34" ht="25" customHeight="1">
      <c r="A34" s="83" t="inlineStr">
        <is>
          <t>Greater Western Sydney</t>
        </is>
      </c>
      <c r="B34" s="49">
        <f>B12-#REF!</f>
        <v/>
      </c>
      <c r="C34" s="47">
        <f>RANK(B34,B$26:B$43)</f>
        <v/>
      </c>
      <c r="D34" s="49">
        <f>D12-#REF!</f>
        <v/>
      </c>
      <c r="E34" s="47">
        <f>RANK(D34,D$26:D$43)</f>
        <v/>
      </c>
      <c r="F34" s="65">
        <f>F12-#REF!</f>
        <v/>
      </c>
      <c r="G34" s="47">
        <f>RANK(F34,F$26:F$43)</f>
        <v/>
      </c>
      <c r="H34" s="65">
        <f>H12-#REF!</f>
        <v/>
      </c>
      <c r="I34" s="47">
        <f>RANK(H34,H$26:H$43)</f>
        <v/>
      </c>
      <c r="L34" s="56" t="n"/>
      <c r="M34" s="65">
        <f>M12-#REF!</f>
        <v/>
      </c>
      <c r="N34" s="47">
        <f>RANK(M34,M$26:M$43)</f>
        <v/>
      </c>
      <c r="O34" s="56" t="n"/>
      <c r="P34" s="69" t="n"/>
    </row>
    <row r="35" ht="25" customHeight="1">
      <c r="A35" s="84" t="inlineStr">
        <is>
          <t>Hawthorn</t>
        </is>
      </c>
      <c r="B35" s="49">
        <f>B13-#REF!</f>
        <v/>
      </c>
      <c r="C35" s="47">
        <f>RANK(B35,B$26:B$43)</f>
        <v/>
      </c>
      <c r="D35" s="49">
        <f>D13-#REF!</f>
        <v/>
      </c>
      <c r="E35" s="47">
        <f>RANK(D35,D$26:D$43)</f>
        <v/>
      </c>
      <c r="F35" s="65">
        <f>F13-#REF!</f>
        <v/>
      </c>
      <c r="G35" s="47">
        <f>RANK(F35,F$26:F$43)</f>
        <v/>
      </c>
      <c r="H35" s="65">
        <f>H13-#REF!</f>
        <v/>
      </c>
      <c r="I35" s="47">
        <f>RANK(H35,H$26:H$43)</f>
        <v/>
      </c>
      <c r="L35" s="56" t="n"/>
      <c r="M35" s="65">
        <f>M13-#REF!</f>
        <v/>
      </c>
      <c r="N35" s="47">
        <f>RANK(M35,M$26:M$43)</f>
        <v/>
      </c>
      <c r="O35" s="56" t="n"/>
      <c r="P35" s="69" t="n"/>
    </row>
    <row r="36" ht="25" customHeight="1">
      <c r="A36" s="85" t="inlineStr">
        <is>
          <t>Melbourne</t>
        </is>
      </c>
      <c r="B36" s="49">
        <f>B14-#REF!</f>
        <v/>
      </c>
      <c r="C36" s="47">
        <f>RANK(B36,B$26:B$43)</f>
        <v/>
      </c>
      <c r="D36" s="49">
        <f>D14-#REF!</f>
        <v/>
      </c>
      <c r="E36" s="47">
        <f>RANK(D36,D$26:D$43)</f>
        <v/>
      </c>
      <c r="F36" s="65">
        <f>F14-#REF!</f>
        <v/>
      </c>
      <c r="G36" s="47">
        <f>RANK(F36,F$26:F$43)</f>
        <v/>
      </c>
      <c r="H36" s="65">
        <f>H14-#REF!</f>
        <v/>
      </c>
      <c r="I36" s="47">
        <f>RANK(H36,H$26:H$43)</f>
        <v/>
      </c>
      <c r="L36" s="56" t="n"/>
      <c r="M36" s="65">
        <f>M14-#REF!</f>
        <v/>
      </c>
      <c r="N36" s="47">
        <f>RANK(M36,M$26:M$43)</f>
        <v/>
      </c>
      <c r="O36" s="56" t="n"/>
      <c r="P36" s="69" t="n"/>
    </row>
    <row r="37" ht="25" customHeight="1">
      <c r="A37" s="86" t="inlineStr">
        <is>
          <t>North Melbourne</t>
        </is>
      </c>
      <c r="B37" s="49">
        <f>B15-#REF!</f>
        <v/>
      </c>
      <c r="C37" s="47">
        <f>RANK(B37,B$26:B$43)</f>
        <v/>
      </c>
      <c r="D37" s="49">
        <f>D15-#REF!</f>
        <v/>
      </c>
      <c r="E37" s="47">
        <f>RANK(D37,D$26:D$43)</f>
        <v/>
      </c>
      <c r="F37" s="65">
        <f>F15-#REF!</f>
        <v/>
      </c>
      <c r="G37" s="47">
        <f>RANK(F37,F$26:F$43)</f>
        <v/>
      </c>
      <c r="H37" s="65">
        <f>H15-#REF!</f>
        <v/>
      </c>
      <c r="I37" s="47">
        <f>RANK(H37,H$26:H$43)</f>
        <v/>
      </c>
      <c r="L37" s="56" t="n"/>
      <c r="M37" s="65">
        <f>M15-#REF!</f>
        <v/>
      </c>
      <c r="N37" s="47">
        <f>RANK(M37,M$26:M$43)</f>
        <v/>
      </c>
      <c r="O37" s="56" t="n"/>
      <c r="P37" s="69" t="n"/>
    </row>
    <row r="38" ht="25" customHeight="1">
      <c r="A38" s="87" t="inlineStr">
        <is>
          <t>Port Adelaide</t>
        </is>
      </c>
      <c r="B38" s="49">
        <f>B16-#REF!</f>
        <v/>
      </c>
      <c r="C38" s="47">
        <f>RANK(B38,B$26:B$43)</f>
        <v/>
      </c>
      <c r="D38" s="49">
        <f>D16-#REF!</f>
        <v/>
      </c>
      <c r="E38" s="47">
        <f>RANK(D38,D$26:D$43)</f>
        <v/>
      </c>
      <c r="F38" s="65">
        <f>F16-#REF!</f>
        <v/>
      </c>
      <c r="G38" s="47">
        <f>RANK(F38,F$26:F$43)</f>
        <v/>
      </c>
      <c r="H38" s="65">
        <f>H16-#REF!</f>
        <v/>
      </c>
      <c r="I38" s="47">
        <f>RANK(H38,H$26:H$43)</f>
        <v/>
      </c>
      <c r="L38" s="56" t="n"/>
      <c r="M38" s="65">
        <f>M16-#REF!</f>
        <v/>
      </c>
      <c r="N38" s="47">
        <f>RANK(M38,M$26:M$43)</f>
        <v/>
      </c>
      <c r="O38" s="56" t="n"/>
      <c r="P38" s="69" t="n"/>
    </row>
    <row r="39" ht="25" customHeight="1">
      <c r="A39" s="88" t="inlineStr">
        <is>
          <t>Richmond</t>
        </is>
      </c>
      <c r="B39" s="49">
        <f>B17-#REF!</f>
        <v/>
      </c>
      <c r="C39" s="47">
        <f>RANK(B39,B$26:B$43)</f>
        <v/>
      </c>
      <c r="D39" s="49">
        <f>D17-#REF!</f>
        <v/>
      </c>
      <c r="E39" s="47">
        <f>RANK(D39,D$26:D$43)</f>
        <v/>
      </c>
      <c r="F39" s="65">
        <f>F17-#REF!</f>
        <v/>
      </c>
      <c r="G39" s="47">
        <f>RANK(F39,F$26:F$43)</f>
        <v/>
      </c>
      <c r="H39" s="65">
        <f>H17-#REF!</f>
        <v/>
      </c>
      <c r="I39" s="47">
        <f>RANK(H39,H$26:H$43)</f>
        <v/>
      </c>
      <c r="L39" s="56" t="n"/>
      <c r="M39" s="65">
        <f>M17-#REF!</f>
        <v/>
      </c>
      <c r="N39" s="47">
        <f>RANK(M39,M$26:M$43)</f>
        <v/>
      </c>
      <c r="O39" s="56" t="n"/>
      <c r="P39" s="69" t="n"/>
    </row>
    <row r="40" ht="25" customHeight="1">
      <c r="A40" s="89" t="inlineStr">
        <is>
          <t>St Kilda</t>
        </is>
      </c>
      <c r="B40" s="49">
        <f>B18-#REF!</f>
        <v/>
      </c>
      <c r="C40" s="47">
        <f>RANK(B40,B$26:B$43)</f>
        <v/>
      </c>
      <c r="D40" s="49">
        <f>D18-#REF!</f>
        <v/>
      </c>
      <c r="E40" s="47">
        <f>RANK(D40,D$26:D$43)</f>
        <v/>
      </c>
      <c r="F40" s="65">
        <f>F18-#REF!</f>
        <v/>
      </c>
      <c r="G40" s="47">
        <f>RANK(F40,F$26:F$43)</f>
        <v/>
      </c>
      <c r="H40" s="65">
        <f>H18-#REF!</f>
        <v/>
      </c>
      <c r="I40" s="47">
        <f>RANK(H40,H$26:H$43)</f>
        <v/>
      </c>
      <c r="L40" s="56" t="n"/>
      <c r="M40" s="65">
        <f>M18-#REF!</f>
        <v/>
      </c>
      <c r="N40" s="47">
        <f>RANK(M40,M$26:M$43)</f>
        <v/>
      </c>
      <c r="O40" s="56" t="n"/>
      <c r="P40" s="69" t="n"/>
    </row>
    <row r="41" ht="25" customHeight="1">
      <c r="A41" s="90" t="inlineStr">
        <is>
          <t>Sydney</t>
        </is>
      </c>
      <c r="B41" s="49">
        <f>B19-#REF!</f>
        <v/>
      </c>
      <c r="C41" s="47">
        <f>RANK(B41,B$26:B$43)</f>
        <v/>
      </c>
      <c r="D41" s="49">
        <f>D19-#REF!</f>
        <v/>
      </c>
      <c r="E41" s="47">
        <f>RANK(D41,D$26:D$43)</f>
        <v/>
      </c>
      <c r="F41" s="65">
        <f>F19-#REF!</f>
        <v/>
      </c>
      <c r="G41" s="47">
        <f>RANK(F41,F$26:F$43)</f>
        <v/>
      </c>
      <c r="H41" s="65">
        <f>H19-#REF!</f>
        <v/>
      </c>
      <c r="I41" s="47">
        <f>RANK(H41,H$26:H$43)</f>
        <v/>
      </c>
      <c r="L41" s="56" t="n"/>
      <c r="M41" s="65">
        <f>M19-#REF!</f>
        <v/>
      </c>
      <c r="N41" s="47">
        <f>RANK(M41,M$26:M$43)</f>
        <v/>
      </c>
      <c r="O41" s="56" t="n"/>
      <c r="P41" s="69" t="n"/>
    </row>
    <row r="42" ht="25" customHeight="1">
      <c r="A42" s="91" t="inlineStr">
        <is>
          <t>West Coast</t>
        </is>
      </c>
      <c r="B42" s="49">
        <f>B20-#REF!</f>
        <v/>
      </c>
      <c r="C42" s="47">
        <f>RANK(B42,B$26:B$43)</f>
        <v/>
      </c>
      <c r="D42" s="49">
        <f>D20-#REF!</f>
        <v/>
      </c>
      <c r="E42" s="47">
        <f>RANK(D42,D$26:D$43)</f>
        <v/>
      </c>
      <c r="F42" s="65">
        <f>F20-#REF!</f>
        <v/>
      </c>
      <c r="G42" s="47">
        <f>RANK(F42,F$26:F$43)</f>
        <v/>
      </c>
      <c r="H42" s="65">
        <f>H20-#REF!</f>
        <v/>
      </c>
      <c r="I42" s="47">
        <f>RANK(H42,H$26:H$43)</f>
        <v/>
      </c>
      <c r="L42" s="56" t="n"/>
      <c r="M42" s="65">
        <f>M20-#REF!</f>
        <v/>
      </c>
      <c r="N42" s="47">
        <f>RANK(M42,M$26:M$43)</f>
        <v/>
      </c>
      <c r="O42" s="56" t="n"/>
      <c r="P42" s="69" t="n"/>
    </row>
    <row r="43" ht="25" customHeight="1" thickBot="1">
      <c r="A43" s="92" t="inlineStr">
        <is>
          <t>Western Bulldogs</t>
        </is>
      </c>
      <c r="B43" s="95">
        <f>B21-#REF!</f>
        <v/>
      </c>
      <c r="C43" s="96">
        <f>RANK(B43,B$26:B$43)</f>
        <v/>
      </c>
      <c r="D43" s="95">
        <f>D21-#REF!</f>
        <v/>
      </c>
      <c r="E43" s="96">
        <f>RANK(D43,D$26:D$43)</f>
        <v/>
      </c>
      <c r="F43" s="66">
        <f>F21-#REF!</f>
        <v/>
      </c>
      <c r="G43" s="96">
        <f>RANK(F43,F$26:F$43)</f>
        <v/>
      </c>
      <c r="H43" s="66">
        <f>H21-#REF!</f>
        <v/>
      </c>
      <c r="I43" s="96">
        <f>RANK(H43,H$26:H$43)</f>
        <v/>
      </c>
      <c r="L43" s="62" t="n"/>
      <c r="M43" s="66">
        <f>M21-#REF!</f>
        <v/>
      </c>
      <c r="N43" s="96">
        <f>RANK(M43,M$26:M$43)</f>
        <v/>
      </c>
      <c r="O43" s="62" t="n"/>
      <c r="P43" s="69" t="n"/>
    </row>
    <row r="44">
      <c r="A44" s="69" t="n"/>
      <c r="B44" s="69" t="n"/>
      <c r="C44" s="69" t="n"/>
      <c r="D44" s="69" t="n"/>
      <c r="E44" s="69" t="n"/>
      <c r="F44" s="69" t="n"/>
      <c r="G44" s="69" t="n"/>
      <c r="H44" s="69" t="n"/>
      <c r="I44" s="69" t="n"/>
      <c r="L44" s="69" t="n"/>
      <c r="M44" s="69" t="n"/>
      <c r="N44" s="69" t="n"/>
      <c r="O44" s="69" t="n"/>
      <c r="P44" s="69" t="n"/>
    </row>
    <row r="45">
      <c r="A45" s="69" t="n"/>
      <c r="B45" s="69" t="n"/>
      <c r="C45" s="69" t="n"/>
      <c r="D45" s="69" t="n"/>
      <c r="E45" s="69" t="n"/>
      <c r="F45" s="69" t="n"/>
      <c r="G45" s="69" t="n"/>
      <c r="H45" s="69" t="n"/>
      <c r="I45" s="69" t="n"/>
      <c r="L45" s="69" t="n"/>
      <c r="M45" s="69" t="n"/>
      <c r="N45" s="69" t="n"/>
      <c r="O45" s="69" t="n"/>
      <c r="P45" s="69" t="n"/>
    </row>
    <row r="46">
      <c r="A46" s="69" t="n"/>
      <c r="B46" s="69" t="n"/>
      <c r="C46" s="69" t="n"/>
      <c r="D46" s="69" t="n"/>
      <c r="E46" s="69" t="n"/>
      <c r="F46" s="69" t="n"/>
      <c r="G46" s="69" t="n"/>
      <c r="H46" s="69" t="n"/>
      <c r="I46" s="69" t="n"/>
      <c r="L46" s="69" t="n"/>
      <c r="M46" s="69" t="n"/>
      <c r="N46" s="69" t="n"/>
      <c r="O46" s="69" t="n"/>
      <c r="P46" s="69" t="n"/>
    </row>
    <row r="47">
      <c r="A47" s="69" t="n"/>
      <c r="B47" s="69" t="n"/>
      <c r="C47" s="69" t="n"/>
      <c r="D47" s="69" t="n"/>
      <c r="E47" s="69" t="n"/>
      <c r="F47" s="69" t="n"/>
      <c r="G47" s="69" t="n"/>
      <c r="H47" s="69" t="n"/>
      <c r="I47" s="69" t="n"/>
      <c r="L47" s="69" t="n"/>
      <c r="M47" s="69" t="n"/>
      <c r="N47" s="69" t="n"/>
      <c r="O47" s="69" t="n"/>
    </row>
  </sheetData>
  <conditionalFormatting sqref="B4:B21">
    <cfRule type="dataBar" priority="12">
      <dataBar>
        <cfvo type="min"/>
        <cfvo type="max"/>
        <color rgb="FF638EC6"/>
      </dataBar>
    </cfRule>
  </conditionalFormatting>
  <conditionalFormatting sqref="B26:B43">
    <cfRule type="dataBar" priority="20">
      <dataBar>
        <cfvo type="min"/>
        <cfvo type="max"/>
        <color rgb="FF638EC6"/>
      </dataBar>
    </cfRule>
  </conditionalFormatting>
  <conditionalFormatting sqref="D4:D21">
    <cfRule type="dataBar" priority="11">
      <dataBar>
        <cfvo type="min"/>
        <cfvo type="max"/>
        <color rgb="FF63C384"/>
      </dataBar>
    </cfRule>
  </conditionalFormatting>
  <conditionalFormatting sqref="D26:D43">
    <cfRule type="dataBar" priority="19">
      <dataBar>
        <cfvo type="min"/>
        <cfvo type="max"/>
        <color rgb="FF63C384"/>
      </dataBar>
    </cfRule>
  </conditionalFormatting>
  <conditionalFormatting sqref="F4:F21">
    <cfRule type="dataBar" priority="7">
      <dataBar>
        <cfvo type="min"/>
        <cfvo type="max"/>
        <color rgb="FFFFFF00"/>
      </dataBar>
    </cfRule>
    <cfRule type="dataBar" priority="8">
      <dataBar>
        <cfvo type="min"/>
        <cfvo type="max"/>
        <color rgb="FF63C384"/>
      </dataBar>
    </cfRule>
  </conditionalFormatting>
  <conditionalFormatting sqref="F26:F43">
    <cfRule type="dataBar" priority="14">
      <dataBar>
        <cfvo type="min"/>
        <cfvo type="max"/>
        <color rgb="FF63C384"/>
      </dataBar>
    </cfRule>
    <cfRule type="dataBar" priority="13">
      <dataBar>
        <cfvo type="min"/>
        <cfvo type="max"/>
        <color rgb="FFFFFF00"/>
      </dataBar>
    </cfRule>
  </conditionalFormatting>
  <conditionalFormatting sqref="H4:H21">
    <cfRule type="dataBar" priority="9">
      <dataBar>
        <cfvo type="min"/>
        <cfvo type="max"/>
        <color rgb="FFFF555A"/>
      </dataBar>
    </cfRule>
    <cfRule type="dataBar" priority="10">
      <dataBar>
        <cfvo type="min"/>
        <cfvo type="max"/>
        <color rgb="FF63C384"/>
      </dataBar>
    </cfRule>
  </conditionalFormatting>
  <conditionalFormatting sqref="H26:H43">
    <cfRule type="dataBar" priority="18">
      <dataBar>
        <cfvo type="min"/>
        <cfvo type="max"/>
        <color rgb="FF63C384"/>
      </dataBar>
    </cfRule>
    <cfRule type="dataBar" priority="17">
      <dataBar>
        <cfvo type="min"/>
        <cfvo type="max"/>
        <color rgb="FFFF555A"/>
      </dataBar>
    </cfRule>
  </conditionalFormatting>
  <conditionalFormatting sqref="J4:J21">
    <cfRule type="dataBar" priority="1">
      <dataBar>
        <cfvo type="min"/>
        <cfvo type="max"/>
        <color rgb="FFD883FF"/>
      </dataBar>
    </cfRule>
    <cfRule type="dataBar" priority="2">
      <dataBar>
        <cfvo type="min"/>
        <cfvo type="max"/>
        <color rgb="FF63C384"/>
      </dataBar>
    </cfRule>
  </conditionalFormatting>
  <conditionalFormatting sqref="M4:M21">
    <cfRule type="dataBar" priority="6">
      <dataBar>
        <cfvo type="min"/>
        <cfvo type="max"/>
        <color rgb="FF63C384"/>
      </dataBar>
    </cfRule>
    <cfRule type="dataBar" priority="5">
      <dataBar>
        <cfvo type="min"/>
        <cfvo type="max"/>
        <color theme="1" tint="0.499984740745262"/>
      </dataBar>
    </cfRule>
  </conditionalFormatting>
  <conditionalFormatting sqref="M26:M43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theme="1" tint="0.499984740745262"/>
      </dataBar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C000"/>
    <outlinePr summaryBelow="1" summaryRight="1"/>
    <pageSetUpPr/>
  </sheetPr>
  <dimension ref="A1:P69"/>
  <sheetViews>
    <sheetView zoomScale="114" workbookViewId="0">
      <pane xSplit="1" topLeftCell="B1" activePane="topRight" state="frozen"/>
      <selection activeCell="A4" sqref="A4"/>
      <selection pane="topRight" activeCell="R11" sqref="R11"/>
    </sheetView>
  </sheetViews>
  <sheetFormatPr baseColWidth="10" defaultRowHeight="16"/>
  <cols>
    <col width="30.33203125" bestFit="1" customWidth="1" min="1" max="1"/>
    <col width="11" customWidth="1" min="2" max="2"/>
    <col width="3.6640625" customWidth="1" min="3" max="3"/>
    <col width="11" customWidth="1" min="4" max="4"/>
    <col width="3.6640625" customWidth="1" min="5" max="5"/>
    <col width="11" customWidth="1" min="6" max="6"/>
    <col width="3.6640625" customWidth="1" min="7" max="7"/>
    <col width="11" customWidth="1" min="8" max="8"/>
    <col width="3.6640625" customWidth="1" min="9" max="9"/>
    <col width="11" customWidth="1" min="10" max="10"/>
    <col width="3.6640625" customWidth="1" min="11" max="12"/>
    <col width="11" customWidth="1" min="13" max="13"/>
    <col width="3.6640625" customWidth="1" min="14" max="15"/>
  </cols>
  <sheetData>
    <row r="1" ht="35" customHeight="1">
      <c r="A1" s="68">
        <f>'Seasons Summary (2)'!B1</f>
        <v/>
      </c>
      <c r="B1" s="69" t="n"/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</row>
    <row r="3" ht="52" customFormat="1" customHeight="1" s="2" thickBot="1">
      <c r="A3" s="93" t="inlineStr">
        <is>
          <t>Team</t>
        </is>
      </c>
      <c r="B3" s="27" t="inlineStr">
        <is>
          <t>Ball Winning Ranking</t>
        </is>
      </c>
      <c r="C3" s="38" t="inlineStr">
        <is>
          <t>#</t>
        </is>
      </c>
      <c r="D3" s="30" t="inlineStr">
        <is>
          <t>Ball Movement Ranking</t>
        </is>
      </c>
      <c r="E3" s="31" t="inlineStr">
        <is>
          <t>#</t>
        </is>
      </c>
      <c r="F3" s="44" t="inlineStr">
        <is>
          <t>Scoring Ranking</t>
        </is>
      </c>
      <c r="G3" s="45" t="inlineStr">
        <is>
          <t>#</t>
        </is>
      </c>
      <c r="H3" s="33" t="inlineStr">
        <is>
          <t>Defence Ranking</t>
        </is>
      </c>
      <c r="I3" s="34" t="inlineStr">
        <is>
          <t>#</t>
        </is>
      </c>
      <c r="J3" s="186" t="inlineStr">
        <is>
          <t>Pressure Ranking</t>
        </is>
      </c>
      <c r="K3" s="187" t="inlineStr">
        <is>
          <t>#</t>
        </is>
      </c>
      <c r="L3" s="94" t="n"/>
      <c r="M3" s="36" t="inlineStr">
        <is>
          <t>Team Rating</t>
        </is>
      </c>
      <c r="N3" s="37" t="inlineStr">
        <is>
          <t>#</t>
        </is>
      </c>
      <c r="O3" s="94" t="n"/>
      <c r="P3" s="71" t="n"/>
    </row>
    <row r="4" ht="25" customFormat="1" customHeight="1" s="3">
      <c r="A4" s="212" t="inlineStr">
        <is>
          <t>Sydney</t>
        </is>
      </c>
      <c r="B4" s="49">
        <f>'Seasons Summary (2)'!J20</f>
        <v/>
      </c>
      <c r="C4" s="47">
        <f>RANK(B4,B$4:B$21)</f>
        <v/>
      </c>
      <c r="D4" s="49">
        <f>'Seasons Summary (2)'!U20</f>
        <v/>
      </c>
      <c r="E4" s="47">
        <f>RANK(D4,D$4:D$21)</f>
        <v/>
      </c>
      <c r="F4" s="49">
        <f>'Seasons Summary (2)'!AF20</f>
        <v/>
      </c>
      <c r="G4" s="47">
        <f>RANK(F4,F$4:F$21)</f>
        <v/>
      </c>
      <c r="H4" s="49">
        <f>'Seasons Summary (2)'!AQ20</f>
        <v/>
      </c>
      <c r="I4" s="47">
        <f>RANK(H4,H$4:H$21)</f>
        <v/>
      </c>
      <c r="J4" s="49">
        <f>'Seasons Summary (2)'!BB20</f>
        <v/>
      </c>
      <c r="K4" s="47">
        <f>RANK(J4,J$4:J$21)</f>
        <v/>
      </c>
      <c r="L4" s="50" t="n"/>
      <c r="M4" s="49">
        <f>AVERAGE(B4,D4,F4,H4,J4)</f>
        <v/>
      </c>
      <c r="N4" s="47">
        <f>RANK(M4,M$4:M$21)</f>
        <v/>
      </c>
      <c r="O4" s="50" t="n"/>
      <c r="P4" s="72" t="n"/>
    </row>
    <row r="5" ht="25" customFormat="1" customHeight="1" s="3">
      <c r="A5" s="173" t="inlineStr">
        <is>
          <t>Geelong</t>
        </is>
      </c>
      <c r="B5" s="49">
        <f>'Seasons Summary (2)'!J11</f>
        <v/>
      </c>
      <c r="C5" s="47">
        <f>RANK(B5,B$4:B$21)</f>
        <v/>
      </c>
      <c r="D5" s="49">
        <f>'Seasons Summary (2)'!U11</f>
        <v/>
      </c>
      <c r="E5" s="47">
        <f>RANK(D5,D$4:D$21)</f>
        <v/>
      </c>
      <c r="F5" s="49">
        <f>'Seasons Summary (2)'!AF11</f>
        <v/>
      </c>
      <c r="G5" s="47">
        <f>RANK(F5,F$4:F$21)</f>
        <v/>
      </c>
      <c r="H5" s="49">
        <f>'Seasons Summary (2)'!AQ11</f>
        <v/>
      </c>
      <c r="I5" s="47">
        <f>RANK(H5,H$4:H$21)</f>
        <v/>
      </c>
      <c r="J5" s="49">
        <f>'Seasons Summary (2)'!BB11</f>
        <v/>
      </c>
      <c r="K5" s="47">
        <f>RANK(J5,J$4:J$21)</f>
        <v/>
      </c>
      <c r="L5" s="56" t="n"/>
      <c r="M5" s="49">
        <f>AVERAGE(B5,D5,F5,H5,J5)</f>
        <v/>
      </c>
      <c r="N5" s="47">
        <f>RANK(M5,M$4:M$21)</f>
        <v/>
      </c>
      <c r="O5" s="56" t="n"/>
      <c r="P5" s="72" t="n"/>
    </row>
    <row r="6" ht="25" customFormat="1" customHeight="1" s="3">
      <c r="A6" s="226" t="inlineStr">
        <is>
          <t>Brisbane</t>
        </is>
      </c>
      <c r="B6" s="49">
        <f>'Seasons Summary (2)'!J6</f>
        <v/>
      </c>
      <c r="C6" s="47">
        <f>RANK(B6,B$4:B$21)</f>
        <v/>
      </c>
      <c r="D6" s="49">
        <f>'Seasons Summary (2)'!U6</f>
        <v/>
      </c>
      <c r="E6" s="47">
        <f>RANK(D6,D$4:D$21)</f>
        <v/>
      </c>
      <c r="F6" s="49">
        <f>'Seasons Summary (2)'!AF6</f>
        <v/>
      </c>
      <c r="G6" s="47">
        <f>RANK(F6,F$4:F$21)</f>
        <v/>
      </c>
      <c r="H6" s="49">
        <f>'Seasons Summary (2)'!AQ6</f>
        <v/>
      </c>
      <c r="I6" s="47">
        <f>RANK(H6,H$4:H$21)</f>
        <v/>
      </c>
      <c r="J6" s="49">
        <f>'Seasons Summary (2)'!BB6</f>
        <v/>
      </c>
      <c r="K6" s="47">
        <f>RANK(J6,J$4:J$21)</f>
        <v/>
      </c>
      <c r="L6" s="56" t="n"/>
      <c r="M6" s="49">
        <f>AVERAGE(B6,D6,F6,H6,J6)</f>
        <v/>
      </c>
      <c r="N6" s="47">
        <f>RANK(M6,M$4:M$21)</f>
        <v/>
      </c>
      <c r="O6" s="56" t="n"/>
      <c r="P6" s="72" t="n"/>
    </row>
    <row r="7" ht="25" customFormat="1" customHeight="1" s="3">
      <c r="A7" s="86" t="inlineStr">
        <is>
          <t>Western Bulldogs</t>
        </is>
      </c>
      <c r="B7" s="49">
        <f>'Seasons Summary (2)'!J22</f>
        <v/>
      </c>
      <c r="C7" s="47">
        <f>RANK(B7,B$4:B$21)</f>
        <v/>
      </c>
      <c r="D7" s="49">
        <f>'Seasons Summary (2)'!U22</f>
        <v/>
      </c>
      <c r="E7" s="47">
        <f>RANK(D7,D$4:D$21)</f>
        <v/>
      </c>
      <c r="F7" s="49">
        <f>'Seasons Summary (2)'!AF22</f>
        <v/>
      </c>
      <c r="G7" s="47">
        <f>RANK(F7,F$4:F$21)</f>
        <v/>
      </c>
      <c r="H7" s="49">
        <f>'Seasons Summary (2)'!AQ22</f>
        <v/>
      </c>
      <c r="I7" s="47">
        <f>RANK(H7,H$4:H$21)</f>
        <v/>
      </c>
      <c r="J7" s="49">
        <f>'Seasons Summary (2)'!BB22</f>
        <v/>
      </c>
      <c r="K7" s="47">
        <f>RANK(J7,J$4:J$21)</f>
        <v/>
      </c>
      <c r="L7" s="56" t="n"/>
      <c r="M7" s="49">
        <f>AVERAGE(B7,D7,F7,H7,J7)</f>
        <v/>
      </c>
      <c r="N7" s="47">
        <f>RANK(M7,M$4:M$21)</f>
        <v/>
      </c>
      <c r="O7" s="56" t="n"/>
      <c r="P7" s="72" t="n"/>
    </row>
    <row r="8" ht="25" customFormat="1" customHeight="1" s="3">
      <c r="A8" s="220" t="inlineStr">
        <is>
          <t>Hawthorn</t>
        </is>
      </c>
      <c r="B8" s="49">
        <f>'Seasons Summary (2)'!J14</f>
        <v/>
      </c>
      <c r="C8" s="47">
        <f>RANK(B8,B$4:B$21)</f>
        <v/>
      </c>
      <c r="D8" s="49">
        <f>'Seasons Summary (2)'!U14</f>
        <v/>
      </c>
      <c r="E8" s="47">
        <f>RANK(D8,D$4:D$21)</f>
        <v/>
      </c>
      <c r="F8" s="49">
        <f>'Seasons Summary (2)'!AF14</f>
        <v/>
      </c>
      <c r="G8" s="47">
        <f>RANK(F8,F$4:F$21)</f>
        <v/>
      </c>
      <c r="H8" s="49">
        <f>'Seasons Summary (2)'!AQ14</f>
        <v/>
      </c>
      <c r="I8" s="47">
        <f>RANK(H8,H$4:H$21)</f>
        <v/>
      </c>
      <c r="J8" s="49">
        <f>'Seasons Summary (2)'!BB14</f>
        <v/>
      </c>
      <c r="K8" s="47">
        <f>RANK(J8,J$4:J$21)</f>
        <v/>
      </c>
      <c r="L8" s="56" t="n"/>
      <c r="M8" s="49">
        <f>AVERAGE(B8,D8,F8,H8,J8)</f>
        <v/>
      </c>
      <c r="N8" s="47">
        <f>RANK(M8,M$4:M$21)</f>
        <v/>
      </c>
      <c r="O8" s="56" t="n"/>
      <c r="P8" s="72" t="n"/>
    </row>
    <row r="9" ht="25" customFormat="1" customHeight="1" s="3">
      <c r="A9" s="174" t="inlineStr">
        <is>
          <t>Greater Western Sydney</t>
        </is>
      </c>
      <c r="B9" s="49">
        <f>'Seasons Summary (2)'!J13</f>
        <v/>
      </c>
      <c r="C9" s="47">
        <f>RANK(B9,B$4:B$21)</f>
        <v/>
      </c>
      <c r="D9" s="49">
        <f>'Seasons Summary (2)'!U13</f>
        <v/>
      </c>
      <c r="E9" s="47">
        <f>RANK(D9,D$4:D$21)</f>
        <v/>
      </c>
      <c r="F9" s="49">
        <f>'Seasons Summary (2)'!AF13</f>
        <v/>
      </c>
      <c r="G9" s="47">
        <f>RANK(F9,F$4:F$21)</f>
        <v/>
      </c>
      <c r="H9" s="49">
        <f>'Seasons Summary (2)'!AQ13</f>
        <v/>
      </c>
      <c r="I9" s="47">
        <f>RANK(H9,H$4:H$21)</f>
        <v/>
      </c>
      <c r="J9" s="49">
        <f>'Seasons Summary (2)'!BB13</f>
        <v/>
      </c>
      <c r="K9" s="47">
        <f>RANK(J9,J$4:J$21)</f>
        <v/>
      </c>
      <c r="L9" s="56" t="n"/>
      <c r="M9" s="49">
        <f>AVERAGE(B9,D9,F9,H9,J9)</f>
        <v/>
      </c>
      <c r="N9" s="47">
        <f>RANK(M9,M$4:M$21)</f>
        <v/>
      </c>
      <c r="O9" s="56" t="n"/>
      <c r="P9" s="72" t="n"/>
    </row>
    <row r="10" ht="25" customFormat="1" customHeight="1" s="3">
      <c r="A10" s="218" t="inlineStr">
        <is>
          <t>St Kilda</t>
        </is>
      </c>
      <c r="B10" s="49">
        <f>'Seasons Summary (2)'!J19</f>
        <v/>
      </c>
      <c r="C10" s="47">
        <f>RANK(B10,B$4:B$21)</f>
        <v/>
      </c>
      <c r="D10" s="49">
        <f>'Seasons Summary (2)'!U19</f>
        <v/>
      </c>
      <c r="E10" s="47">
        <f>RANK(D10,D$4:D$21)</f>
        <v/>
      </c>
      <c r="F10" s="49">
        <f>'Seasons Summary (2)'!AF19</f>
        <v/>
      </c>
      <c r="G10" s="47">
        <f>RANK(F10,F$4:F$21)</f>
        <v/>
      </c>
      <c r="H10" s="49">
        <f>'Seasons Summary (2)'!AQ19</f>
        <v/>
      </c>
      <c r="I10" s="47">
        <f>RANK(H10,H$4:H$21)</f>
        <v/>
      </c>
      <c r="J10" s="49">
        <f>'Seasons Summary (2)'!BB19</f>
        <v/>
      </c>
      <c r="K10" s="47">
        <f>RANK(J10,J$4:J$21)</f>
        <v/>
      </c>
      <c r="L10" s="56" t="n"/>
      <c r="M10" s="49">
        <f>AVERAGE(B10,D10,F10,H10,J10)</f>
        <v/>
      </c>
      <c r="N10" s="47">
        <f>RANK(M10,M$4:M$21)</f>
        <v/>
      </c>
      <c r="O10" s="56" t="n"/>
      <c r="P10" s="72" t="n"/>
    </row>
    <row r="11" ht="25" customFormat="1" customHeight="1" s="3">
      <c r="A11" s="181" t="inlineStr">
        <is>
          <t>Carlton</t>
        </is>
      </c>
      <c r="B11" s="49">
        <f>'Seasons Summary (2)'!J7</f>
        <v/>
      </c>
      <c r="C11" s="47">
        <f>RANK(B11,B$4:B$21)</f>
        <v/>
      </c>
      <c r="D11" s="49">
        <f>'Seasons Summary (2)'!U7</f>
        <v/>
      </c>
      <c r="E11" s="47">
        <f>RANK(D11,D$4:D$21)</f>
        <v/>
      </c>
      <c r="F11" s="49">
        <f>'Seasons Summary (2)'!AF7</f>
        <v/>
      </c>
      <c r="G11" s="47">
        <f>RANK(F11,F$4:F$21)</f>
        <v/>
      </c>
      <c r="H11" s="49">
        <f>'Seasons Summary (2)'!AQ7</f>
        <v/>
      </c>
      <c r="I11" s="47">
        <f>RANK(H11,H$4:H$21)</f>
        <v/>
      </c>
      <c r="J11" s="49">
        <f>'Seasons Summary (2)'!BB7</f>
        <v/>
      </c>
      <c r="K11" s="47">
        <f>RANK(J11,J$4:J$21)</f>
        <v/>
      </c>
      <c r="L11" s="56" t="n"/>
      <c r="M11" s="49">
        <f>AVERAGE(B11,D11,F11,H11,J11)</f>
        <v/>
      </c>
      <c r="N11" s="47">
        <f>RANK(M11,M$4:M$21)</f>
        <v/>
      </c>
      <c r="O11" s="56" t="n"/>
      <c r="P11" s="72" t="n"/>
    </row>
    <row r="12" ht="25" customFormat="1" customHeight="1" s="3">
      <c r="A12" s="224" t="inlineStr">
        <is>
          <t>Port Adelaide</t>
        </is>
      </c>
      <c r="B12" s="49">
        <f>'Seasons Summary (2)'!J17</f>
        <v/>
      </c>
      <c r="C12" s="47">
        <f>RANK(B12,B$4:B$21)</f>
        <v/>
      </c>
      <c r="D12" s="49">
        <f>'Seasons Summary (2)'!U17</f>
        <v/>
      </c>
      <c r="E12" s="47">
        <f>RANK(D12,D$4:D$21)</f>
        <v/>
      </c>
      <c r="F12" s="49">
        <f>'Seasons Summary (2)'!AF17</f>
        <v/>
      </c>
      <c r="G12" s="47">
        <f>RANK(F12,F$4:F$21)</f>
        <v/>
      </c>
      <c r="H12" s="49">
        <f>'Seasons Summary (2)'!AQ17</f>
        <v/>
      </c>
      <c r="I12" s="47">
        <f>RANK(H12,H$4:H$21)</f>
        <v/>
      </c>
      <c r="J12" s="49">
        <f>'Seasons Summary (2)'!BB17</f>
        <v/>
      </c>
      <c r="K12" s="47">
        <f>RANK(J12,J$4:J$21)</f>
        <v/>
      </c>
      <c r="L12" s="56" t="n"/>
      <c r="M12" s="49">
        <f>AVERAGE(B12,D12,F12,H12,J12)</f>
        <v/>
      </c>
      <c r="N12" s="47">
        <f>RANK(M12,M$4:M$21)</f>
        <v/>
      </c>
      <c r="O12" s="56" t="n"/>
      <c r="P12" s="72" t="n"/>
    </row>
    <row r="13" ht="25" customFormat="1" customHeight="1" s="3">
      <c r="A13" s="213" t="inlineStr">
        <is>
          <t>Collingwood</t>
        </is>
      </c>
      <c r="B13" s="49">
        <f>'Seasons Summary (2)'!J8</f>
        <v/>
      </c>
      <c r="C13" s="47">
        <f>RANK(B13,B$4:B$21)</f>
        <v/>
      </c>
      <c r="D13" s="49">
        <f>'Seasons Summary (2)'!U8</f>
        <v/>
      </c>
      <c r="E13" s="47">
        <f>RANK(D13,D$4:D$21)</f>
        <v/>
      </c>
      <c r="F13" s="49">
        <f>'Seasons Summary (2)'!AF8</f>
        <v/>
      </c>
      <c r="G13" s="47">
        <f>RANK(F13,F$4:F$21)</f>
        <v/>
      </c>
      <c r="H13" s="49">
        <f>'Seasons Summary (2)'!AQ8</f>
        <v/>
      </c>
      <c r="I13" s="47">
        <f>RANK(H13,H$4:H$21)</f>
        <v/>
      </c>
      <c r="J13" s="49">
        <f>'Seasons Summary (2)'!BB8</f>
        <v/>
      </c>
      <c r="K13" s="47">
        <f>RANK(J13,J$4:J$21)</f>
        <v/>
      </c>
      <c r="L13" s="56" t="n"/>
      <c r="M13" s="49">
        <f>AVERAGE(B13,D13,F13,H13,J13)</f>
        <v/>
      </c>
      <c r="N13" s="47">
        <f>RANK(M13,M$4:M$21)</f>
        <v/>
      </c>
      <c r="O13" s="56" t="n"/>
      <c r="P13" s="72" t="n"/>
    </row>
    <row r="14" ht="25" customFormat="1" customHeight="1" s="3">
      <c r="A14" s="223" t="inlineStr">
        <is>
          <t>Fremantle</t>
        </is>
      </c>
      <c r="B14" s="49">
        <f>'Seasons Summary (2)'!J10</f>
        <v/>
      </c>
      <c r="C14" s="47">
        <f>RANK(B14,B$4:B$21)</f>
        <v/>
      </c>
      <c r="D14" s="49">
        <f>'Seasons Summary (2)'!U10</f>
        <v/>
      </c>
      <c r="E14" s="47">
        <f>RANK(D14,D$4:D$21)</f>
        <v/>
      </c>
      <c r="F14" s="49">
        <f>'Seasons Summary (2)'!AF10</f>
        <v/>
      </c>
      <c r="G14" s="47">
        <f>RANK(F14,F$4:F$21)</f>
        <v/>
      </c>
      <c r="H14" s="49">
        <f>'Seasons Summary (2)'!AQ10</f>
        <v/>
      </c>
      <c r="I14" s="47">
        <f>RANK(H14,H$4:H$21)</f>
        <v/>
      </c>
      <c r="J14" s="49">
        <f>'Seasons Summary (2)'!BB10</f>
        <v/>
      </c>
      <c r="K14" s="47">
        <f>RANK(J14,J$4:J$21)</f>
        <v/>
      </c>
      <c r="L14" s="56" t="n"/>
      <c r="M14" s="49">
        <f>AVERAGE(B14,D14,F14,H14,J14)</f>
        <v/>
      </c>
      <c r="N14" s="47">
        <f>RANK(M14,M$4:M$21)</f>
        <v/>
      </c>
      <c r="O14" s="56" t="n"/>
      <c r="P14" s="72" t="n"/>
    </row>
    <row r="15" ht="25" customFormat="1" customHeight="1" s="3">
      <c r="A15" s="172" t="inlineStr">
        <is>
          <t>Adelaide</t>
        </is>
      </c>
      <c r="B15" s="49">
        <f>'Seasons Summary (2)'!J5</f>
        <v/>
      </c>
      <c r="C15" s="47">
        <f>RANK(B15,B$4:B$21)</f>
        <v/>
      </c>
      <c r="D15" s="49">
        <f>'Seasons Summary (2)'!U5</f>
        <v/>
      </c>
      <c r="E15" s="47">
        <f>RANK(D15,D$4:D$21)</f>
        <v/>
      </c>
      <c r="F15" s="49">
        <f>'Seasons Summary (2)'!AF5</f>
        <v/>
      </c>
      <c r="G15" s="47">
        <f>RANK(F15,F$4:F$21)</f>
        <v/>
      </c>
      <c r="H15" s="49">
        <f>'Seasons Summary (2)'!AQ5</f>
        <v/>
      </c>
      <c r="I15" s="47">
        <f>RANK(H15,H$4:H$21)</f>
        <v/>
      </c>
      <c r="J15" s="49">
        <f>'Seasons Summary (2)'!BB5</f>
        <v/>
      </c>
      <c r="K15" s="47">
        <f>RANK(J15,J$4:J$21)</f>
        <v/>
      </c>
      <c r="L15" s="56" t="n"/>
      <c r="M15" s="49">
        <f>AVERAGE(B15,D15,F15,H15,J15)</f>
        <v/>
      </c>
      <c r="N15" s="47">
        <f>RANK(M15,M$4:M$21)</f>
        <v/>
      </c>
      <c r="O15" s="56" t="n"/>
      <c r="P15" s="72" t="n"/>
    </row>
    <row r="16" ht="25" customFormat="1" customHeight="1" s="3">
      <c r="A16" s="225" t="inlineStr">
        <is>
          <t>Gold Coast</t>
        </is>
      </c>
      <c r="B16" s="49">
        <f>'Seasons Summary (2)'!J12</f>
        <v/>
      </c>
      <c r="C16" s="47">
        <f>RANK(B16,B$4:B$21)</f>
        <v/>
      </c>
      <c r="D16" s="49">
        <f>'Seasons Summary (2)'!U12</f>
        <v/>
      </c>
      <c r="E16" s="47">
        <f>RANK(D16,D$4:D$21)</f>
        <v/>
      </c>
      <c r="F16" s="49">
        <f>'Seasons Summary (2)'!AF12</f>
        <v/>
      </c>
      <c r="G16" s="47">
        <f>RANK(F16,F$4:F$21)</f>
        <v/>
      </c>
      <c r="H16" s="49">
        <f>'Seasons Summary (2)'!AQ12</f>
        <v/>
      </c>
      <c r="I16" s="47">
        <f>RANK(H16,H$4:H$21)</f>
        <v/>
      </c>
      <c r="J16" s="49">
        <f>'Seasons Summary (2)'!BB12</f>
        <v/>
      </c>
      <c r="K16" s="47">
        <f>RANK(J16,J$4:J$21)</f>
        <v/>
      </c>
      <c r="L16" s="56" t="n"/>
      <c r="M16" s="49">
        <f>AVERAGE(B16,D16,F16,H16,J16)</f>
        <v/>
      </c>
      <c r="N16" s="47">
        <f>RANK(M16,M$4:M$21)</f>
        <v/>
      </c>
      <c r="O16" s="56" t="n"/>
      <c r="P16" s="72" t="n"/>
    </row>
    <row r="17" ht="25" customFormat="1" customHeight="1" s="3">
      <c r="A17" s="222" t="inlineStr">
        <is>
          <t>Melbourne</t>
        </is>
      </c>
      <c r="B17" s="49">
        <f>'Seasons Summary (2)'!J15</f>
        <v/>
      </c>
      <c r="C17" s="47">
        <f>RANK(B17,B$4:B$21)</f>
        <v/>
      </c>
      <c r="D17" s="49">
        <f>'Seasons Summary (2)'!U15</f>
        <v/>
      </c>
      <c r="E17" s="47">
        <f>RANK(D17,D$4:D$21)</f>
        <v/>
      </c>
      <c r="F17" s="49">
        <f>'Seasons Summary (2)'!AF15</f>
        <v/>
      </c>
      <c r="G17" s="47">
        <f>RANK(F17,F$4:F$21)</f>
        <v/>
      </c>
      <c r="H17" s="49">
        <f>'Seasons Summary (2)'!AQ15</f>
        <v/>
      </c>
      <c r="I17" s="47">
        <f>RANK(H17,H$4:H$21)</f>
        <v/>
      </c>
      <c r="J17" s="49">
        <f>'Seasons Summary (2)'!BB15</f>
        <v/>
      </c>
      <c r="K17" s="47">
        <f>RANK(J17,J$4:J$21)</f>
        <v/>
      </c>
      <c r="L17" s="56" t="n"/>
      <c r="M17" s="49">
        <f>AVERAGE(B17,D17,F17,H17,J17)</f>
        <v/>
      </c>
      <c r="N17" s="47">
        <f>RANK(M17,M$4:M$21)</f>
        <v/>
      </c>
      <c r="O17" s="56" t="n"/>
      <c r="P17" s="72" t="n"/>
    </row>
    <row r="18" ht="25" customFormat="1" customHeight="1" s="3">
      <c r="A18" s="219" t="inlineStr">
        <is>
          <t>Essendon</t>
        </is>
      </c>
      <c r="B18" s="49">
        <f>'Seasons Summary (2)'!J9</f>
        <v/>
      </c>
      <c r="C18" s="47">
        <f>RANK(B18,B$4:B$21)</f>
        <v/>
      </c>
      <c r="D18" s="49">
        <f>'Seasons Summary (2)'!U9</f>
        <v/>
      </c>
      <c r="E18" s="47">
        <f>RANK(D18,D$4:D$21)</f>
        <v/>
      </c>
      <c r="F18" s="49">
        <f>'Seasons Summary (2)'!AF9</f>
        <v/>
      </c>
      <c r="G18" s="47">
        <f>RANK(F18,F$4:F$21)</f>
        <v/>
      </c>
      <c r="H18" s="49">
        <f>'Seasons Summary (2)'!AQ9</f>
        <v/>
      </c>
      <c r="I18" s="47">
        <f>RANK(H18,H$4:H$21)</f>
        <v/>
      </c>
      <c r="J18" s="49">
        <f>'Seasons Summary (2)'!BB9</f>
        <v/>
      </c>
      <c r="K18" s="47">
        <f>RANK(J18,J$4:J$21)</f>
        <v/>
      </c>
      <c r="L18" s="56" t="n"/>
      <c r="M18" s="49">
        <f>AVERAGE(B18,D18,F18,H18,J18)</f>
        <v/>
      </c>
      <c r="N18" s="47">
        <f>RANK(M18,M$4:M$21)</f>
        <v/>
      </c>
      <c r="O18" s="56" t="n"/>
      <c r="P18" s="72" t="n"/>
    </row>
    <row r="19" ht="25" customFormat="1" customHeight="1" s="3">
      <c r="A19" s="86" t="inlineStr">
        <is>
          <t>North Melbourne</t>
        </is>
      </c>
      <c r="B19" s="49">
        <f>'Seasons Summary (2)'!J16</f>
        <v/>
      </c>
      <c r="C19" s="47">
        <f>RANK(B19,B$4:B$21)</f>
        <v/>
      </c>
      <c r="D19" s="49">
        <f>'Seasons Summary (2)'!U16</f>
        <v/>
      </c>
      <c r="E19" s="47">
        <f>RANK(D19,D$4:D$21)</f>
        <v/>
      </c>
      <c r="F19" s="49">
        <f>'Seasons Summary (2)'!AF16</f>
        <v/>
      </c>
      <c r="G19" s="47">
        <f>RANK(F19,F$4:F$21)</f>
        <v/>
      </c>
      <c r="H19" s="49">
        <f>'Seasons Summary (2)'!AQ16</f>
        <v/>
      </c>
      <c r="I19" s="47">
        <f>RANK(H19,H$4:H$21)</f>
        <v/>
      </c>
      <c r="J19" s="49">
        <f>'Seasons Summary (2)'!BB16</f>
        <v/>
      </c>
      <c r="K19" s="47">
        <f>RANK(J19,J$4:J$21)</f>
        <v/>
      </c>
      <c r="L19" s="56" t="n"/>
      <c r="M19" s="49">
        <f>AVERAGE(B19,D19,F19,H19,J19)</f>
        <v/>
      </c>
      <c r="N19" s="47">
        <f>RANK(M19,M$4:M$21)</f>
        <v/>
      </c>
      <c r="O19" s="56" t="n"/>
      <c r="P19" s="72" t="n"/>
    </row>
    <row r="20" ht="25" customFormat="1" customHeight="1" s="3">
      <c r="A20" s="91" t="inlineStr">
        <is>
          <t>West Coast</t>
        </is>
      </c>
      <c r="B20" s="49">
        <f>'Seasons Summary (2)'!J21</f>
        <v/>
      </c>
      <c r="C20" s="47">
        <f>RANK(B20,B$4:B$21)</f>
        <v/>
      </c>
      <c r="D20" s="49">
        <f>'Seasons Summary (2)'!U21</f>
        <v/>
      </c>
      <c r="E20" s="47">
        <f>RANK(D20,D$4:D$21)</f>
        <v/>
      </c>
      <c r="F20" s="49">
        <f>'Seasons Summary (2)'!AF21</f>
        <v/>
      </c>
      <c r="G20" s="47">
        <f>RANK(F20,F$4:F$21)</f>
        <v/>
      </c>
      <c r="H20" s="49">
        <f>'Seasons Summary (2)'!AQ21</f>
        <v/>
      </c>
      <c r="I20" s="47">
        <f>RANK(H20,H$4:H$21)</f>
        <v/>
      </c>
      <c r="J20" s="49">
        <f>'Seasons Summary (2)'!BB21</f>
        <v/>
      </c>
      <c r="K20" s="47">
        <f>RANK(J20,J$4:J$21)</f>
        <v/>
      </c>
      <c r="L20" s="56" t="n"/>
      <c r="M20" s="49">
        <f>AVERAGE(B20,D20,F20,H20,J20)</f>
        <v/>
      </c>
      <c r="N20" s="47">
        <f>RANK(M20,M$4:M$21)</f>
        <v/>
      </c>
      <c r="O20" s="56" t="n"/>
      <c r="P20" s="72" t="n"/>
    </row>
    <row r="21" ht="25" customFormat="1" customHeight="1" s="3" thickBot="1">
      <c r="A21" s="221" t="inlineStr">
        <is>
          <t>Richmond</t>
        </is>
      </c>
      <c r="B21" s="95">
        <f>'Seasons Summary (2)'!J18</f>
        <v/>
      </c>
      <c r="C21" s="96">
        <f>RANK(B21,B$4:B$21)</f>
        <v/>
      </c>
      <c r="D21" s="95">
        <f>'Seasons Summary (2)'!U18</f>
        <v/>
      </c>
      <c r="E21" s="96">
        <f>RANK(D21,D$4:D$21)</f>
        <v/>
      </c>
      <c r="F21" s="95">
        <f>'Seasons Summary (2)'!AF18</f>
        <v/>
      </c>
      <c r="G21" s="96">
        <f>RANK(F21,F$4:F$21)</f>
        <v/>
      </c>
      <c r="H21" s="95">
        <f>'Seasons Summary (2)'!AQ18</f>
        <v/>
      </c>
      <c r="I21" s="96">
        <f>RANK(H21,H$4:H$21)</f>
        <v/>
      </c>
      <c r="J21" s="49">
        <f>'Seasons Summary (2)'!BB18</f>
        <v/>
      </c>
      <c r="K21" s="96">
        <f>RANK(J21,J$4:J$21)</f>
        <v/>
      </c>
      <c r="L21" s="62" t="n"/>
      <c r="M21" s="49">
        <f>AVERAGE(B21,D21,F21,H21,J21)</f>
        <v/>
      </c>
      <c r="N21" s="96">
        <f>RANK(M21,M$4:M$21)</f>
        <v/>
      </c>
      <c r="O21" s="62" t="n"/>
      <c r="P21" s="72" t="n"/>
    </row>
    <row r="22">
      <c r="P22" s="69" t="n"/>
    </row>
    <row r="23" ht="35" customHeight="1">
      <c r="A23" s="67">
        <f>'Seasons Summary (2)'!B24</f>
        <v/>
      </c>
      <c r="P23" s="69" t="n"/>
    </row>
    <row r="24" ht="17" customHeight="1" thickBot="1">
      <c r="P24" s="69" t="n"/>
    </row>
    <row r="25" ht="52" customHeight="1" thickBot="1">
      <c r="A25" s="93" t="inlineStr">
        <is>
          <t>Team</t>
        </is>
      </c>
      <c r="B25" s="27" t="inlineStr">
        <is>
          <t>Ball Winning Ranking</t>
        </is>
      </c>
      <c r="C25" s="28" t="inlineStr">
        <is>
          <t>#</t>
        </is>
      </c>
      <c r="D25" s="30" t="inlineStr">
        <is>
          <t>Ball Movement Ranking</t>
        </is>
      </c>
      <c r="E25" s="31" t="inlineStr">
        <is>
          <t>#</t>
        </is>
      </c>
      <c r="F25" s="44" t="inlineStr">
        <is>
          <t>Scoring Ranking</t>
        </is>
      </c>
      <c r="G25" s="45" t="inlineStr">
        <is>
          <t>#</t>
        </is>
      </c>
      <c r="H25" s="33" t="inlineStr">
        <is>
          <t>Defence Ranking</t>
        </is>
      </c>
      <c r="I25" s="34" t="inlineStr">
        <is>
          <t>#</t>
        </is>
      </c>
      <c r="J25" s="186" t="inlineStr">
        <is>
          <t>Pressure Ranking</t>
        </is>
      </c>
      <c r="K25" s="187" t="inlineStr">
        <is>
          <t>#</t>
        </is>
      </c>
      <c r="L25" s="94" t="n"/>
      <c r="M25" s="36" t="inlineStr">
        <is>
          <t>Team Rating</t>
        </is>
      </c>
      <c r="N25" s="37" t="inlineStr">
        <is>
          <t>#</t>
        </is>
      </c>
      <c r="O25" s="94" t="n"/>
      <c r="P25" s="69" t="n"/>
    </row>
    <row r="26" ht="25" customHeight="1">
      <c r="A26" s="75" t="inlineStr">
        <is>
          <t>Adelaide</t>
        </is>
      </c>
      <c r="B26" s="49">
        <f>'Seasons Summary (2)'!J28</f>
        <v/>
      </c>
      <c r="C26" s="47">
        <f>RANK(B26,B$26:B$43)</f>
        <v/>
      </c>
      <c r="D26" s="49">
        <f>'Seasons Summary (2)'!U28</f>
        <v/>
      </c>
      <c r="E26" s="47">
        <f>RANK(D26,D$26:D$43)</f>
        <v/>
      </c>
      <c r="F26" s="49">
        <f>'Seasons Summary (2)'!AF28</f>
        <v/>
      </c>
      <c r="G26" s="47">
        <f>RANK(F26,F$26:F$43)</f>
        <v/>
      </c>
      <c r="H26" s="49">
        <f>'Seasons Summary (2)'!AQ28</f>
        <v/>
      </c>
      <c r="I26" s="47">
        <f>RANK(H26,H$26:H$43)</f>
        <v/>
      </c>
      <c r="J26" s="49">
        <f>'Seasons Summary (2)'!BB28</f>
        <v/>
      </c>
      <c r="K26" s="47">
        <f>RANK(J26,J$26:J$43)</f>
        <v/>
      </c>
      <c r="L26" s="50" t="n"/>
      <c r="M26" s="49">
        <f>AVERAGE(B26,D26,F26,H26,J26)</f>
        <v/>
      </c>
      <c r="N26" s="47">
        <f>RANK(M26,M$26:M$43)</f>
        <v/>
      </c>
      <c r="O26" s="50" t="n"/>
      <c r="P26" s="69" t="n"/>
    </row>
    <row r="27" ht="25" customHeight="1">
      <c r="A27" s="76" t="inlineStr">
        <is>
          <t>Brisbane</t>
        </is>
      </c>
      <c r="B27" s="49">
        <f>'Seasons Summary (2)'!J29</f>
        <v/>
      </c>
      <c r="C27" s="47">
        <f>RANK(B27,B$26:B$43)</f>
        <v/>
      </c>
      <c r="D27" s="49">
        <f>'Seasons Summary (2)'!U29</f>
        <v/>
      </c>
      <c r="E27" s="47">
        <f>RANK(D27,D$26:D$43)</f>
        <v/>
      </c>
      <c r="F27" s="49">
        <f>'Seasons Summary (2)'!AF29</f>
        <v/>
      </c>
      <c r="G27" s="47">
        <f>RANK(F27,F$26:F$43)</f>
        <v/>
      </c>
      <c r="H27" s="49">
        <f>'Seasons Summary (2)'!AQ29</f>
        <v/>
      </c>
      <c r="I27" s="47">
        <f>RANK(H27,H$26:H$43)</f>
        <v/>
      </c>
      <c r="J27" s="49">
        <f>'Seasons Summary (2)'!BB29</f>
        <v/>
      </c>
      <c r="K27" s="47">
        <f>RANK(J27,J$26:J$43)</f>
        <v/>
      </c>
      <c r="L27" s="56" t="n"/>
      <c r="M27" s="49">
        <f>AVERAGE(B27,D27,F27,H27,J27)</f>
        <v/>
      </c>
      <c r="N27" s="47">
        <f>RANK(M27,M$26:M$43)</f>
        <v/>
      </c>
      <c r="O27" s="56" t="n"/>
      <c r="P27" s="69" t="n"/>
    </row>
    <row r="28" ht="25" customHeight="1">
      <c r="A28" s="77" t="inlineStr">
        <is>
          <t>Carlton</t>
        </is>
      </c>
      <c r="B28" s="49">
        <f>'Seasons Summary (2)'!J30</f>
        <v/>
      </c>
      <c r="C28" s="47">
        <f>RANK(B28,B$26:B$43)</f>
        <v/>
      </c>
      <c r="D28" s="49">
        <f>'Seasons Summary (2)'!U30</f>
        <v/>
      </c>
      <c r="E28" s="47">
        <f>RANK(D28,D$26:D$43)</f>
        <v/>
      </c>
      <c r="F28" s="49">
        <f>'Seasons Summary (2)'!AF30</f>
        <v/>
      </c>
      <c r="G28" s="47">
        <f>RANK(F28,F$26:F$43)</f>
        <v/>
      </c>
      <c r="H28" s="49">
        <f>'Seasons Summary (2)'!AQ30</f>
        <v/>
      </c>
      <c r="I28" s="47">
        <f>RANK(H28,H$26:H$43)</f>
        <v/>
      </c>
      <c r="J28" s="49">
        <f>'Seasons Summary (2)'!BB30</f>
        <v/>
      </c>
      <c r="K28" s="47">
        <f>RANK(J28,J$26:J$43)</f>
        <v/>
      </c>
      <c r="L28" s="56" t="n"/>
      <c r="M28" s="49">
        <f>AVERAGE(B28,D28,F28,H28,J28)</f>
        <v/>
      </c>
      <c r="N28" s="47">
        <f>RANK(M28,M$26:M$43)</f>
        <v/>
      </c>
      <c r="O28" s="56" t="n"/>
      <c r="P28" s="69" t="n"/>
    </row>
    <row r="29" ht="25" customHeight="1">
      <c r="A29" s="78" t="inlineStr">
        <is>
          <t>Collingwood</t>
        </is>
      </c>
      <c r="B29" s="49">
        <f>'Seasons Summary (2)'!J31</f>
        <v/>
      </c>
      <c r="C29" s="47">
        <f>RANK(B29,B$26:B$43)</f>
        <v/>
      </c>
      <c r="D29" s="49">
        <f>'Seasons Summary (2)'!U31</f>
        <v/>
      </c>
      <c r="E29" s="47">
        <f>RANK(D29,D$26:D$43)</f>
        <v/>
      </c>
      <c r="F29" s="49">
        <f>'Seasons Summary (2)'!AF31</f>
        <v/>
      </c>
      <c r="G29" s="47">
        <f>RANK(F29,F$26:F$43)</f>
        <v/>
      </c>
      <c r="H29" s="49">
        <f>'Seasons Summary (2)'!AQ31</f>
        <v/>
      </c>
      <c r="I29" s="47">
        <f>RANK(H29,H$26:H$43)</f>
        <v/>
      </c>
      <c r="J29" s="49">
        <f>'Seasons Summary (2)'!BB31</f>
        <v/>
      </c>
      <c r="K29" s="47">
        <f>RANK(J29,J$26:J$43)</f>
        <v/>
      </c>
      <c r="L29" s="56" t="n"/>
      <c r="M29" s="49">
        <f>AVERAGE(B29,D29,F29,H29,J29)</f>
        <v/>
      </c>
      <c r="N29" s="47">
        <f>RANK(M29,M$26:M$43)</f>
        <v/>
      </c>
      <c r="O29" s="56" t="n"/>
      <c r="P29" s="69" t="n"/>
    </row>
    <row r="30" ht="25" customHeight="1">
      <c r="A30" s="79" t="inlineStr">
        <is>
          <t>Essendon</t>
        </is>
      </c>
      <c r="B30" s="49">
        <f>'Seasons Summary (2)'!J32</f>
        <v/>
      </c>
      <c r="C30" s="47">
        <f>RANK(B30,B$26:B$43)</f>
        <v/>
      </c>
      <c r="D30" s="49">
        <f>'Seasons Summary (2)'!U32</f>
        <v/>
      </c>
      <c r="E30" s="47">
        <f>RANK(D30,D$26:D$43)</f>
        <v/>
      </c>
      <c r="F30" s="49">
        <f>'Seasons Summary (2)'!AF32</f>
        <v/>
      </c>
      <c r="G30" s="47">
        <f>RANK(F30,F$26:F$43)</f>
        <v/>
      </c>
      <c r="H30" s="49">
        <f>'Seasons Summary (2)'!AQ32</f>
        <v/>
      </c>
      <c r="I30" s="47">
        <f>RANK(H30,H$26:H$43)</f>
        <v/>
      </c>
      <c r="J30" s="49">
        <f>'Seasons Summary (2)'!BB32</f>
        <v/>
      </c>
      <c r="K30" s="47">
        <f>RANK(J30,J$26:J$43)</f>
        <v/>
      </c>
      <c r="L30" s="56" t="n"/>
      <c r="M30" s="49">
        <f>AVERAGE(B30,D30,F30,H30,J30)</f>
        <v/>
      </c>
      <c r="N30" s="47">
        <f>RANK(M30,M$26:M$43)</f>
        <v/>
      </c>
      <c r="O30" s="56" t="n"/>
      <c r="P30" s="69" t="n"/>
    </row>
    <row r="31" ht="25" customHeight="1">
      <c r="A31" s="80" t="inlineStr">
        <is>
          <t>Fremantle</t>
        </is>
      </c>
      <c r="B31" s="49">
        <f>'Seasons Summary (2)'!J33</f>
        <v/>
      </c>
      <c r="C31" s="47">
        <f>RANK(B31,B$26:B$43)</f>
        <v/>
      </c>
      <c r="D31" s="49">
        <f>'Seasons Summary (2)'!U33</f>
        <v/>
      </c>
      <c r="E31" s="47">
        <f>RANK(D31,D$26:D$43)</f>
        <v/>
      </c>
      <c r="F31" s="49">
        <f>'Seasons Summary (2)'!AF33</f>
        <v/>
      </c>
      <c r="G31" s="47">
        <f>RANK(F31,F$26:F$43)</f>
        <v/>
      </c>
      <c r="H31" s="49">
        <f>'Seasons Summary (2)'!AQ33</f>
        <v/>
      </c>
      <c r="I31" s="47">
        <f>RANK(H31,H$26:H$43)</f>
        <v/>
      </c>
      <c r="J31" s="49">
        <f>'Seasons Summary (2)'!BB33</f>
        <v/>
      </c>
      <c r="K31" s="47">
        <f>RANK(J31,J$26:J$43)</f>
        <v/>
      </c>
      <c r="L31" s="56" t="n"/>
      <c r="M31" s="49">
        <f>AVERAGE(B31,D31,F31,H31,J31)</f>
        <v/>
      </c>
      <c r="N31" s="47">
        <f>RANK(M31,M$26:M$43)</f>
        <v/>
      </c>
      <c r="O31" s="56" t="n"/>
      <c r="P31" s="69" t="n"/>
    </row>
    <row r="32" ht="25" customHeight="1">
      <c r="A32" s="81" t="inlineStr">
        <is>
          <t>Geelong</t>
        </is>
      </c>
      <c r="B32" s="49">
        <f>'Seasons Summary (2)'!J34</f>
        <v/>
      </c>
      <c r="C32" s="47">
        <f>RANK(B32,B$26:B$43)</f>
        <v/>
      </c>
      <c r="D32" s="49">
        <f>'Seasons Summary (2)'!U34</f>
        <v/>
      </c>
      <c r="E32" s="47">
        <f>RANK(D32,D$26:D$43)</f>
        <v/>
      </c>
      <c r="F32" s="49">
        <f>'Seasons Summary (2)'!AF34</f>
        <v/>
      </c>
      <c r="G32" s="47">
        <f>RANK(F32,F$26:F$43)</f>
        <v/>
      </c>
      <c r="H32" s="49">
        <f>'Seasons Summary (2)'!AQ34</f>
        <v/>
      </c>
      <c r="I32" s="47">
        <f>RANK(H32,H$26:H$43)</f>
        <v/>
      </c>
      <c r="J32" s="49">
        <f>'Seasons Summary (2)'!BB34</f>
        <v/>
      </c>
      <c r="K32" s="47">
        <f>RANK(J32,J$26:J$43)</f>
        <v/>
      </c>
      <c r="L32" s="56" t="n"/>
      <c r="M32" s="49">
        <f>AVERAGE(B32,D32,F32,H32,J32)</f>
        <v/>
      </c>
      <c r="N32" s="47">
        <f>RANK(M32,M$26:M$43)</f>
        <v/>
      </c>
      <c r="O32" s="56" t="n"/>
      <c r="P32" s="69" t="n"/>
    </row>
    <row r="33" ht="25" customHeight="1">
      <c r="A33" s="82" t="inlineStr">
        <is>
          <t>Gold Coast</t>
        </is>
      </c>
      <c r="B33" s="49">
        <f>'Seasons Summary (2)'!J35</f>
        <v/>
      </c>
      <c r="C33" s="47">
        <f>RANK(B33,B$26:B$43)</f>
        <v/>
      </c>
      <c r="D33" s="49">
        <f>'Seasons Summary (2)'!U35</f>
        <v/>
      </c>
      <c r="E33" s="47">
        <f>RANK(D33,D$26:D$43)</f>
        <v/>
      </c>
      <c r="F33" s="49">
        <f>'Seasons Summary (2)'!AF35</f>
        <v/>
      </c>
      <c r="G33" s="47">
        <f>RANK(F33,F$26:F$43)</f>
        <v/>
      </c>
      <c r="H33" s="49">
        <f>'Seasons Summary (2)'!AQ35</f>
        <v/>
      </c>
      <c r="I33" s="47">
        <f>RANK(H33,H$26:H$43)</f>
        <v/>
      </c>
      <c r="J33" s="49">
        <f>'Seasons Summary (2)'!BB35</f>
        <v/>
      </c>
      <c r="K33" s="47">
        <f>RANK(J33,J$26:J$43)</f>
        <v/>
      </c>
      <c r="L33" s="56" t="n"/>
      <c r="M33" s="49">
        <f>AVERAGE(B33,D33,F33,H33,J33)</f>
        <v/>
      </c>
      <c r="N33" s="47">
        <f>RANK(M33,M$26:M$43)</f>
        <v/>
      </c>
      <c r="O33" s="56" t="n"/>
      <c r="P33" s="69" t="n"/>
    </row>
    <row r="34" ht="25" customHeight="1">
      <c r="A34" s="83" t="inlineStr">
        <is>
          <t>Greater Western Sydney</t>
        </is>
      </c>
      <c r="B34" s="49">
        <f>'Seasons Summary (2)'!J36</f>
        <v/>
      </c>
      <c r="C34" s="47">
        <f>RANK(B34,B$26:B$43)</f>
        <v/>
      </c>
      <c r="D34" s="49">
        <f>'Seasons Summary (2)'!U36</f>
        <v/>
      </c>
      <c r="E34" s="47">
        <f>RANK(D34,D$26:D$43)</f>
        <v/>
      </c>
      <c r="F34" s="49">
        <f>'Seasons Summary (2)'!AF36</f>
        <v/>
      </c>
      <c r="G34" s="47">
        <f>RANK(F34,F$26:F$43)</f>
        <v/>
      </c>
      <c r="H34" s="49">
        <f>'Seasons Summary (2)'!AQ36</f>
        <v/>
      </c>
      <c r="I34" s="47">
        <f>RANK(H34,H$26:H$43)</f>
        <v/>
      </c>
      <c r="J34" s="49">
        <f>'Seasons Summary (2)'!BB36</f>
        <v/>
      </c>
      <c r="K34" s="47">
        <f>RANK(J34,J$26:J$43)</f>
        <v/>
      </c>
      <c r="L34" s="56" t="n"/>
      <c r="M34" s="49">
        <f>AVERAGE(B34,D34,F34,H34,J34)</f>
        <v/>
      </c>
      <c r="N34" s="47">
        <f>RANK(M34,M$26:M$43)</f>
        <v/>
      </c>
      <c r="O34" s="56" t="n"/>
      <c r="P34" s="69" t="n"/>
    </row>
    <row r="35" ht="25" customHeight="1">
      <c r="A35" s="84" t="inlineStr">
        <is>
          <t>Hawthorn</t>
        </is>
      </c>
      <c r="B35" s="49">
        <f>'Seasons Summary (2)'!J37</f>
        <v/>
      </c>
      <c r="C35" s="47">
        <f>RANK(B35,B$26:B$43)</f>
        <v/>
      </c>
      <c r="D35" s="49">
        <f>'Seasons Summary (2)'!U37</f>
        <v/>
      </c>
      <c r="E35" s="47">
        <f>RANK(D35,D$26:D$43)</f>
        <v/>
      </c>
      <c r="F35" s="49">
        <f>'Seasons Summary (2)'!AF37</f>
        <v/>
      </c>
      <c r="G35" s="47">
        <f>RANK(F35,F$26:F$43)</f>
        <v/>
      </c>
      <c r="H35" s="49">
        <f>'Seasons Summary (2)'!AQ37</f>
        <v/>
      </c>
      <c r="I35" s="47">
        <f>RANK(H35,H$26:H$43)</f>
        <v/>
      </c>
      <c r="J35" s="49">
        <f>'Seasons Summary (2)'!BB37</f>
        <v/>
      </c>
      <c r="K35" s="47">
        <f>RANK(J35,J$26:J$43)</f>
        <v/>
      </c>
      <c r="L35" s="56" t="n"/>
      <c r="M35" s="49">
        <f>AVERAGE(B35,D35,F35,H35,J35)</f>
        <v/>
      </c>
      <c r="N35" s="47">
        <f>RANK(M35,M$26:M$43)</f>
        <v/>
      </c>
      <c r="O35" s="56" t="n"/>
      <c r="P35" s="69" t="n"/>
    </row>
    <row r="36" ht="25" customHeight="1">
      <c r="A36" s="85" t="inlineStr">
        <is>
          <t>Melbourne</t>
        </is>
      </c>
      <c r="B36" s="49">
        <f>'Seasons Summary (2)'!J38</f>
        <v/>
      </c>
      <c r="C36" s="47">
        <f>RANK(B36,B$26:B$43)</f>
        <v/>
      </c>
      <c r="D36" s="49">
        <f>'Seasons Summary (2)'!U38</f>
        <v/>
      </c>
      <c r="E36" s="47">
        <f>RANK(D36,D$26:D$43)</f>
        <v/>
      </c>
      <c r="F36" s="49">
        <f>'Seasons Summary (2)'!AF38</f>
        <v/>
      </c>
      <c r="G36" s="47">
        <f>RANK(F36,F$26:F$43)</f>
        <v/>
      </c>
      <c r="H36" s="49">
        <f>'Seasons Summary (2)'!AQ38</f>
        <v/>
      </c>
      <c r="I36" s="47">
        <f>RANK(H36,H$26:H$43)</f>
        <v/>
      </c>
      <c r="J36" s="49">
        <f>'Seasons Summary (2)'!BB38</f>
        <v/>
      </c>
      <c r="K36" s="47">
        <f>RANK(J36,J$26:J$43)</f>
        <v/>
      </c>
      <c r="L36" s="56" t="n"/>
      <c r="M36" s="49">
        <f>AVERAGE(B36,D36,F36,H36,J36)</f>
        <v/>
      </c>
      <c r="N36" s="47">
        <f>RANK(M36,M$26:M$43)</f>
        <v/>
      </c>
      <c r="O36" s="56" t="n"/>
      <c r="P36" s="69" t="n"/>
    </row>
    <row r="37" ht="25" customHeight="1">
      <c r="A37" s="86" t="inlineStr">
        <is>
          <t>North Melbourne</t>
        </is>
      </c>
      <c r="B37" s="49">
        <f>'Seasons Summary (2)'!J39</f>
        <v/>
      </c>
      <c r="C37" s="47">
        <f>RANK(B37,B$26:B$43)</f>
        <v/>
      </c>
      <c r="D37" s="49">
        <f>'Seasons Summary (2)'!U39</f>
        <v/>
      </c>
      <c r="E37" s="47">
        <f>RANK(D37,D$26:D$43)</f>
        <v/>
      </c>
      <c r="F37" s="49">
        <f>'Seasons Summary (2)'!AF39</f>
        <v/>
      </c>
      <c r="G37" s="47">
        <f>RANK(F37,F$26:F$43)</f>
        <v/>
      </c>
      <c r="H37" s="49">
        <f>'Seasons Summary (2)'!AQ39</f>
        <v/>
      </c>
      <c r="I37" s="47">
        <f>RANK(H37,H$26:H$43)</f>
        <v/>
      </c>
      <c r="J37" s="49">
        <f>'Seasons Summary (2)'!BB39</f>
        <v/>
      </c>
      <c r="K37" s="47">
        <f>RANK(J37,J$26:J$43)</f>
        <v/>
      </c>
      <c r="L37" s="56" t="n"/>
      <c r="M37" s="49">
        <f>AVERAGE(B37,D37,F37,H37,J37)</f>
        <v/>
      </c>
      <c r="N37" s="47">
        <f>RANK(M37,M$26:M$43)</f>
        <v/>
      </c>
      <c r="O37" s="56" t="n"/>
      <c r="P37" s="69" t="n"/>
    </row>
    <row r="38" ht="25" customHeight="1">
      <c r="A38" s="87" t="inlineStr">
        <is>
          <t>Port Adelaide</t>
        </is>
      </c>
      <c r="B38" s="49">
        <f>'Seasons Summary (2)'!J40</f>
        <v/>
      </c>
      <c r="C38" s="47">
        <f>RANK(B38,B$26:B$43)</f>
        <v/>
      </c>
      <c r="D38" s="49">
        <f>'Seasons Summary (2)'!U40</f>
        <v/>
      </c>
      <c r="E38" s="47">
        <f>RANK(D38,D$26:D$43)</f>
        <v/>
      </c>
      <c r="F38" s="49">
        <f>'Seasons Summary (2)'!AF40</f>
        <v/>
      </c>
      <c r="G38" s="47">
        <f>RANK(F38,F$26:F$43)</f>
        <v/>
      </c>
      <c r="H38" s="49">
        <f>'Seasons Summary (2)'!AQ40</f>
        <v/>
      </c>
      <c r="I38" s="47">
        <f>RANK(H38,H$26:H$43)</f>
        <v/>
      </c>
      <c r="J38" s="49">
        <f>'Seasons Summary (2)'!BB40</f>
        <v/>
      </c>
      <c r="K38" s="47">
        <f>RANK(J38,J$26:J$43)</f>
        <v/>
      </c>
      <c r="L38" s="56" t="n"/>
      <c r="M38" s="49">
        <f>AVERAGE(B38,D38,F38,H38,J38)</f>
        <v/>
      </c>
      <c r="N38" s="47">
        <f>RANK(M38,M$26:M$43)</f>
        <v/>
      </c>
      <c r="O38" s="56" t="n"/>
      <c r="P38" s="69" t="n"/>
    </row>
    <row r="39" ht="25" customHeight="1">
      <c r="A39" s="88" t="inlineStr">
        <is>
          <t>Richmond</t>
        </is>
      </c>
      <c r="B39" s="49">
        <f>'Seasons Summary (2)'!J41</f>
        <v/>
      </c>
      <c r="C39" s="47">
        <f>RANK(B39,B$26:B$43)</f>
        <v/>
      </c>
      <c r="D39" s="49">
        <f>'Seasons Summary (2)'!U41</f>
        <v/>
      </c>
      <c r="E39" s="47">
        <f>RANK(D39,D$26:D$43)</f>
        <v/>
      </c>
      <c r="F39" s="49">
        <f>'Seasons Summary (2)'!AF41</f>
        <v/>
      </c>
      <c r="G39" s="47">
        <f>RANK(F39,F$26:F$43)</f>
        <v/>
      </c>
      <c r="H39" s="49">
        <f>'Seasons Summary (2)'!AQ41</f>
        <v/>
      </c>
      <c r="I39" s="47">
        <f>RANK(H39,H$26:H$43)</f>
        <v/>
      </c>
      <c r="J39" s="49">
        <f>'Seasons Summary (2)'!BB41</f>
        <v/>
      </c>
      <c r="K39" s="47">
        <f>RANK(J39,J$26:J$43)</f>
        <v/>
      </c>
      <c r="L39" s="56" t="n"/>
      <c r="M39" s="49">
        <f>AVERAGE(B39,D39,F39,H39,J39)</f>
        <v/>
      </c>
      <c r="N39" s="47">
        <f>RANK(M39,M$26:M$43)</f>
        <v/>
      </c>
      <c r="O39" s="56" t="n"/>
      <c r="P39" s="69" t="n"/>
    </row>
    <row r="40" ht="25" customHeight="1">
      <c r="A40" s="89" t="inlineStr">
        <is>
          <t>St Kilda</t>
        </is>
      </c>
      <c r="B40" s="49">
        <f>'Seasons Summary (2)'!J42</f>
        <v/>
      </c>
      <c r="C40" s="47">
        <f>RANK(B40,B$26:B$43)</f>
        <v/>
      </c>
      <c r="D40" s="49">
        <f>'Seasons Summary (2)'!U42</f>
        <v/>
      </c>
      <c r="E40" s="47">
        <f>RANK(D40,D$26:D$43)</f>
        <v/>
      </c>
      <c r="F40" s="49">
        <f>'Seasons Summary (2)'!AF42</f>
        <v/>
      </c>
      <c r="G40" s="47">
        <f>RANK(F40,F$26:F$43)</f>
        <v/>
      </c>
      <c r="H40" s="49">
        <f>'Seasons Summary (2)'!AQ42</f>
        <v/>
      </c>
      <c r="I40" s="47">
        <f>RANK(H40,H$26:H$43)</f>
        <v/>
      </c>
      <c r="J40" s="49">
        <f>'Seasons Summary (2)'!BB42</f>
        <v/>
      </c>
      <c r="K40" s="47">
        <f>RANK(J40,J$26:J$43)</f>
        <v/>
      </c>
      <c r="L40" s="56" t="n"/>
      <c r="M40" s="49">
        <f>AVERAGE(B40,D40,F40,H40,J40)</f>
        <v/>
      </c>
      <c r="N40" s="47">
        <f>RANK(M40,M$26:M$43)</f>
        <v/>
      </c>
      <c r="O40" s="56" t="n"/>
      <c r="P40" s="69" t="n"/>
    </row>
    <row r="41" ht="25" customHeight="1">
      <c r="A41" s="90" t="inlineStr">
        <is>
          <t>Sydney</t>
        </is>
      </c>
      <c r="B41" s="49">
        <f>'Seasons Summary (2)'!J43</f>
        <v/>
      </c>
      <c r="C41" s="47">
        <f>RANK(B41,B$26:B$43)</f>
        <v/>
      </c>
      <c r="D41" s="49">
        <f>'Seasons Summary (2)'!U43</f>
        <v/>
      </c>
      <c r="E41" s="47">
        <f>RANK(D41,D$26:D$43)</f>
        <v/>
      </c>
      <c r="F41" s="49">
        <f>'Seasons Summary (2)'!AF43</f>
        <v/>
      </c>
      <c r="G41" s="47">
        <f>RANK(F41,F$26:F$43)</f>
        <v/>
      </c>
      <c r="H41" s="49">
        <f>'Seasons Summary (2)'!AQ43</f>
        <v/>
      </c>
      <c r="I41" s="47">
        <f>RANK(H41,H$26:H$43)</f>
        <v/>
      </c>
      <c r="J41" s="49">
        <f>'Seasons Summary (2)'!BB43</f>
        <v/>
      </c>
      <c r="K41" s="47">
        <f>RANK(J41,J$26:J$43)</f>
        <v/>
      </c>
      <c r="L41" s="56" t="n"/>
      <c r="M41" s="49">
        <f>AVERAGE(B41,D41,F41,H41,J41)</f>
        <v/>
      </c>
      <c r="N41" s="47">
        <f>RANK(M41,M$26:M$43)</f>
        <v/>
      </c>
      <c r="O41" s="56" t="n"/>
      <c r="P41" s="69" t="n"/>
    </row>
    <row r="42" ht="25" customHeight="1">
      <c r="A42" s="91" t="inlineStr">
        <is>
          <t>West Coast</t>
        </is>
      </c>
      <c r="B42" s="49">
        <f>'Seasons Summary (2)'!J44</f>
        <v/>
      </c>
      <c r="C42" s="47">
        <f>RANK(B42,B$26:B$43)</f>
        <v/>
      </c>
      <c r="D42" s="49">
        <f>'Seasons Summary (2)'!U44</f>
        <v/>
      </c>
      <c r="E42" s="47">
        <f>RANK(D42,D$26:D$43)</f>
        <v/>
      </c>
      <c r="F42" s="49">
        <f>'Seasons Summary (2)'!AF44</f>
        <v/>
      </c>
      <c r="G42" s="47">
        <f>RANK(F42,F$26:F$43)</f>
        <v/>
      </c>
      <c r="H42" s="49">
        <f>'Seasons Summary (2)'!AQ44</f>
        <v/>
      </c>
      <c r="I42" s="47">
        <f>RANK(H42,H$26:H$43)</f>
        <v/>
      </c>
      <c r="J42" s="49">
        <f>'Seasons Summary (2)'!BB44</f>
        <v/>
      </c>
      <c r="K42" s="47">
        <f>RANK(J42,J$26:J$43)</f>
        <v/>
      </c>
      <c r="L42" s="56" t="n"/>
      <c r="M42" s="49">
        <f>AVERAGE(B42,D42,F42,H42,J42)</f>
        <v/>
      </c>
      <c r="N42" s="47">
        <f>RANK(M42,M$26:M$43)</f>
        <v/>
      </c>
      <c r="O42" s="56" t="n"/>
      <c r="P42" s="69" t="n"/>
    </row>
    <row r="43" ht="25" customHeight="1" thickBot="1">
      <c r="A43" s="92" t="inlineStr">
        <is>
          <t>Western Bulldogs</t>
        </is>
      </c>
      <c r="B43" s="95">
        <f>'Seasons Summary (2)'!J45</f>
        <v/>
      </c>
      <c r="C43" s="96">
        <f>RANK(B43,B$26:B$43)</f>
        <v/>
      </c>
      <c r="D43" s="95">
        <f>'Seasons Summary (2)'!U45</f>
        <v/>
      </c>
      <c r="E43" s="96">
        <f>RANK(D43,D$26:D$43)</f>
        <v/>
      </c>
      <c r="F43" s="95">
        <f>'Seasons Summary (2)'!AF45</f>
        <v/>
      </c>
      <c r="G43" s="96">
        <f>RANK(F43,F$26:F$43)</f>
        <v/>
      </c>
      <c r="H43" s="95">
        <f>'Seasons Summary (2)'!AQ45</f>
        <v/>
      </c>
      <c r="I43" s="96">
        <f>RANK(H43,H$26:H$43)</f>
        <v/>
      </c>
      <c r="J43" s="49">
        <f>'Seasons Summary (2)'!BB45</f>
        <v/>
      </c>
      <c r="K43" s="96">
        <f>RANK(J43,J$26:J$43)</f>
        <v/>
      </c>
      <c r="L43" s="62" t="n"/>
      <c r="M43" s="49">
        <f>AVERAGE(B43,D43,F43,H43,J43)</f>
        <v/>
      </c>
      <c r="N43" s="96">
        <f>RANK(M43,M$26:M$43)</f>
        <v/>
      </c>
      <c r="O43" s="62" t="n"/>
      <c r="P43" s="69" t="n"/>
    </row>
    <row r="44">
      <c r="A44" s="69" t="n"/>
      <c r="B44" s="69" t="n"/>
      <c r="C44" s="69" t="n"/>
      <c r="D44" s="69" t="n"/>
      <c r="E44" s="69" t="n"/>
      <c r="F44" s="69" t="n"/>
      <c r="G44" s="69" t="n"/>
      <c r="H44" s="69" t="n"/>
      <c r="I44" s="69" t="n"/>
      <c r="J44" s="69" t="n"/>
      <c r="K44" s="69" t="n"/>
      <c r="L44" s="69" t="n"/>
      <c r="M44" s="69" t="n"/>
      <c r="N44" s="69" t="n"/>
      <c r="O44" s="69" t="n"/>
      <c r="P44" s="69" t="n"/>
    </row>
    <row r="45" ht="35" customHeight="1">
      <c r="A45" s="68" t="inlineStr">
        <is>
          <t>TREND</t>
        </is>
      </c>
      <c r="B45" s="69" t="n"/>
      <c r="C45" s="69" t="n"/>
      <c r="D45" s="69" t="n"/>
      <c r="E45" s="69" t="n"/>
      <c r="F45" s="69" t="n"/>
      <c r="G45" s="69" t="n"/>
      <c r="H45" s="69" t="n"/>
      <c r="I45" s="69" t="n"/>
      <c r="J45" s="69" t="n"/>
      <c r="K45" s="69" t="n"/>
      <c r="L45" s="69" t="n"/>
      <c r="M45" s="69" t="n"/>
      <c r="N45" s="69" t="n"/>
      <c r="O45" s="69" t="n"/>
      <c r="P45" s="69" t="n"/>
    </row>
    <row r="46" ht="17" customHeight="1" thickBot="1">
      <c r="A46" s="69" t="n"/>
      <c r="B46" s="69" t="n"/>
      <c r="C46" s="69" t="n"/>
      <c r="D46" s="69" t="n"/>
      <c r="E46" s="69" t="n"/>
      <c r="F46" s="69" t="n"/>
      <c r="G46" s="69" t="n"/>
      <c r="H46" s="69" t="n"/>
      <c r="I46" s="69" t="n"/>
      <c r="J46" s="69" t="n"/>
      <c r="K46" s="69" t="n"/>
      <c r="L46" s="69" t="n"/>
      <c r="M46" s="69" t="n"/>
      <c r="N46" s="69" t="n"/>
      <c r="O46" s="69" t="n"/>
      <c r="P46" s="69" t="n"/>
    </row>
    <row r="47" ht="52" customHeight="1" thickBot="1">
      <c r="A47" s="93" t="inlineStr">
        <is>
          <t>Team</t>
        </is>
      </c>
      <c r="B47" s="27" t="inlineStr">
        <is>
          <t>Ball Winning Ranking</t>
        </is>
      </c>
      <c r="C47" s="28" t="inlineStr">
        <is>
          <t>#</t>
        </is>
      </c>
      <c r="D47" s="30" t="inlineStr">
        <is>
          <t>Ball Movement Ranking</t>
        </is>
      </c>
      <c r="E47" s="31" t="inlineStr">
        <is>
          <t>#</t>
        </is>
      </c>
      <c r="F47" s="44" t="inlineStr">
        <is>
          <t>Scoring Ranking</t>
        </is>
      </c>
      <c r="G47" s="45" t="inlineStr">
        <is>
          <t>#</t>
        </is>
      </c>
      <c r="H47" s="33" t="inlineStr">
        <is>
          <t>Defence Ranking</t>
        </is>
      </c>
      <c r="I47" s="34" t="inlineStr">
        <is>
          <t>#</t>
        </is>
      </c>
      <c r="J47" s="69" t="n"/>
      <c r="K47" s="69" t="n"/>
      <c r="L47" s="94" t="n"/>
      <c r="M47" s="36" t="inlineStr">
        <is>
          <t>Team Rating</t>
        </is>
      </c>
      <c r="N47" s="37" t="inlineStr">
        <is>
          <t>#</t>
        </is>
      </c>
      <c r="O47" s="94" t="n"/>
      <c r="P47" s="69" t="n"/>
    </row>
    <row r="48" ht="25" customHeight="1">
      <c r="A48" s="75" t="inlineStr">
        <is>
          <t>Adelaide</t>
        </is>
      </c>
      <c r="B48" s="49">
        <f>B26-B4</f>
        <v/>
      </c>
      <c r="C48" s="47">
        <f>RANK(B48,B$48:B$65)</f>
        <v/>
      </c>
      <c r="D48" s="49">
        <f>D26-D4</f>
        <v/>
      </c>
      <c r="E48" s="47">
        <f>RANK(D48,D$48:D$65)</f>
        <v/>
      </c>
      <c r="F48" s="49">
        <f>F26-F4</f>
        <v/>
      </c>
      <c r="G48" s="47">
        <f>RANK(F48,F$48:F$65)</f>
        <v/>
      </c>
      <c r="H48" s="49">
        <f>H26-H4</f>
        <v/>
      </c>
      <c r="I48" s="47">
        <f>RANK(H48,H$48:H$65)</f>
        <v/>
      </c>
      <c r="J48" s="69" t="n"/>
      <c r="K48" s="69" t="n"/>
      <c r="L48" s="50" t="n"/>
      <c r="M48" s="49">
        <f>M26-M4</f>
        <v/>
      </c>
      <c r="N48" s="47">
        <f>RANK(M48,M$48:M$65)</f>
        <v/>
      </c>
      <c r="O48" s="50" t="n"/>
      <c r="P48" s="69" t="n"/>
    </row>
    <row r="49" ht="25" customHeight="1">
      <c r="A49" s="76" t="inlineStr">
        <is>
          <t>Brisbane</t>
        </is>
      </c>
      <c r="B49" s="49">
        <f>B27-B5</f>
        <v/>
      </c>
      <c r="C49" s="47">
        <f>RANK(B49,B$48:B$65)</f>
        <v/>
      </c>
      <c r="D49" s="49">
        <f>D27-D5</f>
        <v/>
      </c>
      <c r="E49" s="47">
        <f>RANK(D49,D$48:D$65)</f>
        <v/>
      </c>
      <c r="F49" s="65">
        <f>F27-F5</f>
        <v/>
      </c>
      <c r="G49" s="47">
        <f>RANK(F49,F$48:F$65)</f>
        <v/>
      </c>
      <c r="H49" s="65">
        <f>H27-H5</f>
        <v/>
      </c>
      <c r="I49" s="47">
        <f>RANK(H49,H$48:H$65)</f>
        <v/>
      </c>
      <c r="L49" s="56" t="n"/>
      <c r="M49" s="65">
        <f>M27-M5</f>
        <v/>
      </c>
      <c r="N49" s="47">
        <f>RANK(M49,M$48:M$65)</f>
        <v/>
      </c>
      <c r="O49" s="56" t="n"/>
      <c r="P49" s="69" t="n"/>
    </row>
    <row r="50" ht="25" customHeight="1">
      <c r="A50" s="77" t="inlineStr">
        <is>
          <t>Carlton</t>
        </is>
      </c>
      <c r="B50" s="49">
        <f>B28-B6</f>
        <v/>
      </c>
      <c r="C50" s="47">
        <f>RANK(B50,B$48:B$65)</f>
        <v/>
      </c>
      <c r="D50" s="49">
        <f>D28-D6</f>
        <v/>
      </c>
      <c r="E50" s="47">
        <f>RANK(D50,D$48:D$65)</f>
        <v/>
      </c>
      <c r="F50" s="65">
        <f>F28-F6</f>
        <v/>
      </c>
      <c r="G50" s="47">
        <f>RANK(F50,F$48:F$65)</f>
        <v/>
      </c>
      <c r="H50" s="65">
        <f>H28-H6</f>
        <v/>
      </c>
      <c r="I50" s="47">
        <f>RANK(H50,H$48:H$65)</f>
        <v/>
      </c>
      <c r="L50" s="56" t="n"/>
      <c r="M50" s="65">
        <f>M28-M6</f>
        <v/>
      </c>
      <c r="N50" s="47">
        <f>RANK(M50,M$48:M$65)</f>
        <v/>
      </c>
      <c r="O50" s="56" t="n"/>
      <c r="P50" s="69" t="n"/>
    </row>
    <row r="51" ht="25" customHeight="1">
      <c r="A51" s="78" t="inlineStr">
        <is>
          <t>Collingwood</t>
        </is>
      </c>
      <c r="B51" s="49">
        <f>B29-B7</f>
        <v/>
      </c>
      <c r="C51" s="47">
        <f>RANK(B51,B$48:B$65)</f>
        <v/>
      </c>
      <c r="D51" s="49">
        <f>D29-D7</f>
        <v/>
      </c>
      <c r="E51" s="47">
        <f>RANK(D51,D$48:D$65)</f>
        <v/>
      </c>
      <c r="F51" s="65">
        <f>F29-F7</f>
        <v/>
      </c>
      <c r="G51" s="47">
        <f>RANK(F51,F$48:F$65)</f>
        <v/>
      </c>
      <c r="H51" s="65">
        <f>H29-H7</f>
        <v/>
      </c>
      <c r="I51" s="47">
        <f>RANK(H51,H$48:H$65)</f>
        <v/>
      </c>
      <c r="L51" s="56" t="n"/>
      <c r="M51" s="65">
        <f>M29-M7</f>
        <v/>
      </c>
      <c r="N51" s="47">
        <f>RANK(M51,M$48:M$65)</f>
        <v/>
      </c>
      <c r="O51" s="56" t="n"/>
      <c r="P51" s="69" t="n"/>
    </row>
    <row r="52" ht="25" customHeight="1">
      <c r="A52" s="79" t="inlineStr">
        <is>
          <t>Essendon</t>
        </is>
      </c>
      <c r="B52" s="49">
        <f>B30-B8</f>
        <v/>
      </c>
      <c r="C52" s="47">
        <f>RANK(B52,B$48:B$65)</f>
        <v/>
      </c>
      <c r="D52" s="49">
        <f>D30-D8</f>
        <v/>
      </c>
      <c r="E52" s="47">
        <f>RANK(D52,D$48:D$65)</f>
        <v/>
      </c>
      <c r="F52" s="65">
        <f>F30-F8</f>
        <v/>
      </c>
      <c r="G52" s="47">
        <f>RANK(F52,F$48:F$65)</f>
        <v/>
      </c>
      <c r="H52" s="65">
        <f>H30-H8</f>
        <v/>
      </c>
      <c r="I52" s="47">
        <f>RANK(H52,H$48:H$65)</f>
        <v/>
      </c>
      <c r="L52" s="56" t="n"/>
      <c r="M52" s="65">
        <f>M30-M8</f>
        <v/>
      </c>
      <c r="N52" s="47">
        <f>RANK(M52,M$48:M$65)</f>
        <v/>
      </c>
      <c r="O52" s="56" t="n"/>
      <c r="P52" s="69" t="n"/>
    </row>
    <row r="53" ht="25" customHeight="1">
      <c r="A53" s="80" t="inlineStr">
        <is>
          <t>Fremantle</t>
        </is>
      </c>
      <c r="B53" s="49">
        <f>B31-B9</f>
        <v/>
      </c>
      <c r="C53" s="47">
        <f>RANK(B53,B$48:B$65)</f>
        <v/>
      </c>
      <c r="D53" s="49">
        <f>D31-D9</f>
        <v/>
      </c>
      <c r="E53" s="47">
        <f>RANK(D53,D$48:D$65)</f>
        <v/>
      </c>
      <c r="F53" s="65">
        <f>F31-F9</f>
        <v/>
      </c>
      <c r="G53" s="47">
        <f>RANK(F53,F$48:F$65)</f>
        <v/>
      </c>
      <c r="H53" s="65">
        <f>H31-H9</f>
        <v/>
      </c>
      <c r="I53" s="47">
        <f>RANK(H53,H$48:H$65)</f>
        <v/>
      </c>
      <c r="L53" s="56" t="n"/>
      <c r="M53" s="65">
        <f>M31-M9</f>
        <v/>
      </c>
      <c r="N53" s="47">
        <f>RANK(M53,M$48:M$65)</f>
        <v/>
      </c>
      <c r="O53" s="56" t="n"/>
      <c r="P53" s="69" t="n"/>
    </row>
    <row r="54" ht="25" customHeight="1">
      <c r="A54" s="81" t="inlineStr">
        <is>
          <t>Geelong</t>
        </is>
      </c>
      <c r="B54" s="49">
        <f>B32-B10</f>
        <v/>
      </c>
      <c r="C54" s="47">
        <f>RANK(B54,B$48:B$65)</f>
        <v/>
      </c>
      <c r="D54" s="49">
        <f>D32-D10</f>
        <v/>
      </c>
      <c r="E54" s="47">
        <f>RANK(D54,D$48:D$65)</f>
        <v/>
      </c>
      <c r="F54" s="65">
        <f>F32-F10</f>
        <v/>
      </c>
      <c r="G54" s="47">
        <f>RANK(F54,F$48:F$65)</f>
        <v/>
      </c>
      <c r="H54" s="65">
        <f>H32-H10</f>
        <v/>
      </c>
      <c r="I54" s="47">
        <f>RANK(H54,H$48:H$65)</f>
        <v/>
      </c>
      <c r="L54" s="56" t="n"/>
      <c r="M54" s="65">
        <f>M32-M10</f>
        <v/>
      </c>
      <c r="N54" s="47">
        <f>RANK(M54,M$48:M$65)</f>
        <v/>
      </c>
      <c r="O54" s="56" t="n"/>
      <c r="P54" s="69" t="n"/>
    </row>
    <row r="55" ht="25" customHeight="1">
      <c r="A55" s="82" t="inlineStr">
        <is>
          <t>Gold Coast</t>
        </is>
      </c>
      <c r="B55" s="49">
        <f>B33-B11</f>
        <v/>
      </c>
      <c r="C55" s="47">
        <f>RANK(B55,B$48:B$65)</f>
        <v/>
      </c>
      <c r="D55" s="49">
        <f>D33-D11</f>
        <v/>
      </c>
      <c r="E55" s="47">
        <f>RANK(D55,D$48:D$65)</f>
        <v/>
      </c>
      <c r="F55" s="65">
        <f>F33-F11</f>
        <v/>
      </c>
      <c r="G55" s="47">
        <f>RANK(F55,F$48:F$65)</f>
        <v/>
      </c>
      <c r="H55" s="65">
        <f>H33-H11</f>
        <v/>
      </c>
      <c r="I55" s="47">
        <f>RANK(H55,H$48:H$65)</f>
        <v/>
      </c>
      <c r="L55" s="56" t="n"/>
      <c r="M55" s="65">
        <f>M33-M11</f>
        <v/>
      </c>
      <c r="N55" s="47">
        <f>RANK(M55,M$48:M$65)</f>
        <v/>
      </c>
      <c r="O55" s="56" t="n"/>
      <c r="P55" s="69" t="n"/>
    </row>
    <row r="56" ht="25" customHeight="1">
      <c r="A56" s="83" t="inlineStr">
        <is>
          <t>Greater Western Sydney</t>
        </is>
      </c>
      <c r="B56" s="49">
        <f>B34-B12</f>
        <v/>
      </c>
      <c r="C56" s="47">
        <f>RANK(B56,B$48:B$65)</f>
        <v/>
      </c>
      <c r="D56" s="49">
        <f>D34-D12</f>
        <v/>
      </c>
      <c r="E56" s="47">
        <f>RANK(D56,D$48:D$65)</f>
        <v/>
      </c>
      <c r="F56" s="65">
        <f>F34-F12</f>
        <v/>
      </c>
      <c r="G56" s="47">
        <f>RANK(F56,F$48:F$65)</f>
        <v/>
      </c>
      <c r="H56" s="65">
        <f>H34-H12</f>
        <v/>
      </c>
      <c r="I56" s="47">
        <f>RANK(H56,H$48:H$65)</f>
        <v/>
      </c>
      <c r="L56" s="56" t="n"/>
      <c r="M56" s="65">
        <f>M34-M12</f>
        <v/>
      </c>
      <c r="N56" s="47">
        <f>RANK(M56,M$48:M$65)</f>
        <v/>
      </c>
      <c r="O56" s="56" t="n"/>
      <c r="P56" s="69" t="n"/>
    </row>
    <row r="57" ht="25" customHeight="1">
      <c r="A57" s="84" t="inlineStr">
        <is>
          <t>Hawthorn</t>
        </is>
      </c>
      <c r="B57" s="49">
        <f>B35-B13</f>
        <v/>
      </c>
      <c r="C57" s="47">
        <f>RANK(B57,B$48:B$65)</f>
        <v/>
      </c>
      <c r="D57" s="49">
        <f>D35-D13</f>
        <v/>
      </c>
      <c r="E57" s="47">
        <f>RANK(D57,D$48:D$65)</f>
        <v/>
      </c>
      <c r="F57" s="65">
        <f>F35-F13</f>
        <v/>
      </c>
      <c r="G57" s="47">
        <f>RANK(F57,F$48:F$65)</f>
        <v/>
      </c>
      <c r="H57" s="65">
        <f>H35-H13</f>
        <v/>
      </c>
      <c r="I57" s="47">
        <f>RANK(H57,H$48:H$65)</f>
        <v/>
      </c>
      <c r="L57" s="56" t="n"/>
      <c r="M57" s="65">
        <f>M35-M13</f>
        <v/>
      </c>
      <c r="N57" s="47">
        <f>RANK(M57,M$48:M$65)</f>
        <v/>
      </c>
      <c r="O57" s="56" t="n"/>
      <c r="P57" s="69" t="n"/>
    </row>
    <row r="58" ht="25" customHeight="1">
      <c r="A58" s="85" t="inlineStr">
        <is>
          <t>Melbourne</t>
        </is>
      </c>
      <c r="B58" s="49">
        <f>B36-B14</f>
        <v/>
      </c>
      <c r="C58" s="47">
        <f>RANK(B58,B$48:B$65)</f>
        <v/>
      </c>
      <c r="D58" s="49">
        <f>D36-D14</f>
        <v/>
      </c>
      <c r="E58" s="47">
        <f>RANK(D58,D$48:D$65)</f>
        <v/>
      </c>
      <c r="F58" s="65">
        <f>F36-F14</f>
        <v/>
      </c>
      <c r="G58" s="47">
        <f>RANK(F58,F$48:F$65)</f>
        <v/>
      </c>
      <c r="H58" s="65">
        <f>H36-H14</f>
        <v/>
      </c>
      <c r="I58" s="47">
        <f>RANK(H58,H$48:H$65)</f>
        <v/>
      </c>
      <c r="L58" s="56" t="n"/>
      <c r="M58" s="65">
        <f>M36-M14</f>
        <v/>
      </c>
      <c r="N58" s="47">
        <f>RANK(M58,M$48:M$65)</f>
        <v/>
      </c>
      <c r="O58" s="56" t="n"/>
      <c r="P58" s="69" t="n"/>
    </row>
    <row r="59" ht="25" customHeight="1">
      <c r="A59" s="86" t="inlineStr">
        <is>
          <t>North Melbourne</t>
        </is>
      </c>
      <c r="B59" s="49">
        <f>B37-B15</f>
        <v/>
      </c>
      <c r="C59" s="47">
        <f>RANK(B59,B$48:B$65)</f>
        <v/>
      </c>
      <c r="D59" s="49">
        <f>D37-D15</f>
        <v/>
      </c>
      <c r="E59" s="47">
        <f>RANK(D59,D$48:D$65)</f>
        <v/>
      </c>
      <c r="F59" s="65">
        <f>F37-F15</f>
        <v/>
      </c>
      <c r="G59" s="47">
        <f>RANK(F59,F$48:F$65)</f>
        <v/>
      </c>
      <c r="H59" s="65">
        <f>H37-H15</f>
        <v/>
      </c>
      <c r="I59" s="47">
        <f>RANK(H59,H$48:H$65)</f>
        <v/>
      </c>
      <c r="L59" s="56" t="n"/>
      <c r="M59" s="65">
        <f>M37-M15</f>
        <v/>
      </c>
      <c r="N59" s="47">
        <f>RANK(M59,M$48:M$65)</f>
        <v/>
      </c>
      <c r="O59" s="56" t="n"/>
      <c r="P59" s="69" t="n"/>
    </row>
    <row r="60" ht="25" customHeight="1">
      <c r="A60" s="87" t="inlineStr">
        <is>
          <t>Port Adelaide</t>
        </is>
      </c>
      <c r="B60" s="49">
        <f>B38-B16</f>
        <v/>
      </c>
      <c r="C60" s="47">
        <f>RANK(B60,B$48:B$65)</f>
        <v/>
      </c>
      <c r="D60" s="49">
        <f>D38-D16</f>
        <v/>
      </c>
      <c r="E60" s="47">
        <f>RANK(D60,D$48:D$65)</f>
        <v/>
      </c>
      <c r="F60" s="65">
        <f>F38-F16</f>
        <v/>
      </c>
      <c r="G60" s="47">
        <f>RANK(F60,F$48:F$65)</f>
        <v/>
      </c>
      <c r="H60" s="65">
        <f>H38-H16</f>
        <v/>
      </c>
      <c r="I60" s="47">
        <f>RANK(H60,H$48:H$65)</f>
        <v/>
      </c>
      <c r="L60" s="56" t="n"/>
      <c r="M60" s="65">
        <f>M38-M16</f>
        <v/>
      </c>
      <c r="N60" s="47">
        <f>RANK(M60,M$48:M$65)</f>
        <v/>
      </c>
      <c r="O60" s="56" t="n"/>
      <c r="P60" s="69" t="n"/>
    </row>
    <row r="61" ht="25" customHeight="1">
      <c r="A61" s="88" t="inlineStr">
        <is>
          <t>Richmond</t>
        </is>
      </c>
      <c r="B61" s="49">
        <f>B39-B17</f>
        <v/>
      </c>
      <c r="C61" s="47">
        <f>RANK(B61,B$48:B$65)</f>
        <v/>
      </c>
      <c r="D61" s="49">
        <f>D39-D17</f>
        <v/>
      </c>
      <c r="E61" s="47">
        <f>RANK(D61,D$48:D$65)</f>
        <v/>
      </c>
      <c r="F61" s="65">
        <f>F39-F17</f>
        <v/>
      </c>
      <c r="G61" s="47">
        <f>RANK(F61,F$48:F$65)</f>
        <v/>
      </c>
      <c r="H61" s="65">
        <f>H39-H17</f>
        <v/>
      </c>
      <c r="I61" s="47">
        <f>RANK(H61,H$48:H$65)</f>
        <v/>
      </c>
      <c r="L61" s="56" t="n"/>
      <c r="M61" s="65">
        <f>M39-M17</f>
        <v/>
      </c>
      <c r="N61" s="47">
        <f>RANK(M61,M$48:M$65)</f>
        <v/>
      </c>
      <c r="O61" s="56" t="n"/>
      <c r="P61" s="69" t="n"/>
    </row>
    <row r="62" ht="25" customHeight="1">
      <c r="A62" s="89" t="inlineStr">
        <is>
          <t>St Kilda</t>
        </is>
      </c>
      <c r="B62" s="49">
        <f>B40-B18</f>
        <v/>
      </c>
      <c r="C62" s="47">
        <f>RANK(B62,B$48:B$65)</f>
        <v/>
      </c>
      <c r="D62" s="49">
        <f>D40-D18</f>
        <v/>
      </c>
      <c r="E62" s="47">
        <f>RANK(D62,D$48:D$65)</f>
        <v/>
      </c>
      <c r="F62" s="65">
        <f>F40-F18</f>
        <v/>
      </c>
      <c r="G62" s="47">
        <f>RANK(F62,F$48:F$65)</f>
        <v/>
      </c>
      <c r="H62" s="65">
        <f>H40-H18</f>
        <v/>
      </c>
      <c r="I62" s="47">
        <f>RANK(H62,H$48:H$65)</f>
        <v/>
      </c>
      <c r="L62" s="56" t="n"/>
      <c r="M62" s="65">
        <f>M40-M18</f>
        <v/>
      </c>
      <c r="N62" s="47">
        <f>RANK(M62,M$48:M$65)</f>
        <v/>
      </c>
      <c r="O62" s="56" t="n"/>
      <c r="P62" s="69" t="n"/>
    </row>
    <row r="63" ht="25" customHeight="1">
      <c r="A63" s="90" t="inlineStr">
        <is>
          <t>Sydney</t>
        </is>
      </c>
      <c r="B63" s="49">
        <f>B41-B19</f>
        <v/>
      </c>
      <c r="C63" s="47">
        <f>RANK(B63,B$48:B$65)</f>
        <v/>
      </c>
      <c r="D63" s="49">
        <f>D41-D19</f>
        <v/>
      </c>
      <c r="E63" s="47">
        <f>RANK(D63,D$48:D$65)</f>
        <v/>
      </c>
      <c r="F63" s="65">
        <f>F41-F19</f>
        <v/>
      </c>
      <c r="G63" s="47">
        <f>RANK(F63,F$48:F$65)</f>
        <v/>
      </c>
      <c r="H63" s="65">
        <f>H41-H19</f>
        <v/>
      </c>
      <c r="I63" s="47">
        <f>RANK(H63,H$48:H$65)</f>
        <v/>
      </c>
      <c r="L63" s="56" t="n"/>
      <c r="M63" s="65">
        <f>M41-M19</f>
        <v/>
      </c>
      <c r="N63" s="47">
        <f>RANK(M63,M$48:M$65)</f>
        <v/>
      </c>
      <c r="O63" s="56" t="n"/>
      <c r="P63" s="69" t="n"/>
    </row>
    <row r="64" ht="25" customHeight="1">
      <c r="A64" s="91" t="inlineStr">
        <is>
          <t>West Coast</t>
        </is>
      </c>
      <c r="B64" s="49">
        <f>B42-B20</f>
        <v/>
      </c>
      <c r="C64" s="47">
        <f>RANK(B64,B$48:B$65)</f>
        <v/>
      </c>
      <c r="D64" s="49">
        <f>D42-D20</f>
        <v/>
      </c>
      <c r="E64" s="47">
        <f>RANK(D64,D$48:D$65)</f>
        <v/>
      </c>
      <c r="F64" s="65">
        <f>F42-F20</f>
        <v/>
      </c>
      <c r="G64" s="47">
        <f>RANK(F64,F$48:F$65)</f>
        <v/>
      </c>
      <c r="H64" s="65">
        <f>H42-H20</f>
        <v/>
      </c>
      <c r="I64" s="47">
        <f>RANK(H64,H$48:H$65)</f>
        <v/>
      </c>
      <c r="L64" s="56" t="n"/>
      <c r="M64" s="65">
        <f>M42-M20</f>
        <v/>
      </c>
      <c r="N64" s="47">
        <f>RANK(M64,M$48:M$65)</f>
        <v/>
      </c>
      <c r="O64" s="56" t="n"/>
      <c r="P64" s="69" t="n"/>
    </row>
    <row r="65" ht="25" customHeight="1" thickBot="1">
      <c r="A65" s="92" t="inlineStr">
        <is>
          <t>Western Bulldogs</t>
        </is>
      </c>
      <c r="B65" s="95">
        <f>B43-B21</f>
        <v/>
      </c>
      <c r="C65" s="96">
        <f>RANK(B65,B$48:B$65)</f>
        <v/>
      </c>
      <c r="D65" s="95">
        <f>D43-D21</f>
        <v/>
      </c>
      <c r="E65" s="96">
        <f>RANK(D65,D$48:D$65)</f>
        <v/>
      </c>
      <c r="F65" s="66">
        <f>F43-F21</f>
        <v/>
      </c>
      <c r="G65" s="96">
        <f>RANK(F65,F$48:F$65)</f>
        <v/>
      </c>
      <c r="H65" s="66">
        <f>H43-H21</f>
        <v/>
      </c>
      <c r="I65" s="96">
        <f>RANK(H65,H$48:H$65)</f>
        <v/>
      </c>
      <c r="L65" s="62" t="n"/>
      <c r="M65" s="66">
        <f>M43-M21</f>
        <v/>
      </c>
      <c r="N65" s="96">
        <f>RANK(M65,M$48:M$65)</f>
        <v/>
      </c>
      <c r="O65" s="62" t="n"/>
      <c r="P65" s="69" t="n"/>
    </row>
    <row r="66">
      <c r="A66" s="69" t="n"/>
      <c r="B66" s="69" t="n"/>
      <c r="C66" s="69" t="n"/>
      <c r="D66" s="69" t="n"/>
      <c r="E66" s="69" t="n"/>
      <c r="F66" s="69" t="n"/>
      <c r="G66" s="69" t="n"/>
      <c r="H66" s="69" t="n"/>
      <c r="I66" s="69" t="n"/>
      <c r="L66" s="69" t="n"/>
      <c r="M66" s="69" t="n"/>
      <c r="N66" s="69" t="n"/>
      <c r="O66" s="69" t="n"/>
      <c r="P66" s="69" t="n"/>
    </row>
    <row r="67">
      <c r="A67" s="69" t="n"/>
      <c r="B67" s="69" t="n"/>
      <c r="C67" s="69" t="n"/>
      <c r="D67" s="69" t="n"/>
      <c r="E67" s="69" t="n"/>
      <c r="F67" s="69" t="n"/>
      <c r="G67" s="69" t="n"/>
      <c r="H67" s="69" t="n"/>
      <c r="I67" s="69" t="n"/>
      <c r="L67" s="69" t="n"/>
      <c r="M67" s="69" t="n"/>
      <c r="N67" s="69" t="n"/>
      <c r="O67" s="69" t="n"/>
      <c r="P67" s="69" t="n"/>
    </row>
    <row r="68">
      <c r="A68" s="69" t="n"/>
      <c r="B68" s="69" t="n"/>
      <c r="C68" s="69" t="n"/>
      <c r="D68" s="69" t="n"/>
      <c r="E68" s="69" t="n"/>
      <c r="F68" s="69" t="n"/>
      <c r="G68" s="69" t="n"/>
      <c r="H68" s="69" t="n"/>
      <c r="I68" s="69" t="n"/>
      <c r="L68" s="69" t="n"/>
      <c r="M68" s="69" t="n"/>
      <c r="N68" s="69" t="n"/>
      <c r="O68" s="69" t="n"/>
      <c r="P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L69" s="69" t="n"/>
      <c r="M69" s="69" t="n"/>
      <c r="N69" s="69" t="n"/>
      <c r="O69" s="69" t="n"/>
    </row>
  </sheetData>
  <conditionalFormatting sqref="B4:B21">
    <cfRule type="dataBar" priority="28">
      <dataBar>
        <cfvo type="min"/>
        <cfvo type="max"/>
        <color rgb="FF638EC6"/>
      </dataBar>
    </cfRule>
  </conditionalFormatting>
  <conditionalFormatting sqref="B26:B43">
    <cfRule type="dataBar" priority="12">
      <dataBar>
        <cfvo type="min"/>
        <cfvo type="max"/>
        <color rgb="FF638EC6"/>
      </dataBar>
    </cfRule>
  </conditionalFormatting>
  <conditionalFormatting sqref="B48:B65">
    <cfRule type="dataBar" priority="20">
      <dataBar>
        <cfvo type="min"/>
        <cfvo type="max"/>
        <color rgb="FF638EC6"/>
      </dataBar>
    </cfRule>
  </conditionalFormatting>
  <conditionalFormatting sqref="D4:D21">
    <cfRule type="dataBar" priority="27">
      <dataBar>
        <cfvo type="min"/>
        <cfvo type="max"/>
        <color rgb="FF63C384"/>
      </dataBar>
    </cfRule>
  </conditionalFormatting>
  <conditionalFormatting sqref="D26:D43">
    <cfRule type="dataBar" priority="11">
      <dataBar>
        <cfvo type="min"/>
        <cfvo type="max"/>
        <color rgb="FF63C384"/>
      </dataBar>
    </cfRule>
  </conditionalFormatting>
  <conditionalFormatting sqref="D48:D65">
    <cfRule type="dataBar" priority="19">
      <dataBar>
        <cfvo type="min"/>
        <cfvo type="max"/>
        <color rgb="FF63C384"/>
      </dataBar>
    </cfRule>
  </conditionalFormatting>
  <conditionalFormatting sqref="F4:F21">
    <cfRule type="dataBar" priority="22">
      <dataBar>
        <cfvo type="min"/>
        <cfvo type="max"/>
        <color rgb="FF63C384"/>
      </dataBar>
    </cfRule>
    <cfRule type="dataBar" priority="21">
      <dataBar>
        <cfvo type="min"/>
        <cfvo type="max"/>
        <color rgb="FFFFFF00"/>
      </dataBar>
    </cfRule>
  </conditionalFormatting>
  <conditionalFormatting sqref="F26:F43">
    <cfRule type="dataBar" priority="7">
      <dataBar>
        <cfvo type="min"/>
        <cfvo type="max"/>
        <color rgb="FFFFFF00"/>
      </dataBar>
    </cfRule>
    <cfRule type="dataBar" priority="8">
      <dataBar>
        <cfvo type="min"/>
        <cfvo type="max"/>
        <color rgb="FF63C384"/>
      </dataBar>
    </cfRule>
  </conditionalFormatting>
  <conditionalFormatting sqref="F48:F65">
    <cfRule type="dataBar" priority="13">
      <dataBar>
        <cfvo type="min"/>
        <cfvo type="max"/>
        <color rgb="FFFFFF00"/>
      </dataBar>
    </cfRule>
    <cfRule type="dataBar" priority="14">
      <dataBar>
        <cfvo type="min"/>
        <cfvo type="max"/>
        <color rgb="FF63C384"/>
      </dataBar>
    </cfRule>
  </conditionalFormatting>
  <conditionalFormatting sqref="H4:H21">
    <cfRule type="dataBar" priority="25">
      <dataBar>
        <cfvo type="min"/>
        <cfvo type="max"/>
        <color rgb="FFFF555A"/>
      </dataBar>
    </cfRule>
    <cfRule type="dataBar" priority="26">
      <dataBar>
        <cfvo type="min"/>
        <cfvo type="max"/>
        <color rgb="FF63C384"/>
      </dataBar>
    </cfRule>
  </conditionalFormatting>
  <conditionalFormatting sqref="H26:H43">
    <cfRule type="dataBar" priority="9">
      <dataBar>
        <cfvo type="min"/>
        <cfvo type="max"/>
        <color rgb="FFFF555A"/>
      </dataBar>
    </cfRule>
    <cfRule type="dataBar" priority="10">
      <dataBar>
        <cfvo type="min"/>
        <cfvo type="max"/>
        <color rgb="FF63C384"/>
      </dataBar>
    </cfRule>
  </conditionalFormatting>
  <conditionalFormatting sqref="H48:H65">
    <cfRule type="dataBar" priority="17">
      <dataBar>
        <cfvo type="min"/>
        <cfvo type="max"/>
        <color rgb="FFFF555A"/>
      </dataBar>
    </cfRule>
    <cfRule type="dataBar" priority="18">
      <dataBar>
        <cfvo type="min"/>
        <cfvo type="max"/>
        <color rgb="FF63C384"/>
      </dataBar>
    </cfRule>
  </conditionalFormatting>
  <conditionalFormatting sqref="J4:J21">
    <cfRule type="dataBar" priority="3">
      <dataBar>
        <cfvo type="min"/>
        <cfvo type="max"/>
        <color rgb="FFD883FF"/>
      </dataBar>
    </cfRule>
    <cfRule type="dataBar" priority="4">
      <dataBar>
        <cfvo type="min"/>
        <cfvo type="max"/>
        <color rgb="FF63C384"/>
      </dataBar>
    </cfRule>
  </conditionalFormatting>
  <conditionalFormatting sqref="J26:J43">
    <cfRule type="dataBar" priority="1">
      <dataBar>
        <cfvo type="min"/>
        <cfvo type="max"/>
        <color rgb="FFD883FF"/>
      </dataBar>
    </cfRule>
    <cfRule type="dataBar" priority="2">
      <dataBar>
        <cfvo type="min"/>
        <cfvo type="max"/>
        <color rgb="FF63C384"/>
      </dataBar>
    </cfRule>
  </conditionalFormatting>
  <conditionalFormatting sqref="M4:M21">
    <cfRule type="dataBar" priority="23">
      <dataBar>
        <cfvo type="min"/>
        <cfvo type="max"/>
        <color theme="1" tint="0.499984740745262"/>
      </dataBar>
    </cfRule>
    <cfRule type="dataBar" priority="24">
      <dataBar>
        <cfvo type="min"/>
        <cfvo type="max"/>
        <color rgb="FF63C384"/>
      </dataBar>
    </cfRule>
  </conditionalFormatting>
  <conditionalFormatting sqref="M26:M43">
    <cfRule type="dataBar" priority="6">
      <dataBar>
        <cfvo type="min"/>
        <cfvo type="max"/>
        <color rgb="FF63C384"/>
      </dataBar>
    </cfRule>
    <cfRule type="dataBar" priority="5">
      <dataBar>
        <cfvo type="min"/>
        <cfvo type="max"/>
        <color theme="1" tint="0.499984740745262"/>
      </dataBar>
    </cfRule>
  </conditionalFormatting>
  <conditionalFormatting sqref="M48:M65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theme="1" tint="0.499984740745262"/>
      </dataBar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C000"/>
    <outlinePr summaryBelow="1" summaryRight="1"/>
    <pageSetUpPr/>
  </sheetPr>
  <dimension ref="A1:P69"/>
  <sheetViews>
    <sheetView topLeftCell="A10" zoomScale="114" workbookViewId="0">
      <pane xSplit="1" topLeftCell="B1" activePane="topRight" state="frozen"/>
      <selection activeCell="A4" sqref="A4"/>
      <selection pane="topRight" activeCell="A23" sqref="A23"/>
    </sheetView>
  </sheetViews>
  <sheetFormatPr baseColWidth="10" defaultRowHeight="16"/>
  <cols>
    <col width="30.33203125" bestFit="1" customWidth="1" min="1" max="1"/>
    <col width="11" customWidth="1" min="2" max="2"/>
    <col width="3.6640625" customWidth="1" min="3" max="3"/>
    <col width="11" customWidth="1" min="4" max="4"/>
    <col width="3.6640625" customWidth="1" min="5" max="5"/>
    <col width="11" customWidth="1" min="6" max="6"/>
    <col width="3.6640625" customWidth="1" min="7" max="7"/>
    <col width="11" customWidth="1" min="8" max="8"/>
    <col width="3.6640625" customWidth="1" min="9" max="9"/>
    <col width="11" customWidth="1" min="10" max="10"/>
    <col width="3.6640625" customWidth="1" min="11" max="12"/>
    <col width="11" customWidth="1" min="13" max="13"/>
    <col width="3.6640625" customWidth="1" min="14" max="15"/>
  </cols>
  <sheetData>
    <row r="1" ht="35" customHeight="1">
      <c r="A1" s="68">
        <f>'Seasons Summary'!B1</f>
        <v/>
      </c>
      <c r="B1" s="69" t="n"/>
      <c r="C1" s="69" t="n"/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</row>
    <row r="2" ht="17" customHeight="1" thickBot="1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</row>
    <row r="3" ht="52" customFormat="1" customHeight="1" s="2" thickBot="1">
      <c r="A3" s="93" t="inlineStr">
        <is>
          <t>Team</t>
        </is>
      </c>
      <c r="B3" s="27" t="inlineStr">
        <is>
          <t>Ball Winning Ranking</t>
        </is>
      </c>
      <c r="C3" s="38" t="inlineStr">
        <is>
          <t>#</t>
        </is>
      </c>
      <c r="D3" s="30" t="inlineStr">
        <is>
          <t>Ball Movement Ranking</t>
        </is>
      </c>
      <c r="E3" s="31" t="inlineStr">
        <is>
          <t>#</t>
        </is>
      </c>
      <c r="F3" s="44" t="inlineStr">
        <is>
          <t>Scoring Ranking</t>
        </is>
      </c>
      <c r="G3" s="45" t="inlineStr">
        <is>
          <t>#</t>
        </is>
      </c>
      <c r="H3" s="33" t="inlineStr">
        <is>
          <t>Defence Ranking</t>
        </is>
      </c>
      <c r="I3" s="34" t="inlineStr">
        <is>
          <t>#</t>
        </is>
      </c>
      <c r="J3" s="186" t="inlineStr">
        <is>
          <t>Pressure Ranking</t>
        </is>
      </c>
      <c r="K3" s="187" t="inlineStr">
        <is>
          <t>#</t>
        </is>
      </c>
      <c r="L3" s="94" t="n"/>
      <c r="M3" s="36" t="inlineStr">
        <is>
          <t>Team Rating</t>
        </is>
      </c>
      <c r="N3" s="37" t="inlineStr">
        <is>
          <t>#</t>
        </is>
      </c>
      <c r="O3" s="94" t="n"/>
      <c r="P3" s="71" t="n"/>
    </row>
    <row r="4" ht="25" customFormat="1" customHeight="1" s="3">
      <c r="A4" s="212" t="inlineStr">
        <is>
          <t>Sydney</t>
        </is>
      </c>
      <c r="B4" s="49">
        <f>'Seasons Summary'!J20</f>
        <v/>
      </c>
      <c r="C4" s="47">
        <f>RANK(B4,B$4:B$21)</f>
        <v/>
      </c>
      <c r="D4" s="49">
        <f>'Seasons Summary'!U20</f>
        <v/>
      </c>
      <c r="E4" s="47">
        <f>RANK(D4,D$4:D$21)</f>
        <v/>
      </c>
      <c r="F4" s="49">
        <f>'Seasons Summary'!AF20</f>
        <v/>
      </c>
      <c r="G4" s="47">
        <f>RANK(F4,F$4:F$21)</f>
        <v/>
      </c>
      <c r="H4" s="49">
        <f>'Seasons Summary'!AQ20</f>
        <v/>
      </c>
      <c r="I4" s="47">
        <f>RANK(H4,H$4:H$21)</f>
        <v/>
      </c>
      <c r="J4" s="49">
        <f>'Seasons Summary'!BB20</f>
        <v/>
      </c>
      <c r="K4" s="47">
        <f>RANK(J4,J$4:J$21)</f>
        <v/>
      </c>
      <c r="L4" s="50" t="n"/>
      <c r="M4" s="49">
        <f>AVERAGE(B4,D4,F4,H4,J4)</f>
        <v/>
      </c>
      <c r="N4" s="47">
        <f>RANK(M4,M$4:M$21)</f>
        <v/>
      </c>
      <c r="O4" s="50" t="n"/>
      <c r="P4" s="72" t="n"/>
    </row>
    <row r="5" ht="25" customFormat="1" customHeight="1" s="3">
      <c r="A5" s="173" t="inlineStr">
        <is>
          <t>Geelong</t>
        </is>
      </c>
      <c r="B5" s="49">
        <f>'Seasons Summary'!J11</f>
        <v/>
      </c>
      <c r="C5" s="47">
        <f>RANK(B5,B$4:B$21)</f>
        <v/>
      </c>
      <c r="D5" s="49">
        <f>'Seasons Summary'!U11</f>
        <v/>
      </c>
      <c r="E5" s="47">
        <f>RANK(D5,D$4:D$21)</f>
        <v/>
      </c>
      <c r="F5" s="49">
        <f>'Seasons Summary'!AF11</f>
        <v/>
      </c>
      <c r="G5" s="47">
        <f>RANK(F5,F$4:F$21)</f>
        <v/>
      </c>
      <c r="H5" s="49">
        <f>'Seasons Summary'!AQ11</f>
        <v/>
      </c>
      <c r="I5" s="47">
        <f>RANK(H5,H$4:H$21)</f>
        <v/>
      </c>
      <c r="J5" s="49">
        <f>'Seasons Summary'!BB11</f>
        <v/>
      </c>
      <c r="K5" s="47">
        <f>RANK(J5,J$4:J$21)</f>
        <v/>
      </c>
      <c r="L5" s="56" t="n"/>
      <c r="M5" s="49">
        <f>AVERAGE(B5,D5,F5,H5,J5)</f>
        <v/>
      </c>
      <c r="N5" s="47">
        <f>RANK(M5,M$4:M$21)</f>
        <v/>
      </c>
      <c r="O5" s="56" t="n"/>
      <c r="P5" s="72" t="n"/>
    </row>
    <row r="6" ht="25" customFormat="1" customHeight="1" s="3">
      <c r="A6" s="226" t="inlineStr">
        <is>
          <t>Brisbane</t>
        </is>
      </c>
      <c r="B6" s="49">
        <f>'Seasons Summary'!J6</f>
        <v/>
      </c>
      <c r="C6" s="47">
        <f>RANK(B6,B$4:B$21)</f>
        <v/>
      </c>
      <c r="D6" s="49">
        <f>'Seasons Summary'!U6</f>
        <v/>
      </c>
      <c r="E6" s="47">
        <f>RANK(D6,D$4:D$21)</f>
        <v/>
      </c>
      <c r="F6" s="49">
        <f>'Seasons Summary'!AF6</f>
        <v/>
      </c>
      <c r="G6" s="47">
        <f>RANK(F6,F$4:F$21)</f>
        <v/>
      </c>
      <c r="H6" s="49">
        <f>'Seasons Summary'!AQ6</f>
        <v/>
      </c>
      <c r="I6" s="47">
        <f>RANK(H6,H$4:H$21)</f>
        <v/>
      </c>
      <c r="J6" s="49">
        <f>'Seasons Summary'!BB6</f>
        <v/>
      </c>
      <c r="K6" s="47">
        <f>RANK(J6,J$4:J$21)</f>
        <v/>
      </c>
      <c r="L6" s="56" t="n"/>
      <c r="M6" s="49">
        <f>AVERAGE(B6,D6,F6,H6,J6)</f>
        <v/>
      </c>
      <c r="N6" s="47">
        <f>RANK(M6,M$4:M$21)</f>
        <v/>
      </c>
      <c r="O6" s="56" t="n"/>
      <c r="P6" s="72" t="n"/>
    </row>
    <row r="7" ht="25" customFormat="1" customHeight="1" s="3">
      <c r="A7" s="86" t="inlineStr">
        <is>
          <t>Western Bulldogs</t>
        </is>
      </c>
      <c r="B7" s="49">
        <f>'Seasons Summary'!J22</f>
        <v/>
      </c>
      <c r="C7" s="47">
        <f>RANK(B7,B$4:B$21)</f>
        <v/>
      </c>
      <c r="D7" s="49">
        <f>'Seasons Summary'!U22</f>
        <v/>
      </c>
      <c r="E7" s="47">
        <f>RANK(D7,D$4:D$21)</f>
        <v/>
      </c>
      <c r="F7" s="49">
        <f>'Seasons Summary'!AF22</f>
        <v/>
      </c>
      <c r="G7" s="47">
        <f>RANK(F7,F$4:F$21)</f>
        <v/>
      </c>
      <c r="H7" s="49">
        <f>'Seasons Summary'!AQ22</f>
        <v/>
      </c>
      <c r="I7" s="47">
        <f>RANK(H7,H$4:H$21)</f>
        <v/>
      </c>
      <c r="J7" s="49">
        <f>'Seasons Summary'!BB22</f>
        <v/>
      </c>
      <c r="K7" s="47">
        <f>RANK(J7,J$4:J$21)</f>
        <v/>
      </c>
      <c r="L7" s="56" t="n"/>
      <c r="M7" s="49">
        <f>AVERAGE(B7,D7,F7,H7,J7)</f>
        <v/>
      </c>
      <c r="N7" s="47">
        <f>RANK(M7,M$4:M$21)</f>
        <v/>
      </c>
      <c r="O7" s="56" t="n"/>
      <c r="P7" s="72" t="n"/>
    </row>
    <row r="8" ht="25" customFormat="1" customHeight="1" s="3">
      <c r="A8" s="220" t="inlineStr">
        <is>
          <t>Hawthorn</t>
        </is>
      </c>
      <c r="B8" s="49">
        <f>'Seasons Summary'!J14</f>
        <v/>
      </c>
      <c r="C8" s="47">
        <f>RANK(B8,B$4:B$21)</f>
        <v/>
      </c>
      <c r="D8" s="49">
        <f>'Seasons Summary'!U14</f>
        <v/>
      </c>
      <c r="E8" s="47">
        <f>RANK(D8,D$4:D$21)</f>
        <v/>
      </c>
      <c r="F8" s="49">
        <f>'Seasons Summary'!AF14</f>
        <v/>
      </c>
      <c r="G8" s="47">
        <f>RANK(F8,F$4:F$21)</f>
        <v/>
      </c>
      <c r="H8" s="49">
        <f>'Seasons Summary'!AQ14</f>
        <v/>
      </c>
      <c r="I8" s="47">
        <f>RANK(H8,H$4:H$21)</f>
        <v/>
      </c>
      <c r="J8" s="49">
        <f>'Seasons Summary'!BB14</f>
        <v/>
      </c>
      <c r="K8" s="47">
        <f>RANK(J8,J$4:J$21)</f>
        <v/>
      </c>
      <c r="L8" s="56" t="n"/>
      <c r="M8" s="49">
        <f>AVERAGE(B8,D8,F8,H8,J8)</f>
        <v/>
      </c>
      <c r="N8" s="47">
        <f>RANK(M8,M$4:M$21)</f>
        <v/>
      </c>
      <c r="O8" s="56" t="n"/>
      <c r="P8" s="72" t="n"/>
    </row>
    <row r="9" ht="25" customFormat="1" customHeight="1" s="3">
      <c r="A9" s="174" t="inlineStr">
        <is>
          <t>Greater Western Sydney</t>
        </is>
      </c>
      <c r="B9" s="49">
        <f>'Seasons Summary'!J13</f>
        <v/>
      </c>
      <c r="C9" s="47">
        <f>RANK(B9,B$4:B$21)</f>
        <v/>
      </c>
      <c r="D9" s="49">
        <f>'Seasons Summary'!U13</f>
        <v/>
      </c>
      <c r="E9" s="47">
        <f>RANK(D9,D$4:D$21)</f>
        <v/>
      </c>
      <c r="F9" s="49">
        <f>'Seasons Summary'!AF13</f>
        <v/>
      </c>
      <c r="G9" s="47">
        <f>RANK(F9,F$4:F$21)</f>
        <v/>
      </c>
      <c r="H9" s="49">
        <f>'Seasons Summary'!AQ13</f>
        <v/>
      </c>
      <c r="I9" s="47">
        <f>RANK(H9,H$4:H$21)</f>
        <v/>
      </c>
      <c r="J9" s="49">
        <f>'Seasons Summary'!BB13</f>
        <v/>
      </c>
      <c r="K9" s="47">
        <f>RANK(J9,J$4:J$21)</f>
        <v/>
      </c>
      <c r="L9" s="56" t="n"/>
      <c r="M9" s="49">
        <f>AVERAGE(B9,D9,F9,H9,J9)</f>
        <v/>
      </c>
      <c r="N9" s="47">
        <f>RANK(M9,M$4:M$21)</f>
        <v/>
      </c>
      <c r="O9" s="56" t="n"/>
      <c r="P9" s="72" t="n"/>
    </row>
    <row r="10" ht="25" customFormat="1" customHeight="1" s="3">
      <c r="A10" s="218" t="inlineStr">
        <is>
          <t>St Kilda</t>
        </is>
      </c>
      <c r="B10" s="49">
        <f>'Seasons Summary'!J19</f>
        <v/>
      </c>
      <c r="C10" s="47">
        <f>RANK(B10,B$4:B$21)</f>
        <v/>
      </c>
      <c r="D10" s="49">
        <f>'Seasons Summary'!U19</f>
        <v/>
      </c>
      <c r="E10" s="47">
        <f>RANK(D10,D$4:D$21)</f>
        <v/>
      </c>
      <c r="F10" s="49">
        <f>'Seasons Summary'!AF19</f>
        <v/>
      </c>
      <c r="G10" s="47">
        <f>RANK(F10,F$4:F$21)</f>
        <v/>
      </c>
      <c r="H10" s="49">
        <f>'Seasons Summary'!AQ19</f>
        <v/>
      </c>
      <c r="I10" s="47">
        <f>RANK(H10,H$4:H$21)</f>
        <v/>
      </c>
      <c r="J10" s="49">
        <f>'Seasons Summary'!BB19</f>
        <v/>
      </c>
      <c r="K10" s="47">
        <f>RANK(J10,J$4:J$21)</f>
        <v/>
      </c>
      <c r="L10" s="56" t="n"/>
      <c r="M10" s="49">
        <f>AVERAGE(B10,D10,F10,H10,J10)</f>
        <v/>
      </c>
      <c r="N10" s="47">
        <f>RANK(M10,M$4:M$21)</f>
        <v/>
      </c>
      <c r="O10" s="56" t="n"/>
      <c r="P10" s="72" t="n"/>
    </row>
    <row r="11" ht="25" customFormat="1" customHeight="1" s="3">
      <c r="A11" s="181" t="inlineStr">
        <is>
          <t>Carlton</t>
        </is>
      </c>
      <c r="B11" s="49">
        <f>'Seasons Summary'!J7</f>
        <v/>
      </c>
      <c r="C11" s="47">
        <f>RANK(B11,B$4:B$21)</f>
        <v/>
      </c>
      <c r="D11" s="49">
        <f>'Seasons Summary'!U7</f>
        <v/>
      </c>
      <c r="E11" s="47">
        <f>RANK(D11,D$4:D$21)</f>
        <v/>
      </c>
      <c r="F11" s="49">
        <f>'Seasons Summary'!AF7</f>
        <v/>
      </c>
      <c r="G11" s="47">
        <f>RANK(F11,F$4:F$21)</f>
        <v/>
      </c>
      <c r="H11" s="49">
        <f>'Seasons Summary'!AQ7</f>
        <v/>
      </c>
      <c r="I11" s="47">
        <f>RANK(H11,H$4:H$21)</f>
        <v/>
      </c>
      <c r="J11" s="49">
        <f>'Seasons Summary'!BB7</f>
        <v/>
      </c>
      <c r="K11" s="47">
        <f>RANK(J11,J$4:J$21)</f>
        <v/>
      </c>
      <c r="L11" s="56" t="n"/>
      <c r="M11" s="49">
        <f>AVERAGE(B11,D11,F11,H11,J11)</f>
        <v/>
      </c>
      <c r="N11" s="47">
        <f>RANK(M11,M$4:M$21)</f>
        <v/>
      </c>
      <c r="O11" s="56" t="n"/>
      <c r="P11" s="72" t="n"/>
    </row>
    <row r="12" ht="25" customFormat="1" customHeight="1" s="3">
      <c r="A12" s="224" t="inlineStr">
        <is>
          <t>Port Adelaide</t>
        </is>
      </c>
      <c r="B12" s="49">
        <f>'Seasons Summary'!J17</f>
        <v/>
      </c>
      <c r="C12" s="47">
        <f>RANK(B12,B$4:B$21)</f>
        <v/>
      </c>
      <c r="D12" s="49">
        <f>'Seasons Summary'!U17</f>
        <v/>
      </c>
      <c r="E12" s="47">
        <f>RANK(D12,D$4:D$21)</f>
        <v/>
      </c>
      <c r="F12" s="49">
        <f>'Seasons Summary'!AF17</f>
        <v/>
      </c>
      <c r="G12" s="47">
        <f>RANK(F12,F$4:F$21)</f>
        <v/>
      </c>
      <c r="H12" s="49">
        <f>'Seasons Summary'!AQ17</f>
        <v/>
      </c>
      <c r="I12" s="47">
        <f>RANK(H12,H$4:H$21)</f>
        <v/>
      </c>
      <c r="J12" s="49">
        <f>'Seasons Summary'!BB17</f>
        <v/>
      </c>
      <c r="K12" s="47">
        <f>RANK(J12,J$4:J$21)</f>
        <v/>
      </c>
      <c r="L12" s="56" t="n"/>
      <c r="M12" s="49">
        <f>AVERAGE(B12,D12,F12,H12,J12)</f>
        <v/>
      </c>
      <c r="N12" s="47">
        <f>RANK(M12,M$4:M$21)</f>
        <v/>
      </c>
      <c r="O12" s="56" t="n"/>
      <c r="P12" s="72" t="n"/>
    </row>
    <row r="13" ht="25" customFormat="1" customHeight="1" s="3">
      <c r="A13" s="213" t="inlineStr">
        <is>
          <t>Collingwood</t>
        </is>
      </c>
      <c r="B13" s="49">
        <f>'Seasons Summary'!J8</f>
        <v/>
      </c>
      <c r="C13" s="47">
        <f>RANK(B13,B$4:B$21)</f>
        <v/>
      </c>
      <c r="D13" s="49">
        <f>'Seasons Summary'!U8</f>
        <v/>
      </c>
      <c r="E13" s="47">
        <f>RANK(D13,D$4:D$21)</f>
        <v/>
      </c>
      <c r="F13" s="49">
        <f>'Seasons Summary'!AF8</f>
        <v/>
      </c>
      <c r="G13" s="47">
        <f>RANK(F13,F$4:F$21)</f>
        <v/>
      </c>
      <c r="H13" s="49">
        <f>'Seasons Summary'!AQ8</f>
        <v/>
      </c>
      <c r="I13" s="47">
        <f>RANK(H13,H$4:H$21)</f>
        <v/>
      </c>
      <c r="J13" s="49">
        <f>'Seasons Summary'!BB8</f>
        <v/>
      </c>
      <c r="K13" s="47">
        <f>RANK(J13,J$4:J$21)</f>
        <v/>
      </c>
      <c r="L13" s="56" t="n"/>
      <c r="M13" s="49">
        <f>AVERAGE(B13,D13,F13,H13,J13)</f>
        <v/>
      </c>
      <c r="N13" s="47">
        <f>RANK(M13,M$4:M$21)</f>
        <v/>
      </c>
      <c r="O13" s="56" t="n"/>
      <c r="P13" s="72" t="n"/>
    </row>
    <row r="14" ht="25" customFormat="1" customHeight="1" s="3">
      <c r="A14" s="223" t="inlineStr">
        <is>
          <t>Fremantle</t>
        </is>
      </c>
      <c r="B14" s="49">
        <f>'Seasons Summary'!J10</f>
        <v/>
      </c>
      <c r="C14" s="47">
        <f>RANK(B14,B$4:B$21)</f>
        <v/>
      </c>
      <c r="D14" s="49">
        <f>'Seasons Summary'!U10</f>
        <v/>
      </c>
      <c r="E14" s="47">
        <f>RANK(D14,D$4:D$21)</f>
        <v/>
      </c>
      <c r="F14" s="49">
        <f>'Seasons Summary'!AF10</f>
        <v/>
      </c>
      <c r="G14" s="47">
        <f>RANK(F14,F$4:F$21)</f>
        <v/>
      </c>
      <c r="H14" s="49">
        <f>'Seasons Summary'!AQ10</f>
        <v/>
      </c>
      <c r="I14" s="47">
        <f>RANK(H14,H$4:H$21)</f>
        <v/>
      </c>
      <c r="J14" s="49">
        <f>'Seasons Summary'!BB10</f>
        <v/>
      </c>
      <c r="K14" s="47">
        <f>RANK(J14,J$4:J$21)</f>
        <v/>
      </c>
      <c r="L14" s="56" t="n"/>
      <c r="M14" s="49">
        <f>AVERAGE(B14,D14,F14,H14,J14)</f>
        <v/>
      </c>
      <c r="N14" s="47">
        <f>RANK(M14,M$4:M$21)</f>
        <v/>
      </c>
      <c r="O14" s="56" t="n"/>
      <c r="P14" s="72" t="n"/>
    </row>
    <row r="15" ht="25" customFormat="1" customHeight="1" s="3">
      <c r="A15" s="172" t="inlineStr">
        <is>
          <t>Adelaide</t>
        </is>
      </c>
      <c r="B15" s="49">
        <f>'Seasons Summary'!J5</f>
        <v/>
      </c>
      <c r="C15" s="47">
        <f>RANK(B15,B$4:B$21)</f>
        <v/>
      </c>
      <c r="D15" s="49">
        <f>'Seasons Summary'!U5</f>
        <v/>
      </c>
      <c r="E15" s="47">
        <f>RANK(D15,D$4:D$21)</f>
        <v/>
      </c>
      <c r="F15" s="49">
        <f>'Seasons Summary'!AF5</f>
        <v/>
      </c>
      <c r="G15" s="47">
        <f>RANK(F15,F$4:F$21)</f>
        <v/>
      </c>
      <c r="H15" s="49">
        <f>'Seasons Summary'!AQ5</f>
        <v/>
      </c>
      <c r="I15" s="47">
        <f>RANK(H15,H$4:H$21)</f>
        <v/>
      </c>
      <c r="J15" s="49">
        <f>'Seasons Summary'!BB5</f>
        <v/>
      </c>
      <c r="K15" s="47">
        <f>RANK(J15,J$4:J$21)</f>
        <v/>
      </c>
      <c r="L15" s="56" t="n"/>
      <c r="M15" s="49">
        <f>AVERAGE(B15,D15,F15,H15,J15)</f>
        <v/>
      </c>
      <c r="N15" s="47">
        <f>RANK(M15,M$4:M$21)</f>
        <v/>
      </c>
      <c r="O15" s="56" t="n"/>
      <c r="P15" s="72" t="n"/>
    </row>
    <row r="16" ht="25" customFormat="1" customHeight="1" s="3">
      <c r="A16" s="225" t="inlineStr">
        <is>
          <t>Gold Coast</t>
        </is>
      </c>
      <c r="B16" s="49">
        <f>'Seasons Summary'!J12</f>
        <v/>
      </c>
      <c r="C16" s="47">
        <f>RANK(B16,B$4:B$21)</f>
        <v/>
      </c>
      <c r="D16" s="49">
        <f>'Seasons Summary'!U12</f>
        <v/>
      </c>
      <c r="E16" s="47">
        <f>RANK(D16,D$4:D$21)</f>
        <v/>
      </c>
      <c r="F16" s="49">
        <f>'Seasons Summary'!AF12</f>
        <v/>
      </c>
      <c r="G16" s="47">
        <f>RANK(F16,F$4:F$21)</f>
        <v/>
      </c>
      <c r="H16" s="49">
        <f>'Seasons Summary'!AQ12</f>
        <v/>
      </c>
      <c r="I16" s="47">
        <f>RANK(H16,H$4:H$21)</f>
        <v/>
      </c>
      <c r="J16" s="49">
        <f>'Seasons Summary'!BB12</f>
        <v/>
      </c>
      <c r="K16" s="47">
        <f>RANK(J16,J$4:J$21)</f>
        <v/>
      </c>
      <c r="L16" s="56" t="n"/>
      <c r="M16" s="49">
        <f>AVERAGE(B16,D16,F16,H16,J16)</f>
        <v/>
      </c>
      <c r="N16" s="47">
        <f>RANK(M16,M$4:M$21)</f>
        <v/>
      </c>
      <c r="O16" s="56" t="n"/>
      <c r="P16" s="72" t="n"/>
    </row>
    <row r="17" ht="25" customFormat="1" customHeight="1" s="3">
      <c r="A17" s="222" t="inlineStr">
        <is>
          <t>Melbourne</t>
        </is>
      </c>
      <c r="B17" s="49">
        <f>'Seasons Summary'!J15</f>
        <v/>
      </c>
      <c r="C17" s="47">
        <f>RANK(B17,B$4:B$21)</f>
        <v/>
      </c>
      <c r="D17" s="49">
        <f>'Seasons Summary'!U15</f>
        <v/>
      </c>
      <c r="E17" s="47">
        <f>RANK(D17,D$4:D$21)</f>
        <v/>
      </c>
      <c r="F17" s="49">
        <f>'Seasons Summary'!AF15</f>
        <v/>
      </c>
      <c r="G17" s="47">
        <f>RANK(F17,F$4:F$21)</f>
        <v/>
      </c>
      <c r="H17" s="49">
        <f>'Seasons Summary'!AQ15</f>
        <v/>
      </c>
      <c r="I17" s="47">
        <f>RANK(H17,H$4:H$21)</f>
        <v/>
      </c>
      <c r="J17" s="49">
        <f>'Seasons Summary'!BB15</f>
        <v/>
      </c>
      <c r="K17" s="47">
        <f>RANK(J17,J$4:J$21)</f>
        <v/>
      </c>
      <c r="L17" s="56" t="n"/>
      <c r="M17" s="49">
        <f>AVERAGE(B17,D17,F17,H17,J17)</f>
        <v/>
      </c>
      <c r="N17" s="47">
        <f>RANK(M17,M$4:M$21)</f>
        <v/>
      </c>
      <c r="O17" s="56" t="n"/>
      <c r="P17" s="72" t="n"/>
    </row>
    <row r="18" ht="25" customFormat="1" customHeight="1" s="3">
      <c r="A18" s="219" t="inlineStr">
        <is>
          <t>Essendon</t>
        </is>
      </c>
      <c r="B18" s="49">
        <f>'Seasons Summary'!J9</f>
        <v/>
      </c>
      <c r="C18" s="47">
        <f>RANK(B18,B$4:B$21)</f>
        <v/>
      </c>
      <c r="D18" s="49">
        <f>'Seasons Summary'!U9</f>
        <v/>
      </c>
      <c r="E18" s="47">
        <f>RANK(D18,D$4:D$21)</f>
        <v/>
      </c>
      <c r="F18" s="49">
        <f>'Seasons Summary'!AF9</f>
        <v/>
      </c>
      <c r="G18" s="47">
        <f>RANK(F18,F$4:F$21)</f>
        <v/>
      </c>
      <c r="H18" s="49">
        <f>'Seasons Summary'!AQ9</f>
        <v/>
      </c>
      <c r="I18" s="47">
        <f>RANK(H18,H$4:H$21)</f>
        <v/>
      </c>
      <c r="J18" s="49">
        <f>'Seasons Summary'!BB9</f>
        <v/>
      </c>
      <c r="K18" s="47">
        <f>RANK(J18,J$4:J$21)</f>
        <v/>
      </c>
      <c r="L18" s="56" t="n"/>
      <c r="M18" s="49">
        <f>AVERAGE(B18,D18,F18,H18,J18)</f>
        <v/>
      </c>
      <c r="N18" s="47">
        <f>RANK(M18,M$4:M$21)</f>
        <v/>
      </c>
      <c r="O18" s="56" t="n"/>
      <c r="P18" s="72" t="n"/>
    </row>
    <row r="19" ht="25" customFormat="1" customHeight="1" s="3">
      <c r="A19" s="86" t="inlineStr">
        <is>
          <t>North Melbourne</t>
        </is>
      </c>
      <c r="B19" s="49">
        <f>'Seasons Summary'!J16</f>
        <v/>
      </c>
      <c r="C19" s="47">
        <f>RANK(B19,B$4:B$21)</f>
        <v/>
      </c>
      <c r="D19" s="49">
        <f>'Seasons Summary'!U16</f>
        <v/>
      </c>
      <c r="E19" s="47">
        <f>RANK(D19,D$4:D$21)</f>
        <v/>
      </c>
      <c r="F19" s="49">
        <f>'Seasons Summary'!AF16</f>
        <v/>
      </c>
      <c r="G19" s="47">
        <f>RANK(F19,F$4:F$21)</f>
        <v/>
      </c>
      <c r="H19" s="49">
        <f>'Seasons Summary'!AQ16</f>
        <v/>
      </c>
      <c r="I19" s="47">
        <f>RANK(H19,H$4:H$21)</f>
        <v/>
      </c>
      <c r="J19" s="49">
        <f>'Seasons Summary'!BB16</f>
        <v/>
      </c>
      <c r="K19" s="47">
        <f>RANK(J19,J$4:J$21)</f>
        <v/>
      </c>
      <c r="L19" s="56" t="n"/>
      <c r="M19" s="49">
        <f>AVERAGE(B19,D19,F19,H19,J19)</f>
        <v/>
      </c>
      <c r="N19" s="47">
        <f>RANK(M19,M$4:M$21)</f>
        <v/>
      </c>
      <c r="O19" s="56" t="n"/>
      <c r="P19" s="72" t="n"/>
    </row>
    <row r="20" ht="25" customFormat="1" customHeight="1" s="3">
      <c r="A20" s="91" t="inlineStr">
        <is>
          <t>West Coast</t>
        </is>
      </c>
      <c r="B20" s="49">
        <f>'Seasons Summary'!J21</f>
        <v/>
      </c>
      <c r="C20" s="47">
        <f>RANK(B20,B$4:B$21)</f>
        <v/>
      </c>
      <c r="D20" s="49">
        <f>'Seasons Summary'!U21</f>
        <v/>
      </c>
      <c r="E20" s="47">
        <f>RANK(D20,D$4:D$21)</f>
        <v/>
      </c>
      <c r="F20" s="49">
        <f>'Seasons Summary'!AF21</f>
        <v/>
      </c>
      <c r="G20" s="47">
        <f>RANK(F20,F$4:F$21)</f>
        <v/>
      </c>
      <c r="H20" s="49">
        <f>'Seasons Summary'!AQ21</f>
        <v/>
      </c>
      <c r="I20" s="47">
        <f>RANK(H20,H$4:H$21)</f>
        <v/>
      </c>
      <c r="J20" s="49">
        <f>'Seasons Summary'!BB21</f>
        <v/>
      </c>
      <c r="K20" s="47">
        <f>RANK(J20,J$4:J$21)</f>
        <v/>
      </c>
      <c r="L20" s="56" t="n"/>
      <c r="M20" s="49">
        <f>AVERAGE(B20,D20,F20,H20,J20)</f>
        <v/>
      </c>
      <c r="N20" s="47">
        <f>RANK(M20,M$4:M$21)</f>
        <v/>
      </c>
      <c r="O20" s="56" t="n"/>
      <c r="P20" s="72" t="n"/>
    </row>
    <row r="21" ht="25" customFormat="1" customHeight="1" s="3" thickBot="1">
      <c r="A21" s="221" t="inlineStr">
        <is>
          <t>Richmond</t>
        </is>
      </c>
      <c r="B21" s="95">
        <f>'Seasons Summary'!J18</f>
        <v/>
      </c>
      <c r="C21" s="96">
        <f>RANK(B21,B$4:B$21)</f>
        <v/>
      </c>
      <c r="D21" s="95">
        <f>'Seasons Summary'!U18</f>
        <v/>
      </c>
      <c r="E21" s="96">
        <f>RANK(D21,D$4:D$21)</f>
        <v/>
      </c>
      <c r="F21" s="95">
        <f>'Seasons Summary'!AF18</f>
        <v/>
      </c>
      <c r="G21" s="96">
        <f>RANK(F21,F$4:F$21)</f>
        <v/>
      </c>
      <c r="H21" s="95">
        <f>'Seasons Summary'!AQ18</f>
        <v/>
      </c>
      <c r="I21" s="96">
        <f>RANK(H21,H$4:H$21)</f>
        <v/>
      </c>
      <c r="J21" s="49">
        <f>'Seasons Summary'!BB18</f>
        <v/>
      </c>
      <c r="K21" s="96">
        <f>RANK(J21,J$4:J$21)</f>
        <v/>
      </c>
      <c r="L21" s="62" t="n"/>
      <c r="M21" s="49">
        <f>AVERAGE(B21,D21,F21,H21,J21)</f>
        <v/>
      </c>
      <c r="N21" s="96">
        <f>RANK(M21,M$4:M$21)</f>
        <v/>
      </c>
      <c r="O21" s="62" t="n"/>
      <c r="P21" s="72" t="n"/>
    </row>
    <row r="22">
      <c r="P22" s="69" t="n"/>
    </row>
    <row r="23" ht="35" customHeight="1">
      <c r="A23" s="67">
        <f>'Seasons Summary'!B24</f>
        <v/>
      </c>
      <c r="P23" s="69" t="n"/>
    </row>
    <row r="24" ht="17" customHeight="1" thickBot="1">
      <c r="P24" s="69" t="n"/>
    </row>
    <row r="25" ht="52" customHeight="1" thickBot="1">
      <c r="A25" s="93" t="inlineStr">
        <is>
          <t>Team</t>
        </is>
      </c>
      <c r="B25" s="27" t="inlineStr">
        <is>
          <t>Ball Winning Ranking</t>
        </is>
      </c>
      <c r="C25" s="28" t="inlineStr">
        <is>
          <t>#</t>
        </is>
      </c>
      <c r="D25" s="30" t="inlineStr">
        <is>
          <t>Ball Movement Ranking</t>
        </is>
      </c>
      <c r="E25" s="31" t="inlineStr">
        <is>
          <t>#</t>
        </is>
      </c>
      <c r="F25" s="44" t="inlineStr">
        <is>
          <t>Scoring Ranking</t>
        </is>
      </c>
      <c r="G25" s="45" t="inlineStr">
        <is>
          <t>#</t>
        </is>
      </c>
      <c r="H25" s="33" t="inlineStr">
        <is>
          <t>Defence Ranking</t>
        </is>
      </c>
      <c r="I25" s="34" t="inlineStr">
        <is>
          <t>#</t>
        </is>
      </c>
      <c r="J25" s="186" t="inlineStr">
        <is>
          <t>Pressure Ranking</t>
        </is>
      </c>
      <c r="K25" s="187" t="inlineStr">
        <is>
          <t>#</t>
        </is>
      </c>
      <c r="L25" s="94" t="n"/>
      <c r="M25" s="36" t="inlineStr">
        <is>
          <t>Team Rating</t>
        </is>
      </c>
      <c r="N25" s="37" t="inlineStr">
        <is>
          <t>#</t>
        </is>
      </c>
      <c r="O25" s="94" t="n"/>
      <c r="P25" s="69" t="n"/>
    </row>
    <row r="26" ht="25" customHeight="1">
      <c r="A26" s="75" t="inlineStr">
        <is>
          <t>Adelaide</t>
        </is>
      </c>
      <c r="B26" s="49">
        <f>'Seasons Summary'!J28</f>
        <v/>
      </c>
      <c r="C26" s="47">
        <f>RANK(B26,B$26:B$43)</f>
        <v/>
      </c>
      <c r="D26" s="49">
        <f>'Seasons Summary'!U28</f>
        <v/>
      </c>
      <c r="E26" s="47">
        <f>RANK(D26,D$26:D$43)</f>
        <v/>
      </c>
      <c r="F26" s="49">
        <f>'Seasons Summary'!AF28</f>
        <v/>
      </c>
      <c r="G26" s="47">
        <f>RANK(F26,F$26:F$43)</f>
        <v/>
      </c>
      <c r="H26" s="49">
        <f>'Seasons Summary'!AQ28</f>
        <v/>
      </c>
      <c r="I26" s="47">
        <f>RANK(H26,H$26:H$43)</f>
        <v/>
      </c>
      <c r="J26" s="49">
        <f>'Seasons Summary'!BB28</f>
        <v/>
      </c>
      <c r="K26" s="47">
        <f>RANK(J26,J$26:J$43)</f>
        <v/>
      </c>
      <c r="L26" s="50" t="n"/>
      <c r="M26" s="49">
        <f>AVERAGE(B26,D26,F26,H26,J26)</f>
        <v/>
      </c>
      <c r="N26" s="47">
        <f>RANK(M26,M$26:M$43)</f>
        <v/>
      </c>
      <c r="O26" s="50" t="n"/>
      <c r="P26" s="69" t="n"/>
    </row>
    <row r="27" ht="25" customHeight="1">
      <c r="A27" s="76" t="inlineStr">
        <is>
          <t>Brisbane</t>
        </is>
      </c>
      <c r="B27" s="49">
        <f>'Seasons Summary'!J29</f>
        <v/>
      </c>
      <c r="C27" s="47">
        <f>RANK(B27,B$26:B$43)</f>
        <v/>
      </c>
      <c r="D27" s="49">
        <f>'Seasons Summary'!U29</f>
        <v/>
      </c>
      <c r="E27" s="47">
        <f>RANK(D27,D$26:D$43)</f>
        <v/>
      </c>
      <c r="F27" s="49">
        <f>'Seasons Summary'!AF29</f>
        <v/>
      </c>
      <c r="G27" s="47">
        <f>RANK(F27,F$26:F$43)</f>
        <v/>
      </c>
      <c r="H27" s="49">
        <f>'Seasons Summary'!AQ29</f>
        <v/>
      </c>
      <c r="I27" s="47">
        <f>RANK(H27,H$26:H$43)</f>
        <v/>
      </c>
      <c r="J27" s="49">
        <f>'Seasons Summary'!BB29</f>
        <v/>
      </c>
      <c r="K27" s="47">
        <f>RANK(J27,J$26:J$43)</f>
        <v/>
      </c>
      <c r="L27" s="56" t="n"/>
      <c r="M27" s="49">
        <f>AVERAGE(B27,D27,F27,H27,J27)</f>
        <v/>
      </c>
      <c r="N27" s="47">
        <f>RANK(M27,M$26:M$43)</f>
        <v/>
      </c>
      <c r="O27" s="56" t="n"/>
      <c r="P27" s="69" t="n"/>
    </row>
    <row r="28" ht="25" customHeight="1">
      <c r="A28" s="77" t="inlineStr">
        <is>
          <t>Carlton</t>
        </is>
      </c>
      <c r="B28" s="49">
        <f>'Seasons Summary'!J30</f>
        <v/>
      </c>
      <c r="C28" s="47">
        <f>RANK(B28,B$26:B$43)</f>
        <v/>
      </c>
      <c r="D28" s="49">
        <f>'Seasons Summary'!U30</f>
        <v/>
      </c>
      <c r="E28" s="47">
        <f>RANK(D28,D$26:D$43)</f>
        <v/>
      </c>
      <c r="F28" s="49">
        <f>'Seasons Summary'!AF30</f>
        <v/>
      </c>
      <c r="G28" s="47">
        <f>RANK(F28,F$26:F$43)</f>
        <v/>
      </c>
      <c r="H28" s="49">
        <f>'Seasons Summary'!AQ30</f>
        <v/>
      </c>
      <c r="I28" s="47">
        <f>RANK(H28,H$26:H$43)</f>
        <v/>
      </c>
      <c r="J28" s="49">
        <f>'Seasons Summary'!BB30</f>
        <v/>
      </c>
      <c r="K28" s="47">
        <f>RANK(J28,J$26:J$43)</f>
        <v/>
      </c>
      <c r="L28" s="56" t="n"/>
      <c r="M28" s="49">
        <f>AVERAGE(B28,D28,F28,H28,J28)</f>
        <v/>
      </c>
      <c r="N28" s="47">
        <f>RANK(M28,M$26:M$43)</f>
        <v/>
      </c>
      <c r="O28" s="56" t="n"/>
      <c r="P28" s="69" t="n"/>
    </row>
    <row r="29" ht="25" customHeight="1">
      <c r="A29" s="78" t="inlineStr">
        <is>
          <t>Collingwood</t>
        </is>
      </c>
      <c r="B29" s="49">
        <f>'Seasons Summary'!J31</f>
        <v/>
      </c>
      <c r="C29" s="47">
        <f>RANK(B29,B$26:B$43)</f>
        <v/>
      </c>
      <c r="D29" s="49">
        <f>'Seasons Summary'!U31</f>
        <v/>
      </c>
      <c r="E29" s="47">
        <f>RANK(D29,D$26:D$43)</f>
        <v/>
      </c>
      <c r="F29" s="49">
        <f>'Seasons Summary'!AF31</f>
        <v/>
      </c>
      <c r="G29" s="47">
        <f>RANK(F29,F$26:F$43)</f>
        <v/>
      </c>
      <c r="H29" s="49">
        <f>'Seasons Summary'!AQ31</f>
        <v/>
      </c>
      <c r="I29" s="47">
        <f>RANK(H29,H$26:H$43)</f>
        <v/>
      </c>
      <c r="J29" s="49">
        <f>'Seasons Summary'!BB31</f>
        <v/>
      </c>
      <c r="K29" s="47">
        <f>RANK(J29,J$26:J$43)</f>
        <v/>
      </c>
      <c r="L29" s="56" t="n"/>
      <c r="M29" s="49">
        <f>AVERAGE(B29,D29,F29,H29,J29)</f>
        <v/>
      </c>
      <c r="N29" s="47">
        <f>RANK(M29,M$26:M$43)</f>
        <v/>
      </c>
      <c r="O29" s="56" t="n"/>
      <c r="P29" s="69" t="n"/>
    </row>
    <row r="30" ht="25" customHeight="1">
      <c r="A30" s="79" t="inlineStr">
        <is>
          <t>Essendon</t>
        </is>
      </c>
      <c r="B30" s="49">
        <f>'Seasons Summary'!J32</f>
        <v/>
      </c>
      <c r="C30" s="47">
        <f>RANK(B30,B$26:B$43)</f>
        <v/>
      </c>
      <c r="D30" s="49">
        <f>'Seasons Summary'!U32</f>
        <v/>
      </c>
      <c r="E30" s="47">
        <f>RANK(D30,D$26:D$43)</f>
        <v/>
      </c>
      <c r="F30" s="49">
        <f>'Seasons Summary'!AF32</f>
        <v/>
      </c>
      <c r="G30" s="47">
        <f>RANK(F30,F$26:F$43)</f>
        <v/>
      </c>
      <c r="H30" s="49">
        <f>'Seasons Summary'!AQ32</f>
        <v/>
      </c>
      <c r="I30" s="47">
        <f>RANK(H30,H$26:H$43)</f>
        <v/>
      </c>
      <c r="J30" s="49">
        <f>'Seasons Summary'!BB32</f>
        <v/>
      </c>
      <c r="K30" s="47">
        <f>RANK(J30,J$26:J$43)</f>
        <v/>
      </c>
      <c r="L30" s="56" t="n"/>
      <c r="M30" s="49">
        <f>AVERAGE(B30,D30,F30,H30,J30)</f>
        <v/>
      </c>
      <c r="N30" s="47">
        <f>RANK(M30,M$26:M$43)</f>
        <v/>
      </c>
      <c r="O30" s="56" t="n"/>
      <c r="P30" s="69" t="n"/>
    </row>
    <row r="31" ht="25" customHeight="1">
      <c r="A31" s="80" t="inlineStr">
        <is>
          <t>Fremantle</t>
        </is>
      </c>
      <c r="B31" s="49">
        <f>'Seasons Summary'!J33</f>
        <v/>
      </c>
      <c r="C31" s="47">
        <f>RANK(B31,B$26:B$43)</f>
        <v/>
      </c>
      <c r="D31" s="49">
        <f>'Seasons Summary'!U33</f>
        <v/>
      </c>
      <c r="E31" s="47">
        <f>RANK(D31,D$26:D$43)</f>
        <v/>
      </c>
      <c r="F31" s="49">
        <f>'Seasons Summary'!AF33</f>
        <v/>
      </c>
      <c r="G31" s="47">
        <f>RANK(F31,F$26:F$43)</f>
        <v/>
      </c>
      <c r="H31" s="49">
        <f>'Seasons Summary'!AQ33</f>
        <v/>
      </c>
      <c r="I31" s="47">
        <f>RANK(H31,H$26:H$43)</f>
        <v/>
      </c>
      <c r="J31" s="49">
        <f>'Seasons Summary'!BB33</f>
        <v/>
      </c>
      <c r="K31" s="47">
        <f>RANK(J31,J$26:J$43)</f>
        <v/>
      </c>
      <c r="L31" s="56" t="n"/>
      <c r="M31" s="49">
        <f>AVERAGE(B31,D31,F31,H31,J31)</f>
        <v/>
      </c>
      <c r="N31" s="47">
        <f>RANK(M31,M$26:M$43)</f>
        <v/>
      </c>
      <c r="O31" s="56" t="n"/>
      <c r="P31" s="69" t="n"/>
    </row>
    <row r="32" ht="25" customHeight="1">
      <c r="A32" s="81" t="inlineStr">
        <is>
          <t>Geelong</t>
        </is>
      </c>
      <c r="B32" s="49">
        <f>'Seasons Summary'!J34</f>
        <v/>
      </c>
      <c r="C32" s="47">
        <f>RANK(B32,B$26:B$43)</f>
        <v/>
      </c>
      <c r="D32" s="49">
        <f>'Seasons Summary'!U34</f>
        <v/>
      </c>
      <c r="E32" s="47">
        <f>RANK(D32,D$26:D$43)</f>
        <v/>
      </c>
      <c r="F32" s="49">
        <f>'Seasons Summary'!AF34</f>
        <v/>
      </c>
      <c r="G32" s="47">
        <f>RANK(F32,F$26:F$43)</f>
        <v/>
      </c>
      <c r="H32" s="49">
        <f>'Seasons Summary'!AQ34</f>
        <v/>
      </c>
      <c r="I32" s="47">
        <f>RANK(H32,H$26:H$43)</f>
        <v/>
      </c>
      <c r="J32" s="49">
        <f>'Seasons Summary'!BB34</f>
        <v/>
      </c>
      <c r="K32" s="47">
        <f>RANK(J32,J$26:J$43)</f>
        <v/>
      </c>
      <c r="L32" s="56" t="n"/>
      <c r="M32" s="49">
        <f>AVERAGE(B32,D32,F32,H32,J32)</f>
        <v/>
      </c>
      <c r="N32" s="47">
        <f>RANK(M32,M$26:M$43)</f>
        <v/>
      </c>
      <c r="O32" s="56" t="n"/>
      <c r="P32" s="69" t="n"/>
    </row>
    <row r="33" ht="25" customHeight="1">
      <c r="A33" s="82" t="inlineStr">
        <is>
          <t>Gold Coast</t>
        </is>
      </c>
      <c r="B33" s="49">
        <f>'Seasons Summary'!J35</f>
        <v/>
      </c>
      <c r="C33" s="47">
        <f>RANK(B33,B$26:B$43)</f>
        <v/>
      </c>
      <c r="D33" s="49">
        <f>'Seasons Summary'!U35</f>
        <v/>
      </c>
      <c r="E33" s="47">
        <f>RANK(D33,D$26:D$43)</f>
        <v/>
      </c>
      <c r="F33" s="49">
        <f>'Seasons Summary'!AF35</f>
        <v/>
      </c>
      <c r="G33" s="47">
        <f>RANK(F33,F$26:F$43)</f>
        <v/>
      </c>
      <c r="H33" s="49">
        <f>'Seasons Summary'!AQ35</f>
        <v/>
      </c>
      <c r="I33" s="47">
        <f>RANK(H33,H$26:H$43)</f>
        <v/>
      </c>
      <c r="J33" s="49">
        <f>'Seasons Summary'!BB35</f>
        <v/>
      </c>
      <c r="K33" s="47">
        <f>RANK(J33,J$26:J$43)</f>
        <v/>
      </c>
      <c r="L33" s="56" t="n"/>
      <c r="M33" s="49">
        <f>AVERAGE(B33,D33,F33,H33,J33)</f>
        <v/>
      </c>
      <c r="N33" s="47">
        <f>RANK(M33,M$26:M$43)</f>
        <v/>
      </c>
      <c r="O33" s="56" t="n"/>
      <c r="P33" s="69" t="n"/>
    </row>
    <row r="34" ht="25" customHeight="1">
      <c r="A34" s="83" t="inlineStr">
        <is>
          <t>Greater Western Sydney</t>
        </is>
      </c>
      <c r="B34" s="49">
        <f>'Seasons Summary'!J36</f>
        <v/>
      </c>
      <c r="C34" s="47">
        <f>RANK(B34,B$26:B$43)</f>
        <v/>
      </c>
      <c r="D34" s="49">
        <f>'Seasons Summary'!U36</f>
        <v/>
      </c>
      <c r="E34" s="47">
        <f>RANK(D34,D$26:D$43)</f>
        <v/>
      </c>
      <c r="F34" s="49">
        <f>'Seasons Summary'!AF36</f>
        <v/>
      </c>
      <c r="G34" s="47">
        <f>RANK(F34,F$26:F$43)</f>
        <v/>
      </c>
      <c r="H34" s="49">
        <f>'Seasons Summary'!AQ36</f>
        <v/>
      </c>
      <c r="I34" s="47">
        <f>RANK(H34,H$26:H$43)</f>
        <v/>
      </c>
      <c r="J34" s="49">
        <f>'Seasons Summary'!BB36</f>
        <v/>
      </c>
      <c r="K34" s="47">
        <f>RANK(J34,J$26:J$43)</f>
        <v/>
      </c>
      <c r="L34" s="56" t="n"/>
      <c r="M34" s="49">
        <f>AVERAGE(B34,D34,F34,H34,J34)</f>
        <v/>
      </c>
      <c r="N34" s="47">
        <f>RANK(M34,M$26:M$43)</f>
        <v/>
      </c>
      <c r="O34" s="56" t="n"/>
      <c r="P34" s="69" t="n"/>
    </row>
    <row r="35" ht="25" customHeight="1">
      <c r="A35" s="84" t="inlineStr">
        <is>
          <t>Hawthorn</t>
        </is>
      </c>
      <c r="B35" s="49">
        <f>'Seasons Summary'!J37</f>
        <v/>
      </c>
      <c r="C35" s="47">
        <f>RANK(B35,B$26:B$43)</f>
        <v/>
      </c>
      <c r="D35" s="49">
        <f>'Seasons Summary'!U37</f>
        <v/>
      </c>
      <c r="E35" s="47">
        <f>RANK(D35,D$26:D$43)</f>
        <v/>
      </c>
      <c r="F35" s="49">
        <f>'Seasons Summary'!AF37</f>
        <v/>
      </c>
      <c r="G35" s="47">
        <f>RANK(F35,F$26:F$43)</f>
        <v/>
      </c>
      <c r="H35" s="49">
        <f>'Seasons Summary'!AQ37</f>
        <v/>
      </c>
      <c r="I35" s="47">
        <f>RANK(H35,H$26:H$43)</f>
        <v/>
      </c>
      <c r="J35" s="49">
        <f>'Seasons Summary'!BB37</f>
        <v/>
      </c>
      <c r="K35" s="47">
        <f>RANK(J35,J$26:J$43)</f>
        <v/>
      </c>
      <c r="L35" s="56" t="n"/>
      <c r="M35" s="49">
        <f>AVERAGE(B35,D35,F35,H35,J35)</f>
        <v/>
      </c>
      <c r="N35" s="47">
        <f>RANK(M35,M$26:M$43)</f>
        <v/>
      </c>
      <c r="O35" s="56" t="n"/>
      <c r="P35" s="69" t="n"/>
    </row>
    <row r="36" ht="25" customHeight="1">
      <c r="A36" s="85" t="inlineStr">
        <is>
          <t>Melbourne</t>
        </is>
      </c>
      <c r="B36" s="49">
        <f>'Seasons Summary'!J38</f>
        <v/>
      </c>
      <c r="C36" s="47">
        <f>RANK(B36,B$26:B$43)</f>
        <v/>
      </c>
      <c r="D36" s="49">
        <f>'Seasons Summary'!U38</f>
        <v/>
      </c>
      <c r="E36" s="47">
        <f>RANK(D36,D$26:D$43)</f>
        <v/>
      </c>
      <c r="F36" s="49">
        <f>'Seasons Summary'!AF38</f>
        <v/>
      </c>
      <c r="G36" s="47">
        <f>RANK(F36,F$26:F$43)</f>
        <v/>
      </c>
      <c r="H36" s="49">
        <f>'Seasons Summary'!AQ38</f>
        <v/>
      </c>
      <c r="I36" s="47">
        <f>RANK(H36,H$26:H$43)</f>
        <v/>
      </c>
      <c r="J36" s="49">
        <f>'Seasons Summary'!BB38</f>
        <v/>
      </c>
      <c r="K36" s="47">
        <f>RANK(J36,J$26:J$43)</f>
        <v/>
      </c>
      <c r="L36" s="56" t="n"/>
      <c r="M36" s="49">
        <f>AVERAGE(B36,D36,F36,H36,J36)</f>
        <v/>
      </c>
      <c r="N36" s="47">
        <f>RANK(M36,M$26:M$43)</f>
        <v/>
      </c>
      <c r="O36" s="56" t="n"/>
      <c r="P36" s="69" t="n"/>
    </row>
    <row r="37" ht="25" customHeight="1">
      <c r="A37" s="86" t="inlineStr">
        <is>
          <t>North Melbourne</t>
        </is>
      </c>
      <c r="B37" s="49">
        <f>'Seasons Summary'!J39</f>
        <v/>
      </c>
      <c r="C37" s="47">
        <f>RANK(B37,B$26:B$43)</f>
        <v/>
      </c>
      <c r="D37" s="49">
        <f>'Seasons Summary'!U39</f>
        <v/>
      </c>
      <c r="E37" s="47">
        <f>RANK(D37,D$26:D$43)</f>
        <v/>
      </c>
      <c r="F37" s="49">
        <f>'Seasons Summary'!AF39</f>
        <v/>
      </c>
      <c r="G37" s="47">
        <f>RANK(F37,F$26:F$43)</f>
        <v/>
      </c>
      <c r="H37" s="49">
        <f>'Seasons Summary'!AQ39</f>
        <v/>
      </c>
      <c r="I37" s="47">
        <f>RANK(H37,H$26:H$43)</f>
        <v/>
      </c>
      <c r="J37" s="49">
        <f>'Seasons Summary'!BB39</f>
        <v/>
      </c>
      <c r="K37" s="47">
        <f>RANK(J37,J$26:J$43)</f>
        <v/>
      </c>
      <c r="L37" s="56" t="n"/>
      <c r="M37" s="49">
        <f>AVERAGE(B37,D37,F37,H37,J37)</f>
        <v/>
      </c>
      <c r="N37" s="47">
        <f>RANK(M37,M$26:M$43)</f>
        <v/>
      </c>
      <c r="O37" s="56" t="n"/>
      <c r="P37" s="69" t="n"/>
    </row>
    <row r="38" ht="25" customHeight="1">
      <c r="A38" s="87" t="inlineStr">
        <is>
          <t>Port Adelaide</t>
        </is>
      </c>
      <c r="B38" s="49">
        <f>'Seasons Summary'!J40</f>
        <v/>
      </c>
      <c r="C38" s="47">
        <f>RANK(B38,B$26:B$43)</f>
        <v/>
      </c>
      <c r="D38" s="49">
        <f>'Seasons Summary'!U40</f>
        <v/>
      </c>
      <c r="E38" s="47">
        <f>RANK(D38,D$26:D$43)</f>
        <v/>
      </c>
      <c r="F38" s="49">
        <f>'Seasons Summary'!AF40</f>
        <v/>
      </c>
      <c r="G38" s="47">
        <f>RANK(F38,F$26:F$43)</f>
        <v/>
      </c>
      <c r="H38" s="49">
        <f>'Seasons Summary'!AQ40</f>
        <v/>
      </c>
      <c r="I38" s="47">
        <f>RANK(H38,H$26:H$43)</f>
        <v/>
      </c>
      <c r="J38" s="49">
        <f>'Seasons Summary'!BB40</f>
        <v/>
      </c>
      <c r="K38" s="47">
        <f>RANK(J38,J$26:J$43)</f>
        <v/>
      </c>
      <c r="L38" s="56" t="n"/>
      <c r="M38" s="49">
        <f>AVERAGE(B38,D38,F38,H38,J38)</f>
        <v/>
      </c>
      <c r="N38" s="47">
        <f>RANK(M38,M$26:M$43)</f>
        <v/>
      </c>
      <c r="O38" s="56" t="n"/>
      <c r="P38" s="69" t="n"/>
    </row>
    <row r="39" ht="25" customHeight="1">
      <c r="A39" s="88" t="inlineStr">
        <is>
          <t>Richmond</t>
        </is>
      </c>
      <c r="B39" s="49">
        <f>'Seasons Summary'!J41</f>
        <v/>
      </c>
      <c r="C39" s="47">
        <f>RANK(B39,B$26:B$43)</f>
        <v/>
      </c>
      <c r="D39" s="49">
        <f>'Seasons Summary'!U41</f>
        <v/>
      </c>
      <c r="E39" s="47">
        <f>RANK(D39,D$26:D$43)</f>
        <v/>
      </c>
      <c r="F39" s="49">
        <f>'Seasons Summary'!AF41</f>
        <v/>
      </c>
      <c r="G39" s="47">
        <f>RANK(F39,F$26:F$43)</f>
        <v/>
      </c>
      <c r="H39" s="49">
        <f>'Seasons Summary'!AQ41</f>
        <v/>
      </c>
      <c r="I39" s="47">
        <f>RANK(H39,H$26:H$43)</f>
        <v/>
      </c>
      <c r="J39" s="49">
        <f>'Seasons Summary'!BB41</f>
        <v/>
      </c>
      <c r="K39" s="47">
        <f>RANK(J39,J$26:J$43)</f>
        <v/>
      </c>
      <c r="L39" s="56" t="n"/>
      <c r="M39" s="49">
        <f>AVERAGE(B39,D39,F39,H39,J39)</f>
        <v/>
      </c>
      <c r="N39" s="47">
        <f>RANK(M39,M$26:M$43)</f>
        <v/>
      </c>
      <c r="O39" s="56" t="n"/>
      <c r="P39" s="69" t="n"/>
    </row>
    <row r="40" ht="25" customHeight="1">
      <c r="A40" s="89" t="inlineStr">
        <is>
          <t>St Kilda</t>
        </is>
      </c>
      <c r="B40" s="49">
        <f>'Seasons Summary'!J42</f>
        <v/>
      </c>
      <c r="C40" s="47">
        <f>RANK(B40,B$26:B$43)</f>
        <v/>
      </c>
      <c r="D40" s="49">
        <f>'Seasons Summary'!U42</f>
        <v/>
      </c>
      <c r="E40" s="47">
        <f>RANK(D40,D$26:D$43)</f>
        <v/>
      </c>
      <c r="F40" s="49">
        <f>'Seasons Summary'!AF42</f>
        <v/>
      </c>
      <c r="G40" s="47">
        <f>RANK(F40,F$26:F$43)</f>
        <v/>
      </c>
      <c r="H40" s="49">
        <f>'Seasons Summary'!AQ42</f>
        <v/>
      </c>
      <c r="I40" s="47">
        <f>RANK(H40,H$26:H$43)</f>
        <v/>
      </c>
      <c r="J40" s="49">
        <f>'Seasons Summary'!BB42</f>
        <v/>
      </c>
      <c r="K40" s="47">
        <f>RANK(J40,J$26:J$43)</f>
        <v/>
      </c>
      <c r="L40" s="56" t="n"/>
      <c r="M40" s="49">
        <f>AVERAGE(B40,D40,F40,H40,J40)</f>
        <v/>
      </c>
      <c r="N40" s="47">
        <f>RANK(M40,M$26:M$43)</f>
        <v/>
      </c>
      <c r="O40" s="56" t="n"/>
      <c r="P40" s="69" t="n"/>
    </row>
    <row r="41" ht="25" customHeight="1">
      <c r="A41" s="90" t="inlineStr">
        <is>
          <t>Sydney</t>
        </is>
      </c>
      <c r="B41" s="49">
        <f>'Seasons Summary'!J43</f>
        <v/>
      </c>
      <c r="C41" s="47">
        <f>RANK(B41,B$26:B$43)</f>
        <v/>
      </c>
      <c r="D41" s="49">
        <f>'Seasons Summary'!U43</f>
        <v/>
      </c>
      <c r="E41" s="47">
        <f>RANK(D41,D$26:D$43)</f>
        <v/>
      </c>
      <c r="F41" s="49">
        <f>'Seasons Summary'!AF43</f>
        <v/>
      </c>
      <c r="G41" s="47">
        <f>RANK(F41,F$26:F$43)</f>
        <v/>
      </c>
      <c r="H41" s="49">
        <f>'Seasons Summary'!AQ43</f>
        <v/>
      </c>
      <c r="I41" s="47">
        <f>RANK(H41,H$26:H$43)</f>
        <v/>
      </c>
      <c r="J41" s="49">
        <f>'Seasons Summary'!BB43</f>
        <v/>
      </c>
      <c r="K41" s="47">
        <f>RANK(J41,J$26:J$43)</f>
        <v/>
      </c>
      <c r="L41" s="56" t="n"/>
      <c r="M41" s="49">
        <f>AVERAGE(B41,D41,F41,H41,J41)</f>
        <v/>
      </c>
      <c r="N41" s="47">
        <f>RANK(M41,M$26:M$43)</f>
        <v/>
      </c>
      <c r="O41" s="56" t="n"/>
      <c r="P41" s="69" t="n"/>
    </row>
    <row r="42" ht="25" customHeight="1">
      <c r="A42" s="91" t="inlineStr">
        <is>
          <t>West Coast</t>
        </is>
      </c>
      <c r="B42" s="49">
        <f>'Seasons Summary'!J44</f>
        <v/>
      </c>
      <c r="C42" s="47">
        <f>RANK(B42,B$26:B$43)</f>
        <v/>
      </c>
      <c r="D42" s="49">
        <f>'Seasons Summary'!U44</f>
        <v/>
      </c>
      <c r="E42" s="47">
        <f>RANK(D42,D$26:D$43)</f>
        <v/>
      </c>
      <c r="F42" s="49">
        <f>'Seasons Summary'!AF44</f>
        <v/>
      </c>
      <c r="G42" s="47">
        <f>RANK(F42,F$26:F$43)</f>
        <v/>
      </c>
      <c r="H42" s="49">
        <f>'Seasons Summary'!AQ44</f>
        <v/>
      </c>
      <c r="I42" s="47">
        <f>RANK(H42,H$26:H$43)</f>
        <v/>
      </c>
      <c r="J42" s="49">
        <f>'Seasons Summary'!BB44</f>
        <v/>
      </c>
      <c r="K42" s="47">
        <f>RANK(J42,J$26:J$43)</f>
        <v/>
      </c>
      <c r="L42" s="56" t="n"/>
      <c r="M42" s="49">
        <f>AVERAGE(B42,D42,F42,H42,J42)</f>
        <v/>
      </c>
      <c r="N42" s="47">
        <f>RANK(M42,M$26:M$43)</f>
        <v/>
      </c>
      <c r="O42" s="56" t="n"/>
      <c r="P42" s="69" t="n"/>
    </row>
    <row r="43" ht="25" customHeight="1" thickBot="1">
      <c r="A43" s="92" t="inlineStr">
        <is>
          <t>Western Bulldogs</t>
        </is>
      </c>
      <c r="B43" s="95">
        <f>'Seasons Summary'!J45</f>
        <v/>
      </c>
      <c r="C43" s="96">
        <f>RANK(B43,B$26:B$43)</f>
        <v/>
      </c>
      <c r="D43" s="95">
        <f>'Seasons Summary'!U45</f>
        <v/>
      </c>
      <c r="E43" s="96">
        <f>RANK(D43,D$26:D$43)</f>
        <v/>
      </c>
      <c r="F43" s="95">
        <f>'Seasons Summary'!AF45</f>
        <v/>
      </c>
      <c r="G43" s="96">
        <f>RANK(F43,F$26:F$43)</f>
        <v/>
      </c>
      <c r="H43" s="95">
        <f>'Seasons Summary'!AQ45</f>
        <v/>
      </c>
      <c r="I43" s="96">
        <f>RANK(H43,H$26:H$43)</f>
        <v/>
      </c>
      <c r="J43" s="49">
        <f>'Seasons Summary'!BB45</f>
        <v/>
      </c>
      <c r="K43" s="96">
        <f>RANK(J43,J$26:J$43)</f>
        <v/>
      </c>
      <c r="L43" s="62" t="n"/>
      <c r="M43" s="49">
        <f>AVERAGE(B43,D43,F43,H43,J43)</f>
        <v/>
      </c>
      <c r="N43" s="96">
        <f>RANK(M43,M$26:M$43)</f>
        <v/>
      </c>
      <c r="O43" s="62" t="n"/>
      <c r="P43" s="69" t="n"/>
    </row>
    <row r="44">
      <c r="A44" s="69" t="n"/>
      <c r="B44" s="69" t="n"/>
      <c r="C44" s="69" t="n"/>
      <c r="D44" s="69" t="n"/>
      <c r="E44" s="69" t="n"/>
      <c r="F44" s="69" t="n"/>
      <c r="G44" s="69" t="n"/>
      <c r="H44" s="69" t="n"/>
      <c r="I44" s="69" t="n"/>
      <c r="J44" s="69" t="n"/>
      <c r="K44" s="69" t="n"/>
      <c r="L44" s="69" t="n"/>
      <c r="M44" s="69" t="n"/>
      <c r="N44" s="69" t="n"/>
      <c r="O44" s="69" t="n"/>
      <c r="P44" s="69" t="n"/>
    </row>
    <row r="45" ht="35" customHeight="1">
      <c r="A45" s="68" t="inlineStr">
        <is>
          <t>TREND</t>
        </is>
      </c>
      <c r="B45" s="69" t="n"/>
      <c r="C45" s="69" t="n"/>
      <c r="D45" s="69" t="n"/>
      <c r="E45" s="69" t="n"/>
      <c r="F45" s="69" t="n"/>
      <c r="G45" s="69" t="n"/>
      <c r="H45" s="69" t="n"/>
      <c r="I45" s="69" t="n"/>
      <c r="J45" s="69" t="n"/>
      <c r="K45" s="69" t="n"/>
      <c r="L45" s="69" t="n"/>
      <c r="M45" s="69" t="n"/>
      <c r="N45" s="69" t="n"/>
      <c r="O45" s="69" t="n"/>
      <c r="P45" s="69" t="n"/>
    </row>
    <row r="46" ht="17" customHeight="1" thickBot="1">
      <c r="A46" s="69" t="n"/>
      <c r="B46" s="69" t="n"/>
      <c r="C46" s="69" t="n"/>
      <c r="D46" s="69" t="n"/>
      <c r="E46" s="69" t="n"/>
      <c r="F46" s="69" t="n"/>
      <c r="G46" s="69" t="n"/>
      <c r="H46" s="69" t="n"/>
      <c r="I46" s="69" t="n"/>
      <c r="J46" s="69" t="n"/>
      <c r="K46" s="69" t="n"/>
      <c r="L46" s="69" t="n"/>
      <c r="M46" s="69" t="n"/>
      <c r="N46" s="69" t="n"/>
      <c r="O46" s="69" t="n"/>
      <c r="P46" s="69" t="n"/>
    </row>
    <row r="47" ht="52" customHeight="1" thickBot="1">
      <c r="A47" s="93" t="inlineStr">
        <is>
          <t>Team</t>
        </is>
      </c>
      <c r="B47" s="27" t="inlineStr">
        <is>
          <t>Ball Winning Ranking</t>
        </is>
      </c>
      <c r="C47" s="28" t="inlineStr">
        <is>
          <t>#</t>
        </is>
      </c>
      <c r="D47" s="30" t="inlineStr">
        <is>
          <t>Ball Movement Ranking</t>
        </is>
      </c>
      <c r="E47" s="31" t="inlineStr">
        <is>
          <t>#</t>
        </is>
      </c>
      <c r="F47" s="44" t="inlineStr">
        <is>
          <t>Scoring Ranking</t>
        </is>
      </c>
      <c r="G47" s="45" t="inlineStr">
        <is>
          <t>#</t>
        </is>
      </c>
      <c r="H47" s="33" t="inlineStr">
        <is>
          <t>Defence Ranking</t>
        </is>
      </c>
      <c r="I47" s="34" t="inlineStr">
        <is>
          <t>#</t>
        </is>
      </c>
      <c r="J47" s="69" t="n"/>
      <c r="K47" s="69" t="n"/>
      <c r="L47" s="94" t="n"/>
      <c r="M47" s="36" t="inlineStr">
        <is>
          <t>Team Rating</t>
        </is>
      </c>
      <c r="N47" s="37" t="inlineStr">
        <is>
          <t>#</t>
        </is>
      </c>
      <c r="O47" s="94" t="n"/>
      <c r="P47" s="69" t="n"/>
    </row>
    <row r="48" ht="25" customHeight="1">
      <c r="A48" s="75" t="inlineStr">
        <is>
          <t>Adelaide</t>
        </is>
      </c>
      <c r="B48" s="49">
        <f>B26-B4</f>
        <v/>
      </c>
      <c r="C48" s="47">
        <f>RANK(B48,B$48:B$65)</f>
        <v/>
      </c>
      <c r="D48" s="49">
        <f>D26-D4</f>
        <v/>
      </c>
      <c r="E48" s="47">
        <f>RANK(D48,D$48:D$65)</f>
        <v/>
      </c>
      <c r="F48" s="49">
        <f>F26-F4</f>
        <v/>
      </c>
      <c r="G48" s="47">
        <f>RANK(F48,F$48:F$65)</f>
        <v/>
      </c>
      <c r="H48" s="49">
        <f>H26-H4</f>
        <v/>
      </c>
      <c r="I48" s="47">
        <f>RANK(H48,H$48:H$65)</f>
        <v/>
      </c>
      <c r="J48" s="69" t="n"/>
      <c r="K48" s="69" t="n"/>
      <c r="L48" s="50" t="n"/>
      <c r="M48" s="49">
        <f>M26-M4</f>
        <v/>
      </c>
      <c r="N48" s="47">
        <f>RANK(M48,M$48:M$65)</f>
        <v/>
      </c>
      <c r="O48" s="50" t="n"/>
      <c r="P48" s="69" t="n"/>
    </row>
    <row r="49" ht="25" customHeight="1">
      <c r="A49" s="76" t="inlineStr">
        <is>
          <t>Brisbane</t>
        </is>
      </c>
      <c r="B49" s="49">
        <f>B27-B5</f>
        <v/>
      </c>
      <c r="C49" s="47">
        <f>RANK(B49,B$48:B$65)</f>
        <v/>
      </c>
      <c r="D49" s="49">
        <f>D27-D5</f>
        <v/>
      </c>
      <c r="E49" s="47">
        <f>RANK(D49,D$48:D$65)</f>
        <v/>
      </c>
      <c r="F49" s="65">
        <f>F27-F5</f>
        <v/>
      </c>
      <c r="G49" s="47">
        <f>RANK(F49,F$48:F$65)</f>
        <v/>
      </c>
      <c r="H49" s="65">
        <f>H27-H5</f>
        <v/>
      </c>
      <c r="I49" s="47">
        <f>RANK(H49,H$48:H$65)</f>
        <v/>
      </c>
      <c r="L49" s="56" t="n"/>
      <c r="M49" s="65">
        <f>M27-M5</f>
        <v/>
      </c>
      <c r="N49" s="47">
        <f>RANK(M49,M$48:M$65)</f>
        <v/>
      </c>
      <c r="O49" s="56" t="n"/>
      <c r="P49" s="69" t="n"/>
    </row>
    <row r="50" ht="25" customHeight="1">
      <c r="A50" s="77" t="inlineStr">
        <is>
          <t>Carlton</t>
        </is>
      </c>
      <c r="B50" s="49">
        <f>B28-B6</f>
        <v/>
      </c>
      <c r="C50" s="47">
        <f>RANK(B50,B$48:B$65)</f>
        <v/>
      </c>
      <c r="D50" s="49">
        <f>D28-D6</f>
        <v/>
      </c>
      <c r="E50" s="47">
        <f>RANK(D50,D$48:D$65)</f>
        <v/>
      </c>
      <c r="F50" s="65">
        <f>F28-F6</f>
        <v/>
      </c>
      <c r="G50" s="47">
        <f>RANK(F50,F$48:F$65)</f>
        <v/>
      </c>
      <c r="H50" s="65">
        <f>H28-H6</f>
        <v/>
      </c>
      <c r="I50" s="47">
        <f>RANK(H50,H$48:H$65)</f>
        <v/>
      </c>
      <c r="L50" s="56" t="n"/>
      <c r="M50" s="65">
        <f>M28-M6</f>
        <v/>
      </c>
      <c r="N50" s="47">
        <f>RANK(M50,M$48:M$65)</f>
        <v/>
      </c>
      <c r="O50" s="56" t="n"/>
      <c r="P50" s="69" t="n"/>
    </row>
    <row r="51" ht="25" customHeight="1">
      <c r="A51" s="78" t="inlineStr">
        <is>
          <t>Collingwood</t>
        </is>
      </c>
      <c r="B51" s="49">
        <f>B29-B7</f>
        <v/>
      </c>
      <c r="C51" s="47">
        <f>RANK(B51,B$48:B$65)</f>
        <v/>
      </c>
      <c r="D51" s="49">
        <f>D29-D7</f>
        <v/>
      </c>
      <c r="E51" s="47">
        <f>RANK(D51,D$48:D$65)</f>
        <v/>
      </c>
      <c r="F51" s="65">
        <f>F29-F7</f>
        <v/>
      </c>
      <c r="G51" s="47">
        <f>RANK(F51,F$48:F$65)</f>
        <v/>
      </c>
      <c r="H51" s="65">
        <f>H29-H7</f>
        <v/>
      </c>
      <c r="I51" s="47">
        <f>RANK(H51,H$48:H$65)</f>
        <v/>
      </c>
      <c r="L51" s="56" t="n"/>
      <c r="M51" s="65">
        <f>M29-M7</f>
        <v/>
      </c>
      <c r="N51" s="47">
        <f>RANK(M51,M$48:M$65)</f>
        <v/>
      </c>
      <c r="O51" s="56" t="n"/>
      <c r="P51" s="69" t="n"/>
    </row>
    <row r="52" ht="25" customHeight="1">
      <c r="A52" s="79" t="inlineStr">
        <is>
          <t>Essendon</t>
        </is>
      </c>
      <c r="B52" s="49">
        <f>B30-B8</f>
        <v/>
      </c>
      <c r="C52" s="47">
        <f>RANK(B52,B$48:B$65)</f>
        <v/>
      </c>
      <c r="D52" s="49">
        <f>D30-D8</f>
        <v/>
      </c>
      <c r="E52" s="47">
        <f>RANK(D52,D$48:D$65)</f>
        <v/>
      </c>
      <c r="F52" s="65">
        <f>F30-F8</f>
        <v/>
      </c>
      <c r="G52" s="47">
        <f>RANK(F52,F$48:F$65)</f>
        <v/>
      </c>
      <c r="H52" s="65">
        <f>H30-H8</f>
        <v/>
      </c>
      <c r="I52" s="47">
        <f>RANK(H52,H$48:H$65)</f>
        <v/>
      </c>
      <c r="L52" s="56" t="n"/>
      <c r="M52" s="65">
        <f>M30-M8</f>
        <v/>
      </c>
      <c r="N52" s="47">
        <f>RANK(M52,M$48:M$65)</f>
        <v/>
      </c>
      <c r="O52" s="56" t="n"/>
      <c r="P52" s="69" t="n"/>
    </row>
    <row r="53" ht="25" customHeight="1">
      <c r="A53" s="80" t="inlineStr">
        <is>
          <t>Fremantle</t>
        </is>
      </c>
      <c r="B53" s="49">
        <f>B31-B9</f>
        <v/>
      </c>
      <c r="C53" s="47">
        <f>RANK(B53,B$48:B$65)</f>
        <v/>
      </c>
      <c r="D53" s="49">
        <f>D31-D9</f>
        <v/>
      </c>
      <c r="E53" s="47">
        <f>RANK(D53,D$48:D$65)</f>
        <v/>
      </c>
      <c r="F53" s="65">
        <f>F31-F9</f>
        <v/>
      </c>
      <c r="G53" s="47">
        <f>RANK(F53,F$48:F$65)</f>
        <v/>
      </c>
      <c r="H53" s="65">
        <f>H31-H9</f>
        <v/>
      </c>
      <c r="I53" s="47">
        <f>RANK(H53,H$48:H$65)</f>
        <v/>
      </c>
      <c r="L53" s="56" t="n"/>
      <c r="M53" s="65">
        <f>M31-M9</f>
        <v/>
      </c>
      <c r="N53" s="47">
        <f>RANK(M53,M$48:M$65)</f>
        <v/>
      </c>
      <c r="O53" s="56" t="n"/>
      <c r="P53" s="69" t="n"/>
    </row>
    <row r="54" ht="25" customHeight="1">
      <c r="A54" s="81" t="inlineStr">
        <is>
          <t>Geelong</t>
        </is>
      </c>
      <c r="B54" s="49">
        <f>B32-B10</f>
        <v/>
      </c>
      <c r="C54" s="47">
        <f>RANK(B54,B$48:B$65)</f>
        <v/>
      </c>
      <c r="D54" s="49">
        <f>D32-D10</f>
        <v/>
      </c>
      <c r="E54" s="47">
        <f>RANK(D54,D$48:D$65)</f>
        <v/>
      </c>
      <c r="F54" s="65">
        <f>F32-F10</f>
        <v/>
      </c>
      <c r="G54" s="47">
        <f>RANK(F54,F$48:F$65)</f>
        <v/>
      </c>
      <c r="H54" s="65">
        <f>H32-H10</f>
        <v/>
      </c>
      <c r="I54" s="47">
        <f>RANK(H54,H$48:H$65)</f>
        <v/>
      </c>
      <c r="L54" s="56" t="n"/>
      <c r="M54" s="65">
        <f>M32-M10</f>
        <v/>
      </c>
      <c r="N54" s="47">
        <f>RANK(M54,M$48:M$65)</f>
        <v/>
      </c>
      <c r="O54" s="56" t="n"/>
      <c r="P54" s="69" t="n"/>
    </row>
    <row r="55" ht="25" customHeight="1">
      <c r="A55" s="82" t="inlineStr">
        <is>
          <t>Gold Coast</t>
        </is>
      </c>
      <c r="B55" s="49">
        <f>B33-B11</f>
        <v/>
      </c>
      <c r="C55" s="47">
        <f>RANK(B55,B$48:B$65)</f>
        <v/>
      </c>
      <c r="D55" s="49">
        <f>D33-D11</f>
        <v/>
      </c>
      <c r="E55" s="47">
        <f>RANK(D55,D$48:D$65)</f>
        <v/>
      </c>
      <c r="F55" s="65">
        <f>F33-F11</f>
        <v/>
      </c>
      <c r="G55" s="47">
        <f>RANK(F55,F$48:F$65)</f>
        <v/>
      </c>
      <c r="H55" s="65">
        <f>H33-H11</f>
        <v/>
      </c>
      <c r="I55" s="47">
        <f>RANK(H55,H$48:H$65)</f>
        <v/>
      </c>
      <c r="L55" s="56" t="n"/>
      <c r="M55" s="65">
        <f>M33-M11</f>
        <v/>
      </c>
      <c r="N55" s="47">
        <f>RANK(M55,M$48:M$65)</f>
        <v/>
      </c>
      <c r="O55" s="56" t="n"/>
      <c r="P55" s="69" t="n"/>
    </row>
    <row r="56" ht="25" customHeight="1">
      <c r="A56" s="83" t="inlineStr">
        <is>
          <t>Greater Western Sydney</t>
        </is>
      </c>
      <c r="B56" s="49">
        <f>B34-B12</f>
        <v/>
      </c>
      <c r="C56" s="47">
        <f>RANK(B56,B$48:B$65)</f>
        <v/>
      </c>
      <c r="D56" s="49">
        <f>D34-D12</f>
        <v/>
      </c>
      <c r="E56" s="47">
        <f>RANK(D56,D$48:D$65)</f>
        <v/>
      </c>
      <c r="F56" s="65">
        <f>F34-F12</f>
        <v/>
      </c>
      <c r="G56" s="47">
        <f>RANK(F56,F$48:F$65)</f>
        <v/>
      </c>
      <c r="H56" s="65">
        <f>H34-H12</f>
        <v/>
      </c>
      <c r="I56" s="47">
        <f>RANK(H56,H$48:H$65)</f>
        <v/>
      </c>
      <c r="L56" s="56" t="n"/>
      <c r="M56" s="65">
        <f>M34-M12</f>
        <v/>
      </c>
      <c r="N56" s="47">
        <f>RANK(M56,M$48:M$65)</f>
        <v/>
      </c>
      <c r="O56" s="56" t="n"/>
      <c r="P56" s="69" t="n"/>
    </row>
    <row r="57" ht="25" customHeight="1">
      <c r="A57" s="84" t="inlineStr">
        <is>
          <t>Hawthorn</t>
        </is>
      </c>
      <c r="B57" s="49">
        <f>B35-B13</f>
        <v/>
      </c>
      <c r="C57" s="47">
        <f>RANK(B57,B$48:B$65)</f>
        <v/>
      </c>
      <c r="D57" s="49">
        <f>D35-D13</f>
        <v/>
      </c>
      <c r="E57" s="47">
        <f>RANK(D57,D$48:D$65)</f>
        <v/>
      </c>
      <c r="F57" s="65">
        <f>F35-F13</f>
        <v/>
      </c>
      <c r="G57" s="47">
        <f>RANK(F57,F$48:F$65)</f>
        <v/>
      </c>
      <c r="H57" s="65">
        <f>H35-H13</f>
        <v/>
      </c>
      <c r="I57" s="47">
        <f>RANK(H57,H$48:H$65)</f>
        <v/>
      </c>
      <c r="L57" s="56" t="n"/>
      <c r="M57" s="65">
        <f>M35-M13</f>
        <v/>
      </c>
      <c r="N57" s="47">
        <f>RANK(M57,M$48:M$65)</f>
        <v/>
      </c>
      <c r="O57" s="56" t="n"/>
      <c r="P57" s="69" t="n"/>
    </row>
    <row r="58" ht="25" customHeight="1">
      <c r="A58" s="85" t="inlineStr">
        <is>
          <t>Melbourne</t>
        </is>
      </c>
      <c r="B58" s="49">
        <f>B36-B14</f>
        <v/>
      </c>
      <c r="C58" s="47">
        <f>RANK(B58,B$48:B$65)</f>
        <v/>
      </c>
      <c r="D58" s="49">
        <f>D36-D14</f>
        <v/>
      </c>
      <c r="E58" s="47">
        <f>RANK(D58,D$48:D$65)</f>
        <v/>
      </c>
      <c r="F58" s="65">
        <f>F36-F14</f>
        <v/>
      </c>
      <c r="G58" s="47">
        <f>RANK(F58,F$48:F$65)</f>
        <v/>
      </c>
      <c r="H58" s="65">
        <f>H36-H14</f>
        <v/>
      </c>
      <c r="I58" s="47">
        <f>RANK(H58,H$48:H$65)</f>
        <v/>
      </c>
      <c r="L58" s="56" t="n"/>
      <c r="M58" s="65">
        <f>M36-M14</f>
        <v/>
      </c>
      <c r="N58" s="47">
        <f>RANK(M58,M$48:M$65)</f>
        <v/>
      </c>
      <c r="O58" s="56" t="n"/>
      <c r="P58" s="69" t="n"/>
    </row>
    <row r="59" ht="25" customHeight="1">
      <c r="A59" s="86" t="inlineStr">
        <is>
          <t>North Melbourne</t>
        </is>
      </c>
      <c r="B59" s="49">
        <f>B37-B15</f>
        <v/>
      </c>
      <c r="C59" s="47">
        <f>RANK(B59,B$48:B$65)</f>
        <v/>
      </c>
      <c r="D59" s="49">
        <f>D37-D15</f>
        <v/>
      </c>
      <c r="E59" s="47">
        <f>RANK(D59,D$48:D$65)</f>
        <v/>
      </c>
      <c r="F59" s="65">
        <f>F37-F15</f>
        <v/>
      </c>
      <c r="G59" s="47">
        <f>RANK(F59,F$48:F$65)</f>
        <v/>
      </c>
      <c r="H59" s="65">
        <f>H37-H15</f>
        <v/>
      </c>
      <c r="I59" s="47">
        <f>RANK(H59,H$48:H$65)</f>
        <v/>
      </c>
      <c r="L59" s="56" t="n"/>
      <c r="M59" s="65">
        <f>M37-M15</f>
        <v/>
      </c>
      <c r="N59" s="47">
        <f>RANK(M59,M$48:M$65)</f>
        <v/>
      </c>
      <c r="O59" s="56" t="n"/>
      <c r="P59" s="69" t="n"/>
    </row>
    <row r="60" ht="25" customHeight="1">
      <c r="A60" s="87" t="inlineStr">
        <is>
          <t>Port Adelaide</t>
        </is>
      </c>
      <c r="B60" s="49">
        <f>B38-B16</f>
        <v/>
      </c>
      <c r="C60" s="47">
        <f>RANK(B60,B$48:B$65)</f>
        <v/>
      </c>
      <c r="D60" s="49">
        <f>D38-D16</f>
        <v/>
      </c>
      <c r="E60" s="47">
        <f>RANK(D60,D$48:D$65)</f>
        <v/>
      </c>
      <c r="F60" s="65">
        <f>F38-F16</f>
        <v/>
      </c>
      <c r="G60" s="47">
        <f>RANK(F60,F$48:F$65)</f>
        <v/>
      </c>
      <c r="H60" s="65">
        <f>H38-H16</f>
        <v/>
      </c>
      <c r="I60" s="47">
        <f>RANK(H60,H$48:H$65)</f>
        <v/>
      </c>
      <c r="L60" s="56" t="n"/>
      <c r="M60" s="65">
        <f>M38-M16</f>
        <v/>
      </c>
      <c r="N60" s="47">
        <f>RANK(M60,M$48:M$65)</f>
        <v/>
      </c>
      <c r="O60" s="56" t="n"/>
      <c r="P60" s="69" t="n"/>
    </row>
    <row r="61" ht="25" customHeight="1">
      <c r="A61" s="88" t="inlineStr">
        <is>
          <t>Richmond</t>
        </is>
      </c>
      <c r="B61" s="49">
        <f>B39-B17</f>
        <v/>
      </c>
      <c r="C61" s="47">
        <f>RANK(B61,B$48:B$65)</f>
        <v/>
      </c>
      <c r="D61" s="49">
        <f>D39-D17</f>
        <v/>
      </c>
      <c r="E61" s="47">
        <f>RANK(D61,D$48:D$65)</f>
        <v/>
      </c>
      <c r="F61" s="65">
        <f>F39-F17</f>
        <v/>
      </c>
      <c r="G61" s="47">
        <f>RANK(F61,F$48:F$65)</f>
        <v/>
      </c>
      <c r="H61" s="65">
        <f>H39-H17</f>
        <v/>
      </c>
      <c r="I61" s="47">
        <f>RANK(H61,H$48:H$65)</f>
        <v/>
      </c>
      <c r="L61" s="56" t="n"/>
      <c r="M61" s="65">
        <f>M39-M17</f>
        <v/>
      </c>
      <c r="N61" s="47">
        <f>RANK(M61,M$48:M$65)</f>
        <v/>
      </c>
      <c r="O61" s="56" t="n"/>
      <c r="P61" s="69" t="n"/>
    </row>
    <row r="62" ht="25" customHeight="1">
      <c r="A62" s="89" t="inlineStr">
        <is>
          <t>St Kilda</t>
        </is>
      </c>
      <c r="B62" s="49">
        <f>B40-B18</f>
        <v/>
      </c>
      <c r="C62" s="47">
        <f>RANK(B62,B$48:B$65)</f>
        <v/>
      </c>
      <c r="D62" s="49">
        <f>D40-D18</f>
        <v/>
      </c>
      <c r="E62" s="47">
        <f>RANK(D62,D$48:D$65)</f>
        <v/>
      </c>
      <c r="F62" s="65">
        <f>F40-F18</f>
        <v/>
      </c>
      <c r="G62" s="47">
        <f>RANK(F62,F$48:F$65)</f>
        <v/>
      </c>
      <c r="H62" s="65">
        <f>H40-H18</f>
        <v/>
      </c>
      <c r="I62" s="47">
        <f>RANK(H62,H$48:H$65)</f>
        <v/>
      </c>
      <c r="L62" s="56" t="n"/>
      <c r="M62" s="65">
        <f>M40-M18</f>
        <v/>
      </c>
      <c r="N62" s="47">
        <f>RANK(M62,M$48:M$65)</f>
        <v/>
      </c>
      <c r="O62" s="56" t="n"/>
      <c r="P62" s="69" t="n"/>
    </row>
    <row r="63" ht="25" customHeight="1">
      <c r="A63" s="90" t="inlineStr">
        <is>
          <t>Sydney</t>
        </is>
      </c>
      <c r="B63" s="49">
        <f>B41-B19</f>
        <v/>
      </c>
      <c r="C63" s="47">
        <f>RANK(B63,B$48:B$65)</f>
        <v/>
      </c>
      <c r="D63" s="49">
        <f>D41-D19</f>
        <v/>
      </c>
      <c r="E63" s="47">
        <f>RANK(D63,D$48:D$65)</f>
        <v/>
      </c>
      <c r="F63" s="65">
        <f>F41-F19</f>
        <v/>
      </c>
      <c r="G63" s="47">
        <f>RANK(F63,F$48:F$65)</f>
        <v/>
      </c>
      <c r="H63" s="65">
        <f>H41-H19</f>
        <v/>
      </c>
      <c r="I63" s="47">
        <f>RANK(H63,H$48:H$65)</f>
        <v/>
      </c>
      <c r="L63" s="56" t="n"/>
      <c r="M63" s="65">
        <f>M41-M19</f>
        <v/>
      </c>
      <c r="N63" s="47">
        <f>RANK(M63,M$48:M$65)</f>
        <v/>
      </c>
      <c r="O63" s="56" t="n"/>
      <c r="P63" s="69" t="n"/>
    </row>
    <row r="64" ht="25" customHeight="1">
      <c r="A64" s="91" t="inlineStr">
        <is>
          <t>West Coast</t>
        </is>
      </c>
      <c r="B64" s="49">
        <f>B42-B20</f>
        <v/>
      </c>
      <c r="C64" s="47">
        <f>RANK(B64,B$48:B$65)</f>
        <v/>
      </c>
      <c r="D64" s="49">
        <f>D42-D20</f>
        <v/>
      </c>
      <c r="E64" s="47">
        <f>RANK(D64,D$48:D$65)</f>
        <v/>
      </c>
      <c r="F64" s="65">
        <f>F42-F20</f>
        <v/>
      </c>
      <c r="G64" s="47">
        <f>RANK(F64,F$48:F$65)</f>
        <v/>
      </c>
      <c r="H64" s="65">
        <f>H42-H20</f>
        <v/>
      </c>
      <c r="I64" s="47">
        <f>RANK(H64,H$48:H$65)</f>
        <v/>
      </c>
      <c r="L64" s="56" t="n"/>
      <c r="M64" s="65">
        <f>M42-M20</f>
        <v/>
      </c>
      <c r="N64" s="47">
        <f>RANK(M64,M$48:M$65)</f>
        <v/>
      </c>
      <c r="O64" s="56" t="n"/>
      <c r="P64" s="69" t="n"/>
    </row>
    <row r="65" ht="25" customHeight="1" thickBot="1">
      <c r="A65" s="92" t="inlineStr">
        <is>
          <t>Western Bulldogs</t>
        </is>
      </c>
      <c r="B65" s="95">
        <f>B43-B21</f>
        <v/>
      </c>
      <c r="C65" s="96">
        <f>RANK(B65,B$48:B$65)</f>
        <v/>
      </c>
      <c r="D65" s="95">
        <f>D43-D21</f>
        <v/>
      </c>
      <c r="E65" s="96">
        <f>RANK(D65,D$48:D$65)</f>
        <v/>
      </c>
      <c r="F65" s="66">
        <f>F43-F21</f>
        <v/>
      </c>
      <c r="G65" s="96">
        <f>RANK(F65,F$48:F$65)</f>
        <v/>
      </c>
      <c r="H65" s="66">
        <f>H43-H21</f>
        <v/>
      </c>
      <c r="I65" s="96">
        <f>RANK(H65,H$48:H$65)</f>
        <v/>
      </c>
      <c r="L65" s="62" t="n"/>
      <c r="M65" s="66">
        <f>M43-M21</f>
        <v/>
      </c>
      <c r="N65" s="96">
        <f>RANK(M65,M$48:M$65)</f>
        <v/>
      </c>
      <c r="O65" s="62" t="n"/>
      <c r="P65" s="69" t="n"/>
    </row>
    <row r="66">
      <c r="A66" s="69" t="n"/>
      <c r="B66" s="69" t="n"/>
      <c r="C66" s="69" t="n"/>
      <c r="D66" s="69" t="n"/>
      <c r="E66" s="69" t="n"/>
      <c r="F66" s="69" t="n"/>
      <c r="G66" s="69" t="n"/>
      <c r="H66" s="69" t="n"/>
      <c r="I66" s="69" t="n"/>
      <c r="L66" s="69" t="n"/>
      <c r="M66" s="69" t="n"/>
      <c r="N66" s="69" t="n"/>
      <c r="O66" s="69" t="n"/>
      <c r="P66" s="69" t="n"/>
    </row>
    <row r="67">
      <c r="A67" s="69" t="n"/>
      <c r="B67" s="69" t="n"/>
      <c r="C67" s="69" t="n"/>
      <c r="D67" s="69" t="n"/>
      <c r="E67" s="69" t="n"/>
      <c r="F67" s="69" t="n"/>
      <c r="G67" s="69" t="n"/>
      <c r="H67" s="69" t="n"/>
      <c r="I67" s="69" t="n"/>
      <c r="L67" s="69" t="n"/>
      <c r="M67" s="69" t="n"/>
      <c r="N67" s="69" t="n"/>
      <c r="O67" s="69" t="n"/>
      <c r="P67" s="69" t="n"/>
    </row>
    <row r="68">
      <c r="A68" s="69" t="n"/>
      <c r="B68" s="69" t="n"/>
      <c r="C68" s="69" t="n"/>
      <c r="D68" s="69" t="n"/>
      <c r="E68" s="69" t="n"/>
      <c r="F68" s="69" t="n"/>
      <c r="G68" s="69" t="n"/>
      <c r="H68" s="69" t="n"/>
      <c r="I68" s="69" t="n"/>
      <c r="L68" s="69" t="n"/>
      <c r="M68" s="69" t="n"/>
      <c r="N68" s="69" t="n"/>
      <c r="O68" s="69" t="n"/>
      <c r="P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L69" s="69" t="n"/>
      <c r="M69" s="69" t="n"/>
      <c r="N69" s="69" t="n"/>
      <c r="O69" s="69" t="n"/>
    </row>
  </sheetData>
  <conditionalFormatting sqref="B4:B21">
    <cfRule type="dataBar" priority="28">
      <dataBar>
        <cfvo type="min"/>
        <cfvo type="max"/>
        <color rgb="FF638EC6"/>
      </dataBar>
    </cfRule>
  </conditionalFormatting>
  <conditionalFormatting sqref="B26:B43">
    <cfRule type="dataBar" priority="12">
      <dataBar>
        <cfvo type="min"/>
        <cfvo type="max"/>
        <color rgb="FF638EC6"/>
      </dataBar>
    </cfRule>
  </conditionalFormatting>
  <conditionalFormatting sqref="B48:B65">
    <cfRule type="dataBar" priority="20">
      <dataBar>
        <cfvo type="min"/>
        <cfvo type="max"/>
        <color rgb="FF638EC6"/>
      </dataBar>
    </cfRule>
  </conditionalFormatting>
  <conditionalFormatting sqref="D4:D21">
    <cfRule type="dataBar" priority="27">
      <dataBar>
        <cfvo type="min"/>
        <cfvo type="max"/>
        <color rgb="FF63C384"/>
      </dataBar>
    </cfRule>
  </conditionalFormatting>
  <conditionalFormatting sqref="D26:D43">
    <cfRule type="dataBar" priority="11">
      <dataBar>
        <cfvo type="min"/>
        <cfvo type="max"/>
        <color rgb="FF63C384"/>
      </dataBar>
    </cfRule>
  </conditionalFormatting>
  <conditionalFormatting sqref="D48:D65">
    <cfRule type="dataBar" priority="19">
      <dataBar>
        <cfvo type="min"/>
        <cfvo type="max"/>
        <color rgb="FF63C384"/>
      </dataBar>
    </cfRule>
  </conditionalFormatting>
  <conditionalFormatting sqref="F4:F21">
    <cfRule type="dataBar" priority="22">
      <dataBar>
        <cfvo type="min"/>
        <cfvo type="max"/>
        <color rgb="FF63C384"/>
      </dataBar>
    </cfRule>
    <cfRule type="dataBar" priority="21">
      <dataBar>
        <cfvo type="min"/>
        <cfvo type="max"/>
        <color rgb="FFFFFF00"/>
      </dataBar>
    </cfRule>
  </conditionalFormatting>
  <conditionalFormatting sqref="F26:F43">
    <cfRule type="dataBar" priority="7">
      <dataBar>
        <cfvo type="min"/>
        <cfvo type="max"/>
        <color rgb="FFFFFF00"/>
      </dataBar>
    </cfRule>
    <cfRule type="dataBar" priority="8">
      <dataBar>
        <cfvo type="min"/>
        <cfvo type="max"/>
        <color rgb="FF63C384"/>
      </dataBar>
    </cfRule>
  </conditionalFormatting>
  <conditionalFormatting sqref="F48:F65">
    <cfRule type="dataBar" priority="13">
      <dataBar>
        <cfvo type="min"/>
        <cfvo type="max"/>
        <color rgb="FFFFFF00"/>
      </dataBar>
    </cfRule>
    <cfRule type="dataBar" priority="14">
      <dataBar>
        <cfvo type="min"/>
        <cfvo type="max"/>
        <color rgb="FF63C384"/>
      </dataBar>
    </cfRule>
  </conditionalFormatting>
  <conditionalFormatting sqref="H4:H21">
    <cfRule type="dataBar" priority="25">
      <dataBar>
        <cfvo type="min"/>
        <cfvo type="max"/>
        <color rgb="FFFF555A"/>
      </dataBar>
    </cfRule>
    <cfRule type="dataBar" priority="26">
      <dataBar>
        <cfvo type="min"/>
        <cfvo type="max"/>
        <color rgb="FF63C384"/>
      </dataBar>
    </cfRule>
  </conditionalFormatting>
  <conditionalFormatting sqref="H26:H43">
    <cfRule type="dataBar" priority="9">
      <dataBar>
        <cfvo type="min"/>
        <cfvo type="max"/>
        <color rgb="FFFF555A"/>
      </dataBar>
    </cfRule>
    <cfRule type="dataBar" priority="10">
      <dataBar>
        <cfvo type="min"/>
        <cfvo type="max"/>
        <color rgb="FF63C384"/>
      </dataBar>
    </cfRule>
  </conditionalFormatting>
  <conditionalFormatting sqref="H48:H65">
    <cfRule type="dataBar" priority="17">
      <dataBar>
        <cfvo type="min"/>
        <cfvo type="max"/>
        <color rgb="FFFF555A"/>
      </dataBar>
    </cfRule>
    <cfRule type="dataBar" priority="18">
      <dataBar>
        <cfvo type="min"/>
        <cfvo type="max"/>
        <color rgb="FF63C384"/>
      </dataBar>
    </cfRule>
  </conditionalFormatting>
  <conditionalFormatting sqref="J4:J21">
    <cfRule type="dataBar" priority="3">
      <dataBar>
        <cfvo type="min"/>
        <cfvo type="max"/>
        <color rgb="FFD883FF"/>
      </dataBar>
    </cfRule>
    <cfRule type="dataBar" priority="4">
      <dataBar>
        <cfvo type="min"/>
        <cfvo type="max"/>
        <color rgb="FF63C384"/>
      </dataBar>
    </cfRule>
  </conditionalFormatting>
  <conditionalFormatting sqref="J26:J43">
    <cfRule type="dataBar" priority="1">
      <dataBar>
        <cfvo type="min"/>
        <cfvo type="max"/>
        <color rgb="FFD883FF"/>
      </dataBar>
    </cfRule>
    <cfRule type="dataBar" priority="2">
      <dataBar>
        <cfvo type="min"/>
        <cfvo type="max"/>
        <color rgb="FF63C384"/>
      </dataBar>
    </cfRule>
  </conditionalFormatting>
  <conditionalFormatting sqref="M4:M21">
    <cfRule type="dataBar" priority="23">
      <dataBar>
        <cfvo type="min"/>
        <cfvo type="max"/>
        <color theme="1" tint="0.499984740745262"/>
      </dataBar>
    </cfRule>
    <cfRule type="dataBar" priority="24">
      <dataBar>
        <cfvo type="min"/>
        <cfvo type="max"/>
        <color rgb="FF63C384"/>
      </dataBar>
    </cfRule>
  </conditionalFormatting>
  <conditionalFormatting sqref="M26:M43">
    <cfRule type="dataBar" priority="6">
      <dataBar>
        <cfvo type="min"/>
        <cfvo type="max"/>
        <color rgb="FF63C384"/>
      </dataBar>
    </cfRule>
    <cfRule type="dataBar" priority="5">
      <dataBar>
        <cfvo type="min"/>
        <cfvo type="max"/>
        <color theme="1" tint="0.499984740745262"/>
      </dataBar>
    </cfRule>
  </conditionalFormatting>
  <conditionalFormatting sqref="M48:M65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theme="1" tint="0.499984740745262"/>
      </dataBar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92D050"/>
    <outlinePr summaryBelow="1" summaryRight="1"/>
    <pageSetUpPr/>
  </sheetPr>
  <dimension ref="A1:Y16349"/>
  <sheetViews>
    <sheetView topLeftCell="C1" zoomScale="91" zoomScaleNormal="100" workbookViewId="0">
      <selection activeCell="K1" sqref="K1"/>
    </sheetView>
  </sheetViews>
  <sheetFormatPr baseColWidth="10" defaultRowHeight="16"/>
  <cols>
    <col hidden="1" width="10.83203125" customWidth="1" min="1" max="2"/>
    <col width="21.5" bestFit="1" customWidth="1" min="7" max="7"/>
    <col width="59.6640625" customWidth="1" min="8" max="8"/>
    <col width="58.83203125" customWidth="1" min="11" max="11"/>
  </cols>
  <sheetData>
    <row r="1" ht="56" customFormat="1" customHeight="1" s="73">
      <c r="C1" s="135" t="n"/>
      <c r="D1" s="137" t="n"/>
      <c r="E1" s="137" t="n"/>
      <c r="F1" s="137" t="n"/>
      <c r="G1" s="137" t="inlineStr">
        <is>
          <t>X-Axis</t>
        </is>
      </c>
      <c r="H1" s="74" t="inlineStr">
        <is>
          <t>Pressure Ranking</t>
        </is>
      </c>
      <c r="I1" s="137" t="n"/>
      <c r="J1" s="137" t="inlineStr">
        <is>
          <t>Y-Axis</t>
        </is>
      </c>
      <c r="K1" s="74" t="inlineStr">
        <is>
          <t>Ball Movement Ranking</t>
        </is>
      </c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</row>
    <row r="2" ht="35" customHeight="1" thickBot="1">
      <c r="A2" s="4" t="inlineStr">
        <is>
          <t>Post Clear CP Diff</t>
        </is>
      </c>
      <c r="C2" s="136" t="n"/>
      <c r="D2" s="138" t="n"/>
      <c r="E2" s="138" t="n"/>
      <c r="F2" s="138" t="n"/>
      <c r="G2" s="138" t="inlineStr">
        <is>
          <t>Team</t>
        </is>
      </c>
      <c r="H2" s="138" t="inlineStr">
        <is>
          <t>X-Axis</t>
        </is>
      </c>
      <c r="I2" s="138" t="n"/>
      <c r="J2" s="138" t="n"/>
      <c r="K2" s="138" t="inlineStr">
        <is>
          <t>Y-Axis</t>
        </is>
      </c>
      <c r="L2" s="138" t="n"/>
      <c r="M2" s="138" t="n"/>
      <c r="N2" s="138" t="n"/>
      <c r="O2" s="138" t="n"/>
      <c r="P2" s="138" t="n"/>
      <c r="Q2" s="138" t="n"/>
      <c r="R2" s="138" t="n"/>
      <c r="S2" s="138" t="n"/>
      <c r="T2" s="138" t="n"/>
      <c r="U2" s="138" t="n"/>
      <c r="V2" s="138" t="n"/>
      <c r="W2" s="138" t="n"/>
      <c r="X2" s="138" t="n"/>
      <c r="Y2" s="138" t="n"/>
    </row>
    <row r="3" ht="35" customHeight="1" thickBot="1">
      <c r="A3" s="5" t="inlineStr">
        <is>
          <t>Ground Ball Diff</t>
        </is>
      </c>
      <c r="D3" s="138" t="n"/>
      <c r="E3" s="138" t="n"/>
      <c r="F3" s="138" t="n"/>
      <c r="G3" s="138" t="n"/>
      <c r="H3" s="138">
        <f t="array" ref="H3:H21">INDEX('2025 Summary'!$B$4:$BY$22,ROW()-3,MATCH(H1,'2025 Summary'!$B$4:$BY$4,0))</f>
        <v/>
      </c>
      <c r="I3" s="138" t="n"/>
      <c r="J3" s="138" t="n"/>
      <c r="K3" s="138">
        <f t="array" ref="K3:K21">INDEX('2025 Summary'!$B$4:$BY$22,ROW()-3,MATCH(K1,'2025 Summary'!$B$4:$BY$4,0))</f>
        <v/>
      </c>
      <c r="L3" s="138" t="n"/>
      <c r="M3" s="138" t="n"/>
      <c r="N3" s="138" t="n"/>
      <c r="O3" s="138" t="n"/>
      <c r="P3" s="138" t="n"/>
      <c r="Q3" s="138" t="n"/>
      <c r="R3" s="138" t="n"/>
      <c r="S3" s="138" t="n"/>
      <c r="T3" s="138" t="n"/>
      <c r="U3" s="138" t="n"/>
      <c r="V3" s="138" t="n"/>
      <c r="W3" s="138" t="n"/>
      <c r="X3" s="138" t="n"/>
      <c r="Y3" s="138" t="n"/>
    </row>
    <row r="4" ht="35" customHeight="1" thickBot="1">
      <c r="A4" s="5" t="inlineStr">
        <is>
          <t>1st Poss to Clear %</t>
        </is>
      </c>
      <c r="D4" s="138" t="n"/>
      <c r="E4" s="138" t="n"/>
      <c r="F4" s="138" t="n"/>
      <c r="G4" s="138">
        <f>'2025 Summary'!A5</f>
        <v/>
      </c>
      <c r="H4" s="138" t="n">
        <v>72</v>
      </c>
      <c r="I4" s="138" t="n"/>
      <c r="J4" s="138" t="n"/>
      <c r="K4" s="138" t="n">
        <v>66</v>
      </c>
      <c r="L4" s="138" t="n"/>
      <c r="M4" s="138" t="n"/>
      <c r="N4" s="138" t="n"/>
      <c r="O4" s="138" t="n"/>
      <c r="P4" s="138" t="n"/>
      <c r="Q4" s="138" t="n"/>
      <c r="R4" s="138" t="n"/>
      <c r="S4" s="138" t="n"/>
      <c r="T4" s="138" t="n"/>
      <c r="U4" s="138" t="n"/>
      <c r="V4" s="138" t="n"/>
      <c r="W4" s="138" t="n"/>
      <c r="X4" s="138" t="n"/>
      <c r="Y4" s="138" t="n"/>
    </row>
    <row r="5" ht="35" customHeight="1" thickBot="1">
      <c r="A5" s="5" t="inlineStr">
        <is>
          <t>Clearance Diff</t>
        </is>
      </c>
      <c r="D5" s="138" t="n"/>
      <c r="E5" s="138" t="n"/>
      <c r="F5" s="138" t="n"/>
      <c r="G5" s="138">
        <f>'2025 Summary'!A6</f>
        <v/>
      </c>
      <c r="H5" s="138" t="n">
        <v>79</v>
      </c>
      <c r="I5" s="138" t="n"/>
      <c r="J5" s="138" t="n"/>
      <c r="K5" s="138" t="n">
        <v>87</v>
      </c>
      <c r="L5" s="138" t="n"/>
      <c r="M5" s="138" t="n"/>
      <c r="N5" s="138" t="n"/>
      <c r="O5" s="138" t="n"/>
      <c r="P5" s="138" t="n"/>
      <c r="Q5" s="138" t="n"/>
      <c r="R5" s="138" t="n"/>
      <c r="S5" s="138" t="n"/>
      <c r="T5" s="138" t="n"/>
      <c r="U5" s="138" t="n"/>
      <c r="V5" s="138" t="n"/>
      <c r="W5" s="138" t="n"/>
      <c r="X5" s="138" t="n"/>
      <c r="Y5" s="138" t="n"/>
    </row>
    <row r="6" ht="52" customHeight="1" thickBot="1">
      <c r="A6" s="27" t="inlineStr">
        <is>
          <t>Ball Winning Ranking</t>
        </is>
      </c>
      <c r="D6" s="138" t="n"/>
      <c r="E6" s="138" t="n"/>
      <c r="F6" s="138" t="n"/>
      <c r="G6" s="138">
        <f>'2025 Summary'!A7</f>
        <v/>
      </c>
      <c r="H6" s="138" t="n">
        <v>74</v>
      </c>
      <c r="I6" s="138" t="n"/>
      <c r="J6" s="138" t="n"/>
      <c r="K6" s="138" t="n">
        <v>58</v>
      </c>
      <c r="L6" s="138" t="n"/>
      <c r="M6" s="138" t="n"/>
      <c r="N6" s="138" t="n"/>
      <c r="O6" s="138" t="n"/>
      <c r="P6" s="138" t="n"/>
      <c r="Q6" s="138" t="n"/>
      <c r="R6" s="138" t="n"/>
      <c r="S6" s="138" t="n"/>
      <c r="T6" s="138" t="n"/>
      <c r="U6" s="138" t="n"/>
      <c r="V6" s="138" t="n"/>
      <c r="W6" s="138" t="n"/>
      <c r="X6" s="138" t="n"/>
      <c r="Y6" s="138" t="n"/>
    </row>
    <row r="7" ht="35" customHeight="1" thickBot="1">
      <c r="A7" s="7" t="inlineStr">
        <is>
          <t>Def Half to Score %</t>
        </is>
      </c>
      <c r="D7" s="138" t="n"/>
      <c r="E7" s="138" t="n"/>
      <c r="F7" s="138" t="n"/>
      <c r="G7" s="138">
        <f>'2025 Summary'!A8</f>
        <v/>
      </c>
      <c r="H7" s="138" t="n">
        <v>93</v>
      </c>
      <c r="I7" s="138" t="n"/>
      <c r="J7" s="138" t="n"/>
      <c r="K7" s="138" t="n">
        <v>67</v>
      </c>
      <c r="L7" s="138" t="n"/>
      <c r="M7" s="138" t="n"/>
      <c r="N7" s="138" t="n"/>
      <c r="O7" s="138" t="n"/>
      <c r="P7" s="138" t="n"/>
      <c r="Q7" s="138" t="n"/>
      <c r="R7" s="138" t="n"/>
      <c r="S7" s="138" t="n"/>
      <c r="T7" s="138" t="n"/>
      <c r="U7" s="138" t="n"/>
      <c r="V7" s="138" t="n"/>
      <c r="W7" s="138" t="n"/>
      <c r="X7" s="138" t="n"/>
      <c r="Y7" s="138" t="n"/>
    </row>
    <row r="8" ht="35" customHeight="1" thickBot="1">
      <c r="A8" s="8" t="inlineStr">
        <is>
          <t>Chain to Score %</t>
        </is>
      </c>
      <c r="D8" s="138" t="n"/>
      <c r="E8" s="138" t="n"/>
      <c r="F8" s="138" t="n"/>
      <c r="G8" s="138">
        <f>'2025 Summary'!A9</f>
        <v/>
      </c>
      <c r="H8" s="138" t="n">
        <v>61</v>
      </c>
      <c r="I8" s="138" t="n"/>
      <c r="J8" s="138" t="n"/>
      <c r="K8" s="138" t="n">
        <v>35</v>
      </c>
      <c r="L8" s="138" t="n"/>
      <c r="M8" s="138" t="n"/>
      <c r="N8" s="138" t="n"/>
      <c r="O8" s="138" t="n"/>
      <c r="P8" s="138" t="n"/>
      <c r="Q8" s="138" t="n"/>
      <c r="R8" s="138" t="n"/>
      <c r="S8" s="138" t="n"/>
      <c r="T8" s="138" t="n"/>
      <c r="U8" s="138" t="n"/>
      <c r="V8" s="138" t="n"/>
      <c r="W8" s="138" t="n"/>
      <c r="X8" s="138" t="n"/>
      <c r="Y8" s="138" t="n"/>
    </row>
    <row r="9" ht="35" customHeight="1" thickBot="1">
      <c r="A9" s="8" t="inlineStr">
        <is>
          <t>D50 to F50 %</t>
        </is>
      </c>
      <c r="D9" s="138" t="n"/>
      <c r="E9" s="138" t="n"/>
      <c r="F9" s="138" t="n"/>
      <c r="G9" s="138">
        <f>'2025 Summary'!A10</f>
        <v/>
      </c>
      <c r="H9" s="138" t="n">
        <v>61</v>
      </c>
      <c r="I9" s="138" t="n"/>
      <c r="J9" s="138" t="n"/>
      <c r="K9" s="138" t="n">
        <v>66</v>
      </c>
      <c r="L9" s="138" t="n"/>
      <c r="M9" s="138" t="n"/>
      <c r="N9" s="138" t="n"/>
      <c r="O9" s="138" t="n"/>
      <c r="P9" s="138" t="n"/>
      <c r="Q9" s="138" t="n"/>
      <c r="R9" s="138" t="n"/>
      <c r="S9" s="138" t="n"/>
      <c r="T9" s="138" t="n"/>
      <c r="U9" s="138" t="n"/>
      <c r="V9" s="138" t="n"/>
      <c r="W9" s="138" t="n"/>
      <c r="X9" s="138" t="n"/>
      <c r="Y9" s="138" t="n"/>
    </row>
    <row r="10" ht="18" customHeight="1" thickBot="1">
      <c r="A10" s="8" t="inlineStr">
        <is>
          <t>Kick Rating</t>
        </is>
      </c>
      <c r="D10" s="138" t="n"/>
      <c r="E10" s="138" t="n"/>
      <c r="F10" s="138" t="n"/>
      <c r="G10" s="138">
        <f>'2025 Summary'!A11</f>
        <v/>
      </c>
      <c r="H10" s="138" t="n">
        <v>78</v>
      </c>
      <c r="I10" s="138" t="n"/>
      <c r="J10" s="138" t="n"/>
      <c r="K10" s="138" t="n">
        <v>98</v>
      </c>
      <c r="L10" s="138" t="n"/>
      <c r="M10" s="138" t="n"/>
      <c r="N10" s="138" t="n"/>
      <c r="O10" s="138" t="n"/>
      <c r="P10" s="138" t="n"/>
      <c r="Q10" s="138" t="n"/>
      <c r="R10" s="138" t="n"/>
      <c r="S10" s="138" t="n"/>
      <c r="T10" s="138" t="n"/>
      <c r="U10" s="138" t="n"/>
      <c r="V10" s="138" t="n"/>
      <c r="W10" s="138" t="n"/>
      <c r="X10" s="138" t="n"/>
      <c r="Y10" s="138" t="n"/>
    </row>
    <row r="11" ht="52" customHeight="1" thickBot="1">
      <c r="A11" s="30" t="inlineStr">
        <is>
          <t>Ball Movement Ranking</t>
        </is>
      </c>
      <c r="D11" s="138" t="n"/>
      <c r="E11" s="138" t="n"/>
      <c r="F11" s="138" t="n"/>
      <c r="G11" s="138">
        <f>'2025 Summary'!A12</f>
        <v/>
      </c>
      <c r="H11" s="138" t="n">
        <v>71</v>
      </c>
      <c r="I11" s="138" t="n"/>
      <c r="J11" s="138" t="n"/>
      <c r="K11" s="138" t="n">
        <v>81</v>
      </c>
      <c r="L11" s="138" t="n"/>
      <c r="M11" s="138" t="n"/>
      <c r="N11" s="138" t="n"/>
      <c r="O11" s="138" t="n"/>
      <c r="P11" s="138" t="n"/>
      <c r="Q11" s="138" t="n"/>
      <c r="R11" s="138" t="n"/>
      <c r="S11" s="138" t="n"/>
      <c r="T11" s="138" t="n"/>
      <c r="U11" s="138" t="n"/>
      <c r="V11" s="138" t="n"/>
      <c r="W11" s="138" t="n"/>
      <c r="X11" s="138" t="n"/>
      <c r="Y11" s="138" t="n"/>
    </row>
    <row r="12" ht="35" customHeight="1" thickBot="1">
      <c r="A12" s="10" t="inlineStr">
        <is>
          <t>Scores per I50 %</t>
        </is>
      </c>
      <c r="D12" s="138" t="n"/>
      <c r="E12" s="138" t="n"/>
      <c r="F12" s="138" t="n"/>
      <c r="G12" s="138">
        <f>'2025 Summary'!A13</f>
        <v/>
      </c>
      <c r="H12" s="138" t="n">
        <v>69</v>
      </c>
      <c r="I12" s="138" t="n"/>
      <c r="J12" s="138" t="n"/>
      <c r="K12" s="138" t="n">
        <v>82</v>
      </c>
      <c r="L12" s="138" t="n"/>
      <c r="M12" s="138" t="n"/>
      <c r="N12" s="138" t="n"/>
      <c r="O12" s="138" t="n"/>
      <c r="P12" s="138" t="n"/>
      <c r="Q12" s="138" t="n"/>
      <c r="R12" s="138" t="n"/>
      <c r="S12" s="138" t="n"/>
      <c r="T12" s="138" t="n"/>
      <c r="U12" s="138" t="n"/>
      <c r="V12" s="138" t="n"/>
      <c r="W12" s="138" t="n"/>
      <c r="X12" s="138" t="n"/>
      <c r="Y12" s="138" t="n"/>
    </row>
    <row r="13" ht="35" customHeight="1" thickBot="1">
      <c r="A13" s="11" t="inlineStr">
        <is>
          <t>Goals Per I 50 %</t>
        </is>
      </c>
      <c r="D13" s="138" t="n"/>
      <c r="E13" s="138" t="n"/>
      <c r="F13" s="138" t="n"/>
      <c r="G13" s="138">
        <f>'2025 Summary'!A14</f>
        <v/>
      </c>
      <c r="H13" s="138" t="n">
        <v>74</v>
      </c>
      <c r="I13" s="138" t="n"/>
      <c r="J13" s="138" t="n"/>
      <c r="K13" s="138" t="n">
        <v>74</v>
      </c>
      <c r="L13" s="138" t="n"/>
      <c r="M13" s="138" t="n"/>
      <c r="N13" s="138" t="n"/>
      <c r="O13" s="138" t="n"/>
      <c r="P13" s="138" t="n"/>
      <c r="Q13" s="138" t="n"/>
      <c r="R13" s="138" t="n"/>
      <c r="S13" s="138" t="n"/>
      <c r="T13" s="138" t="n"/>
      <c r="U13" s="138" t="n"/>
      <c r="V13" s="138" t="n"/>
      <c r="W13" s="138" t="n"/>
      <c r="X13" s="138" t="n"/>
      <c r="Y13" s="138" t="n"/>
    </row>
    <row r="14" ht="18" customHeight="1" thickBot="1">
      <c r="A14" s="11" t="inlineStr">
        <is>
          <t>Accuracy %</t>
        </is>
      </c>
      <c r="D14" s="138" t="n"/>
      <c r="E14" s="138" t="n"/>
      <c r="F14" s="138" t="n"/>
      <c r="G14" s="138">
        <f>'2025 Summary'!A15</f>
        <v/>
      </c>
      <c r="H14" s="138" t="n">
        <v>66</v>
      </c>
      <c r="I14" s="138" t="n"/>
      <c r="J14" s="138" t="n"/>
      <c r="K14" s="138" t="n">
        <v>69</v>
      </c>
      <c r="L14" s="138" t="n"/>
      <c r="M14" s="138" t="n"/>
      <c r="N14" s="138" t="n"/>
      <c r="O14" s="138" t="n"/>
      <c r="P14" s="138" t="n"/>
      <c r="Q14" s="138" t="n"/>
      <c r="R14" s="138" t="n"/>
      <c r="S14" s="138" t="n"/>
      <c r="T14" s="138" t="n"/>
      <c r="U14" s="138" t="n"/>
      <c r="V14" s="138" t="n"/>
      <c r="W14" s="138" t="n"/>
      <c r="X14" s="138" t="n"/>
      <c r="Y14" s="138" t="n"/>
    </row>
    <row r="15" ht="35" customHeight="1" thickBot="1">
      <c r="A15" s="12" t="inlineStr">
        <is>
          <t>+/- Exp Score</t>
        </is>
      </c>
      <c r="D15" s="138" t="n"/>
      <c r="E15" s="138" t="n"/>
      <c r="F15" s="138" t="n"/>
      <c r="G15" s="138">
        <f>'2025 Summary'!A16</f>
        <v/>
      </c>
      <c r="H15" s="138" t="n">
        <v>46</v>
      </c>
      <c r="I15" s="138" t="n"/>
      <c r="J15" s="138" t="n"/>
      <c r="K15" s="138" t="n">
        <v>39</v>
      </c>
      <c r="L15" s="138" t="n"/>
      <c r="M15" s="138" t="n"/>
      <c r="N15" s="138" t="n"/>
      <c r="O15" s="138" t="n"/>
      <c r="P15" s="138" t="n"/>
      <c r="Q15" s="138" t="n"/>
      <c r="R15" s="138" t="n"/>
      <c r="S15" s="138" t="n"/>
      <c r="T15" s="138" t="n"/>
      <c r="U15" s="138" t="n"/>
      <c r="V15" s="138" t="n"/>
      <c r="W15" s="138" t="n"/>
      <c r="X15" s="138" t="n"/>
      <c r="Y15" s="138" t="n"/>
    </row>
    <row r="16" ht="35" customHeight="1" thickBot="1">
      <c r="A16" s="32" t="inlineStr">
        <is>
          <t>Scoring Ranking</t>
        </is>
      </c>
      <c r="D16" s="138" t="n"/>
      <c r="E16" s="138" t="n"/>
      <c r="F16" s="138" t="n"/>
      <c r="G16" s="138">
        <f>'2025 Summary'!A17</f>
        <v/>
      </c>
      <c r="H16" s="138" t="n">
        <v>72</v>
      </c>
      <c r="I16" s="138" t="n"/>
      <c r="J16" s="138" t="n"/>
      <c r="K16" s="138" t="n">
        <v>46</v>
      </c>
      <c r="L16" s="138" t="n"/>
      <c r="M16" s="138" t="n"/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</row>
    <row r="17" ht="35" customHeight="1" thickBot="1">
      <c r="A17" s="13" t="inlineStr">
        <is>
          <t>Def Half to Score Ag %</t>
        </is>
      </c>
      <c r="D17" s="138" t="n"/>
      <c r="E17" s="138" t="n"/>
      <c r="F17" s="138" t="n"/>
      <c r="G17" s="138">
        <f>'2025 Summary'!A18</f>
        <v/>
      </c>
      <c r="H17" s="138" t="n">
        <v>47</v>
      </c>
      <c r="I17" s="138" t="n"/>
      <c r="J17" s="138" t="n"/>
      <c r="K17" s="138" t="n">
        <v>46</v>
      </c>
      <c r="L17" s="138" t="n"/>
      <c r="M17" s="138" t="n"/>
      <c r="N17" s="138" t="n"/>
      <c r="O17" s="138" t="n"/>
      <c r="P17" s="138" t="n"/>
      <c r="Q17" s="138" t="n"/>
      <c r="R17" s="138" t="n"/>
      <c r="S17" s="138" t="n"/>
      <c r="T17" s="138" t="n"/>
      <c r="U17" s="138" t="n"/>
      <c r="V17" s="138" t="n"/>
      <c r="W17" s="138" t="n"/>
      <c r="X17" s="138" t="n"/>
      <c r="Y17" s="138" t="n"/>
    </row>
    <row r="18" ht="35" customHeight="1" thickBot="1">
      <c r="A18" s="14" t="inlineStr">
        <is>
          <t>Chain to Score Ag %</t>
        </is>
      </c>
      <c r="D18" s="138" t="n"/>
      <c r="E18" s="138" t="n"/>
      <c r="F18" s="138" t="n"/>
      <c r="G18" s="138">
        <f>'2025 Summary'!A19</f>
        <v/>
      </c>
      <c r="H18" s="138" t="n">
        <v>50</v>
      </c>
      <c r="I18" s="138" t="n"/>
      <c r="J18" s="138" t="n"/>
      <c r="K18" s="138" t="n">
        <v>63</v>
      </c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</row>
    <row r="19" ht="35" customHeight="1" thickBot="1">
      <c r="A19" s="14" t="inlineStr">
        <is>
          <t>D50 to F50 Ag %</t>
        </is>
      </c>
      <c r="D19" s="138" t="n"/>
      <c r="E19" s="138" t="n"/>
      <c r="F19" s="138" t="n"/>
      <c r="G19" s="138">
        <f>'2025 Summary'!A20</f>
        <v/>
      </c>
      <c r="H19" s="138" t="n">
        <v>51</v>
      </c>
      <c r="I19" s="138" t="n"/>
      <c r="J19" s="138" t="n"/>
      <c r="K19" s="138" t="n">
        <v>74</v>
      </c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</row>
    <row r="20" ht="35" customHeight="1" thickBot="1">
      <c r="A20" s="14" t="inlineStr">
        <is>
          <t>Kick Rating Ag</t>
        </is>
      </c>
      <c r="D20" s="138" t="n"/>
      <c r="E20" s="138" t="n"/>
      <c r="F20" s="138" t="n"/>
      <c r="G20" s="138">
        <f>'2025 Summary'!A21</f>
        <v/>
      </c>
      <c r="H20" s="138" t="n">
        <v>59</v>
      </c>
      <c r="I20" s="138" t="n"/>
      <c r="J20" s="138" t="n"/>
      <c r="K20" s="138" t="n">
        <v>39</v>
      </c>
      <c r="L20" s="138" t="n"/>
      <c r="M20" s="138" t="n"/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</row>
    <row r="21" ht="35" customHeight="1" thickBot="1">
      <c r="A21" s="33" t="inlineStr">
        <is>
          <t>Defence Ranking</t>
        </is>
      </c>
      <c r="D21" s="138" t="n"/>
      <c r="E21" s="138" t="n"/>
      <c r="F21" s="138" t="n"/>
      <c r="G21" s="138">
        <f>'2025 Summary'!A22</f>
        <v/>
      </c>
      <c r="H21" s="138" t="n">
        <v>67</v>
      </c>
      <c r="I21" s="138" t="n"/>
      <c r="J21" s="138" t="n"/>
      <c r="K21" s="138" t="n">
        <v>98</v>
      </c>
      <c r="L21" s="138" t="n"/>
      <c r="M21" s="138" t="n"/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</row>
    <row r="22" ht="18" customHeight="1" thickBot="1">
      <c r="A22" s="183" t="inlineStr">
        <is>
          <t>Tackle Diff</t>
        </is>
      </c>
      <c r="D22" s="138" t="n"/>
      <c r="E22" s="138" t="n"/>
      <c r="F22" s="138" t="n"/>
      <c r="G22" s="138" t="inlineStr">
        <is>
          <t>Average</t>
        </is>
      </c>
      <c r="H22" s="139">
        <f>AVERAGE(H4:H21)</f>
        <v/>
      </c>
      <c r="I22" s="138" t="n"/>
      <c r="J22" s="138" t="n"/>
      <c r="K22" s="139">
        <f>AVERAGE(K4:K21)</f>
        <v/>
      </c>
      <c r="L22" s="138" t="n"/>
      <c r="M22" s="138" t="n"/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</row>
    <row r="23" ht="18" customHeight="1" thickBot="1">
      <c r="A23" s="184" t="inlineStr">
        <is>
          <t>F50 Tackles</t>
        </is>
      </c>
      <c r="C23" s="136" t="n"/>
      <c r="D23" s="138" t="n"/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8" t="n"/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</row>
    <row r="24" ht="35" customHeight="1" thickBot="1">
      <c r="A24" s="184" t="inlineStr">
        <is>
          <t>Pressure Acts</t>
        </is>
      </c>
      <c r="C24" s="136" t="n"/>
      <c r="D24" s="138" t="n"/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8" t="n"/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</row>
    <row r="25" ht="18" customHeight="1" thickBot="1">
      <c r="A25" s="184" t="inlineStr">
        <is>
          <t>1%'ers</t>
        </is>
      </c>
      <c r="C25" s="136" t="n"/>
      <c r="D25" s="138" t="n"/>
      <c r="E25" s="138" t="n"/>
      <c r="F25" s="138" t="n"/>
      <c r="G25" s="138" t="n"/>
      <c r="H25" s="138" t="n"/>
      <c r="I25" s="138" t="n"/>
      <c r="J25" s="138" t="n"/>
      <c r="K25" s="138" t="n"/>
      <c r="L25" s="138" t="n"/>
      <c r="M25" s="138" t="n"/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</row>
    <row r="26" ht="35" customHeight="1" thickBot="1">
      <c r="A26" s="186" t="inlineStr">
        <is>
          <t>Pressure Ranking</t>
        </is>
      </c>
      <c r="C26" s="136" t="n"/>
      <c r="D26" s="138" t="n"/>
      <c r="E26" s="138" t="n"/>
      <c r="F26" s="138" t="n"/>
      <c r="G26" s="138" t="n"/>
      <c r="H26" s="138" t="n"/>
      <c r="I26" s="138" t="n"/>
      <c r="J26" s="138" t="n"/>
      <c r="K26" s="138" t="n"/>
      <c r="L26" s="138" t="n"/>
      <c r="M26" s="138" t="n"/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</row>
    <row r="27" ht="52" customHeight="1" thickBot="1">
      <c r="A27" s="16" t="inlineStr">
        <is>
          <t>Score from Turnover For</t>
        </is>
      </c>
      <c r="C27" s="136" t="n"/>
      <c r="D27" s="138" t="n"/>
      <c r="E27" s="138" t="n"/>
      <c r="F27" s="138" t="n"/>
      <c r="G27" s="138" t="n"/>
      <c r="H27" s="138" t="n"/>
      <c r="I27" s="138" t="n"/>
      <c r="J27" s="138" t="n"/>
      <c r="K27" s="138" t="n"/>
      <c r="L27" s="138" t="n"/>
      <c r="M27" s="138" t="n"/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</row>
    <row r="28" ht="69" customHeight="1" thickBot="1">
      <c r="A28" s="17" t="inlineStr">
        <is>
          <t>Scores from Turnover Ag</t>
        </is>
      </c>
      <c r="C28" s="136" t="n"/>
      <c r="D28" s="138" t="n"/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8" t="n"/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</row>
    <row r="29" ht="69" customHeight="1" thickBot="1">
      <c r="A29" s="17" t="inlineStr">
        <is>
          <t>Scores from Stoppages For</t>
        </is>
      </c>
      <c r="C29" s="136" t="n"/>
      <c r="D29" s="138" t="n"/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8" t="n"/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</row>
    <row r="30" ht="69" customHeight="1" thickBot="1">
      <c r="A30" s="17" t="inlineStr">
        <is>
          <t>Scores from Stoppage Ag</t>
        </is>
      </c>
      <c r="C30" s="136" t="n"/>
      <c r="D30" s="138" t="n"/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8" t="n"/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</row>
    <row r="31" ht="18" customHeight="1" thickBot="1">
      <c r="A31" s="17" t="inlineStr">
        <is>
          <t>Territory %</t>
        </is>
      </c>
      <c r="C31" s="136" t="n"/>
      <c r="D31" s="138" t="n"/>
      <c r="E31" s="138" t="n"/>
      <c r="F31" s="138" t="n"/>
      <c r="G31" s="138" t="n"/>
      <c r="H31" s="138" t="n"/>
      <c r="I31" s="138" t="n"/>
      <c r="J31" s="138" t="n"/>
      <c r="K31" s="138" t="n"/>
      <c r="L31" s="138" t="n"/>
      <c r="M31" s="138" t="n"/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</row>
    <row r="32" ht="52" customHeight="1" thickBot="1">
      <c r="A32" s="17" t="inlineStr">
        <is>
          <t>Post-Clearance CP Diff</t>
        </is>
      </c>
      <c r="C32" s="136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8" t="n"/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</row>
    <row r="33" ht="52" customHeight="1" thickBot="1">
      <c r="A33" s="36" t="inlineStr">
        <is>
          <t>Health Check Ranking</t>
        </is>
      </c>
      <c r="C33" s="136" t="n"/>
      <c r="D33" s="138" t="n"/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8" t="n"/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</row>
    <row r="34" ht="35" customHeight="1" thickBot="1">
      <c r="A34" s="41" t="inlineStr">
        <is>
          <t>Attack Rating</t>
        </is>
      </c>
      <c r="C34" s="136" t="n"/>
      <c r="D34" s="138" t="n"/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8" t="n"/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</row>
    <row r="35" ht="35" customHeight="1" thickBot="1">
      <c r="A35" s="23" t="inlineStr">
        <is>
          <t>Defence Rating</t>
        </is>
      </c>
      <c r="C35" s="136" t="n"/>
      <c r="D35" s="138" t="n"/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8" t="n"/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</row>
    <row r="36" ht="35" customHeight="1" thickBot="1">
      <c r="A36" s="23" t="inlineStr">
        <is>
          <t>Overall Rating</t>
        </is>
      </c>
      <c r="C36" s="136" t="n"/>
      <c r="D36" s="138" t="n"/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8" t="n"/>
      <c r="N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2" t="n"/>
    </row>
    <row r="432">
      <c r="A432" s="2" t="n"/>
    </row>
    <row r="433">
      <c r="A433" s="2" t="n"/>
    </row>
    <row r="434">
      <c r="A434" s="2" t="n"/>
    </row>
    <row r="435">
      <c r="A435" s="2" t="n"/>
    </row>
    <row r="436">
      <c r="A436" s="2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  <row r="502">
      <c r="A502" s="2" t="n"/>
    </row>
    <row r="503">
      <c r="A503" s="2" t="n"/>
    </row>
    <row r="504">
      <c r="A504" s="2" t="n"/>
    </row>
    <row r="505">
      <c r="A505" s="2" t="n"/>
    </row>
    <row r="506">
      <c r="A506" s="2" t="n"/>
    </row>
    <row r="507">
      <c r="A507" s="2" t="n"/>
    </row>
    <row r="508">
      <c r="A508" s="2" t="n"/>
    </row>
    <row r="509">
      <c r="A509" s="2" t="n"/>
    </row>
    <row r="510">
      <c r="A510" s="2" t="n"/>
    </row>
    <row r="511">
      <c r="A511" s="2" t="n"/>
    </row>
    <row r="512">
      <c r="A512" s="2" t="n"/>
    </row>
    <row r="513">
      <c r="A513" s="2" t="n"/>
    </row>
    <row r="514">
      <c r="A514" s="2" t="n"/>
    </row>
    <row r="515">
      <c r="A515" s="2" t="n"/>
    </row>
    <row r="516">
      <c r="A516" s="2" t="n"/>
    </row>
    <row r="517">
      <c r="A517" s="2" t="n"/>
    </row>
    <row r="518">
      <c r="A518" s="2" t="n"/>
    </row>
    <row r="519">
      <c r="A519" s="2" t="n"/>
    </row>
    <row r="520">
      <c r="A520" s="2" t="n"/>
    </row>
    <row r="521">
      <c r="A521" s="2" t="n"/>
    </row>
    <row r="522">
      <c r="A522" s="2" t="n"/>
    </row>
    <row r="523">
      <c r="A523" s="2" t="n"/>
    </row>
    <row r="524">
      <c r="A524" s="2" t="n"/>
    </row>
    <row r="525">
      <c r="A525" s="2" t="n"/>
    </row>
    <row r="526">
      <c r="A526" s="2" t="n"/>
    </row>
    <row r="527">
      <c r="A527" s="2" t="n"/>
    </row>
    <row r="528">
      <c r="A528" s="2" t="n"/>
    </row>
    <row r="529">
      <c r="A529" s="2" t="n"/>
    </row>
    <row r="530">
      <c r="A530" s="2" t="n"/>
    </row>
    <row r="531">
      <c r="A531" s="2" t="n"/>
    </row>
    <row r="532">
      <c r="A532" s="2" t="n"/>
    </row>
    <row r="533">
      <c r="A533" s="2" t="n"/>
    </row>
    <row r="534">
      <c r="A534" s="2" t="n"/>
    </row>
    <row r="535">
      <c r="A535" s="2" t="n"/>
    </row>
    <row r="536">
      <c r="A536" s="2" t="n"/>
    </row>
    <row r="537">
      <c r="A537" s="2" t="n"/>
    </row>
    <row r="538">
      <c r="A538" s="2" t="n"/>
    </row>
    <row r="539">
      <c r="A539" s="2" t="n"/>
    </row>
    <row r="540">
      <c r="A540" s="2" t="n"/>
    </row>
    <row r="541">
      <c r="A541" s="2" t="n"/>
    </row>
    <row r="542">
      <c r="A542" s="2" t="n"/>
    </row>
    <row r="543">
      <c r="A543" s="2" t="n"/>
    </row>
    <row r="544">
      <c r="A544" s="2" t="n"/>
    </row>
    <row r="545">
      <c r="A545" s="2" t="n"/>
    </row>
    <row r="546">
      <c r="A546" s="2" t="n"/>
    </row>
    <row r="547">
      <c r="A547" s="2" t="n"/>
    </row>
    <row r="548">
      <c r="A548" s="2" t="n"/>
    </row>
    <row r="549">
      <c r="A549" s="2" t="n"/>
    </row>
    <row r="550">
      <c r="A550" s="2" t="n"/>
    </row>
    <row r="551">
      <c r="A551" s="2" t="n"/>
    </row>
    <row r="552">
      <c r="A552" s="2" t="n"/>
    </row>
    <row r="553">
      <c r="A553" s="2" t="n"/>
    </row>
    <row r="554">
      <c r="A554" s="2" t="n"/>
    </row>
    <row r="555">
      <c r="A555" s="2" t="n"/>
    </row>
    <row r="556">
      <c r="A556" s="2" t="n"/>
    </row>
    <row r="557">
      <c r="A557" s="2" t="n"/>
    </row>
    <row r="558">
      <c r="A558" s="2" t="n"/>
    </row>
    <row r="559">
      <c r="A559" s="2" t="n"/>
    </row>
    <row r="560">
      <c r="A560" s="2" t="n"/>
    </row>
    <row r="561">
      <c r="A561" s="2" t="n"/>
    </row>
    <row r="562">
      <c r="A562" s="2" t="n"/>
    </row>
    <row r="563">
      <c r="A563" s="2" t="n"/>
    </row>
    <row r="564">
      <c r="A564" s="2" t="n"/>
    </row>
    <row r="565">
      <c r="A565" s="2" t="n"/>
    </row>
    <row r="566">
      <c r="A566" s="2" t="n"/>
    </row>
    <row r="567">
      <c r="A567" s="2" t="n"/>
    </row>
    <row r="568">
      <c r="A568" s="2" t="n"/>
    </row>
    <row r="569">
      <c r="A569" s="2" t="n"/>
    </row>
    <row r="570">
      <c r="A570" s="2" t="n"/>
    </row>
    <row r="571">
      <c r="A571" s="2" t="n"/>
    </row>
    <row r="572">
      <c r="A572" s="2" t="n"/>
    </row>
    <row r="573">
      <c r="A573" s="2" t="n"/>
    </row>
    <row r="574">
      <c r="A574" s="2" t="n"/>
    </row>
    <row r="575">
      <c r="A575" s="2" t="n"/>
    </row>
    <row r="576">
      <c r="A576" s="2" t="n"/>
    </row>
    <row r="577">
      <c r="A577" s="2" t="n"/>
    </row>
    <row r="578">
      <c r="A578" s="2" t="n"/>
    </row>
    <row r="579">
      <c r="A579" s="2" t="n"/>
    </row>
    <row r="580">
      <c r="A580" s="2" t="n"/>
    </row>
    <row r="581">
      <c r="A581" s="2" t="n"/>
    </row>
    <row r="582">
      <c r="A582" s="2" t="n"/>
    </row>
    <row r="583">
      <c r="A583" s="2" t="n"/>
    </row>
    <row r="584">
      <c r="A584" s="2" t="n"/>
    </row>
    <row r="585">
      <c r="A585" s="2" t="n"/>
    </row>
    <row r="586">
      <c r="A586" s="2" t="n"/>
    </row>
    <row r="587">
      <c r="A587" s="2" t="n"/>
    </row>
    <row r="588">
      <c r="A588" s="2" t="n"/>
    </row>
    <row r="589">
      <c r="A589" s="2" t="n"/>
    </row>
    <row r="590">
      <c r="A590" s="2" t="n"/>
    </row>
    <row r="591">
      <c r="A591" s="2" t="n"/>
    </row>
    <row r="592">
      <c r="A592" s="2" t="n"/>
    </row>
    <row r="593">
      <c r="A593" s="2" t="n"/>
    </row>
    <row r="594">
      <c r="A594" s="2" t="n"/>
    </row>
    <row r="595">
      <c r="A595" s="2" t="n"/>
    </row>
    <row r="596">
      <c r="A596" s="2" t="n"/>
    </row>
    <row r="597">
      <c r="A597" s="2" t="n"/>
    </row>
    <row r="598">
      <c r="A598" s="2" t="n"/>
    </row>
    <row r="599">
      <c r="A599" s="2" t="n"/>
    </row>
    <row r="600">
      <c r="A600" s="2" t="n"/>
    </row>
    <row r="601">
      <c r="A601" s="2" t="n"/>
    </row>
    <row r="602">
      <c r="A602" s="2" t="n"/>
    </row>
    <row r="603">
      <c r="A603" s="2" t="n"/>
    </row>
    <row r="604">
      <c r="A604" s="2" t="n"/>
    </row>
    <row r="605">
      <c r="A605" s="2" t="n"/>
    </row>
    <row r="606">
      <c r="A606" s="2" t="n"/>
    </row>
    <row r="607">
      <c r="A607" s="2" t="n"/>
    </row>
    <row r="608">
      <c r="A608" s="2" t="n"/>
    </row>
    <row r="609">
      <c r="A609" s="2" t="n"/>
    </row>
    <row r="610">
      <c r="A610" s="2" t="n"/>
    </row>
    <row r="611">
      <c r="A611" s="2" t="n"/>
    </row>
    <row r="612">
      <c r="A612" s="2" t="n"/>
    </row>
    <row r="613">
      <c r="A613" s="2" t="n"/>
    </row>
    <row r="614">
      <c r="A614" s="2" t="n"/>
    </row>
    <row r="615">
      <c r="A615" s="2" t="n"/>
    </row>
    <row r="616">
      <c r="A616" s="2" t="n"/>
    </row>
    <row r="617">
      <c r="A617" s="2" t="n"/>
    </row>
    <row r="618">
      <c r="A618" s="2" t="n"/>
    </row>
    <row r="619">
      <c r="A619" s="2" t="n"/>
    </row>
    <row r="620">
      <c r="A620" s="2" t="n"/>
    </row>
    <row r="621">
      <c r="A621" s="2" t="n"/>
    </row>
    <row r="622">
      <c r="A622" s="2" t="n"/>
    </row>
    <row r="623">
      <c r="A623" s="2" t="n"/>
    </row>
    <row r="624">
      <c r="A624" s="2" t="n"/>
    </row>
    <row r="625">
      <c r="A625" s="2" t="n"/>
    </row>
    <row r="626">
      <c r="A626" s="2" t="n"/>
    </row>
    <row r="627">
      <c r="A627" s="2" t="n"/>
    </row>
    <row r="628">
      <c r="A628" s="2" t="n"/>
    </row>
    <row r="629">
      <c r="A629" s="2" t="n"/>
    </row>
    <row r="630">
      <c r="A630" s="2" t="n"/>
    </row>
    <row r="631">
      <c r="A631" s="2" t="n"/>
    </row>
    <row r="632">
      <c r="A632" s="2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2" t="n"/>
    </row>
    <row r="651">
      <c r="A651" s="2" t="n"/>
    </row>
    <row r="652">
      <c r="A652" s="2" t="n"/>
    </row>
    <row r="653">
      <c r="A653" s="2" t="n"/>
    </row>
    <row r="654">
      <c r="A654" s="2" t="n"/>
    </row>
    <row r="655">
      <c r="A655" s="2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2" t="n"/>
    </row>
    <row r="724">
      <c r="A724" s="2" t="n"/>
    </row>
    <row r="725">
      <c r="A725" s="2" t="n"/>
    </row>
    <row r="726">
      <c r="A726" s="2" t="n"/>
    </row>
    <row r="727">
      <c r="A727" s="2" t="n"/>
    </row>
    <row r="728">
      <c r="A728" s="2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  <row r="758">
      <c r="A758" s="2" t="n"/>
    </row>
    <row r="759">
      <c r="A759" s="2" t="n"/>
    </row>
    <row r="760">
      <c r="A760" s="2" t="n"/>
    </row>
    <row r="761">
      <c r="A761" s="2" t="n"/>
    </row>
    <row r="762">
      <c r="A762" s="2" t="n"/>
    </row>
    <row r="763">
      <c r="A763" s="2" t="n"/>
    </row>
    <row r="764">
      <c r="A764" s="2" t="n"/>
    </row>
    <row r="765">
      <c r="A765" s="2" t="n"/>
    </row>
    <row r="766">
      <c r="A766" s="2" t="n"/>
    </row>
    <row r="767">
      <c r="A767" s="2" t="n"/>
    </row>
    <row r="768">
      <c r="A768" s="2" t="n"/>
    </row>
    <row r="769">
      <c r="A769" s="2" t="n"/>
    </row>
    <row r="770">
      <c r="A770" s="2" t="n"/>
    </row>
    <row r="771">
      <c r="A771" s="2" t="n"/>
    </row>
    <row r="772">
      <c r="A772" s="2" t="n"/>
    </row>
    <row r="773">
      <c r="A773" s="2" t="n"/>
    </row>
    <row r="774">
      <c r="A774" s="2" t="n"/>
    </row>
    <row r="775">
      <c r="A775" s="2" t="n"/>
    </row>
    <row r="776">
      <c r="A776" s="2" t="n"/>
    </row>
    <row r="777">
      <c r="A777" s="2" t="n"/>
    </row>
    <row r="778">
      <c r="A778" s="2" t="n"/>
    </row>
    <row r="779">
      <c r="A779" s="2" t="n"/>
    </row>
    <row r="780">
      <c r="A780" s="2" t="n"/>
    </row>
    <row r="781">
      <c r="A781" s="2" t="n"/>
    </row>
    <row r="782">
      <c r="A782" s="2" t="n"/>
    </row>
    <row r="783">
      <c r="A783" s="2" t="n"/>
    </row>
    <row r="784">
      <c r="A784" s="2" t="n"/>
    </row>
    <row r="785">
      <c r="A785" s="2" t="n"/>
    </row>
    <row r="786">
      <c r="A786" s="2" t="n"/>
    </row>
    <row r="787">
      <c r="A787" s="2" t="n"/>
    </row>
    <row r="788">
      <c r="A788" s="2" t="n"/>
    </row>
    <row r="789">
      <c r="A789" s="2" t="n"/>
    </row>
    <row r="790">
      <c r="A790" s="2" t="n"/>
    </row>
    <row r="791">
      <c r="A791" s="2" t="n"/>
    </row>
    <row r="792">
      <c r="A792" s="2" t="n"/>
    </row>
    <row r="793">
      <c r="A793" s="2" t="n"/>
    </row>
    <row r="794">
      <c r="A794" s="2" t="n"/>
    </row>
    <row r="795">
      <c r="A795" s="2" t="n"/>
    </row>
    <row r="796">
      <c r="A796" s="2" t="n"/>
    </row>
    <row r="797">
      <c r="A797" s="2" t="n"/>
    </row>
    <row r="798">
      <c r="A798" s="2" t="n"/>
    </row>
    <row r="799">
      <c r="A799" s="2" t="n"/>
    </row>
    <row r="800">
      <c r="A800" s="2" t="n"/>
    </row>
    <row r="801">
      <c r="A801" s="2" t="n"/>
    </row>
    <row r="802">
      <c r="A802" s="2" t="n"/>
    </row>
    <row r="803">
      <c r="A803" s="2" t="n"/>
    </row>
    <row r="804">
      <c r="A804" s="2" t="n"/>
    </row>
    <row r="805">
      <c r="A805" s="2" t="n"/>
    </row>
    <row r="806">
      <c r="A806" s="2" t="n"/>
    </row>
    <row r="807">
      <c r="A807" s="2" t="n"/>
    </row>
    <row r="808">
      <c r="A808" s="2" t="n"/>
    </row>
    <row r="809">
      <c r="A809" s="2" t="n"/>
    </row>
    <row r="810">
      <c r="A810" s="2" t="n"/>
    </row>
    <row r="811">
      <c r="A811" s="2" t="n"/>
    </row>
    <row r="812">
      <c r="A812" s="2" t="n"/>
    </row>
    <row r="813">
      <c r="A813" s="2" t="n"/>
    </row>
    <row r="814">
      <c r="A814" s="2" t="n"/>
    </row>
    <row r="815">
      <c r="A815" s="2" t="n"/>
    </row>
    <row r="816">
      <c r="A816" s="2" t="n"/>
    </row>
    <row r="817">
      <c r="A817" s="2" t="n"/>
    </row>
    <row r="818">
      <c r="A818" s="2" t="n"/>
    </row>
    <row r="819">
      <c r="A819" s="2" t="n"/>
    </row>
    <row r="820">
      <c r="A820" s="2" t="n"/>
    </row>
    <row r="821">
      <c r="A821" s="2" t="n"/>
    </row>
    <row r="822">
      <c r="A822" s="2" t="n"/>
    </row>
    <row r="823">
      <c r="A823" s="2" t="n"/>
    </row>
    <row r="824">
      <c r="A824" s="2" t="n"/>
    </row>
    <row r="825">
      <c r="A825" s="2" t="n"/>
    </row>
    <row r="826">
      <c r="A826" s="2" t="n"/>
    </row>
    <row r="827">
      <c r="A827" s="2" t="n"/>
    </row>
    <row r="828">
      <c r="A828" s="2" t="n"/>
    </row>
    <row r="829">
      <c r="A829" s="2" t="n"/>
    </row>
    <row r="830">
      <c r="A830" s="2" t="n"/>
    </row>
    <row r="831">
      <c r="A831" s="2" t="n"/>
    </row>
    <row r="832">
      <c r="A832" s="2" t="n"/>
    </row>
    <row r="833">
      <c r="A833" s="2" t="n"/>
    </row>
    <row r="834">
      <c r="A834" s="2" t="n"/>
    </row>
    <row r="835">
      <c r="A835" s="2" t="n"/>
    </row>
    <row r="836">
      <c r="A836" s="2" t="n"/>
    </row>
    <row r="837">
      <c r="A837" s="2" t="n"/>
    </row>
    <row r="838">
      <c r="A838" s="2" t="n"/>
    </row>
    <row r="839">
      <c r="A839" s="2" t="n"/>
    </row>
    <row r="840">
      <c r="A840" s="2" t="n"/>
    </row>
    <row r="841">
      <c r="A841" s="2" t="n"/>
    </row>
    <row r="842">
      <c r="A842" s="2" t="n"/>
    </row>
    <row r="843">
      <c r="A843" s="2" t="n"/>
    </row>
    <row r="844">
      <c r="A844" s="2" t="n"/>
    </row>
    <row r="845">
      <c r="A845" s="2" t="n"/>
    </row>
    <row r="846">
      <c r="A846" s="2" t="n"/>
    </row>
    <row r="847">
      <c r="A847" s="2" t="n"/>
    </row>
    <row r="848">
      <c r="A848" s="2" t="n"/>
    </row>
    <row r="849">
      <c r="A849" s="2" t="n"/>
    </row>
    <row r="850">
      <c r="A850" s="2" t="n"/>
    </row>
    <row r="851">
      <c r="A851" s="2" t="n"/>
    </row>
    <row r="852">
      <c r="A852" s="2" t="n"/>
    </row>
    <row r="853">
      <c r="A853" s="2" t="n"/>
    </row>
    <row r="854">
      <c r="A854" s="2" t="n"/>
    </row>
    <row r="855">
      <c r="A855" s="2" t="n"/>
    </row>
    <row r="856">
      <c r="A856" s="2" t="n"/>
    </row>
    <row r="857">
      <c r="A857" s="2" t="n"/>
    </row>
    <row r="858">
      <c r="A858" s="2" t="n"/>
    </row>
    <row r="859">
      <c r="A859" s="2" t="n"/>
    </row>
    <row r="860">
      <c r="A860" s="2" t="n"/>
    </row>
    <row r="861">
      <c r="A861" s="2" t="n"/>
    </row>
    <row r="862">
      <c r="A862" s="2" t="n"/>
    </row>
    <row r="863">
      <c r="A863" s="2" t="n"/>
    </row>
    <row r="864">
      <c r="A864" s="2" t="n"/>
    </row>
    <row r="865">
      <c r="A865" s="2" t="n"/>
    </row>
    <row r="866">
      <c r="A866" s="2" t="n"/>
    </row>
    <row r="867">
      <c r="A867" s="2" t="n"/>
    </row>
    <row r="868">
      <c r="A868" s="2" t="n"/>
    </row>
    <row r="869">
      <c r="A869" s="2" t="n"/>
    </row>
    <row r="870">
      <c r="A870" s="2" t="n"/>
    </row>
    <row r="871">
      <c r="A871" s="2" t="n"/>
    </row>
    <row r="872">
      <c r="A872" s="2" t="n"/>
    </row>
    <row r="873">
      <c r="A873" s="2" t="n"/>
    </row>
    <row r="874">
      <c r="A874" s="2" t="n"/>
    </row>
    <row r="875">
      <c r="A875" s="2" t="n"/>
    </row>
    <row r="876">
      <c r="A876" s="2" t="n"/>
    </row>
    <row r="877">
      <c r="A877" s="2" t="n"/>
    </row>
    <row r="878">
      <c r="A878" s="2" t="n"/>
    </row>
    <row r="879">
      <c r="A879" s="2" t="n"/>
    </row>
    <row r="880">
      <c r="A880" s="2" t="n"/>
    </row>
    <row r="881">
      <c r="A881" s="2" t="n"/>
    </row>
    <row r="882">
      <c r="A882" s="2" t="n"/>
    </row>
    <row r="883">
      <c r="A883" s="2" t="n"/>
    </row>
    <row r="884">
      <c r="A884" s="2" t="n"/>
    </row>
    <row r="885">
      <c r="A885" s="2" t="n"/>
    </row>
    <row r="886">
      <c r="A886" s="2" t="n"/>
    </row>
    <row r="887">
      <c r="A887" s="2" t="n"/>
    </row>
    <row r="888">
      <c r="A888" s="2" t="n"/>
    </row>
    <row r="889">
      <c r="A889" s="2" t="n"/>
    </row>
    <row r="890">
      <c r="A890" s="2" t="n"/>
    </row>
    <row r="891">
      <c r="A891" s="2" t="n"/>
    </row>
    <row r="892">
      <c r="A892" s="2" t="n"/>
    </row>
    <row r="893">
      <c r="A893" s="2" t="n"/>
    </row>
    <row r="894">
      <c r="A894" s="2" t="n"/>
    </row>
    <row r="895">
      <c r="A895" s="2" t="n"/>
    </row>
    <row r="896">
      <c r="A896" s="2" t="n"/>
    </row>
    <row r="897">
      <c r="A897" s="2" t="n"/>
    </row>
    <row r="898">
      <c r="A898" s="2" t="n"/>
    </row>
    <row r="899">
      <c r="A899" s="2" t="n"/>
    </row>
    <row r="900">
      <c r="A900" s="2" t="n"/>
    </row>
    <row r="901">
      <c r="A901" s="2" t="n"/>
    </row>
    <row r="902">
      <c r="A902" s="2" t="n"/>
    </row>
    <row r="903">
      <c r="A903" s="2" t="n"/>
    </row>
    <row r="904">
      <c r="A904" s="2" t="n"/>
    </row>
    <row r="905">
      <c r="A905" s="2" t="n"/>
    </row>
    <row r="906">
      <c r="A906" s="2" t="n"/>
    </row>
    <row r="907">
      <c r="A907" s="2" t="n"/>
    </row>
    <row r="908">
      <c r="A908" s="2" t="n"/>
    </row>
    <row r="909">
      <c r="A909" s="2" t="n"/>
    </row>
    <row r="910">
      <c r="A910" s="2" t="n"/>
    </row>
    <row r="911">
      <c r="A911" s="2" t="n"/>
    </row>
    <row r="912">
      <c r="A912" s="2" t="n"/>
    </row>
    <row r="913">
      <c r="A913" s="2" t="n"/>
    </row>
    <row r="914">
      <c r="A914" s="2" t="n"/>
    </row>
    <row r="915">
      <c r="A915" s="2" t="n"/>
    </row>
    <row r="916">
      <c r="A916" s="2" t="n"/>
    </row>
    <row r="917">
      <c r="A917" s="2" t="n"/>
    </row>
    <row r="918">
      <c r="A918" s="2" t="n"/>
    </row>
    <row r="919">
      <c r="A919" s="2" t="n"/>
    </row>
    <row r="920">
      <c r="A920" s="2" t="n"/>
    </row>
    <row r="921">
      <c r="A921" s="2" t="n"/>
    </row>
    <row r="922">
      <c r="A922" s="2" t="n"/>
    </row>
    <row r="923">
      <c r="A923" s="2" t="n"/>
    </row>
    <row r="924">
      <c r="A924" s="2" t="n"/>
    </row>
    <row r="925">
      <c r="A925" s="2" t="n"/>
    </row>
    <row r="926">
      <c r="A926" s="2" t="n"/>
    </row>
    <row r="927">
      <c r="A927" s="2" t="n"/>
    </row>
    <row r="928">
      <c r="A928" s="2" t="n"/>
    </row>
    <row r="929">
      <c r="A929" s="2" t="n"/>
    </row>
    <row r="930">
      <c r="A930" s="2" t="n"/>
    </row>
    <row r="931">
      <c r="A931" s="2" t="n"/>
    </row>
    <row r="932">
      <c r="A932" s="2" t="n"/>
    </row>
    <row r="933">
      <c r="A933" s="2" t="n"/>
    </row>
    <row r="934">
      <c r="A934" s="2" t="n"/>
    </row>
    <row r="935">
      <c r="A935" s="2" t="n"/>
    </row>
    <row r="936">
      <c r="A936" s="2" t="n"/>
    </row>
    <row r="937">
      <c r="A937" s="2" t="n"/>
    </row>
    <row r="938">
      <c r="A938" s="2" t="n"/>
    </row>
    <row r="939">
      <c r="A939" s="2" t="n"/>
    </row>
    <row r="940">
      <c r="A940" s="2" t="n"/>
    </row>
    <row r="941">
      <c r="A941" s="2" t="n"/>
    </row>
    <row r="942">
      <c r="A942" s="2" t="n"/>
    </row>
    <row r="943">
      <c r="A943" s="2" t="n"/>
    </row>
    <row r="944">
      <c r="A944" s="2" t="n"/>
    </row>
    <row r="945">
      <c r="A945" s="2" t="n"/>
    </row>
    <row r="946">
      <c r="A946" s="2" t="n"/>
    </row>
    <row r="947">
      <c r="A947" s="2" t="n"/>
    </row>
    <row r="948">
      <c r="A948" s="2" t="n"/>
    </row>
    <row r="949">
      <c r="A949" s="2" t="n"/>
    </row>
    <row r="950">
      <c r="A950" s="2" t="n"/>
    </row>
    <row r="951">
      <c r="A951" s="2" t="n"/>
    </row>
    <row r="952">
      <c r="A952" s="2" t="n"/>
    </row>
    <row r="953">
      <c r="A953" s="2" t="n"/>
    </row>
    <row r="954">
      <c r="A954" s="2" t="n"/>
    </row>
    <row r="955">
      <c r="A955" s="2" t="n"/>
    </row>
    <row r="956">
      <c r="A956" s="2" t="n"/>
    </row>
    <row r="957">
      <c r="A957" s="2" t="n"/>
    </row>
    <row r="958">
      <c r="A958" s="2" t="n"/>
    </row>
    <row r="959">
      <c r="A959" s="2" t="n"/>
    </row>
    <row r="960">
      <c r="A960" s="2" t="n"/>
    </row>
    <row r="961">
      <c r="A961" s="2" t="n"/>
    </row>
    <row r="962">
      <c r="A962" s="2" t="n"/>
    </row>
    <row r="963">
      <c r="A963" s="2" t="n"/>
    </row>
    <row r="964">
      <c r="A964" s="2" t="n"/>
    </row>
    <row r="965">
      <c r="A965" s="2" t="n"/>
    </row>
    <row r="966">
      <c r="A966" s="2" t="n"/>
    </row>
    <row r="967">
      <c r="A967" s="2" t="n"/>
    </row>
    <row r="968">
      <c r="A968" s="2" t="n"/>
    </row>
    <row r="969">
      <c r="A969" s="2" t="n"/>
    </row>
    <row r="970">
      <c r="A970" s="2" t="n"/>
    </row>
    <row r="971">
      <c r="A971" s="2" t="n"/>
    </row>
    <row r="972">
      <c r="A972" s="2" t="n"/>
    </row>
    <row r="973">
      <c r="A973" s="2" t="n"/>
    </row>
    <row r="974">
      <c r="A974" s="2" t="n"/>
    </row>
    <row r="975">
      <c r="A975" s="2" t="n"/>
    </row>
    <row r="976">
      <c r="A976" s="2" t="n"/>
    </row>
    <row r="977">
      <c r="A977" s="2" t="n"/>
    </row>
    <row r="978">
      <c r="A978" s="2" t="n"/>
    </row>
    <row r="979">
      <c r="A979" s="2" t="n"/>
    </row>
    <row r="980">
      <c r="A980" s="2" t="n"/>
    </row>
    <row r="981">
      <c r="A981" s="2" t="n"/>
    </row>
    <row r="982">
      <c r="A982" s="2" t="n"/>
    </row>
    <row r="983">
      <c r="A983" s="2" t="n"/>
    </row>
    <row r="984">
      <c r="A984" s="2" t="n"/>
    </row>
    <row r="985">
      <c r="A985" s="2" t="n"/>
    </row>
    <row r="986">
      <c r="A986" s="2" t="n"/>
    </row>
    <row r="987">
      <c r="A987" s="2" t="n"/>
    </row>
    <row r="988">
      <c r="A988" s="2" t="n"/>
    </row>
    <row r="989">
      <c r="A989" s="2" t="n"/>
    </row>
    <row r="990">
      <c r="A990" s="2" t="n"/>
    </row>
    <row r="991">
      <c r="A991" s="2" t="n"/>
    </row>
    <row r="992">
      <c r="A992" s="2" t="n"/>
    </row>
    <row r="993">
      <c r="A993" s="2" t="n"/>
    </row>
    <row r="994">
      <c r="A994" s="2" t="n"/>
    </row>
    <row r="995">
      <c r="A995" s="2" t="n"/>
    </row>
    <row r="996">
      <c r="A996" s="2" t="n"/>
    </row>
    <row r="997">
      <c r="A997" s="2" t="n"/>
    </row>
    <row r="998">
      <c r="A998" s="2" t="n"/>
    </row>
    <row r="999">
      <c r="A999" s="2" t="n"/>
    </row>
    <row r="1000">
      <c r="A1000" s="2" t="n"/>
    </row>
    <row r="1001">
      <c r="A1001" s="2" t="n"/>
    </row>
    <row r="1002">
      <c r="A1002" s="2" t="n"/>
    </row>
    <row r="1003">
      <c r="A1003" s="2" t="n"/>
    </row>
    <row r="1004">
      <c r="A1004" s="2" t="n"/>
    </row>
    <row r="1005">
      <c r="A1005" s="2" t="n"/>
    </row>
    <row r="1006">
      <c r="A1006" s="2" t="n"/>
    </row>
    <row r="1007">
      <c r="A1007" s="2" t="n"/>
    </row>
    <row r="1008">
      <c r="A1008" s="2" t="n"/>
    </row>
    <row r="1009">
      <c r="A1009" s="2" t="n"/>
    </row>
    <row r="1010">
      <c r="A1010" s="2" t="n"/>
    </row>
    <row r="1011">
      <c r="A1011" s="2" t="n"/>
    </row>
    <row r="1012">
      <c r="A1012" s="2" t="n"/>
    </row>
    <row r="1013">
      <c r="A1013" s="2" t="n"/>
    </row>
    <row r="1014">
      <c r="A1014" s="2" t="n"/>
    </row>
    <row r="1015">
      <c r="A1015" s="2" t="n"/>
    </row>
    <row r="1016">
      <c r="A1016" s="2" t="n"/>
    </row>
    <row r="1017">
      <c r="A1017" s="2" t="n"/>
    </row>
    <row r="1018">
      <c r="A1018" s="2" t="n"/>
    </row>
    <row r="1019">
      <c r="A1019" s="2" t="n"/>
    </row>
    <row r="1020">
      <c r="A1020" s="2" t="n"/>
    </row>
    <row r="1021">
      <c r="A1021" s="2" t="n"/>
    </row>
    <row r="1022">
      <c r="A1022" s="2" t="n"/>
    </row>
    <row r="1023">
      <c r="A1023" s="2" t="n"/>
    </row>
    <row r="1024">
      <c r="A1024" s="2" t="n"/>
    </row>
    <row r="1025">
      <c r="A1025" s="2" t="n"/>
    </row>
    <row r="1026">
      <c r="A1026" s="2" t="n"/>
    </row>
    <row r="1027">
      <c r="A1027" s="2" t="n"/>
    </row>
    <row r="1028">
      <c r="A1028" s="2" t="n"/>
    </row>
    <row r="1029">
      <c r="A1029" s="2" t="n"/>
    </row>
    <row r="1030">
      <c r="A1030" s="2" t="n"/>
    </row>
    <row r="1031">
      <c r="A1031" s="2" t="n"/>
    </row>
    <row r="1032">
      <c r="A1032" s="2" t="n"/>
    </row>
    <row r="1033">
      <c r="A1033" s="2" t="n"/>
    </row>
    <row r="1034">
      <c r="A1034" s="2" t="n"/>
    </row>
    <row r="1035">
      <c r="A1035" s="2" t="n"/>
    </row>
    <row r="1036">
      <c r="A1036" s="2" t="n"/>
    </row>
    <row r="1037">
      <c r="A1037" s="2" t="n"/>
    </row>
    <row r="1038">
      <c r="A1038" s="2" t="n"/>
    </row>
    <row r="1039">
      <c r="A1039" s="2" t="n"/>
    </row>
    <row r="1040">
      <c r="A1040" s="2" t="n"/>
    </row>
    <row r="1041">
      <c r="A1041" s="2" t="n"/>
    </row>
    <row r="1042">
      <c r="A1042" s="2" t="n"/>
    </row>
    <row r="1043">
      <c r="A1043" s="2" t="n"/>
    </row>
    <row r="1044">
      <c r="A1044" s="2" t="n"/>
    </row>
    <row r="1045">
      <c r="A1045" s="2" t="n"/>
    </row>
    <row r="1046">
      <c r="A1046" s="2" t="n"/>
    </row>
    <row r="1047">
      <c r="A1047" s="2" t="n"/>
    </row>
    <row r="1048">
      <c r="A1048" s="2" t="n"/>
    </row>
    <row r="1049">
      <c r="A1049" s="2" t="n"/>
    </row>
    <row r="1050">
      <c r="A1050" s="2" t="n"/>
    </row>
    <row r="1051">
      <c r="A1051" s="2" t="n"/>
    </row>
    <row r="1052">
      <c r="A1052" s="2" t="n"/>
    </row>
    <row r="1053">
      <c r="A1053" s="2" t="n"/>
    </row>
    <row r="1054">
      <c r="A1054" s="2" t="n"/>
    </row>
    <row r="1055">
      <c r="A1055" s="2" t="n"/>
    </row>
    <row r="1056">
      <c r="A1056" s="2" t="n"/>
    </row>
    <row r="1057">
      <c r="A1057" s="2" t="n"/>
    </row>
    <row r="1058">
      <c r="A1058" s="2" t="n"/>
    </row>
    <row r="1059">
      <c r="A1059" s="2" t="n"/>
    </row>
    <row r="1060">
      <c r="A1060" s="2" t="n"/>
    </row>
    <row r="1061">
      <c r="A1061" s="2" t="n"/>
    </row>
    <row r="1062">
      <c r="A1062" s="2" t="n"/>
    </row>
    <row r="1063">
      <c r="A1063" s="2" t="n"/>
    </row>
    <row r="1064">
      <c r="A1064" s="2" t="n"/>
    </row>
    <row r="1065">
      <c r="A1065" s="2" t="n"/>
    </row>
    <row r="1066">
      <c r="A1066" s="2" t="n"/>
    </row>
    <row r="1067">
      <c r="A1067" s="2" t="n"/>
    </row>
    <row r="1068">
      <c r="A1068" s="2" t="n"/>
    </row>
    <row r="1069">
      <c r="A1069" s="2" t="n"/>
    </row>
    <row r="1070">
      <c r="A1070" s="2" t="n"/>
    </row>
    <row r="1071">
      <c r="A1071" s="2" t="n"/>
    </row>
    <row r="1072">
      <c r="A1072" s="2" t="n"/>
    </row>
    <row r="1073">
      <c r="A1073" s="2" t="n"/>
    </row>
    <row r="1074">
      <c r="A1074" s="2" t="n"/>
    </row>
    <row r="1075">
      <c r="A1075" s="2" t="n"/>
    </row>
    <row r="1076">
      <c r="A1076" s="2" t="n"/>
    </row>
    <row r="1077">
      <c r="A1077" s="2" t="n"/>
    </row>
    <row r="1078">
      <c r="A1078" s="2" t="n"/>
    </row>
    <row r="1079">
      <c r="A1079" s="2" t="n"/>
    </row>
    <row r="1080">
      <c r="A1080" s="2" t="n"/>
    </row>
    <row r="1081">
      <c r="A1081" s="2" t="n"/>
    </row>
    <row r="1082">
      <c r="A1082" s="2" t="n"/>
    </row>
    <row r="1083">
      <c r="A1083" s="2" t="n"/>
    </row>
    <row r="1084">
      <c r="A1084" s="2" t="n"/>
    </row>
    <row r="1085">
      <c r="A1085" s="2" t="n"/>
    </row>
    <row r="1086">
      <c r="A1086" s="2" t="n"/>
    </row>
    <row r="1087">
      <c r="A1087" s="2" t="n"/>
    </row>
    <row r="1088">
      <c r="A1088" s="2" t="n"/>
    </row>
    <row r="1089">
      <c r="A1089" s="2" t="n"/>
    </row>
    <row r="1090">
      <c r="A1090" s="2" t="n"/>
    </row>
    <row r="1091">
      <c r="A1091" s="2" t="n"/>
    </row>
    <row r="1092">
      <c r="A1092" s="2" t="n"/>
    </row>
    <row r="1093">
      <c r="A1093" s="2" t="n"/>
    </row>
    <row r="1094">
      <c r="A1094" s="2" t="n"/>
    </row>
    <row r="1095">
      <c r="A1095" s="2" t="n"/>
    </row>
    <row r="1096">
      <c r="A1096" s="2" t="n"/>
    </row>
    <row r="1097">
      <c r="A1097" s="2" t="n"/>
    </row>
    <row r="1098">
      <c r="A1098" s="2" t="n"/>
    </row>
    <row r="1099">
      <c r="A1099" s="2" t="n"/>
    </row>
    <row r="1100">
      <c r="A1100" s="2" t="n"/>
    </row>
    <row r="1101">
      <c r="A1101" s="2" t="n"/>
    </row>
    <row r="1102">
      <c r="A1102" s="2" t="n"/>
    </row>
    <row r="1103">
      <c r="A1103" s="2" t="n"/>
    </row>
    <row r="1104">
      <c r="A1104" s="2" t="n"/>
    </row>
    <row r="1105">
      <c r="A1105" s="2" t="n"/>
    </row>
    <row r="1106">
      <c r="A1106" s="2" t="n"/>
    </row>
    <row r="1107">
      <c r="A1107" s="2" t="n"/>
    </row>
    <row r="1108">
      <c r="A1108" s="2" t="n"/>
    </row>
    <row r="1109">
      <c r="A1109" s="2" t="n"/>
    </row>
    <row r="1110">
      <c r="A1110" s="2" t="n"/>
    </row>
    <row r="1111">
      <c r="A1111" s="2" t="n"/>
    </row>
    <row r="1112">
      <c r="A1112" s="2" t="n"/>
    </row>
    <row r="1113">
      <c r="A1113" s="2" t="n"/>
    </row>
    <row r="1114">
      <c r="A1114" s="2" t="n"/>
    </row>
    <row r="1115">
      <c r="A1115" s="2" t="n"/>
    </row>
    <row r="1116">
      <c r="A1116" s="2" t="n"/>
    </row>
    <row r="1117">
      <c r="A1117" s="2" t="n"/>
    </row>
    <row r="1118">
      <c r="A1118" s="2" t="n"/>
    </row>
    <row r="1119">
      <c r="A1119" s="2" t="n"/>
    </row>
    <row r="1120">
      <c r="A1120" s="2" t="n"/>
    </row>
    <row r="1121">
      <c r="A1121" s="2" t="n"/>
    </row>
    <row r="1122">
      <c r="A1122" s="2" t="n"/>
    </row>
    <row r="1123">
      <c r="A1123" s="2" t="n"/>
    </row>
    <row r="1124">
      <c r="A1124" s="2" t="n"/>
    </row>
    <row r="1125">
      <c r="A1125" s="2" t="n"/>
    </row>
    <row r="1126">
      <c r="A1126" s="2" t="n"/>
    </row>
    <row r="1127">
      <c r="A1127" s="2" t="n"/>
    </row>
    <row r="1128">
      <c r="A1128" s="2" t="n"/>
    </row>
    <row r="1129">
      <c r="A1129" s="2" t="n"/>
    </row>
    <row r="1130">
      <c r="A1130" s="2" t="n"/>
    </row>
    <row r="1131">
      <c r="A1131" s="2" t="n"/>
    </row>
    <row r="1132">
      <c r="A1132" s="2" t="n"/>
    </row>
    <row r="1133">
      <c r="A1133" s="2" t="n"/>
    </row>
    <row r="1134">
      <c r="A1134" s="2" t="n"/>
    </row>
    <row r="1135">
      <c r="A1135" s="2" t="n"/>
    </row>
    <row r="1136">
      <c r="A1136" s="2" t="n"/>
    </row>
    <row r="1137">
      <c r="A1137" s="2" t="n"/>
    </row>
    <row r="1138">
      <c r="A1138" s="2" t="n"/>
    </row>
    <row r="1139">
      <c r="A1139" s="2" t="n"/>
    </row>
    <row r="1140">
      <c r="A1140" s="2" t="n"/>
    </row>
    <row r="1141">
      <c r="A1141" s="2" t="n"/>
    </row>
    <row r="1142">
      <c r="A1142" s="2" t="n"/>
    </row>
    <row r="1143">
      <c r="A1143" s="2" t="n"/>
    </row>
    <row r="1144">
      <c r="A1144" s="2" t="n"/>
    </row>
    <row r="1145">
      <c r="A1145" s="2" t="n"/>
    </row>
    <row r="1146">
      <c r="A1146" s="2" t="n"/>
    </row>
    <row r="1147">
      <c r="A1147" s="2" t="n"/>
    </row>
    <row r="1148">
      <c r="A1148" s="2" t="n"/>
    </row>
    <row r="1149">
      <c r="A1149" s="2" t="n"/>
    </row>
    <row r="1150">
      <c r="A1150" s="2" t="n"/>
    </row>
    <row r="1151">
      <c r="A1151" s="2" t="n"/>
    </row>
    <row r="1152">
      <c r="A1152" s="2" t="n"/>
    </row>
    <row r="1153">
      <c r="A1153" s="2" t="n"/>
    </row>
    <row r="1154">
      <c r="A1154" s="2" t="n"/>
    </row>
    <row r="1155">
      <c r="A1155" s="2" t="n"/>
    </row>
    <row r="1156">
      <c r="A1156" s="2" t="n"/>
    </row>
    <row r="1157">
      <c r="A1157" s="2" t="n"/>
    </row>
    <row r="1158">
      <c r="A1158" s="2" t="n"/>
    </row>
    <row r="1159">
      <c r="A1159" s="2" t="n"/>
    </row>
    <row r="1160">
      <c r="A1160" s="2" t="n"/>
    </row>
    <row r="1161">
      <c r="A1161" s="2" t="n"/>
    </row>
    <row r="1162">
      <c r="A1162" s="2" t="n"/>
    </row>
    <row r="1163">
      <c r="A1163" s="2" t="n"/>
    </row>
    <row r="1164">
      <c r="A1164" s="2" t="n"/>
    </row>
    <row r="1165">
      <c r="A1165" s="2" t="n"/>
    </row>
    <row r="1166">
      <c r="A1166" s="2" t="n"/>
    </row>
    <row r="1167">
      <c r="A1167" s="2" t="n"/>
    </row>
    <row r="1168">
      <c r="A1168" s="2" t="n"/>
    </row>
    <row r="1169">
      <c r="A1169" s="2" t="n"/>
    </row>
    <row r="1170">
      <c r="A1170" s="2" t="n"/>
    </row>
    <row r="1171">
      <c r="A1171" s="2" t="n"/>
    </row>
    <row r="1172">
      <c r="A1172" s="2" t="n"/>
    </row>
    <row r="1173">
      <c r="A1173" s="2" t="n"/>
    </row>
    <row r="1174">
      <c r="A1174" s="2" t="n"/>
    </row>
    <row r="1175">
      <c r="A1175" s="2" t="n"/>
    </row>
    <row r="1176">
      <c r="A1176" s="2" t="n"/>
    </row>
    <row r="1177">
      <c r="A1177" s="2" t="n"/>
    </row>
    <row r="1178">
      <c r="A1178" s="2" t="n"/>
    </row>
    <row r="1179">
      <c r="A1179" s="2" t="n"/>
    </row>
    <row r="1180">
      <c r="A1180" s="2" t="n"/>
    </row>
    <row r="1181">
      <c r="A1181" s="2" t="n"/>
    </row>
    <row r="1182">
      <c r="A1182" s="2" t="n"/>
    </row>
    <row r="1183">
      <c r="A1183" s="2" t="n"/>
    </row>
    <row r="1184">
      <c r="A1184" s="2" t="n"/>
    </row>
    <row r="1185">
      <c r="A1185" s="2" t="n"/>
    </row>
    <row r="1186">
      <c r="A1186" s="2" t="n"/>
    </row>
    <row r="1187">
      <c r="A1187" s="2" t="n"/>
    </row>
    <row r="1188">
      <c r="A1188" s="2" t="n"/>
    </row>
    <row r="1189">
      <c r="A1189" s="2" t="n"/>
    </row>
    <row r="1190">
      <c r="A1190" s="2" t="n"/>
    </row>
    <row r="1191">
      <c r="A1191" s="2" t="n"/>
    </row>
    <row r="1192">
      <c r="A1192" s="2" t="n"/>
    </row>
    <row r="1193">
      <c r="A1193" s="2" t="n"/>
    </row>
    <row r="1194">
      <c r="A1194" s="2" t="n"/>
    </row>
    <row r="1195">
      <c r="A1195" s="2" t="n"/>
    </row>
    <row r="1196">
      <c r="A1196" s="2" t="n"/>
    </row>
    <row r="1197">
      <c r="A1197" s="2" t="n"/>
    </row>
    <row r="1198">
      <c r="A1198" s="2" t="n"/>
    </row>
    <row r="1199">
      <c r="A1199" s="2" t="n"/>
    </row>
    <row r="1200">
      <c r="A1200" s="2" t="n"/>
    </row>
    <row r="1201">
      <c r="A1201" s="2" t="n"/>
    </row>
    <row r="1202">
      <c r="A1202" s="2" t="n"/>
    </row>
    <row r="1203">
      <c r="A1203" s="2" t="n"/>
    </row>
    <row r="1204">
      <c r="A1204" s="2" t="n"/>
    </row>
    <row r="1205">
      <c r="A1205" s="2" t="n"/>
    </row>
    <row r="1206">
      <c r="A1206" s="2" t="n"/>
    </row>
    <row r="1207">
      <c r="A1207" s="2" t="n"/>
    </row>
    <row r="1208">
      <c r="A1208" s="2" t="n"/>
    </row>
    <row r="1209">
      <c r="A1209" s="2" t="n"/>
    </row>
    <row r="1210">
      <c r="A1210" s="2" t="n"/>
    </row>
    <row r="1211">
      <c r="A1211" s="2" t="n"/>
    </row>
    <row r="1212">
      <c r="A1212" s="2" t="n"/>
    </row>
    <row r="1213">
      <c r="A1213" s="2" t="n"/>
    </row>
    <row r="1214">
      <c r="A1214" s="2" t="n"/>
    </row>
    <row r="1215">
      <c r="A1215" s="2" t="n"/>
    </row>
    <row r="1216">
      <c r="A1216" s="2" t="n"/>
    </row>
    <row r="1217">
      <c r="A1217" s="2" t="n"/>
    </row>
    <row r="1218">
      <c r="A1218" s="2" t="n"/>
    </row>
    <row r="1219">
      <c r="A1219" s="2" t="n"/>
    </row>
    <row r="1220">
      <c r="A1220" s="2" t="n"/>
    </row>
    <row r="1221">
      <c r="A1221" s="2" t="n"/>
    </row>
    <row r="1222">
      <c r="A1222" s="2" t="n"/>
    </row>
    <row r="1223">
      <c r="A1223" s="2" t="n"/>
    </row>
    <row r="1224">
      <c r="A1224" s="2" t="n"/>
    </row>
    <row r="1225">
      <c r="A1225" s="2" t="n"/>
    </row>
    <row r="1226">
      <c r="A1226" s="2" t="n"/>
    </row>
    <row r="1227">
      <c r="A1227" s="2" t="n"/>
    </row>
    <row r="1228">
      <c r="A1228" s="2" t="n"/>
    </row>
    <row r="1229">
      <c r="A1229" s="2" t="n"/>
    </row>
    <row r="1230">
      <c r="A1230" s="2" t="n"/>
    </row>
    <row r="1231">
      <c r="A1231" s="2" t="n"/>
    </row>
    <row r="1232">
      <c r="A1232" s="2" t="n"/>
    </row>
    <row r="1233">
      <c r="A1233" s="2" t="n"/>
    </row>
    <row r="1234">
      <c r="A1234" s="2" t="n"/>
    </row>
    <row r="1235">
      <c r="A1235" s="2" t="n"/>
    </row>
    <row r="1236">
      <c r="A1236" s="2" t="n"/>
    </row>
    <row r="1237">
      <c r="A1237" s="2" t="n"/>
    </row>
    <row r="1238">
      <c r="A1238" s="2" t="n"/>
    </row>
    <row r="1239">
      <c r="A1239" s="2" t="n"/>
    </row>
    <row r="1240">
      <c r="A1240" s="2" t="n"/>
    </row>
    <row r="1241">
      <c r="A1241" s="2" t="n"/>
    </row>
    <row r="1242">
      <c r="A1242" s="2" t="n"/>
    </row>
    <row r="1243">
      <c r="A1243" s="2" t="n"/>
    </row>
    <row r="1244">
      <c r="A1244" s="2" t="n"/>
    </row>
    <row r="1245">
      <c r="A1245" s="2" t="n"/>
    </row>
    <row r="1246">
      <c r="A1246" s="2" t="n"/>
    </row>
    <row r="1247">
      <c r="A1247" s="2" t="n"/>
    </row>
    <row r="1248">
      <c r="A1248" s="2" t="n"/>
    </row>
    <row r="1249">
      <c r="A1249" s="2" t="n"/>
    </row>
    <row r="1250">
      <c r="A1250" s="2" t="n"/>
    </row>
    <row r="1251">
      <c r="A1251" s="2" t="n"/>
    </row>
    <row r="1252">
      <c r="A1252" s="2" t="n"/>
    </row>
    <row r="1253">
      <c r="A1253" s="2" t="n"/>
    </row>
    <row r="1254">
      <c r="A1254" s="2" t="n"/>
    </row>
    <row r="1255">
      <c r="A1255" s="2" t="n"/>
    </row>
    <row r="1256">
      <c r="A1256" s="2" t="n"/>
    </row>
    <row r="1257">
      <c r="A1257" s="2" t="n"/>
    </row>
    <row r="1258">
      <c r="A1258" s="2" t="n"/>
    </row>
    <row r="1259">
      <c r="A1259" s="2" t="n"/>
    </row>
    <row r="1260">
      <c r="A1260" s="2" t="n"/>
    </row>
    <row r="1261">
      <c r="A1261" s="2" t="n"/>
    </row>
    <row r="1262">
      <c r="A1262" s="2" t="n"/>
    </row>
    <row r="1263">
      <c r="A1263" s="2" t="n"/>
    </row>
    <row r="1264">
      <c r="A1264" s="2" t="n"/>
    </row>
    <row r="1265">
      <c r="A1265" s="2" t="n"/>
    </row>
    <row r="1266">
      <c r="A1266" s="2" t="n"/>
    </row>
    <row r="1267">
      <c r="A1267" s="2" t="n"/>
    </row>
    <row r="1268">
      <c r="A1268" s="2" t="n"/>
    </row>
    <row r="1269">
      <c r="A1269" s="2" t="n"/>
    </row>
    <row r="1270">
      <c r="A1270" s="2" t="n"/>
    </row>
    <row r="1271">
      <c r="A1271" s="2" t="n"/>
    </row>
    <row r="1272">
      <c r="A1272" s="2" t="n"/>
    </row>
    <row r="1273">
      <c r="A1273" s="2" t="n"/>
    </row>
    <row r="1274">
      <c r="A1274" s="2" t="n"/>
    </row>
    <row r="1275">
      <c r="A1275" s="2" t="n"/>
    </row>
    <row r="1276">
      <c r="A1276" s="2" t="n"/>
    </row>
    <row r="1277">
      <c r="A1277" s="2" t="n"/>
    </row>
    <row r="1278">
      <c r="A1278" s="2" t="n"/>
    </row>
    <row r="1279">
      <c r="A1279" s="2" t="n"/>
    </row>
    <row r="1280">
      <c r="A1280" s="2" t="n"/>
    </row>
    <row r="1281">
      <c r="A1281" s="2" t="n"/>
    </row>
    <row r="1282">
      <c r="A1282" s="2" t="n"/>
    </row>
    <row r="1283">
      <c r="A1283" s="2" t="n"/>
    </row>
    <row r="1284">
      <c r="A1284" s="2" t="n"/>
    </row>
    <row r="1285">
      <c r="A1285" s="2" t="n"/>
    </row>
    <row r="1286">
      <c r="A1286" s="2" t="n"/>
    </row>
    <row r="1287">
      <c r="A1287" s="2" t="n"/>
    </row>
    <row r="1288">
      <c r="A1288" s="2" t="n"/>
    </row>
    <row r="1289">
      <c r="A1289" s="2" t="n"/>
    </row>
    <row r="1290">
      <c r="A1290" s="2" t="n"/>
    </row>
    <row r="1291">
      <c r="A1291" s="2" t="n"/>
    </row>
    <row r="1292">
      <c r="A1292" s="2" t="n"/>
    </row>
    <row r="1293">
      <c r="A1293" s="2" t="n"/>
    </row>
    <row r="1294">
      <c r="A1294" s="2" t="n"/>
    </row>
    <row r="1295">
      <c r="A1295" s="2" t="n"/>
    </row>
    <row r="1296">
      <c r="A1296" s="2" t="n"/>
    </row>
    <row r="1297">
      <c r="A1297" s="2" t="n"/>
    </row>
    <row r="1298">
      <c r="A1298" s="2" t="n"/>
    </row>
    <row r="1299">
      <c r="A1299" s="2" t="n"/>
    </row>
    <row r="1300">
      <c r="A1300" s="2" t="n"/>
    </row>
    <row r="1301">
      <c r="A1301" s="2" t="n"/>
    </row>
    <row r="1302">
      <c r="A1302" s="2" t="n"/>
    </row>
    <row r="1303">
      <c r="A1303" s="2" t="n"/>
    </row>
    <row r="1304">
      <c r="A1304" s="2" t="n"/>
    </row>
    <row r="1305">
      <c r="A1305" s="2" t="n"/>
    </row>
    <row r="1306">
      <c r="A1306" s="2" t="n"/>
    </row>
    <row r="1307">
      <c r="A1307" s="2" t="n"/>
    </row>
    <row r="1308">
      <c r="A1308" s="2" t="n"/>
    </row>
    <row r="1309">
      <c r="A1309" s="2" t="n"/>
    </row>
    <row r="1310">
      <c r="A1310" s="2" t="n"/>
    </row>
    <row r="1311">
      <c r="A1311" s="2" t="n"/>
    </row>
    <row r="1312">
      <c r="A1312" s="2" t="n"/>
    </row>
    <row r="1313">
      <c r="A1313" s="2" t="n"/>
    </row>
    <row r="1314">
      <c r="A1314" s="2" t="n"/>
    </row>
    <row r="1315">
      <c r="A1315" s="2" t="n"/>
    </row>
    <row r="1316">
      <c r="A1316" s="2" t="n"/>
    </row>
    <row r="1317">
      <c r="A1317" s="2" t="n"/>
    </row>
    <row r="1318">
      <c r="A1318" s="2" t="n"/>
    </row>
    <row r="1319">
      <c r="A1319" s="2" t="n"/>
    </row>
    <row r="1320">
      <c r="A1320" s="2" t="n"/>
    </row>
    <row r="1321">
      <c r="A1321" s="2" t="n"/>
    </row>
    <row r="1322">
      <c r="A1322" s="2" t="n"/>
    </row>
    <row r="1323">
      <c r="A1323" s="2" t="n"/>
    </row>
    <row r="1324">
      <c r="A1324" s="2" t="n"/>
    </row>
    <row r="1325">
      <c r="A1325" s="2" t="n"/>
    </row>
    <row r="1326">
      <c r="A1326" s="2" t="n"/>
    </row>
    <row r="1327">
      <c r="A1327" s="2" t="n"/>
    </row>
    <row r="1328">
      <c r="A1328" s="2" t="n"/>
    </row>
    <row r="1329">
      <c r="A1329" s="2" t="n"/>
    </row>
    <row r="1330">
      <c r="A1330" s="2" t="n"/>
    </row>
    <row r="1331">
      <c r="A1331" s="2" t="n"/>
    </row>
    <row r="1332">
      <c r="A1332" s="2" t="n"/>
    </row>
    <row r="1333">
      <c r="A1333" s="2" t="n"/>
    </row>
    <row r="1334">
      <c r="A1334" s="2" t="n"/>
    </row>
    <row r="1335">
      <c r="A1335" s="2" t="n"/>
    </row>
    <row r="1336">
      <c r="A1336" s="2" t="n"/>
    </row>
    <row r="1337">
      <c r="A1337" s="2" t="n"/>
    </row>
    <row r="1338">
      <c r="A1338" s="2" t="n"/>
    </row>
    <row r="1339">
      <c r="A1339" s="2" t="n"/>
    </row>
    <row r="1340">
      <c r="A1340" s="2" t="n"/>
    </row>
    <row r="1341">
      <c r="A1341" s="2" t="n"/>
    </row>
    <row r="1342">
      <c r="A1342" s="2" t="n"/>
    </row>
    <row r="1343">
      <c r="A1343" s="2" t="n"/>
    </row>
    <row r="1344">
      <c r="A1344" s="2" t="n"/>
    </row>
    <row r="1345">
      <c r="A1345" s="2" t="n"/>
    </row>
    <row r="1346">
      <c r="A1346" s="2" t="n"/>
    </row>
    <row r="1347">
      <c r="A1347" s="2" t="n"/>
    </row>
    <row r="1348">
      <c r="A1348" s="2" t="n"/>
    </row>
    <row r="1349">
      <c r="A1349" s="2" t="n"/>
    </row>
    <row r="1350">
      <c r="A1350" s="2" t="n"/>
    </row>
    <row r="1351">
      <c r="A1351" s="2" t="n"/>
    </row>
    <row r="1352">
      <c r="A1352" s="2" t="n"/>
    </row>
    <row r="1353">
      <c r="A1353" s="2" t="n"/>
    </row>
    <row r="1354">
      <c r="A1354" s="2" t="n"/>
    </row>
    <row r="1355">
      <c r="A1355" s="2" t="n"/>
    </row>
    <row r="1356">
      <c r="A1356" s="2" t="n"/>
    </row>
    <row r="1357">
      <c r="A1357" s="2" t="n"/>
    </row>
    <row r="1358">
      <c r="A1358" s="2" t="n"/>
    </row>
    <row r="1359">
      <c r="A1359" s="2" t="n"/>
    </row>
    <row r="1360">
      <c r="A1360" s="2" t="n"/>
    </row>
    <row r="1361">
      <c r="A1361" s="2" t="n"/>
    </row>
    <row r="1362">
      <c r="A1362" s="2" t="n"/>
    </row>
    <row r="1363">
      <c r="A1363" s="2" t="n"/>
    </row>
    <row r="1364">
      <c r="A1364" s="2" t="n"/>
    </row>
    <row r="1365">
      <c r="A1365" s="2" t="n"/>
    </row>
    <row r="1366">
      <c r="A1366" s="2" t="n"/>
    </row>
    <row r="1367">
      <c r="A1367" s="2" t="n"/>
    </row>
    <row r="1368">
      <c r="A1368" s="2" t="n"/>
    </row>
    <row r="1369">
      <c r="A1369" s="2" t="n"/>
    </row>
    <row r="1370">
      <c r="A1370" s="2" t="n"/>
    </row>
    <row r="1371">
      <c r="A1371" s="2" t="n"/>
    </row>
    <row r="1372">
      <c r="A1372" s="2" t="n"/>
    </row>
    <row r="1373">
      <c r="A1373" s="2" t="n"/>
    </row>
    <row r="1374">
      <c r="A1374" s="2" t="n"/>
    </row>
    <row r="1375">
      <c r="A1375" s="2" t="n"/>
    </row>
    <row r="1376">
      <c r="A1376" s="2" t="n"/>
    </row>
    <row r="1377">
      <c r="A1377" s="2" t="n"/>
    </row>
    <row r="1378">
      <c r="A1378" s="2" t="n"/>
    </row>
    <row r="1379">
      <c r="A1379" s="2" t="n"/>
    </row>
    <row r="1380">
      <c r="A1380" s="2" t="n"/>
    </row>
    <row r="1381">
      <c r="A1381" s="2" t="n"/>
    </row>
    <row r="1382">
      <c r="A1382" s="2" t="n"/>
    </row>
    <row r="1383">
      <c r="A1383" s="2" t="n"/>
    </row>
    <row r="1384">
      <c r="A1384" s="2" t="n"/>
    </row>
    <row r="1385">
      <c r="A1385" s="2" t="n"/>
    </row>
    <row r="1386">
      <c r="A1386" s="2" t="n"/>
    </row>
    <row r="1387">
      <c r="A1387" s="2" t="n"/>
    </row>
    <row r="1388">
      <c r="A1388" s="2" t="n"/>
    </row>
    <row r="1389">
      <c r="A1389" s="2" t="n"/>
    </row>
    <row r="1390">
      <c r="A1390" s="2" t="n"/>
    </row>
    <row r="1391">
      <c r="A1391" s="2" t="n"/>
    </row>
    <row r="1392">
      <c r="A1392" s="2" t="n"/>
    </row>
    <row r="1393">
      <c r="A1393" s="2" t="n"/>
    </row>
    <row r="1394">
      <c r="A1394" s="2" t="n"/>
    </row>
    <row r="1395">
      <c r="A1395" s="2" t="n"/>
    </row>
    <row r="1396">
      <c r="A1396" s="2" t="n"/>
    </row>
    <row r="1397">
      <c r="A1397" s="2" t="n"/>
    </row>
    <row r="1398">
      <c r="A1398" s="2" t="n"/>
    </row>
    <row r="1399">
      <c r="A1399" s="2" t="n"/>
    </row>
    <row r="1400">
      <c r="A1400" s="2" t="n"/>
    </row>
    <row r="1401">
      <c r="A1401" s="2" t="n"/>
    </row>
    <row r="1402">
      <c r="A1402" s="2" t="n"/>
    </row>
    <row r="1403">
      <c r="A1403" s="2" t="n"/>
    </row>
    <row r="1404">
      <c r="A1404" s="2" t="n"/>
    </row>
    <row r="1405">
      <c r="A1405" s="2" t="n"/>
    </row>
    <row r="1406">
      <c r="A1406" s="2" t="n"/>
    </row>
    <row r="1407">
      <c r="A1407" s="2" t="n"/>
    </row>
    <row r="1408">
      <c r="A1408" s="2" t="n"/>
    </row>
    <row r="1409">
      <c r="A1409" s="2" t="n"/>
    </row>
    <row r="1410">
      <c r="A1410" s="2" t="n"/>
    </row>
    <row r="1411">
      <c r="A1411" s="2" t="n"/>
    </row>
    <row r="1412">
      <c r="A1412" s="2" t="n"/>
    </row>
    <row r="1413">
      <c r="A1413" s="2" t="n"/>
    </row>
    <row r="1414">
      <c r="A1414" s="2" t="n"/>
    </row>
    <row r="1415">
      <c r="A1415" s="2" t="n"/>
    </row>
    <row r="1416">
      <c r="A1416" s="2" t="n"/>
    </row>
    <row r="1417">
      <c r="A1417" s="2" t="n"/>
    </row>
    <row r="1418">
      <c r="A1418" s="2" t="n"/>
    </row>
    <row r="1419">
      <c r="A1419" s="2" t="n"/>
    </row>
    <row r="1420">
      <c r="A1420" s="2" t="n"/>
    </row>
    <row r="1421">
      <c r="A1421" s="2" t="n"/>
    </row>
    <row r="1422">
      <c r="A1422" s="2" t="n"/>
    </row>
    <row r="1423">
      <c r="A1423" s="2" t="n"/>
    </row>
    <row r="1424">
      <c r="A1424" s="2" t="n"/>
    </row>
    <row r="1425">
      <c r="A1425" s="2" t="n"/>
    </row>
    <row r="1426">
      <c r="A1426" s="2" t="n"/>
    </row>
    <row r="1427">
      <c r="A1427" s="2" t="n"/>
    </row>
    <row r="1428">
      <c r="A1428" s="2" t="n"/>
    </row>
    <row r="1429">
      <c r="A1429" s="2" t="n"/>
    </row>
    <row r="1430">
      <c r="A1430" s="2" t="n"/>
    </row>
    <row r="1431">
      <c r="A1431" s="2" t="n"/>
    </row>
    <row r="1432">
      <c r="A1432" s="2" t="n"/>
    </row>
    <row r="1433">
      <c r="A1433" s="2" t="n"/>
    </row>
    <row r="1434">
      <c r="A1434" s="2" t="n"/>
    </row>
    <row r="1435">
      <c r="A1435" s="2" t="n"/>
    </row>
    <row r="1436">
      <c r="A1436" s="2" t="n"/>
    </row>
    <row r="1437">
      <c r="A1437" s="2" t="n"/>
    </row>
    <row r="1438">
      <c r="A1438" s="2" t="n"/>
    </row>
    <row r="1439">
      <c r="A1439" s="2" t="n"/>
    </row>
    <row r="1440">
      <c r="A1440" s="2" t="n"/>
    </row>
    <row r="1441">
      <c r="A1441" s="2" t="n"/>
    </row>
    <row r="1442">
      <c r="A1442" s="2" t="n"/>
    </row>
    <row r="1443">
      <c r="A1443" s="2" t="n"/>
    </row>
    <row r="1444">
      <c r="A1444" s="2" t="n"/>
    </row>
    <row r="1445">
      <c r="A1445" s="2" t="n"/>
    </row>
    <row r="1446">
      <c r="A1446" s="2" t="n"/>
    </row>
    <row r="1447">
      <c r="A1447" s="2" t="n"/>
    </row>
    <row r="1448">
      <c r="A1448" s="2" t="n"/>
    </row>
    <row r="1449">
      <c r="A1449" s="2" t="n"/>
    </row>
    <row r="1450">
      <c r="A1450" s="2" t="n"/>
    </row>
    <row r="1451">
      <c r="A1451" s="2" t="n"/>
    </row>
    <row r="1452">
      <c r="A1452" s="2" t="n"/>
    </row>
    <row r="1453">
      <c r="A1453" s="2" t="n"/>
    </row>
    <row r="1454">
      <c r="A1454" s="2" t="n"/>
    </row>
    <row r="1455">
      <c r="A1455" s="2" t="n"/>
    </row>
    <row r="1456">
      <c r="A1456" s="2" t="n"/>
    </row>
    <row r="1457">
      <c r="A1457" s="2" t="n"/>
    </row>
    <row r="1458">
      <c r="A1458" s="2" t="n"/>
    </row>
    <row r="1459">
      <c r="A1459" s="2" t="n"/>
    </row>
    <row r="1460">
      <c r="A1460" s="2" t="n"/>
    </row>
    <row r="1461">
      <c r="A1461" s="2" t="n"/>
    </row>
    <row r="1462">
      <c r="A1462" s="2" t="n"/>
    </row>
    <row r="1463">
      <c r="A1463" s="2" t="n"/>
    </row>
    <row r="1464">
      <c r="A1464" s="2" t="n"/>
    </row>
    <row r="1465">
      <c r="A1465" s="2" t="n"/>
    </row>
    <row r="1466">
      <c r="A1466" s="2" t="n"/>
    </row>
    <row r="1467">
      <c r="A1467" s="2" t="n"/>
    </row>
    <row r="1468">
      <c r="A1468" s="2" t="n"/>
    </row>
    <row r="1469">
      <c r="A1469" s="2" t="n"/>
    </row>
    <row r="1470">
      <c r="A1470" s="2" t="n"/>
    </row>
    <row r="1471">
      <c r="A1471" s="2" t="n"/>
    </row>
    <row r="1472">
      <c r="A1472" s="2" t="n"/>
    </row>
    <row r="1473">
      <c r="A1473" s="2" t="n"/>
    </row>
    <row r="1474">
      <c r="A1474" s="2" t="n"/>
    </row>
    <row r="1475">
      <c r="A1475" s="2" t="n"/>
    </row>
    <row r="1476">
      <c r="A1476" s="2" t="n"/>
    </row>
    <row r="1477">
      <c r="A1477" s="2" t="n"/>
    </row>
    <row r="1478">
      <c r="A1478" s="2" t="n"/>
    </row>
    <row r="1479">
      <c r="A1479" s="2" t="n"/>
    </row>
    <row r="1480">
      <c r="A1480" s="2" t="n"/>
    </row>
    <row r="1481">
      <c r="A1481" s="2" t="n"/>
    </row>
    <row r="1482">
      <c r="A1482" s="2" t="n"/>
    </row>
    <row r="1483">
      <c r="A1483" s="2" t="n"/>
    </row>
    <row r="1484">
      <c r="A1484" s="2" t="n"/>
    </row>
    <row r="1485">
      <c r="A1485" s="2" t="n"/>
    </row>
    <row r="1486">
      <c r="A1486" s="2" t="n"/>
    </row>
    <row r="1487">
      <c r="A1487" s="2" t="n"/>
    </row>
    <row r="1488">
      <c r="A1488" s="2" t="n"/>
    </row>
    <row r="1489">
      <c r="A1489" s="2" t="n"/>
    </row>
    <row r="1490">
      <c r="A1490" s="2" t="n"/>
    </row>
    <row r="1491">
      <c r="A1491" s="2" t="n"/>
    </row>
    <row r="1492">
      <c r="A1492" s="2" t="n"/>
    </row>
    <row r="1493">
      <c r="A1493" s="2" t="n"/>
    </row>
    <row r="1494">
      <c r="A1494" s="2" t="n"/>
    </row>
    <row r="1495">
      <c r="A1495" s="2" t="n"/>
    </row>
    <row r="1496">
      <c r="A1496" s="2" t="n"/>
    </row>
    <row r="1497">
      <c r="A1497" s="2" t="n"/>
    </row>
    <row r="1498">
      <c r="A1498" s="2" t="n"/>
    </row>
    <row r="1499">
      <c r="A1499" s="2" t="n"/>
    </row>
    <row r="1500">
      <c r="A1500" s="2" t="n"/>
    </row>
    <row r="1501">
      <c r="A1501" s="2" t="n"/>
    </row>
    <row r="1502">
      <c r="A1502" s="2" t="n"/>
    </row>
    <row r="1503">
      <c r="A1503" s="2" t="n"/>
    </row>
    <row r="1504">
      <c r="A1504" s="2" t="n"/>
    </row>
    <row r="1505">
      <c r="A1505" s="2" t="n"/>
    </row>
    <row r="1506">
      <c r="A1506" s="2" t="n"/>
    </row>
    <row r="1507">
      <c r="A1507" s="2" t="n"/>
    </row>
    <row r="1508">
      <c r="A1508" s="2" t="n"/>
    </row>
    <row r="1509">
      <c r="A1509" s="2" t="n"/>
    </row>
    <row r="1510">
      <c r="A1510" s="2" t="n"/>
    </row>
    <row r="1511">
      <c r="A1511" s="2" t="n"/>
    </row>
    <row r="1512">
      <c r="A1512" s="2" t="n"/>
    </row>
    <row r="1513">
      <c r="A1513" s="2" t="n"/>
    </row>
    <row r="1514">
      <c r="A1514" s="2" t="n"/>
    </row>
    <row r="1515">
      <c r="A1515" s="2" t="n"/>
    </row>
    <row r="1516">
      <c r="A1516" s="2" t="n"/>
    </row>
    <row r="1517">
      <c r="A1517" s="2" t="n"/>
    </row>
    <row r="1518">
      <c r="A1518" s="2" t="n"/>
    </row>
    <row r="1519">
      <c r="A1519" s="2" t="n"/>
    </row>
    <row r="1520">
      <c r="A1520" s="2" t="n"/>
    </row>
    <row r="1521">
      <c r="A1521" s="2" t="n"/>
    </row>
    <row r="1522">
      <c r="A1522" s="2" t="n"/>
    </row>
    <row r="1523">
      <c r="A1523" s="2" t="n"/>
    </row>
    <row r="1524">
      <c r="A1524" s="2" t="n"/>
    </row>
    <row r="1525">
      <c r="A1525" s="2" t="n"/>
    </row>
    <row r="1526">
      <c r="A1526" s="2" t="n"/>
    </row>
    <row r="1527">
      <c r="A1527" s="2" t="n"/>
    </row>
    <row r="1528">
      <c r="A1528" s="2" t="n"/>
    </row>
    <row r="1529">
      <c r="A1529" s="2" t="n"/>
    </row>
    <row r="1530">
      <c r="A1530" s="2" t="n"/>
    </row>
    <row r="1531">
      <c r="A1531" s="2" t="n"/>
    </row>
    <row r="1532">
      <c r="A1532" s="2" t="n"/>
    </row>
    <row r="1533">
      <c r="A1533" s="2" t="n"/>
    </row>
    <row r="1534">
      <c r="A1534" s="2" t="n"/>
    </row>
    <row r="1535">
      <c r="A1535" s="2" t="n"/>
    </row>
    <row r="1536">
      <c r="A1536" s="2" t="n"/>
    </row>
    <row r="1537">
      <c r="A1537" s="2" t="n"/>
    </row>
    <row r="1538">
      <c r="A1538" s="2" t="n"/>
    </row>
    <row r="1539">
      <c r="A1539" s="2" t="n"/>
    </row>
    <row r="1540">
      <c r="A1540" s="2" t="n"/>
    </row>
    <row r="1541">
      <c r="A1541" s="2" t="n"/>
    </row>
    <row r="1542">
      <c r="A1542" s="2" t="n"/>
    </row>
    <row r="1543">
      <c r="A1543" s="2" t="n"/>
    </row>
    <row r="1544">
      <c r="A1544" s="2" t="n"/>
    </row>
    <row r="1545">
      <c r="A1545" s="2" t="n"/>
    </row>
    <row r="1546">
      <c r="A1546" s="2" t="n"/>
    </row>
    <row r="1547">
      <c r="A1547" s="2" t="n"/>
    </row>
    <row r="1548">
      <c r="A1548" s="2" t="n"/>
    </row>
    <row r="1549">
      <c r="A1549" s="2" t="n"/>
    </row>
    <row r="1550">
      <c r="A1550" s="2" t="n"/>
    </row>
    <row r="1551">
      <c r="A1551" s="2" t="n"/>
    </row>
    <row r="1552">
      <c r="A1552" s="2" t="n"/>
    </row>
    <row r="1553">
      <c r="A1553" s="2" t="n"/>
    </row>
    <row r="1554">
      <c r="A1554" s="2" t="n"/>
    </row>
    <row r="1555">
      <c r="A1555" s="2" t="n"/>
    </row>
    <row r="1556">
      <c r="A1556" s="2" t="n"/>
    </row>
    <row r="1557">
      <c r="A1557" s="2" t="n"/>
    </row>
    <row r="1558">
      <c r="A1558" s="2" t="n"/>
    </row>
    <row r="1559">
      <c r="A1559" s="2" t="n"/>
    </row>
    <row r="1560">
      <c r="A1560" s="2" t="n"/>
    </row>
    <row r="1561">
      <c r="A1561" s="2" t="n"/>
    </row>
    <row r="1562">
      <c r="A1562" s="2" t="n"/>
    </row>
    <row r="1563">
      <c r="A1563" s="2" t="n"/>
    </row>
    <row r="1564">
      <c r="A1564" s="2" t="n"/>
    </row>
    <row r="1565">
      <c r="A1565" s="2" t="n"/>
    </row>
    <row r="1566">
      <c r="A1566" s="2" t="n"/>
    </row>
    <row r="1567">
      <c r="A1567" s="2" t="n"/>
    </row>
    <row r="1568">
      <c r="A1568" s="2" t="n"/>
    </row>
    <row r="1569">
      <c r="A1569" s="2" t="n"/>
    </row>
    <row r="1570">
      <c r="A1570" s="2" t="n"/>
    </row>
    <row r="1571">
      <c r="A1571" s="2" t="n"/>
    </row>
    <row r="1572">
      <c r="A1572" s="2" t="n"/>
    </row>
    <row r="1573">
      <c r="A1573" s="2" t="n"/>
    </row>
    <row r="1574">
      <c r="A1574" s="2" t="n"/>
    </row>
    <row r="1575">
      <c r="A1575" s="2" t="n"/>
    </row>
    <row r="1576">
      <c r="A1576" s="2" t="n"/>
    </row>
    <row r="1577">
      <c r="A1577" s="2" t="n"/>
    </row>
    <row r="1578">
      <c r="A1578" s="2" t="n"/>
    </row>
    <row r="1579">
      <c r="A1579" s="2" t="n"/>
    </row>
    <row r="1580">
      <c r="A1580" s="2" t="n"/>
    </row>
    <row r="1581">
      <c r="A1581" s="2" t="n"/>
    </row>
    <row r="1582">
      <c r="A1582" s="2" t="n"/>
    </row>
    <row r="1583">
      <c r="A1583" s="2" t="n"/>
    </row>
    <row r="1584">
      <c r="A1584" s="2" t="n"/>
    </row>
    <row r="1585">
      <c r="A1585" s="2" t="n"/>
    </row>
    <row r="1586">
      <c r="A1586" s="2" t="n"/>
    </row>
    <row r="1587">
      <c r="A1587" s="2" t="n"/>
    </row>
    <row r="1588">
      <c r="A1588" s="2" t="n"/>
    </row>
    <row r="1589">
      <c r="A1589" s="2" t="n"/>
    </row>
    <row r="1590">
      <c r="A1590" s="2" t="n"/>
    </row>
    <row r="1591">
      <c r="A1591" s="2" t="n"/>
    </row>
    <row r="1592">
      <c r="A1592" s="2" t="n"/>
    </row>
    <row r="1593">
      <c r="A1593" s="2" t="n"/>
    </row>
    <row r="1594">
      <c r="A1594" s="2" t="n"/>
    </row>
    <row r="1595">
      <c r="A1595" s="2" t="n"/>
    </row>
    <row r="1596">
      <c r="A1596" s="2" t="n"/>
    </row>
    <row r="1597">
      <c r="A1597" s="2" t="n"/>
    </row>
    <row r="1598">
      <c r="A1598" s="2" t="n"/>
    </row>
    <row r="1599">
      <c r="A1599" s="2" t="n"/>
    </row>
    <row r="1600">
      <c r="A1600" s="2" t="n"/>
    </row>
    <row r="1601">
      <c r="A1601" s="2" t="n"/>
    </row>
    <row r="1602">
      <c r="A1602" s="2" t="n"/>
    </row>
    <row r="1603">
      <c r="A1603" s="2" t="n"/>
    </row>
    <row r="1604">
      <c r="A1604" s="2" t="n"/>
    </row>
    <row r="1605">
      <c r="A1605" s="2" t="n"/>
    </row>
    <row r="1606">
      <c r="A1606" s="2" t="n"/>
    </row>
    <row r="1607">
      <c r="A1607" s="2" t="n"/>
    </row>
    <row r="1608">
      <c r="A1608" s="2" t="n"/>
    </row>
    <row r="1609">
      <c r="A1609" s="2" t="n"/>
    </row>
    <row r="1610">
      <c r="A1610" s="2" t="n"/>
    </row>
    <row r="1611">
      <c r="A1611" s="2" t="n"/>
    </row>
    <row r="1612">
      <c r="A1612" s="2" t="n"/>
    </row>
    <row r="1613">
      <c r="A1613" s="2" t="n"/>
    </row>
    <row r="1614">
      <c r="A1614" s="2" t="n"/>
    </row>
    <row r="1615">
      <c r="A1615" s="2" t="n"/>
    </row>
    <row r="1616">
      <c r="A1616" s="2" t="n"/>
    </row>
    <row r="1617">
      <c r="A1617" s="2" t="n"/>
    </row>
    <row r="1618">
      <c r="A1618" s="2" t="n"/>
    </row>
    <row r="1619">
      <c r="A1619" s="2" t="n"/>
    </row>
    <row r="1620">
      <c r="A1620" s="2" t="n"/>
    </row>
    <row r="1621">
      <c r="A1621" s="2" t="n"/>
    </row>
    <row r="1622">
      <c r="A1622" s="2" t="n"/>
    </row>
    <row r="1623">
      <c r="A1623" s="2" t="n"/>
    </row>
    <row r="1624">
      <c r="A1624" s="2" t="n"/>
    </row>
    <row r="1625">
      <c r="A1625" s="2" t="n"/>
    </row>
    <row r="1626">
      <c r="A1626" s="2" t="n"/>
    </row>
    <row r="1627">
      <c r="A1627" s="2" t="n"/>
    </row>
    <row r="1628">
      <c r="A1628" s="2" t="n"/>
    </row>
    <row r="1629">
      <c r="A1629" s="2" t="n"/>
    </row>
    <row r="1630">
      <c r="A1630" s="2" t="n"/>
    </row>
    <row r="1631">
      <c r="A1631" s="2" t="n"/>
    </row>
    <row r="1632">
      <c r="A1632" s="2" t="n"/>
    </row>
    <row r="1633">
      <c r="A1633" s="2" t="n"/>
    </row>
    <row r="1634">
      <c r="A1634" s="2" t="n"/>
    </row>
    <row r="1635">
      <c r="A1635" s="2" t="n"/>
    </row>
    <row r="1636">
      <c r="A1636" s="2" t="n"/>
    </row>
    <row r="1637">
      <c r="A1637" s="2" t="n"/>
    </row>
    <row r="1638">
      <c r="A1638" s="2" t="n"/>
    </row>
    <row r="1639">
      <c r="A1639" s="2" t="n"/>
    </row>
    <row r="1640">
      <c r="A1640" s="2" t="n"/>
    </row>
    <row r="1641">
      <c r="A1641" s="2" t="n"/>
    </row>
    <row r="1642">
      <c r="A1642" s="2" t="n"/>
    </row>
    <row r="1643">
      <c r="A1643" s="2" t="n"/>
    </row>
    <row r="1644">
      <c r="A1644" s="2" t="n"/>
    </row>
    <row r="1645">
      <c r="A1645" s="2" t="n"/>
    </row>
    <row r="1646">
      <c r="A1646" s="2" t="n"/>
    </row>
    <row r="1647">
      <c r="A1647" s="2" t="n"/>
    </row>
    <row r="1648">
      <c r="A1648" s="2" t="n"/>
    </row>
    <row r="1649">
      <c r="A1649" s="2" t="n"/>
    </row>
    <row r="1650">
      <c r="A1650" s="2" t="n"/>
    </row>
    <row r="1651">
      <c r="A1651" s="2" t="n"/>
    </row>
    <row r="1652">
      <c r="A1652" s="2" t="n"/>
    </row>
    <row r="1653">
      <c r="A1653" s="2" t="n"/>
    </row>
    <row r="1654">
      <c r="A1654" s="2" t="n"/>
    </row>
    <row r="1655">
      <c r="A1655" s="2" t="n"/>
    </row>
    <row r="1656">
      <c r="A1656" s="2" t="n"/>
    </row>
    <row r="1657">
      <c r="A1657" s="2" t="n"/>
    </row>
    <row r="1658">
      <c r="A1658" s="2" t="n"/>
    </row>
    <row r="1659">
      <c r="A1659" s="2" t="n"/>
    </row>
    <row r="1660">
      <c r="A1660" s="2" t="n"/>
    </row>
    <row r="1661">
      <c r="A1661" s="2" t="n"/>
    </row>
    <row r="1662">
      <c r="A1662" s="2" t="n"/>
    </row>
    <row r="1663">
      <c r="A1663" s="2" t="n"/>
    </row>
    <row r="1664">
      <c r="A1664" s="2" t="n"/>
    </row>
    <row r="1665">
      <c r="A1665" s="2" t="n"/>
    </row>
    <row r="1666">
      <c r="A1666" s="2" t="n"/>
    </row>
    <row r="1667">
      <c r="A1667" s="2" t="n"/>
    </row>
    <row r="1668">
      <c r="A1668" s="2" t="n"/>
    </row>
    <row r="1669">
      <c r="A1669" s="2" t="n"/>
    </row>
    <row r="1670">
      <c r="A1670" s="2" t="n"/>
    </row>
    <row r="1671">
      <c r="A1671" s="2" t="n"/>
    </row>
    <row r="1672">
      <c r="A1672" s="2" t="n"/>
    </row>
    <row r="1673">
      <c r="A1673" s="2" t="n"/>
    </row>
    <row r="1674">
      <c r="A1674" s="2" t="n"/>
    </row>
    <row r="1675">
      <c r="A1675" s="2" t="n"/>
    </row>
    <row r="1676">
      <c r="A1676" s="2" t="n"/>
    </row>
    <row r="1677">
      <c r="A1677" s="2" t="n"/>
    </row>
    <row r="1678">
      <c r="A1678" s="2" t="n"/>
    </row>
    <row r="1679">
      <c r="A1679" s="2" t="n"/>
    </row>
    <row r="1680">
      <c r="A1680" s="2" t="n"/>
    </row>
    <row r="1681">
      <c r="A1681" s="2" t="n"/>
    </row>
    <row r="1682">
      <c r="A1682" s="2" t="n"/>
    </row>
    <row r="1683">
      <c r="A1683" s="2" t="n"/>
    </row>
    <row r="1684">
      <c r="A1684" s="2" t="n"/>
    </row>
    <row r="1685">
      <c r="A1685" s="2" t="n"/>
    </row>
    <row r="1686">
      <c r="A1686" s="2" t="n"/>
    </row>
    <row r="1687">
      <c r="A1687" s="2" t="n"/>
    </row>
    <row r="1688">
      <c r="A1688" s="2" t="n"/>
    </row>
    <row r="1689">
      <c r="A1689" s="2" t="n"/>
    </row>
    <row r="1690">
      <c r="A1690" s="2" t="n"/>
    </row>
    <row r="1691">
      <c r="A1691" s="2" t="n"/>
    </row>
    <row r="1692">
      <c r="A1692" s="2" t="n"/>
    </row>
    <row r="1693">
      <c r="A1693" s="2" t="n"/>
    </row>
    <row r="1694">
      <c r="A1694" s="2" t="n"/>
    </row>
    <row r="1695">
      <c r="A1695" s="2" t="n"/>
    </row>
    <row r="1696">
      <c r="A1696" s="2" t="n"/>
    </row>
    <row r="1697">
      <c r="A1697" s="2" t="n"/>
    </row>
    <row r="1698">
      <c r="A1698" s="2" t="n"/>
    </row>
    <row r="1699">
      <c r="A1699" s="2" t="n"/>
    </row>
    <row r="1700">
      <c r="A1700" s="2" t="n"/>
    </row>
    <row r="1701">
      <c r="A1701" s="2" t="n"/>
    </row>
    <row r="1702">
      <c r="A1702" s="2" t="n"/>
    </row>
    <row r="1703">
      <c r="A1703" s="2" t="n"/>
    </row>
    <row r="1704">
      <c r="A1704" s="2" t="n"/>
    </row>
    <row r="1705">
      <c r="A1705" s="2" t="n"/>
    </row>
    <row r="1706">
      <c r="A1706" s="2" t="n"/>
    </row>
    <row r="1707">
      <c r="A1707" s="2" t="n"/>
    </row>
    <row r="1708">
      <c r="A1708" s="2" t="n"/>
    </row>
    <row r="1709">
      <c r="A1709" s="2" t="n"/>
    </row>
    <row r="1710">
      <c r="A1710" s="2" t="n"/>
    </row>
    <row r="1711">
      <c r="A1711" s="2" t="n"/>
    </row>
    <row r="1712">
      <c r="A1712" s="2" t="n"/>
    </row>
    <row r="1713">
      <c r="A1713" s="2" t="n"/>
    </row>
    <row r="1714">
      <c r="A1714" s="2" t="n"/>
    </row>
    <row r="1715">
      <c r="A1715" s="2" t="n"/>
    </row>
    <row r="1716">
      <c r="A1716" s="2" t="n"/>
    </row>
    <row r="1717">
      <c r="A1717" s="2" t="n"/>
    </row>
    <row r="1718">
      <c r="A1718" s="2" t="n"/>
    </row>
    <row r="1719">
      <c r="A1719" s="2" t="n"/>
    </row>
    <row r="1720">
      <c r="A1720" s="2" t="n"/>
    </row>
    <row r="1721">
      <c r="A1721" s="2" t="n"/>
    </row>
    <row r="1722">
      <c r="A1722" s="2" t="n"/>
    </row>
    <row r="1723">
      <c r="A1723" s="2" t="n"/>
    </row>
    <row r="1724">
      <c r="A1724" s="2" t="n"/>
    </row>
    <row r="1725">
      <c r="A1725" s="2" t="n"/>
    </row>
    <row r="1726">
      <c r="A1726" s="2" t="n"/>
    </row>
    <row r="1727">
      <c r="A1727" s="2" t="n"/>
    </row>
    <row r="1728">
      <c r="A1728" s="2" t="n"/>
    </row>
    <row r="1729">
      <c r="A1729" s="2" t="n"/>
    </row>
    <row r="1730">
      <c r="A1730" s="2" t="n"/>
    </row>
    <row r="1731">
      <c r="A1731" s="2" t="n"/>
    </row>
    <row r="1732">
      <c r="A1732" s="2" t="n"/>
    </row>
    <row r="1733">
      <c r="A1733" s="2" t="n"/>
    </row>
    <row r="1734">
      <c r="A1734" s="2" t="n"/>
    </row>
    <row r="1735">
      <c r="A1735" s="2" t="n"/>
    </row>
    <row r="1736">
      <c r="A1736" s="2" t="n"/>
    </row>
    <row r="1737">
      <c r="A1737" s="2" t="n"/>
    </row>
    <row r="1738">
      <c r="A1738" s="2" t="n"/>
    </row>
    <row r="1739">
      <c r="A1739" s="2" t="n"/>
    </row>
    <row r="1740">
      <c r="A1740" s="2" t="n"/>
    </row>
    <row r="1741">
      <c r="A1741" s="2" t="n"/>
    </row>
    <row r="1742">
      <c r="A1742" s="2" t="n"/>
    </row>
    <row r="1743">
      <c r="A1743" s="2" t="n"/>
    </row>
    <row r="1744">
      <c r="A1744" s="2" t="n"/>
    </row>
    <row r="1745">
      <c r="A1745" s="2" t="n"/>
    </row>
    <row r="1746">
      <c r="A1746" s="2" t="n"/>
    </row>
    <row r="1747">
      <c r="A1747" s="2" t="n"/>
    </row>
    <row r="1748">
      <c r="A1748" s="2" t="n"/>
    </row>
    <row r="1749">
      <c r="A1749" s="2" t="n"/>
    </row>
    <row r="1750">
      <c r="A1750" s="2" t="n"/>
    </row>
    <row r="1751">
      <c r="A1751" s="2" t="n"/>
    </row>
    <row r="1752">
      <c r="A1752" s="2" t="n"/>
    </row>
    <row r="1753">
      <c r="A1753" s="2" t="n"/>
    </row>
    <row r="1754">
      <c r="A1754" s="2" t="n"/>
    </row>
    <row r="1755">
      <c r="A1755" s="2" t="n"/>
    </row>
    <row r="1756">
      <c r="A1756" s="2" t="n"/>
    </row>
    <row r="1757">
      <c r="A1757" s="2" t="n"/>
    </row>
    <row r="1758">
      <c r="A1758" s="2" t="n"/>
    </row>
    <row r="1759">
      <c r="A1759" s="2" t="n"/>
    </row>
    <row r="1760">
      <c r="A1760" s="2" t="n"/>
    </row>
    <row r="1761">
      <c r="A1761" s="2" t="n"/>
    </row>
    <row r="1762">
      <c r="A1762" s="2" t="n"/>
    </row>
    <row r="1763">
      <c r="A1763" s="2" t="n"/>
    </row>
    <row r="1764">
      <c r="A1764" s="2" t="n"/>
    </row>
    <row r="1765">
      <c r="A1765" s="2" t="n"/>
    </row>
    <row r="1766">
      <c r="A1766" s="2" t="n"/>
    </row>
    <row r="1767">
      <c r="A1767" s="2" t="n"/>
    </row>
    <row r="1768">
      <c r="A1768" s="2" t="n"/>
    </row>
    <row r="1769">
      <c r="A1769" s="2" t="n"/>
    </row>
    <row r="1770">
      <c r="A1770" s="2" t="n"/>
    </row>
    <row r="1771">
      <c r="A1771" s="2" t="n"/>
    </row>
    <row r="1772">
      <c r="A1772" s="2" t="n"/>
    </row>
    <row r="1773">
      <c r="A1773" s="2" t="n"/>
    </row>
    <row r="1774">
      <c r="A1774" s="2" t="n"/>
    </row>
    <row r="1775">
      <c r="A1775" s="2" t="n"/>
    </row>
    <row r="1776">
      <c r="A1776" s="2" t="n"/>
    </row>
    <row r="1777">
      <c r="A1777" s="2" t="n"/>
    </row>
    <row r="1778">
      <c r="A1778" s="2" t="n"/>
    </row>
    <row r="1779">
      <c r="A1779" s="2" t="n"/>
    </row>
    <row r="1780">
      <c r="A1780" s="2" t="n"/>
    </row>
    <row r="1781">
      <c r="A1781" s="2" t="n"/>
    </row>
    <row r="1782">
      <c r="A1782" s="2" t="n"/>
    </row>
    <row r="1783">
      <c r="A1783" s="2" t="n"/>
    </row>
    <row r="1784">
      <c r="A1784" s="2" t="n"/>
    </row>
    <row r="1785">
      <c r="A1785" s="2" t="n"/>
    </row>
    <row r="1786">
      <c r="A1786" s="2" t="n"/>
    </row>
    <row r="1787">
      <c r="A1787" s="2" t="n"/>
    </row>
    <row r="1788">
      <c r="A1788" s="2" t="n"/>
    </row>
    <row r="1789">
      <c r="A1789" s="2" t="n"/>
    </row>
    <row r="1790">
      <c r="A1790" s="2" t="n"/>
    </row>
    <row r="1791">
      <c r="A1791" s="2" t="n"/>
    </row>
    <row r="1792">
      <c r="A1792" s="2" t="n"/>
    </row>
    <row r="1793">
      <c r="A1793" s="2" t="n"/>
    </row>
    <row r="1794">
      <c r="A1794" s="2" t="n"/>
    </row>
    <row r="1795">
      <c r="A1795" s="2" t="n"/>
    </row>
    <row r="1796">
      <c r="A1796" s="2" t="n"/>
    </row>
    <row r="1797">
      <c r="A1797" s="2" t="n"/>
    </row>
    <row r="1798">
      <c r="A1798" s="2" t="n"/>
    </row>
    <row r="1799">
      <c r="A1799" s="2" t="n"/>
    </row>
    <row r="1800">
      <c r="A1800" s="2" t="n"/>
    </row>
    <row r="1801">
      <c r="A1801" s="2" t="n"/>
    </row>
    <row r="1802">
      <c r="A1802" s="2" t="n"/>
    </row>
    <row r="1803">
      <c r="A1803" s="2" t="n"/>
    </row>
    <row r="1804">
      <c r="A1804" s="2" t="n"/>
    </row>
    <row r="1805">
      <c r="A1805" s="2" t="n"/>
    </row>
    <row r="1806">
      <c r="A1806" s="2" t="n"/>
    </row>
    <row r="1807">
      <c r="A1807" s="2" t="n"/>
    </row>
    <row r="1808">
      <c r="A1808" s="2" t="n"/>
    </row>
    <row r="1809">
      <c r="A1809" s="2" t="n"/>
    </row>
    <row r="1810">
      <c r="A1810" s="2" t="n"/>
    </row>
    <row r="1811">
      <c r="A1811" s="2" t="n"/>
    </row>
    <row r="1812">
      <c r="A1812" s="2" t="n"/>
    </row>
    <row r="1813">
      <c r="A1813" s="2" t="n"/>
    </row>
    <row r="1814">
      <c r="A1814" s="2" t="n"/>
    </row>
    <row r="1815">
      <c r="A1815" s="2" t="n"/>
    </row>
    <row r="1816">
      <c r="A1816" s="2" t="n"/>
    </row>
    <row r="1817">
      <c r="A1817" s="2" t="n"/>
    </row>
    <row r="1818">
      <c r="A1818" s="2" t="n"/>
    </row>
    <row r="1819">
      <c r="A1819" s="2" t="n"/>
    </row>
    <row r="1820">
      <c r="A1820" s="2" t="n"/>
    </row>
    <row r="1821">
      <c r="A1821" s="2" t="n"/>
    </row>
    <row r="1822">
      <c r="A1822" s="2" t="n"/>
    </row>
    <row r="1823">
      <c r="A1823" s="2" t="n"/>
    </row>
    <row r="1824">
      <c r="A1824" s="2" t="n"/>
    </row>
    <row r="1825">
      <c r="A1825" s="2" t="n"/>
    </row>
    <row r="1826">
      <c r="A1826" s="2" t="n"/>
    </row>
    <row r="1827">
      <c r="A1827" s="2" t="n"/>
    </row>
    <row r="1828">
      <c r="A1828" s="2" t="n"/>
    </row>
    <row r="1829">
      <c r="A1829" s="2" t="n"/>
    </row>
    <row r="1830">
      <c r="A1830" s="2" t="n"/>
    </row>
    <row r="1831">
      <c r="A1831" s="2" t="n"/>
    </row>
    <row r="1832">
      <c r="A1832" s="2" t="n"/>
    </row>
    <row r="1833">
      <c r="A1833" s="2" t="n"/>
    </row>
    <row r="1834">
      <c r="A1834" s="2" t="n"/>
    </row>
    <row r="1835">
      <c r="A1835" s="2" t="n"/>
    </row>
    <row r="1836">
      <c r="A1836" s="2" t="n"/>
    </row>
    <row r="1837">
      <c r="A1837" s="2" t="n"/>
    </row>
    <row r="1838">
      <c r="A1838" s="2" t="n"/>
    </row>
    <row r="1839">
      <c r="A1839" s="2" t="n"/>
    </row>
    <row r="1840">
      <c r="A1840" s="2" t="n"/>
    </row>
    <row r="1841">
      <c r="A1841" s="2" t="n"/>
    </row>
    <row r="1842">
      <c r="A1842" s="2" t="n"/>
    </row>
    <row r="1843">
      <c r="A1843" s="2" t="n"/>
    </row>
    <row r="1844">
      <c r="A1844" s="2" t="n"/>
    </row>
    <row r="1845">
      <c r="A1845" s="2" t="n"/>
    </row>
    <row r="1846">
      <c r="A1846" s="2" t="n"/>
    </row>
    <row r="1847">
      <c r="A1847" s="2" t="n"/>
    </row>
    <row r="1848">
      <c r="A1848" s="2" t="n"/>
    </row>
    <row r="1849">
      <c r="A1849" s="2" t="n"/>
    </row>
    <row r="1850">
      <c r="A1850" s="2" t="n"/>
    </row>
    <row r="1851">
      <c r="A1851" s="2" t="n"/>
    </row>
    <row r="1852">
      <c r="A1852" s="2" t="n"/>
    </row>
    <row r="1853">
      <c r="A1853" s="2" t="n"/>
    </row>
    <row r="1854">
      <c r="A1854" s="2" t="n"/>
    </row>
    <row r="1855">
      <c r="A1855" s="2" t="n"/>
    </row>
    <row r="1856">
      <c r="A1856" s="2" t="n"/>
    </row>
    <row r="1857">
      <c r="A1857" s="2" t="n"/>
    </row>
    <row r="1858">
      <c r="A1858" s="2" t="n"/>
    </row>
    <row r="1859">
      <c r="A1859" s="2" t="n"/>
    </row>
    <row r="1860">
      <c r="A1860" s="2" t="n"/>
    </row>
    <row r="1861">
      <c r="A1861" s="2" t="n"/>
    </row>
    <row r="1862">
      <c r="A1862" s="2" t="n"/>
    </row>
    <row r="1863">
      <c r="A1863" s="2" t="n"/>
    </row>
    <row r="1864">
      <c r="A1864" s="2" t="n"/>
    </row>
    <row r="1865">
      <c r="A1865" s="2" t="n"/>
    </row>
    <row r="1866">
      <c r="A1866" s="2" t="n"/>
    </row>
    <row r="1867">
      <c r="A1867" s="2" t="n"/>
    </row>
    <row r="1868">
      <c r="A1868" s="2" t="n"/>
    </row>
    <row r="1869">
      <c r="A1869" s="2" t="n"/>
    </row>
    <row r="1870">
      <c r="A1870" s="2" t="n"/>
    </row>
    <row r="1871">
      <c r="A1871" s="2" t="n"/>
    </row>
    <row r="1872">
      <c r="A1872" s="2" t="n"/>
    </row>
    <row r="1873">
      <c r="A1873" s="2" t="n"/>
    </row>
    <row r="1874">
      <c r="A1874" s="2" t="n"/>
    </row>
    <row r="1875">
      <c r="A1875" s="2" t="n"/>
    </row>
    <row r="1876">
      <c r="A1876" s="2" t="n"/>
    </row>
    <row r="1877">
      <c r="A1877" s="2" t="n"/>
    </row>
    <row r="1878">
      <c r="A1878" s="2" t="n"/>
    </row>
    <row r="1879">
      <c r="A1879" s="2" t="n"/>
    </row>
    <row r="1880">
      <c r="A1880" s="2" t="n"/>
    </row>
    <row r="1881">
      <c r="A1881" s="2" t="n"/>
    </row>
    <row r="1882">
      <c r="A1882" s="2" t="n"/>
    </row>
    <row r="1883">
      <c r="A1883" s="2" t="n"/>
    </row>
    <row r="1884">
      <c r="A1884" s="2" t="n"/>
    </row>
    <row r="1885">
      <c r="A1885" s="2" t="n"/>
    </row>
    <row r="1886">
      <c r="A1886" s="2" t="n"/>
    </row>
    <row r="1887">
      <c r="A1887" s="2" t="n"/>
    </row>
    <row r="1888">
      <c r="A1888" s="2" t="n"/>
    </row>
    <row r="1889">
      <c r="A1889" s="2" t="n"/>
    </row>
    <row r="1890">
      <c r="A1890" s="2" t="n"/>
    </row>
    <row r="1891">
      <c r="A1891" s="2" t="n"/>
    </row>
    <row r="1892">
      <c r="A1892" s="2" t="n"/>
    </row>
    <row r="1893">
      <c r="A1893" s="2" t="n"/>
    </row>
    <row r="1894">
      <c r="A1894" s="2" t="n"/>
    </row>
    <row r="1895">
      <c r="A1895" s="2" t="n"/>
    </row>
    <row r="1896">
      <c r="A1896" s="2" t="n"/>
    </row>
    <row r="1897">
      <c r="A1897" s="2" t="n"/>
    </row>
    <row r="1898">
      <c r="A1898" s="2" t="n"/>
    </row>
    <row r="1899">
      <c r="A1899" s="2" t="n"/>
    </row>
    <row r="1900">
      <c r="A1900" s="2" t="n"/>
    </row>
    <row r="1901">
      <c r="A1901" s="2" t="n"/>
    </row>
    <row r="1902">
      <c r="A1902" s="2" t="n"/>
    </row>
    <row r="1903">
      <c r="A1903" s="2" t="n"/>
    </row>
    <row r="1904">
      <c r="A1904" s="2" t="n"/>
    </row>
    <row r="1905">
      <c r="A1905" s="2" t="n"/>
    </row>
    <row r="1906">
      <c r="A1906" s="2" t="n"/>
    </row>
    <row r="1907">
      <c r="A1907" s="2" t="n"/>
    </row>
    <row r="1908">
      <c r="A1908" s="2" t="n"/>
    </row>
    <row r="1909">
      <c r="A1909" s="2" t="n"/>
    </row>
    <row r="1910">
      <c r="A1910" s="2" t="n"/>
    </row>
    <row r="1911">
      <c r="A1911" s="2" t="n"/>
    </row>
    <row r="1912">
      <c r="A1912" s="2" t="n"/>
    </row>
    <row r="1913">
      <c r="A1913" s="2" t="n"/>
    </row>
    <row r="1914">
      <c r="A1914" s="2" t="n"/>
    </row>
    <row r="1915">
      <c r="A1915" s="2" t="n"/>
    </row>
    <row r="1916">
      <c r="A1916" s="2" t="n"/>
    </row>
    <row r="1917">
      <c r="A1917" s="2" t="n"/>
    </row>
    <row r="1918">
      <c r="A1918" s="2" t="n"/>
    </row>
    <row r="1919">
      <c r="A1919" s="2" t="n"/>
    </row>
    <row r="1920">
      <c r="A1920" s="2" t="n"/>
    </row>
    <row r="1921">
      <c r="A1921" s="2" t="n"/>
    </row>
    <row r="1922">
      <c r="A1922" s="2" t="n"/>
    </row>
    <row r="1923">
      <c r="A1923" s="2" t="n"/>
    </row>
    <row r="1924">
      <c r="A1924" s="2" t="n"/>
    </row>
    <row r="1925">
      <c r="A1925" s="2" t="n"/>
    </row>
    <row r="1926">
      <c r="A1926" s="2" t="n"/>
    </row>
    <row r="1927">
      <c r="A1927" s="2" t="n"/>
    </row>
    <row r="1928">
      <c r="A1928" s="2" t="n"/>
    </row>
    <row r="1929">
      <c r="A1929" s="2" t="n"/>
    </row>
    <row r="1930">
      <c r="A1930" s="2" t="n"/>
    </row>
    <row r="1931">
      <c r="A1931" s="2" t="n"/>
    </row>
    <row r="1932">
      <c r="A1932" s="2" t="n"/>
    </row>
    <row r="1933">
      <c r="A1933" s="2" t="n"/>
    </row>
    <row r="1934">
      <c r="A1934" s="2" t="n"/>
    </row>
    <row r="1935">
      <c r="A1935" s="2" t="n"/>
    </row>
    <row r="1936">
      <c r="A1936" s="2" t="n"/>
    </row>
    <row r="1937">
      <c r="A1937" s="2" t="n"/>
    </row>
    <row r="1938">
      <c r="A1938" s="2" t="n"/>
    </row>
    <row r="1939">
      <c r="A1939" s="2" t="n"/>
    </row>
    <row r="1940">
      <c r="A1940" s="2" t="n"/>
    </row>
    <row r="1941">
      <c r="A1941" s="2" t="n"/>
    </row>
    <row r="1942">
      <c r="A1942" s="2" t="n"/>
    </row>
    <row r="1943">
      <c r="A1943" s="2" t="n"/>
    </row>
    <row r="1944">
      <c r="A1944" s="2" t="n"/>
    </row>
    <row r="1945">
      <c r="A1945" s="2" t="n"/>
    </row>
    <row r="1946">
      <c r="A1946" s="2" t="n"/>
    </row>
    <row r="1947">
      <c r="A1947" s="2" t="n"/>
    </row>
    <row r="1948">
      <c r="A1948" s="2" t="n"/>
    </row>
    <row r="1949">
      <c r="A1949" s="2" t="n"/>
    </row>
    <row r="1950">
      <c r="A1950" s="2" t="n"/>
    </row>
    <row r="1951">
      <c r="A1951" s="2" t="n"/>
    </row>
    <row r="1952">
      <c r="A1952" s="2" t="n"/>
    </row>
    <row r="1953">
      <c r="A1953" s="2" t="n"/>
    </row>
    <row r="1954">
      <c r="A1954" s="2" t="n"/>
    </row>
    <row r="1955">
      <c r="A1955" s="2" t="n"/>
    </row>
    <row r="1956">
      <c r="A1956" s="2" t="n"/>
    </row>
    <row r="1957">
      <c r="A1957" s="2" t="n"/>
    </row>
    <row r="1958">
      <c r="A1958" s="2" t="n"/>
    </row>
    <row r="1959">
      <c r="A1959" s="2" t="n"/>
    </row>
    <row r="1960">
      <c r="A1960" s="2" t="n"/>
    </row>
    <row r="1961">
      <c r="A1961" s="2" t="n"/>
    </row>
    <row r="1962">
      <c r="A1962" s="2" t="n"/>
    </row>
    <row r="1963">
      <c r="A1963" s="2" t="n"/>
    </row>
    <row r="1964">
      <c r="A1964" s="2" t="n"/>
    </row>
    <row r="1965">
      <c r="A1965" s="2" t="n"/>
    </row>
    <row r="1966">
      <c r="A1966" s="2" t="n"/>
    </row>
    <row r="1967">
      <c r="A1967" s="2" t="n"/>
    </row>
    <row r="1968">
      <c r="A1968" s="2" t="n"/>
    </row>
    <row r="1969">
      <c r="A1969" s="2" t="n"/>
    </row>
    <row r="1970">
      <c r="A1970" s="2" t="n"/>
    </row>
    <row r="1971">
      <c r="A1971" s="2" t="n"/>
    </row>
    <row r="1972">
      <c r="A1972" s="2" t="n"/>
    </row>
    <row r="1973">
      <c r="A1973" s="2" t="n"/>
    </row>
    <row r="1974">
      <c r="A1974" s="2" t="n"/>
    </row>
    <row r="1975">
      <c r="A1975" s="2" t="n"/>
    </row>
    <row r="1976">
      <c r="A1976" s="2" t="n"/>
    </row>
    <row r="1977">
      <c r="A1977" s="2" t="n"/>
    </row>
    <row r="1978">
      <c r="A1978" s="2" t="n"/>
    </row>
    <row r="1979">
      <c r="A1979" s="2" t="n"/>
    </row>
    <row r="1980">
      <c r="A1980" s="2" t="n"/>
    </row>
    <row r="1981">
      <c r="A1981" s="2" t="n"/>
    </row>
    <row r="1982">
      <c r="A1982" s="2" t="n"/>
    </row>
    <row r="1983">
      <c r="A1983" s="2" t="n"/>
    </row>
    <row r="1984">
      <c r="A1984" s="2" t="n"/>
    </row>
    <row r="1985">
      <c r="A1985" s="2" t="n"/>
    </row>
    <row r="1986">
      <c r="A1986" s="2" t="n"/>
    </row>
    <row r="1987">
      <c r="A1987" s="2" t="n"/>
    </row>
    <row r="1988">
      <c r="A1988" s="2" t="n"/>
    </row>
    <row r="1989">
      <c r="A1989" s="2" t="n"/>
    </row>
    <row r="1990">
      <c r="A1990" s="2" t="n"/>
    </row>
    <row r="1991">
      <c r="A1991" s="2" t="n"/>
    </row>
    <row r="1992">
      <c r="A1992" s="2" t="n"/>
    </row>
    <row r="1993">
      <c r="A1993" s="2" t="n"/>
    </row>
    <row r="1994">
      <c r="A1994" s="2" t="n"/>
    </row>
    <row r="1995">
      <c r="A1995" s="2" t="n"/>
    </row>
    <row r="1996">
      <c r="A1996" s="2" t="n"/>
    </row>
    <row r="1997">
      <c r="A1997" s="2" t="n"/>
    </row>
    <row r="1998">
      <c r="A1998" s="2" t="n"/>
    </row>
    <row r="1999">
      <c r="A1999" s="2" t="n"/>
    </row>
    <row r="2000">
      <c r="A2000" s="2" t="n"/>
    </row>
    <row r="2001">
      <c r="A2001" s="2" t="n"/>
    </row>
    <row r="2002">
      <c r="A2002" s="2" t="n"/>
    </row>
    <row r="2003">
      <c r="A2003" s="2" t="n"/>
    </row>
    <row r="2004">
      <c r="A2004" s="2" t="n"/>
    </row>
    <row r="2005">
      <c r="A2005" s="2" t="n"/>
    </row>
    <row r="2006">
      <c r="A2006" s="2" t="n"/>
    </row>
    <row r="2007">
      <c r="A2007" s="2" t="n"/>
    </row>
    <row r="2008">
      <c r="A2008" s="2" t="n"/>
    </row>
    <row r="2009">
      <c r="A2009" s="2" t="n"/>
    </row>
    <row r="2010">
      <c r="A2010" s="2" t="n"/>
    </row>
    <row r="2011">
      <c r="A2011" s="2" t="n"/>
    </row>
    <row r="2012">
      <c r="A2012" s="2" t="n"/>
    </row>
    <row r="2013">
      <c r="A2013" s="2" t="n"/>
    </row>
    <row r="2014">
      <c r="A2014" s="2" t="n"/>
    </row>
    <row r="2015">
      <c r="A2015" s="2" t="n"/>
    </row>
    <row r="2016">
      <c r="A2016" s="2" t="n"/>
    </row>
    <row r="2017">
      <c r="A2017" s="2" t="n"/>
    </row>
    <row r="2018">
      <c r="A2018" s="2" t="n"/>
    </row>
    <row r="2019">
      <c r="A2019" s="2" t="n"/>
    </row>
    <row r="2020">
      <c r="A2020" s="2" t="n"/>
    </row>
    <row r="2021">
      <c r="A2021" s="2" t="n"/>
    </row>
    <row r="2022">
      <c r="A2022" s="2" t="n"/>
    </row>
    <row r="2023">
      <c r="A2023" s="2" t="n"/>
    </row>
    <row r="2024">
      <c r="A2024" s="2" t="n"/>
    </row>
    <row r="2025">
      <c r="A2025" s="2" t="n"/>
    </row>
    <row r="2026">
      <c r="A2026" s="2" t="n"/>
    </row>
    <row r="2027">
      <c r="A2027" s="2" t="n"/>
    </row>
    <row r="2028">
      <c r="A2028" s="2" t="n"/>
    </row>
    <row r="2029">
      <c r="A2029" s="2" t="n"/>
    </row>
    <row r="2030">
      <c r="A2030" s="2" t="n"/>
    </row>
    <row r="2031">
      <c r="A2031" s="2" t="n"/>
    </row>
    <row r="2032">
      <c r="A2032" s="2" t="n"/>
    </row>
    <row r="2033">
      <c r="A2033" s="2" t="n"/>
    </row>
    <row r="2034">
      <c r="A2034" s="2" t="n"/>
    </row>
    <row r="2035">
      <c r="A2035" s="2" t="n"/>
    </row>
    <row r="2036">
      <c r="A2036" s="2" t="n"/>
    </row>
    <row r="2037">
      <c r="A2037" s="2" t="n"/>
    </row>
    <row r="2038">
      <c r="A2038" s="2" t="n"/>
    </row>
    <row r="2039">
      <c r="A2039" s="2" t="n"/>
    </row>
    <row r="2040">
      <c r="A2040" s="2" t="n"/>
    </row>
    <row r="2041">
      <c r="A2041" s="2" t="n"/>
    </row>
    <row r="2042">
      <c r="A2042" s="2" t="n"/>
    </row>
    <row r="2043">
      <c r="A2043" s="2" t="n"/>
    </row>
    <row r="2044">
      <c r="A2044" s="2" t="n"/>
    </row>
    <row r="2045">
      <c r="A2045" s="2" t="n"/>
    </row>
    <row r="2046">
      <c r="A2046" s="2" t="n"/>
    </row>
    <row r="2047">
      <c r="A2047" s="2" t="n"/>
    </row>
    <row r="2048">
      <c r="A2048" s="2" t="n"/>
    </row>
    <row r="2049">
      <c r="A2049" s="2" t="n"/>
    </row>
    <row r="2050">
      <c r="A2050" s="2" t="n"/>
    </row>
    <row r="2051">
      <c r="A2051" s="2" t="n"/>
    </row>
    <row r="2052">
      <c r="A2052" s="2" t="n"/>
    </row>
    <row r="2053">
      <c r="A2053" s="2" t="n"/>
    </row>
    <row r="2054">
      <c r="A2054" s="2" t="n"/>
    </row>
    <row r="2055">
      <c r="A2055" s="2" t="n"/>
    </row>
    <row r="2056">
      <c r="A2056" s="2" t="n"/>
    </row>
    <row r="2057">
      <c r="A2057" s="2" t="n"/>
    </row>
    <row r="2058">
      <c r="A2058" s="2" t="n"/>
    </row>
    <row r="2059">
      <c r="A2059" s="2" t="n"/>
    </row>
    <row r="2060">
      <c r="A2060" s="2" t="n"/>
    </row>
    <row r="2061">
      <c r="A2061" s="2" t="n"/>
    </row>
    <row r="2062">
      <c r="A2062" s="2" t="n"/>
    </row>
    <row r="2063">
      <c r="A2063" s="2" t="n"/>
    </row>
    <row r="2064">
      <c r="A2064" s="2" t="n"/>
    </row>
    <row r="2065">
      <c r="A2065" s="2" t="n"/>
    </row>
    <row r="2066">
      <c r="A2066" s="2" t="n"/>
    </row>
    <row r="2067">
      <c r="A2067" s="2" t="n"/>
    </row>
    <row r="2068">
      <c r="A2068" s="2" t="n"/>
    </row>
    <row r="2069">
      <c r="A2069" s="2" t="n"/>
    </row>
    <row r="2070">
      <c r="A2070" s="2" t="n"/>
    </row>
    <row r="2071">
      <c r="A2071" s="2" t="n"/>
    </row>
    <row r="2072">
      <c r="A2072" s="2" t="n"/>
    </row>
    <row r="2073">
      <c r="A2073" s="2" t="n"/>
    </row>
    <row r="2074">
      <c r="A2074" s="2" t="n"/>
    </row>
    <row r="2075">
      <c r="A2075" s="2" t="n"/>
    </row>
    <row r="2076">
      <c r="A2076" s="2" t="n"/>
    </row>
    <row r="2077">
      <c r="A2077" s="2" t="n"/>
    </row>
    <row r="2078">
      <c r="A2078" s="2" t="n"/>
    </row>
    <row r="2079">
      <c r="A2079" s="2" t="n"/>
    </row>
    <row r="2080">
      <c r="A2080" s="2" t="n"/>
    </row>
    <row r="2081">
      <c r="A2081" s="2" t="n"/>
    </row>
    <row r="2082">
      <c r="A2082" s="2" t="n"/>
    </row>
    <row r="2083">
      <c r="A2083" s="2" t="n"/>
    </row>
    <row r="2084">
      <c r="A2084" s="2" t="n"/>
    </row>
    <row r="2085">
      <c r="A2085" s="2" t="n"/>
    </row>
    <row r="2086">
      <c r="A2086" s="2" t="n"/>
    </row>
    <row r="2087">
      <c r="A2087" s="2" t="n"/>
    </row>
    <row r="2088">
      <c r="A2088" s="2" t="n"/>
    </row>
    <row r="2089">
      <c r="A2089" s="2" t="n"/>
    </row>
    <row r="2090">
      <c r="A2090" s="2" t="n"/>
    </row>
    <row r="2091">
      <c r="A2091" s="2" t="n"/>
    </row>
    <row r="2092">
      <c r="A2092" s="2" t="n"/>
    </row>
    <row r="2093">
      <c r="A2093" s="2" t="n"/>
    </row>
    <row r="2094">
      <c r="A2094" s="2" t="n"/>
    </row>
    <row r="2095">
      <c r="A2095" s="2" t="n"/>
    </row>
    <row r="2096">
      <c r="A2096" s="2" t="n"/>
    </row>
    <row r="2097">
      <c r="A2097" s="2" t="n"/>
    </row>
    <row r="2098">
      <c r="A2098" s="2" t="n"/>
    </row>
    <row r="2099">
      <c r="A2099" s="2" t="n"/>
    </row>
    <row r="2100">
      <c r="A2100" s="2" t="n"/>
    </row>
    <row r="2101">
      <c r="A2101" s="2" t="n"/>
    </row>
    <row r="2102">
      <c r="A2102" s="2" t="n"/>
    </row>
    <row r="2103">
      <c r="A2103" s="2" t="n"/>
    </row>
    <row r="2104">
      <c r="A2104" s="2" t="n"/>
    </row>
    <row r="2105">
      <c r="A2105" s="2" t="n"/>
    </row>
    <row r="2106">
      <c r="A2106" s="2" t="n"/>
    </row>
    <row r="2107">
      <c r="A2107" s="2" t="n"/>
    </row>
    <row r="2108">
      <c r="A2108" s="2" t="n"/>
    </row>
    <row r="2109">
      <c r="A2109" s="2" t="n"/>
    </row>
    <row r="2110">
      <c r="A2110" s="2" t="n"/>
    </row>
    <row r="2111">
      <c r="A2111" s="2" t="n"/>
    </row>
    <row r="2112">
      <c r="A2112" s="2" t="n"/>
    </row>
    <row r="2113">
      <c r="A2113" s="2" t="n"/>
    </row>
    <row r="2114">
      <c r="A2114" s="2" t="n"/>
    </row>
    <row r="2115">
      <c r="A2115" s="2" t="n"/>
    </row>
    <row r="2116">
      <c r="A2116" s="2" t="n"/>
    </row>
    <row r="2117">
      <c r="A2117" s="2" t="n"/>
    </row>
    <row r="2118">
      <c r="A2118" s="2" t="n"/>
    </row>
    <row r="2119">
      <c r="A2119" s="2" t="n"/>
    </row>
    <row r="2120">
      <c r="A2120" s="2" t="n"/>
    </row>
    <row r="2121">
      <c r="A2121" s="2" t="n"/>
    </row>
    <row r="2122">
      <c r="A2122" s="2" t="n"/>
    </row>
    <row r="2123">
      <c r="A2123" s="2" t="n"/>
    </row>
    <row r="2124">
      <c r="A2124" s="2" t="n"/>
    </row>
    <row r="2125">
      <c r="A2125" s="2" t="n"/>
    </row>
    <row r="2126">
      <c r="A2126" s="2" t="n"/>
    </row>
    <row r="2127">
      <c r="A2127" s="2" t="n"/>
    </row>
    <row r="2128">
      <c r="A2128" s="2" t="n"/>
    </row>
    <row r="2129">
      <c r="A2129" s="2" t="n"/>
    </row>
    <row r="2130">
      <c r="A2130" s="2" t="n"/>
    </row>
    <row r="2131">
      <c r="A2131" s="2" t="n"/>
    </row>
    <row r="2132">
      <c r="A2132" s="2" t="n"/>
    </row>
    <row r="2133">
      <c r="A2133" s="2" t="n"/>
    </row>
    <row r="2134">
      <c r="A2134" s="2" t="n"/>
    </row>
    <row r="2135">
      <c r="A2135" s="2" t="n"/>
    </row>
    <row r="2136">
      <c r="A2136" s="2" t="n"/>
    </row>
    <row r="2137">
      <c r="A2137" s="2" t="n"/>
    </row>
    <row r="2138">
      <c r="A2138" s="2" t="n"/>
    </row>
    <row r="2139">
      <c r="A2139" s="2" t="n"/>
    </row>
    <row r="2140">
      <c r="A2140" s="2" t="n"/>
    </row>
    <row r="2141">
      <c r="A2141" s="2" t="n"/>
    </row>
    <row r="2142">
      <c r="A2142" s="2" t="n"/>
    </row>
    <row r="2143">
      <c r="A2143" s="2" t="n"/>
    </row>
    <row r="2144">
      <c r="A2144" s="2" t="n"/>
    </row>
    <row r="2145">
      <c r="A2145" s="2" t="n"/>
    </row>
    <row r="2146">
      <c r="A2146" s="2" t="n"/>
    </row>
    <row r="2147">
      <c r="A2147" s="2" t="n"/>
    </row>
    <row r="2148">
      <c r="A2148" s="2" t="n"/>
    </row>
    <row r="2149">
      <c r="A2149" s="2" t="n"/>
    </row>
    <row r="2150">
      <c r="A2150" s="2" t="n"/>
    </row>
    <row r="2151">
      <c r="A2151" s="2" t="n"/>
    </row>
    <row r="2152">
      <c r="A2152" s="2" t="n"/>
    </row>
    <row r="2153">
      <c r="A2153" s="2" t="n"/>
    </row>
    <row r="2154">
      <c r="A2154" s="2" t="n"/>
    </row>
    <row r="2155">
      <c r="A2155" s="2" t="n"/>
    </row>
    <row r="2156">
      <c r="A2156" s="2" t="n"/>
    </row>
    <row r="2157">
      <c r="A2157" s="2" t="n"/>
    </row>
    <row r="2158">
      <c r="A2158" s="2" t="n"/>
    </row>
    <row r="2159">
      <c r="A2159" s="2" t="n"/>
    </row>
    <row r="2160">
      <c r="A2160" s="2" t="n"/>
    </row>
    <row r="2161">
      <c r="A2161" s="2" t="n"/>
    </row>
    <row r="2162">
      <c r="A2162" s="2" t="n"/>
    </row>
    <row r="2163">
      <c r="A2163" s="2" t="n"/>
    </row>
    <row r="2164">
      <c r="A2164" s="2" t="n"/>
    </row>
    <row r="2165">
      <c r="A2165" s="2" t="n"/>
    </row>
    <row r="2166">
      <c r="A2166" s="2" t="n"/>
    </row>
    <row r="2167">
      <c r="A2167" s="2" t="n"/>
    </row>
    <row r="2168">
      <c r="A2168" s="2" t="n"/>
    </row>
    <row r="2169">
      <c r="A2169" s="2" t="n"/>
    </row>
    <row r="2170">
      <c r="A2170" s="2" t="n"/>
    </row>
    <row r="2171">
      <c r="A2171" s="2" t="n"/>
    </row>
    <row r="2172">
      <c r="A2172" s="2" t="n"/>
    </row>
    <row r="2173">
      <c r="A2173" s="2" t="n"/>
    </row>
    <row r="2174">
      <c r="A2174" s="2" t="n"/>
    </row>
    <row r="2175">
      <c r="A2175" s="2" t="n"/>
    </row>
    <row r="2176">
      <c r="A2176" s="2" t="n"/>
    </row>
    <row r="2177">
      <c r="A2177" s="2" t="n"/>
    </row>
    <row r="2178">
      <c r="A2178" s="2" t="n"/>
    </row>
    <row r="2179">
      <c r="A2179" s="2" t="n"/>
    </row>
    <row r="2180">
      <c r="A2180" s="2" t="n"/>
    </row>
    <row r="2181">
      <c r="A2181" s="2" t="n"/>
    </row>
    <row r="2182">
      <c r="A2182" s="2" t="n"/>
    </row>
    <row r="2183">
      <c r="A2183" s="2" t="n"/>
    </row>
    <row r="2184">
      <c r="A2184" s="2" t="n"/>
    </row>
    <row r="2185">
      <c r="A2185" s="2" t="n"/>
    </row>
    <row r="2186">
      <c r="A2186" s="2" t="n"/>
    </row>
    <row r="2187">
      <c r="A2187" s="2" t="n"/>
    </row>
    <row r="2188">
      <c r="A2188" s="2" t="n"/>
    </row>
    <row r="2189">
      <c r="A2189" s="2" t="n"/>
    </row>
    <row r="2190">
      <c r="A2190" s="2" t="n"/>
    </row>
    <row r="2191">
      <c r="A2191" s="2" t="n"/>
    </row>
    <row r="2192">
      <c r="A2192" s="2" t="n"/>
    </row>
    <row r="2193">
      <c r="A2193" s="2" t="n"/>
    </row>
    <row r="2194">
      <c r="A2194" s="2" t="n"/>
    </row>
    <row r="2195">
      <c r="A2195" s="2" t="n"/>
    </row>
    <row r="2196">
      <c r="A2196" s="2" t="n"/>
    </row>
    <row r="2197">
      <c r="A2197" s="2" t="n"/>
    </row>
    <row r="2198">
      <c r="A2198" s="2" t="n"/>
    </row>
    <row r="2199">
      <c r="A2199" s="2" t="n"/>
    </row>
    <row r="2200">
      <c r="A2200" s="2" t="n"/>
    </row>
    <row r="2201">
      <c r="A2201" s="2" t="n"/>
    </row>
    <row r="2202">
      <c r="A2202" s="2" t="n"/>
    </row>
    <row r="2203">
      <c r="A2203" s="2" t="n"/>
    </row>
    <row r="2204">
      <c r="A2204" s="2" t="n"/>
    </row>
    <row r="2205">
      <c r="A2205" s="2" t="n"/>
    </row>
    <row r="2206">
      <c r="A2206" s="2" t="n"/>
    </row>
    <row r="2207">
      <c r="A2207" s="2" t="n"/>
    </row>
    <row r="2208">
      <c r="A2208" s="2" t="n"/>
    </row>
    <row r="2209">
      <c r="A2209" s="2" t="n"/>
    </row>
    <row r="2210">
      <c r="A2210" s="2" t="n"/>
    </row>
    <row r="2211">
      <c r="A2211" s="2" t="n"/>
    </row>
    <row r="2212">
      <c r="A2212" s="2" t="n"/>
    </row>
    <row r="2213">
      <c r="A2213" s="2" t="n"/>
    </row>
    <row r="2214">
      <c r="A2214" s="2" t="n"/>
    </row>
    <row r="2215">
      <c r="A2215" s="2" t="n"/>
    </row>
    <row r="2216">
      <c r="A2216" s="2" t="n"/>
    </row>
    <row r="2217">
      <c r="A2217" s="2" t="n"/>
    </row>
    <row r="2218">
      <c r="A2218" s="2" t="n"/>
    </row>
    <row r="2219">
      <c r="A2219" s="2" t="n"/>
    </row>
    <row r="2220">
      <c r="A2220" s="2" t="n"/>
    </row>
    <row r="2221">
      <c r="A2221" s="2" t="n"/>
    </row>
    <row r="2222">
      <c r="A2222" s="2" t="n"/>
    </row>
    <row r="2223">
      <c r="A2223" s="2" t="n"/>
    </row>
    <row r="2224">
      <c r="A2224" s="2" t="n"/>
    </row>
    <row r="2225">
      <c r="A2225" s="2" t="n"/>
    </row>
    <row r="2226">
      <c r="A2226" s="2" t="n"/>
    </row>
    <row r="2227">
      <c r="A2227" s="2" t="n"/>
    </row>
    <row r="2228">
      <c r="A2228" s="2" t="n"/>
    </row>
    <row r="2229">
      <c r="A2229" s="2" t="n"/>
    </row>
    <row r="2230">
      <c r="A2230" s="2" t="n"/>
    </row>
    <row r="2231">
      <c r="A2231" s="2" t="n"/>
    </row>
    <row r="2232">
      <c r="A2232" s="2" t="n"/>
    </row>
    <row r="2233">
      <c r="A2233" s="2" t="n"/>
    </row>
    <row r="2234">
      <c r="A2234" s="2" t="n"/>
    </row>
    <row r="2235">
      <c r="A2235" s="2" t="n"/>
    </row>
    <row r="2236">
      <c r="A2236" s="2" t="n"/>
    </row>
    <row r="2237">
      <c r="A2237" s="2" t="n"/>
    </row>
    <row r="2238">
      <c r="A2238" s="2" t="n"/>
    </row>
    <row r="2239">
      <c r="A2239" s="2" t="n"/>
    </row>
    <row r="2240">
      <c r="A2240" s="2" t="n"/>
    </row>
    <row r="2241">
      <c r="A2241" s="2" t="n"/>
    </row>
    <row r="2242">
      <c r="A2242" s="2" t="n"/>
    </row>
    <row r="2243">
      <c r="A2243" s="2" t="n"/>
    </row>
    <row r="2244">
      <c r="A2244" s="2" t="n"/>
    </row>
    <row r="2245">
      <c r="A2245" s="2" t="n"/>
    </row>
    <row r="2246">
      <c r="A2246" s="2" t="n"/>
    </row>
    <row r="2247">
      <c r="A2247" s="2" t="n"/>
    </row>
    <row r="2248">
      <c r="A2248" s="2" t="n"/>
    </row>
    <row r="2249">
      <c r="A2249" s="2" t="n"/>
    </row>
    <row r="2250">
      <c r="A2250" s="2" t="n"/>
    </row>
    <row r="2251">
      <c r="A2251" s="2" t="n"/>
    </row>
    <row r="2252">
      <c r="A2252" s="2" t="n"/>
    </row>
    <row r="2253">
      <c r="A2253" s="2" t="n"/>
    </row>
    <row r="2254">
      <c r="A2254" s="2" t="n"/>
    </row>
    <row r="2255">
      <c r="A2255" s="2" t="n"/>
    </row>
    <row r="2256">
      <c r="A2256" s="2" t="n"/>
    </row>
    <row r="2257">
      <c r="A2257" s="2" t="n"/>
    </row>
    <row r="2258">
      <c r="A2258" s="2" t="n"/>
    </row>
    <row r="2259">
      <c r="A2259" s="2" t="n"/>
    </row>
    <row r="2260">
      <c r="A2260" s="2" t="n"/>
    </row>
    <row r="2261">
      <c r="A2261" s="2" t="n"/>
    </row>
    <row r="2262">
      <c r="A2262" s="2" t="n"/>
    </row>
    <row r="2263">
      <c r="A2263" s="2" t="n"/>
    </row>
    <row r="2264">
      <c r="A2264" s="2" t="n"/>
    </row>
    <row r="2265">
      <c r="A2265" s="2" t="n"/>
    </row>
    <row r="2266">
      <c r="A2266" s="2" t="n"/>
    </row>
    <row r="2267">
      <c r="A2267" s="2" t="n"/>
    </row>
    <row r="2268">
      <c r="A2268" s="2" t="n"/>
    </row>
    <row r="2269">
      <c r="A2269" s="2" t="n"/>
    </row>
    <row r="2270">
      <c r="A2270" s="2" t="n"/>
    </row>
    <row r="2271">
      <c r="A2271" s="2" t="n"/>
    </row>
    <row r="2272">
      <c r="A2272" s="2" t="n"/>
    </row>
    <row r="2273">
      <c r="A2273" s="2" t="n"/>
    </row>
    <row r="2274">
      <c r="A2274" s="2" t="n"/>
    </row>
    <row r="2275">
      <c r="A2275" s="2" t="n"/>
    </row>
    <row r="2276">
      <c r="A2276" s="2" t="n"/>
    </row>
    <row r="2277">
      <c r="A2277" s="2" t="n"/>
    </row>
    <row r="2278">
      <c r="A2278" s="2" t="n"/>
    </row>
    <row r="2279">
      <c r="A2279" s="2" t="n"/>
    </row>
    <row r="2280">
      <c r="A2280" s="2" t="n"/>
    </row>
    <row r="2281">
      <c r="A2281" s="2" t="n"/>
    </row>
    <row r="2282">
      <c r="A2282" s="2" t="n"/>
    </row>
    <row r="2283">
      <c r="A2283" s="2" t="n"/>
    </row>
    <row r="2284">
      <c r="A2284" s="2" t="n"/>
    </row>
    <row r="2285">
      <c r="A2285" s="2" t="n"/>
    </row>
    <row r="2286">
      <c r="A2286" s="2" t="n"/>
    </row>
    <row r="2287">
      <c r="A2287" s="2" t="n"/>
    </row>
    <row r="2288">
      <c r="A2288" s="2" t="n"/>
    </row>
    <row r="2289">
      <c r="A2289" s="2" t="n"/>
    </row>
    <row r="2290">
      <c r="A2290" s="2" t="n"/>
    </row>
    <row r="2291">
      <c r="A2291" s="2" t="n"/>
    </row>
    <row r="2292">
      <c r="A2292" s="2" t="n"/>
    </row>
    <row r="2293">
      <c r="A2293" s="2" t="n"/>
    </row>
    <row r="2294">
      <c r="A2294" s="2" t="n"/>
    </row>
    <row r="2295">
      <c r="A2295" s="2" t="n"/>
    </row>
    <row r="2296">
      <c r="A2296" s="2" t="n"/>
    </row>
    <row r="2297">
      <c r="A2297" s="2" t="n"/>
    </row>
    <row r="2298">
      <c r="A2298" s="2" t="n"/>
    </row>
    <row r="2299">
      <c r="A2299" s="2" t="n"/>
    </row>
    <row r="2300">
      <c r="A2300" s="2" t="n"/>
    </row>
    <row r="2301">
      <c r="A2301" s="2" t="n"/>
    </row>
    <row r="2302">
      <c r="A2302" s="2" t="n"/>
    </row>
    <row r="2303">
      <c r="A2303" s="2" t="n"/>
    </row>
    <row r="2304">
      <c r="A2304" s="2" t="n"/>
    </row>
    <row r="2305">
      <c r="A2305" s="2" t="n"/>
    </row>
    <row r="2306">
      <c r="A2306" s="2" t="n"/>
    </row>
    <row r="2307">
      <c r="A2307" s="2" t="n"/>
    </row>
    <row r="2308">
      <c r="A2308" s="2" t="n"/>
    </row>
    <row r="2309">
      <c r="A2309" s="2" t="n"/>
    </row>
    <row r="2310">
      <c r="A2310" s="2" t="n"/>
    </row>
    <row r="2311">
      <c r="A2311" s="2" t="n"/>
    </row>
    <row r="2312">
      <c r="A2312" s="2" t="n"/>
    </row>
    <row r="2313">
      <c r="A2313" s="2" t="n"/>
    </row>
    <row r="2314">
      <c r="A2314" s="2" t="n"/>
    </row>
    <row r="2315">
      <c r="A2315" s="2" t="n"/>
    </row>
    <row r="2316">
      <c r="A2316" s="2" t="n"/>
    </row>
    <row r="2317">
      <c r="A2317" s="2" t="n"/>
    </row>
    <row r="2318">
      <c r="A2318" s="2" t="n"/>
    </row>
    <row r="2319">
      <c r="A2319" s="2" t="n"/>
    </row>
    <row r="2320">
      <c r="A2320" s="2" t="n"/>
    </row>
    <row r="2321">
      <c r="A2321" s="2" t="n"/>
    </row>
    <row r="2322">
      <c r="A2322" s="2" t="n"/>
    </row>
    <row r="2323">
      <c r="A2323" s="2" t="n"/>
    </row>
    <row r="2324">
      <c r="A2324" s="2" t="n"/>
    </row>
    <row r="2325">
      <c r="A2325" s="2" t="n"/>
    </row>
    <row r="2326">
      <c r="A2326" s="2" t="n"/>
    </row>
    <row r="2327">
      <c r="A2327" s="2" t="n"/>
    </row>
    <row r="2328">
      <c r="A2328" s="2" t="n"/>
    </row>
    <row r="2329">
      <c r="A2329" s="2" t="n"/>
    </row>
    <row r="2330">
      <c r="A2330" s="2" t="n"/>
    </row>
    <row r="2331">
      <c r="A2331" s="2" t="n"/>
    </row>
    <row r="2332">
      <c r="A2332" s="2" t="n"/>
    </row>
    <row r="2333">
      <c r="A2333" s="2" t="n"/>
    </row>
    <row r="2334">
      <c r="A2334" s="2" t="n"/>
    </row>
    <row r="2335">
      <c r="A2335" s="2" t="n"/>
    </row>
    <row r="2336">
      <c r="A2336" s="2" t="n"/>
    </row>
    <row r="2337">
      <c r="A2337" s="2" t="n"/>
    </row>
    <row r="2338">
      <c r="A2338" s="2" t="n"/>
    </row>
    <row r="2339">
      <c r="A2339" s="2" t="n"/>
    </row>
    <row r="2340">
      <c r="A2340" s="2" t="n"/>
    </row>
    <row r="2341">
      <c r="A2341" s="2" t="n"/>
    </row>
    <row r="2342">
      <c r="A2342" s="2" t="n"/>
    </row>
    <row r="2343">
      <c r="A2343" s="2" t="n"/>
    </row>
    <row r="2344">
      <c r="A2344" s="2" t="n"/>
    </row>
    <row r="2345">
      <c r="A2345" s="2" t="n"/>
    </row>
    <row r="2346">
      <c r="A2346" s="2" t="n"/>
    </row>
    <row r="2347">
      <c r="A2347" s="2" t="n"/>
    </row>
    <row r="2348">
      <c r="A2348" s="2" t="n"/>
    </row>
    <row r="2349">
      <c r="A2349" s="2" t="n"/>
    </row>
    <row r="2350">
      <c r="A2350" s="2" t="n"/>
    </row>
    <row r="2351">
      <c r="A2351" s="2" t="n"/>
    </row>
    <row r="2352">
      <c r="A2352" s="2" t="n"/>
    </row>
    <row r="2353">
      <c r="A2353" s="2" t="n"/>
    </row>
    <row r="2354">
      <c r="A2354" s="2" t="n"/>
    </row>
    <row r="2355">
      <c r="A2355" s="2" t="n"/>
    </row>
    <row r="2356">
      <c r="A2356" s="2" t="n"/>
    </row>
    <row r="2357">
      <c r="A2357" s="2" t="n"/>
    </row>
    <row r="2358">
      <c r="A2358" s="2" t="n"/>
    </row>
    <row r="2359">
      <c r="A2359" s="2" t="n"/>
    </row>
    <row r="2360">
      <c r="A2360" s="2" t="n"/>
    </row>
    <row r="2361">
      <c r="A2361" s="2" t="n"/>
    </row>
    <row r="2362">
      <c r="A2362" s="2" t="n"/>
    </row>
    <row r="2363">
      <c r="A2363" s="2" t="n"/>
    </row>
    <row r="2364">
      <c r="A2364" s="2" t="n"/>
    </row>
    <row r="2365">
      <c r="A2365" s="2" t="n"/>
    </row>
    <row r="2366">
      <c r="A2366" s="2" t="n"/>
    </row>
    <row r="2367">
      <c r="A2367" s="2" t="n"/>
    </row>
    <row r="2368">
      <c r="A2368" s="2" t="n"/>
    </row>
    <row r="2369">
      <c r="A2369" s="2" t="n"/>
    </row>
    <row r="2370">
      <c r="A2370" s="2" t="n"/>
    </row>
    <row r="2371">
      <c r="A2371" s="2" t="n"/>
    </row>
    <row r="2372">
      <c r="A2372" s="2" t="n"/>
    </row>
    <row r="2373">
      <c r="A2373" s="2" t="n"/>
    </row>
    <row r="2374">
      <c r="A2374" s="2" t="n"/>
    </row>
    <row r="2375">
      <c r="A2375" s="2" t="n"/>
    </row>
    <row r="2376">
      <c r="A2376" s="2" t="n"/>
    </row>
    <row r="2377">
      <c r="A2377" s="2" t="n"/>
    </row>
    <row r="2378">
      <c r="A2378" s="2" t="n"/>
    </row>
    <row r="2379">
      <c r="A2379" s="2" t="n"/>
    </row>
    <row r="2380">
      <c r="A2380" s="2" t="n"/>
    </row>
    <row r="2381">
      <c r="A2381" s="2" t="n"/>
    </row>
    <row r="2382">
      <c r="A2382" s="2" t="n"/>
    </row>
    <row r="2383">
      <c r="A2383" s="2" t="n"/>
    </row>
    <row r="2384">
      <c r="A2384" s="2" t="n"/>
    </row>
    <row r="2385">
      <c r="A2385" s="2" t="n"/>
    </row>
    <row r="2386">
      <c r="A2386" s="2" t="n"/>
    </row>
    <row r="2387">
      <c r="A2387" s="2" t="n"/>
    </row>
    <row r="2388">
      <c r="A2388" s="2" t="n"/>
    </row>
    <row r="2389">
      <c r="A2389" s="2" t="n"/>
    </row>
    <row r="2390">
      <c r="A2390" s="2" t="n"/>
    </row>
    <row r="2391">
      <c r="A2391" s="2" t="n"/>
    </row>
    <row r="2392">
      <c r="A2392" s="2" t="n"/>
    </row>
    <row r="2393">
      <c r="A2393" s="2" t="n"/>
    </row>
    <row r="2394">
      <c r="A2394" s="2" t="n"/>
    </row>
    <row r="2395">
      <c r="A2395" s="2" t="n"/>
    </row>
    <row r="2396">
      <c r="A2396" s="2" t="n"/>
    </row>
    <row r="2397">
      <c r="A2397" s="2" t="n"/>
    </row>
    <row r="2398">
      <c r="A2398" s="2" t="n"/>
    </row>
    <row r="2399">
      <c r="A2399" s="2" t="n"/>
    </row>
    <row r="2400">
      <c r="A2400" s="2" t="n"/>
    </row>
    <row r="2401">
      <c r="A2401" s="2" t="n"/>
    </row>
    <row r="2402">
      <c r="A2402" s="2" t="n"/>
    </row>
    <row r="2403">
      <c r="A2403" s="2" t="n"/>
    </row>
    <row r="2404">
      <c r="A2404" s="2" t="n"/>
    </row>
    <row r="2405">
      <c r="A2405" s="2" t="n"/>
    </row>
    <row r="2406">
      <c r="A2406" s="2" t="n"/>
    </row>
    <row r="2407">
      <c r="A2407" s="2" t="n"/>
    </row>
    <row r="2408">
      <c r="A2408" s="2" t="n"/>
    </row>
    <row r="2409">
      <c r="A2409" s="2" t="n"/>
    </row>
    <row r="2410">
      <c r="A2410" s="2" t="n"/>
    </row>
    <row r="2411">
      <c r="A2411" s="2" t="n"/>
    </row>
    <row r="2412">
      <c r="A2412" s="2" t="n"/>
    </row>
    <row r="2413">
      <c r="A2413" s="2" t="n"/>
    </row>
    <row r="2414">
      <c r="A2414" s="2" t="n"/>
    </row>
    <row r="2415">
      <c r="A2415" s="2" t="n"/>
    </row>
    <row r="2416">
      <c r="A2416" s="2" t="n"/>
    </row>
    <row r="2417">
      <c r="A2417" s="2" t="n"/>
    </row>
    <row r="2418">
      <c r="A2418" s="2" t="n"/>
    </row>
    <row r="2419">
      <c r="A2419" s="2" t="n"/>
    </row>
    <row r="2420">
      <c r="A2420" s="2" t="n"/>
    </row>
    <row r="2421">
      <c r="A2421" s="2" t="n"/>
    </row>
    <row r="2422">
      <c r="A2422" s="2" t="n"/>
    </row>
    <row r="2423">
      <c r="A2423" s="2" t="n"/>
    </row>
    <row r="2424">
      <c r="A2424" s="2" t="n"/>
    </row>
    <row r="2425">
      <c r="A2425" s="2" t="n"/>
    </row>
    <row r="2426">
      <c r="A2426" s="2" t="n"/>
    </row>
    <row r="2427">
      <c r="A2427" s="2" t="n"/>
    </row>
    <row r="2428">
      <c r="A2428" s="2" t="n"/>
    </row>
    <row r="2429">
      <c r="A2429" s="2" t="n"/>
    </row>
    <row r="2430">
      <c r="A2430" s="2" t="n"/>
    </row>
    <row r="2431">
      <c r="A2431" s="2" t="n"/>
    </row>
    <row r="2432">
      <c r="A2432" s="2" t="n"/>
    </row>
    <row r="2433">
      <c r="A2433" s="2" t="n"/>
    </row>
    <row r="2434">
      <c r="A2434" s="2" t="n"/>
    </row>
    <row r="2435">
      <c r="A2435" s="2" t="n"/>
    </row>
    <row r="2436">
      <c r="A2436" s="2" t="n"/>
    </row>
    <row r="2437">
      <c r="A2437" s="2" t="n"/>
    </row>
    <row r="2438">
      <c r="A2438" s="2" t="n"/>
    </row>
    <row r="2439">
      <c r="A2439" s="2" t="n"/>
    </row>
    <row r="2440">
      <c r="A2440" s="2" t="n"/>
    </row>
    <row r="2441">
      <c r="A2441" s="2" t="n"/>
    </row>
    <row r="2442">
      <c r="A2442" s="2" t="n"/>
    </row>
    <row r="2443">
      <c r="A2443" s="2" t="n"/>
    </row>
    <row r="2444">
      <c r="A2444" s="2" t="n"/>
    </row>
    <row r="2445">
      <c r="A2445" s="2" t="n"/>
    </row>
    <row r="2446">
      <c r="A2446" s="2" t="n"/>
    </row>
    <row r="2447">
      <c r="A2447" s="2" t="n"/>
    </row>
    <row r="2448">
      <c r="A2448" s="2" t="n"/>
    </row>
    <row r="2449">
      <c r="A2449" s="2" t="n"/>
    </row>
    <row r="2450">
      <c r="A2450" s="2" t="n"/>
    </row>
    <row r="2451">
      <c r="A2451" s="2" t="n"/>
    </row>
    <row r="2452">
      <c r="A2452" s="2" t="n"/>
    </row>
    <row r="2453">
      <c r="A2453" s="2" t="n"/>
    </row>
    <row r="2454">
      <c r="A2454" s="2" t="n"/>
    </row>
    <row r="2455">
      <c r="A2455" s="2" t="n"/>
    </row>
    <row r="2456">
      <c r="A2456" s="2" t="n"/>
    </row>
    <row r="2457">
      <c r="A2457" s="2" t="n"/>
    </row>
    <row r="2458">
      <c r="A2458" s="2" t="n"/>
    </row>
    <row r="2459">
      <c r="A2459" s="2" t="n"/>
    </row>
    <row r="2460">
      <c r="A2460" s="2" t="n"/>
    </row>
    <row r="2461">
      <c r="A2461" s="2" t="n"/>
    </row>
    <row r="2462">
      <c r="A2462" s="2" t="n"/>
    </row>
    <row r="2463">
      <c r="A2463" s="2" t="n"/>
    </row>
    <row r="2464">
      <c r="A2464" s="2" t="n"/>
    </row>
    <row r="2465">
      <c r="A2465" s="2" t="n"/>
    </row>
    <row r="2466">
      <c r="A2466" s="2" t="n"/>
    </row>
    <row r="2467">
      <c r="A2467" s="2" t="n"/>
    </row>
    <row r="2468">
      <c r="A2468" s="2" t="n"/>
    </row>
    <row r="2469">
      <c r="A2469" s="2" t="n"/>
    </row>
    <row r="2470">
      <c r="A2470" s="2" t="n"/>
    </row>
    <row r="2471">
      <c r="A2471" s="2" t="n"/>
    </row>
    <row r="2472">
      <c r="A2472" s="2" t="n"/>
    </row>
    <row r="2473">
      <c r="A2473" s="2" t="n"/>
    </row>
    <row r="2474">
      <c r="A2474" s="2" t="n"/>
    </row>
    <row r="2475">
      <c r="A2475" s="2" t="n"/>
    </row>
    <row r="2476">
      <c r="A2476" s="2" t="n"/>
    </row>
    <row r="2477">
      <c r="A2477" s="2" t="n"/>
    </row>
    <row r="2478">
      <c r="A2478" s="2" t="n"/>
    </row>
    <row r="2479">
      <c r="A2479" s="2" t="n"/>
    </row>
    <row r="2480">
      <c r="A2480" s="2" t="n"/>
    </row>
    <row r="2481">
      <c r="A2481" s="2" t="n"/>
    </row>
    <row r="2482">
      <c r="A2482" s="2" t="n"/>
    </row>
    <row r="2483">
      <c r="A2483" s="2" t="n"/>
    </row>
    <row r="2484">
      <c r="A2484" s="2" t="n"/>
    </row>
    <row r="2485">
      <c r="A2485" s="2" t="n"/>
    </row>
    <row r="2486">
      <c r="A2486" s="2" t="n"/>
    </row>
    <row r="2487">
      <c r="A2487" s="2" t="n"/>
    </row>
    <row r="2488">
      <c r="A2488" s="2" t="n"/>
    </row>
    <row r="2489">
      <c r="A2489" s="2" t="n"/>
    </row>
    <row r="2490">
      <c r="A2490" s="2" t="n"/>
    </row>
    <row r="2491">
      <c r="A2491" s="2" t="n"/>
    </row>
    <row r="2492">
      <c r="A2492" s="2" t="n"/>
    </row>
    <row r="2493">
      <c r="A2493" s="2" t="n"/>
    </row>
    <row r="2494">
      <c r="A2494" s="2" t="n"/>
    </row>
    <row r="2495">
      <c r="A2495" s="2" t="n"/>
    </row>
    <row r="2496">
      <c r="A2496" s="2" t="n"/>
    </row>
    <row r="2497">
      <c r="A2497" s="2" t="n"/>
    </row>
    <row r="2498">
      <c r="A2498" s="2" t="n"/>
    </row>
    <row r="2499">
      <c r="A2499" s="2" t="n"/>
    </row>
    <row r="2500">
      <c r="A2500" s="2" t="n"/>
    </row>
    <row r="2501">
      <c r="A2501" s="2" t="n"/>
    </row>
    <row r="2502">
      <c r="A2502" s="2" t="n"/>
    </row>
    <row r="2503">
      <c r="A2503" s="2" t="n"/>
    </row>
    <row r="2504">
      <c r="A2504" s="2" t="n"/>
    </row>
    <row r="2505">
      <c r="A2505" s="2" t="n"/>
    </row>
    <row r="2506">
      <c r="A2506" s="2" t="n"/>
    </row>
    <row r="2507">
      <c r="A2507" s="2" t="n"/>
    </row>
    <row r="2508">
      <c r="A2508" s="2" t="n"/>
    </row>
    <row r="2509">
      <c r="A2509" s="2" t="n"/>
    </row>
    <row r="2510">
      <c r="A2510" s="2" t="n"/>
    </row>
    <row r="2511">
      <c r="A2511" s="2" t="n"/>
    </row>
    <row r="2512">
      <c r="A2512" s="2" t="n"/>
    </row>
    <row r="2513">
      <c r="A2513" s="2" t="n"/>
    </row>
    <row r="2514">
      <c r="A2514" s="2" t="n"/>
    </row>
    <row r="2515">
      <c r="A2515" s="2" t="n"/>
    </row>
    <row r="2516">
      <c r="A2516" s="2" t="n"/>
    </row>
    <row r="2517">
      <c r="A2517" s="2" t="n"/>
    </row>
    <row r="2518">
      <c r="A2518" s="2" t="n"/>
    </row>
    <row r="2519">
      <c r="A2519" s="2" t="n"/>
    </row>
    <row r="2520">
      <c r="A2520" s="2" t="n"/>
    </row>
    <row r="2521">
      <c r="A2521" s="2" t="n"/>
    </row>
    <row r="2522">
      <c r="A2522" s="2" t="n"/>
    </row>
    <row r="2523">
      <c r="A2523" s="2" t="n"/>
    </row>
    <row r="2524">
      <c r="A2524" s="2" t="n"/>
    </row>
    <row r="2525">
      <c r="A2525" s="2" t="n"/>
    </row>
    <row r="2526">
      <c r="A2526" s="2" t="n"/>
    </row>
    <row r="2527">
      <c r="A2527" s="2" t="n"/>
    </row>
    <row r="2528">
      <c r="A2528" s="2" t="n"/>
    </row>
    <row r="2529">
      <c r="A2529" s="2" t="n"/>
    </row>
    <row r="2530">
      <c r="A2530" s="2" t="n"/>
    </row>
    <row r="2531">
      <c r="A2531" s="2" t="n"/>
    </row>
    <row r="2532">
      <c r="A2532" s="2" t="n"/>
    </row>
    <row r="2533">
      <c r="A2533" s="2" t="n"/>
    </row>
    <row r="2534">
      <c r="A2534" s="2" t="n"/>
    </row>
    <row r="2535">
      <c r="A2535" s="2" t="n"/>
    </row>
    <row r="2536">
      <c r="A2536" s="2" t="n"/>
    </row>
    <row r="2537">
      <c r="A2537" s="2" t="n"/>
    </row>
    <row r="2538">
      <c r="A2538" s="2" t="n"/>
    </row>
    <row r="2539">
      <c r="A2539" s="2" t="n"/>
    </row>
    <row r="2540">
      <c r="A2540" s="2" t="n"/>
    </row>
    <row r="2541">
      <c r="A2541" s="2" t="n"/>
    </row>
    <row r="2542">
      <c r="A2542" s="2" t="n"/>
    </row>
    <row r="2543">
      <c r="A2543" s="2" t="n"/>
    </row>
    <row r="2544">
      <c r="A2544" s="2" t="n"/>
    </row>
    <row r="2545">
      <c r="A2545" s="2" t="n"/>
    </row>
    <row r="2546">
      <c r="A2546" s="2" t="n"/>
    </row>
    <row r="2547">
      <c r="A2547" s="2" t="n"/>
    </row>
    <row r="2548">
      <c r="A2548" s="2" t="n"/>
    </row>
    <row r="2549">
      <c r="A2549" s="2" t="n"/>
    </row>
    <row r="2550">
      <c r="A2550" s="2" t="n"/>
    </row>
    <row r="2551">
      <c r="A2551" s="2" t="n"/>
    </row>
    <row r="2552">
      <c r="A2552" s="2" t="n"/>
    </row>
    <row r="2553">
      <c r="A2553" s="2" t="n"/>
    </row>
    <row r="2554">
      <c r="A2554" s="2" t="n"/>
    </row>
    <row r="2555">
      <c r="A2555" s="2" t="n"/>
    </row>
    <row r="2556">
      <c r="A2556" s="2" t="n"/>
    </row>
    <row r="2557">
      <c r="A2557" s="2" t="n"/>
    </row>
    <row r="2558">
      <c r="A2558" s="2" t="n"/>
    </row>
    <row r="2559">
      <c r="A2559" s="2" t="n"/>
    </row>
    <row r="2560">
      <c r="A2560" s="2" t="n"/>
    </row>
    <row r="2561">
      <c r="A2561" s="2" t="n"/>
    </row>
    <row r="2562">
      <c r="A2562" s="2" t="n"/>
    </row>
    <row r="2563">
      <c r="A2563" s="2" t="n"/>
    </row>
    <row r="2564">
      <c r="A2564" s="2" t="n"/>
    </row>
    <row r="2565">
      <c r="A2565" s="2" t="n"/>
    </row>
    <row r="2566">
      <c r="A2566" s="2" t="n"/>
    </row>
    <row r="2567">
      <c r="A2567" s="2" t="n"/>
    </row>
    <row r="2568">
      <c r="A2568" s="2" t="n"/>
    </row>
    <row r="2569">
      <c r="A2569" s="2" t="n"/>
    </row>
    <row r="2570">
      <c r="A2570" s="2" t="n"/>
    </row>
    <row r="2571">
      <c r="A2571" s="2" t="n"/>
    </row>
    <row r="2572">
      <c r="A2572" s="2" t="n"/>
    </row>
    <row r="2573">
      <c r="A2573" s="2" t="n"/>
    </row>
    <row r="2574">
      <c r="A2574" s="2" t="n"/>
    </row>
    <row r="2575">
      <c r="A2575" s="2" t="n"/>
    </row>
    <row r="2576">
      <c r="A2576" s="2" t="n"/>
    </row>
    <row r="2577">
      <c r="A2577" s="2" t="n"/>
    </row>
    <row r="2578">
      <c r="A2578" s="2" t="n"/>
    </row>
    <row r="2579">
      <c r="A2579" s="2" t="n"/>
    </row>
    <row r="2580">
      <c r="A2580" s="2" t="n"/>
    </row>
    <row r="2581">
      <c r="A2581" s="2" t="n"/>
    </row>
    <row r="2582">
      <c r="A2582" s="2" t="n"/>
    </row>
    <row r="2583">
      <c r="A2583" s="2" t="n"/>
    </row>
    <row r="2584">
      <c r="A2584" s="2" t="n"/>
    </row>
    <row r="2585">
      <c r="A2585" s="2" t="n"/>
    </row>
    <row r="2586">
      <c r="A2586" s="2" t="n"/>
    </row>
    <row r="2587">
      <c r="A2587" s="2" t="n"/>
    </row>
    <row r="2588">
      <c r="A2588" s="2" t="n"/>
    </row>
    <row r="2589">
      <c r="A2589" s="2" t="n"/>
    </row>
    <row r="2590">
      <c r="A2590" s="2" t="n"/>
    </row>
    <row r="2591">
      <c r="A2591" s="2" t="n"/>
    </row>
    <row r="2592">
      <c r="A2592" s="2" t="n"/>
    </row>
    <row r="2593">
      <c r="A2593" s="2" t="n"/>
    </row>
    <row r="2594">
      <c r="A2594" s="2" t="n"/>
    </row>
    <row r="2595">
      <c r="A2595" s="2" t="n"/>
    </row>
    <row r="2596">
      <c r="A2596" s="2" t="n"/>
    </row>
    <row r="2597">
      <c r="A2597" s="2" t="n"/>
    </row>
    <row r="2598">
      <c r="A2598" s="2" t="n"/>
    </row>
    <row r="2599">
      <c r="A2599" s="2" t="n"/>
    </row>
    <row r="2600">
      <c r="A2600" s="2" t="n"/>
    </row>
    <row r="2601">
      <c r="A2601" s="2" t="n"/>
    </row>
    <row r="2602">
      <c r="A2602" s="2" t="n"/>
    </row>
    <row r="2603">
      <c r="A2603" s="2" t="n"/>
    </row>
    <row r="2604">
      <c r="A2604" s="2" t="n"/>
    </row>
    <row r="2605">
      <c r="A2605" s="2" t="n"/>
    </row>
    <row r="2606">
      <c r="A2606" s="2" t="n"/>
    </row>
    <row r="2607">
      <c r="A2607" s="2" t="n"/>
    </row>
    <row r="2608">
      <c r="A2608" s="2" t="n"/>
    </row>
    <row r="2609">
      <c r="A2609" s="2" t="n"/>
    </row>
    <row r="2610">
      <c r="A2610" s="2" t="n"/>
    </row>
    <row r="2611">
      <c r="A2611" s="2" t="n"/>
    </row>
    <row r="2612">
      <c r="A2612" s="2" t="n"/>
    </row>
    <row r="2613">
      <c r="A2613" s="2" t="n"/>
    </row>
    <row r="2614">
      <c r="A2614" s="2" t="n"/>
    </row>
    <row r="2615">
      <c r="A2615" s="2" t="n"/>
    </row>
    <row r="2616">
      <c r="A2616" s="2" t="n"/>
    </row>
    <row r="2617">
      <c r="A2617" s="2" t="n"/>
    </row>
    <row r="2618">
      <c r="A2618" s="2" t="n"/>
    </row>
    <row r="2619">
      <c r="A2619" s="2" t="n"/>
    </row>
    <row r="2620">
      <c r="A2620" s="2" t="n"/>
    </row>
    <row r="2621">
      <c r="A2621" s="2" t="n"/>
    </row>
    <row r="2622">
      <c r="A2622" s="2" t="n"/>
    </row>
    <row r="2623">
      <c r="A2623" s="2" t="n"/>
    </row>
    <row r="2624">
      <c r="A2624" s="2" t="n"/>
    </row>
    <row r="2625">
      <c r="A2625" s="2" t="n"/>
    </row>
    <row r="2626">
      <c r="A2626" s="2" t="n"/>
    </row>
    <row r="2627">
      <c r="A2627" s="2" t="n"/>
    </row>
    <row r="2628">
      <c r="A2628" s="2" t="n"/>
    </row>
    <row r="2629">
      <c r="A2629" s="2" t="n"/>
    </row>
    <row r="2630">
      <c r="A2630" s="2" t="n"/>
    </row>
    <row r="2631">
      <c r="A2631" s="2" t="n"/>
    </row>
    <row r="2632">
      <c r="A2632" s="2" t="n"/>
    </row>
    <row r="2633">
      <c r="A2633" s="2" t="n"/>
    </row>
    <row r="2634">
      <c r="A2634" s="2" t="n"/>
    </row>
    <row r="2635">
      <c r="A2635" s="2" t="n"/>
    </row>
    <row r="2636">
      <c r="A2636" s="2" t="n"/>
    </row>
    <row r="2637">
      <c r="A2637" s="2" t="n"/>
    </row>
    <row r="2638">
      <c r="A2638" s="2" t="n"/>
    </row>
    <row r="2639">
      <c r="A2639" s="2" t="n"/>
    </row>
    <row r="2640">
      <c r="A2640" s="2" t="n"/>
    </row>
    <row r="2641">
      <c r="A2641" s="2" t="n"/>
    </row>
    <row r="2642">
      <c r="A2642" s="2" t="n"/>
    </row>
    <row r="2643">
      <c r="A2643" s="2" t="n"/>
    </row>
    <row r="2644">
      <c r="A2644" s="2" t="n"/>
    </row>
    <row r="2645">
      <c r="A2645" s="2" t="n"/>
    </row>
    <row r="2646">
      <c r="A2646" s="2" t="n"/>
    </row>
    <row r="2647">
      <c r="A2647" s="2" t="n"/>
    </row>
    <row r="2648">
      <c r="A2648" s="2" t="n"/>
    </row>
    <row r="2649">
      <c r="A2649" s="2" t="n"/>
    </row>
    <row r="2650">
      <c r="A2650" s="2" t="n"/>
    </row>
    <row r="2651">
      <c r="A2651" s="2" t="n"/>
    </row>
    <row r="2652">
      <c r="A2652" s="2" t="n"/>
    </row>
    <row r="2653">
      <c r="A2653" s="2" t="n"/>
    </row>
    <row r="2654">
      <c r="A2654" s="2" t="n"/>
    </row>
    <row r="2655">
      <c r="A2655" s="2" t="n"/>
    </row>
    <row r="2656">
      <c r="A2656" s="2" t="n"/>
    </row>
    <row r="2657">
      <c r="A2657" s="2" t="n"/>
    </row>
    <row r="2658">
      <c r="A2658" s="2" t="n"/>
    </row>
    <row r="2659">
      <c r="A2659" s="2" t="n"/>
    </row>
    <row r="2660">
      <c r="A2660" s="2" t="n"/>
    </row>
    <row r="2661">
      <c r="A2661" s="2" t="n"/>
    </row>
    <row r="2662">
      <c r="A2662" s="2" t="n"/>
    </row>
    <row r="2663">
      <c r="A2663" s="2" t="n"/>
    </row>
    <row r="2664">
      <c r="A2664" s="2" t="n"/>
    </row>
    <row r="2665">
      <c r="A2665" s="2" t="n"/>
    </row>
    <row r="2666">
      <c r="A2666" s="2" t="n"/>
    </row>
    <row r="2667">
      <c r="A2667" s="2" t="n"/>
    </row>
    <row r="2668">
      <c r="A2668" s="2" t="n"/>
    </row>
    <row r="2669">
      <c r="A2669" s="2" t="n"/>
    </row>
    <row r="2670">
      <c r="A2670" s="2" t="n"/>
    </row>
    <row r="2671">
      <c r="A2671" s="2" t="n"/>
    </row>
    <row r="2672">
      <c r="A2672" s="2" t="n"/>
    </row>
    <row r="2673">
      <c r="A2673" s="2" t="n"/>
    </row>
    <row r="2674">
      <c r="A2674" s="2" t="n"/>
    </row>
    <row r="2675">
      <c r="A2675" s="2" t="n"/>
    </row>
    <row r="2676">
      <c r="A2676" s="2" t="n"/>
    </row>
    <row r="2677">
      <c r="A2677" s="2" t="n"/>
    </row>
    <row r="2678">
      <c r="A2678" s="2" t="n"/>
    </row>
    <row r="2679">
      <c r="A2679" s="2" t="n"/>
    </row>
    <row r="2680">
      <c r="A2680" s="2" t="n"/>
    </row>
    <row r="2681">
      <c r="A2681" s="2" t="n"/>
    </row>
    <row r="2682">
      <c r="A2682" s="2" t="n"/>
    </row>
    <row r="2683">
      <c r="A2683" s="2" t="n"/>
    </row>
    <row r="2684">
      <c r="A2684" s="2" t="n"/>
    </row>
    <row r="2685">
      <c r="A2685" s="2" t="n"/>
    </row>
    <row r="2686">
      <c r="A2686" s="2" t="n"/>
    </row>
    <row r="2687">
      <c r="A2687" s="2" t="n"/>
    </row>
    <row r="2688">
      <c r="A2688" s="2" t="n"/>
    </row>
    <row r="2689">
      <c r="A2689" s="2" t="n"/>
    </row>
    <row r="2690">
      <c r="A2690" s="2" t="n"/>
    </row>
    <row r="2691">
      <c r="A2691" s="2" t="n"/>
    </row>
    <row r="2692">
      <c r="A2692" s="2" t="n"/>
    </row>
    <row r="2693">
      <c r="A2693" s="2" t="n"/>
    </row>
    <row r="2694">
      <c r="A2694" s="2" t="n"/>
    </row>
    <row r="2695">
      <c r="A2695" s="2" t="n"/>
    </row>
    <row r="2696">
      <c r="A2696" s="2" t="n"/>
    </row>
    <row r="2697">
      <c r="A2697" s="2" t="n"/>
    </row>
    <row r="2698">
      <c r="A2698" s="2" t="n"/>
    </row>
    <row r="2699">
      <c r="A2699" s="2" t="n"/>
    </row>
    <row r="2700">
      <c r="A2700" s="2" t="n"/>
    </row>
    <row r="2701">
      <c r="A2701" s="2" t="n"/>
    </row>
    <row r="2702">
      <c r="A2702" s="2" t="n"/>
    </row>
    <row r="2703">
      <c r="A2703" s="2" t="n"/>
    </row>
    <row r="2704">
      <c r="A2704" s="2" t="n"/>
    </row>
    <row r="2705">
      <c r="A2705" s="2" t="n"/>
    </row>
    <row r="2706">
      <c r="A2706" s="2" t="n"/>
    </row>
    <row r="2707">
      <c r="A2707" s="2" t="n"/>
    </row>
    <row r="2708">
      <c r="A2708" s="2" t="n"/>
    </row>
    <row r="2709">
      <c r="A2709" s="2" t="n"/>
    </row>
    <row r="2710">
      <c r="A2710" s="2" t="n"/>
    </row>
    <row r="2711">
      <c r="A2711" s="2" t="n"/>
    </row>
    <row r="2712">
      <c r="A2712" s="2" t="n"/>
    </row>
    <row r="2713">
      <c r="A2713" s="2" t="n"/>
    </row>
    <row r="2714">
      <c r="A2714" s="2" t="n"/>
    </row>
    <row r="2715">
      <c r="A2715" s="2" t="n"/>
    </row>
    <row r="2716">
      <c r="A2716" s="2" t="n"/>
    </row>
    <row r="2717">
      <c r="A2717" s="2" t="n"/>
    </row>
    <row r="2718">
      <c r="A2718" s="2" t="n"/>
    </row>
    <row r="2719">
      <c r="A2719" s="2" t="n"/>
    </row>
    <row r="2720">
      <c r="A2720" s="2" t="n"/>
    </row>
    <row r="2721">
      <c r="A2721" s="2" t="n"/>
    </row>
    <row r="2722">
      <c r="A2722" s="2" t="n"/>
    </row>
    <row r="2723">
      <c r="A2723" s="2" t="n"/>
    </row>
    <row r="2724">
      <c r="A2724" s="2" t="n"/>
    </row>
    <row r="2725">
      <c r="A2725" s="2" t="n"/>
    </row>
    <row r="2726">
      <c r="A2726" s="2" t="n"/>
    </row>
    <row r="2727">
      <c r="A2727" s="2" t="n"/>
    </row>
    <row r="2728">
      <c r="A2728" s="2" t="n"/>
    </row>
    <row r="2729">
      <c r="A2729" s="2" t="n"/>
    </row>
    <row r="2730">
      <c r="A2730" s="2" t="n"/>
    </row>
    <row r="2731">
      <c r="A2731" s="2" t="n"/>
    </row>
    <row r="2732">
      <c r="A2732" s="2" t="n"/>
    </row>
    <row r="2733">
      <c r="A2733" s="2" t="n"/>
    </row>
    <row r="2734">
      <c r="A2734" s="2" t="n"/>
    </row>
    <row r="2735">
      <c r="A2735" s="2" t="n"/>
    </row>
    <row r="2736">
      <c r="A2736" s="2" t="n"/>
    </row>
    <row r="2737">
      <c r="A2737" s="2" t="n"/>
    </row>
    <row r="2738">
      <c r="A2738" s="2" t="n"/>
    </row>
    <row r="2739">
      <c r="A2739" s="2" t="n"/>
    </row>
    <row r="2740">
      <c r="A2740" s="2" t="n"/>
    </row>
    <row r="2741">
      <c r="A2741" s="2" t="n"/>
    </row>
    <row r="2742">
      <c r="A2742" s="2" t="n"/>
    </row>
    <row r="2743">
      <c r="A2743" s="2" t="n"/>
    </row>
    <row r="2744">
      <c r="A2744" s="2" t="n"/>
    </row>
    <row r="2745">
      <c r="A2745" s="2" t="n"/>
    </row>
    <row r="2746">
      <c r="A2746" s="2" t="n"/>
    </row>
    <row r="2747">
      <c r="A2747" s="2" t="n"/>
    </row>
    <row r="2748">
      <c r="A2748" s="2" t="n"/>
    </row>
    <row r="2749">
      <c r="A2749" s="2" t="n"/>
    </row>
    <row r="2750">
      <c r="A2750" s="2" t="n"/>
    </row>
    <row r="2751">
      <c r="A2751" s="2" t="n"/>
    </row>
    <row r="2752">
      <c r="A2752" s="2" t="n"/>
    </row>
    <row r="2753">
      <c r="A2753" s="2" t="n"/>
    </row>
    <row r="2754">
      <c r="A2754" s="2" t="n"/>
    </row>
    <row r="2755">
      <c r="A2755" s="2" t="n"/>
    </row>
    <row r="2756">
      <c r="A2756" s="2" t="n"/>
    </row>
    <row r="2757">
      <c r="A2757" s="2" t="n"/>
    </row>
    <row r="2758">
      <c r="A2758" s="2" t="n"/>
    </row>
    <row r="2759">
      <c r="A2759" s="2" t="n"/>
    </row>
    <row r="2760">
      <c r="A2760" s="2" t="n"/>
    </row>
    <row r="2761">
      <c r="A2761" s="2" t="n"/>
    </row>
    <row r="2762">
      <c r="A2762" s="2" t="n"/>
    </row>
    <row r="2763">
      <c r="A2763" s="2" t="n"/>
    </row>
    <row r="2764">
      <c r="A2764" s="2" t="n"/>
    </row>
    <row r="2765">
      <c r="A2765" s="2" t="n"/>
    </row>
    <row r="2766">
      <c r="A2766" s="2" t="n"/>
    </row>
    <row r="2767">
      <c r="A2767" s="2" t="n"/>
    </row>
    <row r="2768">
      <c r="A2768" s="2" t="n"/>
    </row>
    <row r="2769">
      <c r="A2769" s="2" t="n"/>
    </row>
    <row r="2770">
      <c r="A2770" s="2" t="n"/>
    </row>
    <row r="2771">
      <c r="A2771" s="2" t="n"/>
    </row>
    <row r="2772">
      <c r="A2772" s="2" t="n"/>
    </row>
    <row r="2773">
      <c r="A2773" s="2" t="n"/>
    </row>
    <row r="2774">
      <c r="A2774" s="2" t="n"/>
    </row>
    <row r="2775">
      <c r="A2775" s="2" t="n"/>
    </row>
    <row r="2776">
      <c r="A2776" s="2" t="n"/>
    </row>
    <row r="2777">
      <c r="A2777" s="2" t="n"/>
    </row>
    <row r="2778">
      <c r="A2778" s="2" t="n"/>
    </row>
    <row r="2779">
      <c r="A2779" s="2" t="n"/>
    </row>
    <row r="2780">
      <c r="A2780" s="2" t="n"/>
    </row>
    <row r="2781">
      <c r="A2781" s="2" t="n"/>
    </row>
    <row r="2782">
      <c r="A2782" s="2" t="n"/>
    </row>
    <row r="2783">
      <c r="A2783" s="2" t="n"/>
    </row>
    <row r="2784">
      <c r="A2784" s="2" t="n"/>
    </row>
    <row r="2785">
      <c r="A2785" s="2" t="n"/>
    </row>
    <row r="2786">
      <c r="A2786" s="2" t="n"/>
    </row>
    <row r="2787">
      <c r="A2787" s="2" t="n"/>
    </row>
    <row r="2788">
      <c r="A2788" s="2" t="n"/>
    </row>
    <row r="2789">
      <c r="A2789" s="2" t="n"/>
    </row>
    <row r="2790">
      <c r="A2790" s="2" t="n"/>
    </row>
    <row r="2791">
      <c r="A2791" s="2" t="n"/>
    </row>
    <row r="2792">
      <c r="A2792" s="2" t="n"/>
    </row>
    <row r="2793">
      <c r="A2793" s="2" t="n"/>
    </row>
    <row r="2794">
      <c r="A2794" s="2" t="n"/>
    </row>
    <row r="2795">
      <c r="A2795" s="2" t="n"/>
    </row>
    <row r="2796">
      <c r="A2796" s="2" t="n"/>
    </row>
    <row r="2797">
      <c r="A2797" s="2" t="n"/>
    </row>
    <row r="2798">
      <c r="A2798" s="2" t="n"/>
    </row>
    <row r="2799">
      <c r="A2799" s="2" t="n"/>
    </row>
    <row r="2800">
      <c r="A2800" s="2" t="n"/>
    </row>
    <row r="2801">
      <c r="A2801" s="2" t="n"/>
    </row>
    <row r="2802">
      <c r="A2802" s="2" t="n"/>
    </row>
    <row r="2803">
      <c r="A2803" s="2" t="n"/>
    </row>
    <row r="2804">
      <c r="A2804" s="2" t="n"/>
    </row>
    <row r="2805">
      <c r="A2805" s="2" t="n"/>
    </row>
    <row r="2806">
      <c r="A2806" s="2" t="n"/>
    </row>
    <row r="2807">
      <c r="A2807" s="2" t="n"/>
    </row>
    <row r="2808">
      <c r="A2808" s="2" t="n"/>
    </row>
    <row r="2809">
      <c r="A2809" s="2" t="n"/>
    </row>
    <row r="2810">
      <c r="A2810" s="2" t="n"/>
    </row>
    <row r="2811">
      <c r="A2811" s="2" t="n"/>
    </row>
    <row r="2812">
      <c r="A2812" s="2" t="n"/>
    </row>
    <row r="2813">
      <c r="A2813" s="2" t="n"/>
    </row>
    <row r="2814">
      <c r="A2814" s="2" t="n"/>
    </row>
    <row r="2815">
      <c r="A2815" s="2" t="n"/>
    </row>
    <row r="2816">
      <c r="A2816" s="2" t="n"/>
    </row>
    <row r="2817">
      <c r="A2817" s="2" t="n"/>
    </row>
    <row r="2818">
      <c r="A2818" s="2" t="n"/>
    </row>
    <row r="2819">
      <c r="A2819" s="2" t="n"/>
    </row>
    <row r="2820">
      <c r="A2820" s="2" t="n"/>
    </row>
    <row r="2821">
      <c r="A2821" s="2" t="n"/>
    </row>
    <row r="2822">
      <c r="A2822" s="2" t="n"/>
    </row>
    <row r="2823">
      <c r="A2823" s="2" t="n"/>
    </row>
    <row r="2824">
      <c r="A2824" s="2" t="n"/>
    </row>
    <row r="2825">
      <c r="A2825" s="2" t="n"/>
    </row>
    <row r="2826">
      <c r="A2826" s="2" t="n"/>
    </row>
    <row r="2827">
      <c r="A2827" s="2" t="n"/>
    </row>
    <row r="2828">
      <c r="A2828" s="2" t="n"/>
    </row>
    <row r="2829">
      <c r="A2829" s="2" t="n"/>
    </row>
    <row r="2830">
      <c r="A2830" s="2" t="n"/>
    </row>
    <row r="2831">
      <c r="A2831" s="2" t="n"/>
    </row>
    <row r="2832">
      <c r="A2832" s="2" t="n"/>
    </row>
    <row r="2833">
      <c r="A2833" s="2" t="n"/>
    </row>
    <row r="2834">
      <c r="A2834" s="2" t="n"/>
    </row>
    <row r="2835">
      <c r="A2835" s="2" t="n"/>
    </row>
    <row r="2836">
      <c r="A2836" s="2" t="n"/>
    </row>
    <row r="2837">
      <c r="A2837" s="2" t="n"/>
    </row>
    <row r="2838">
      <c r="A2838" s="2" t="n"/>
    </row>
    <row r="2839">
      <c r="A2839" s="2" t="n"/>
    </row>
    <row r="2840">
      <c r="A2840" s="2" t="n"/>
    </row>
    <row r="2841">
      <c r="A2841" s="2" t="n"/>
    </row>
    <row r="2842">
      <c r="A2842" s="2" t="n"/>
    </row>
    <row r="2843">
      <c r="A2843" s="2" t="n"/>
    </row>
    <row r="2844">
      <c r="A2844" s="2" t="n"/>
    </row>
    <row r="2845">
      <c r="A2845" s="2" t="n"/>
    </row>
    <row r="2846">
      <c r="A2846" s="2" t="n"/>
    </row>
    <row r="2847">
      <c r="A2847" s="2" t="n"/>
    </row>
    <row r="2848">
      <c r="A2848" s="2" t="n"/>
    </row>
    <row r="2849">
      <c r="A2849" s="2" t="n"/>
    </row>
    <row r="2850">
      <c r="A2850" s="2" t="n"/>
    </row>
    <row r="2851">
      <c r="A2851" s="2" t="n"/>
    </row>
    <row r="2852">
      <c r="A2852" s="2" t="n"/>
    </row>
    <row r="2853">
      <c r="A2853" s="2" t="n"/>
    </row>
    <row r="2854">
      <c r="A2854" s="2" t="n"/>
    </row>
    <row r="2855">
      <c r="A2855" s="2" t="n"/>
    </row>
    <row r="2856">
      <c r="A2856" s="2" t="n"/>
    </row>
    <row r="2857">
      <c r="A2857" s="2" t="n"/>
    </row>
    <row r="2858">
      <c r="A2858" s="2" t="n"/>
    </row>
    <row r="2859">
      <c r="A2859" s="2" t="n"/>
    </row>
    <row r="2860">
      <c r="A2860" s="2" t="n"/>
    </row>
    <row r="2861">
      <c r="A2861" s="2" t="n"/>
    </row>
    <row r="2862">
      <c r="A2862" s="2" t="n"/>
    </row>
    <row r="2863">
      <c r="A2863" s="2" t="n"/>
    </row>
    <row r="2864">
      <c r="A2864" s="2" t="n"/>
    </row>
    <row r="2865">
      <c r="A2865" s="2" t="n"/>
    </row>
    <row r="2866">
      <c r="A2866" s="2" t="n"/>
    </row>
    <row r="2867">
      <c r="A2867" s="2" t="n"/>
    </row>
    <row r="2868">
      <c r="A2868" s="2" t="n"/>
    </row>
    <row r="2869">
      <c r="A2869" s="2" t="n"/>
    </row>
    <row r="2870">
      <c r="A2870" s="2" t="n"/>
    </row>
    <row r="2871">
      <c r="A2871" s="2" t="n"/>
    </row>
    <row r="2872">
      <c r="A2872" s="2" t="n"/>
    </row>
    <row r="2873">
      <c r="A2873" s="2" t="n"/>
    </row>
    <row r="2874">
      <c r="A2874" s="2" t="n"/>
    </row>
    <row r="2875">
      <c r="A2875" s="2" t="n"/>
    </row>
    <row r="2876">
      <c r="A2876" s="2" t="n"/>
    </row>
    <row r="2877">
      <c r="A2877" s="2" t="n"/>
    </row>
    <row r="2878">
      <c r="A2878" s="2" t="n"/>
    </row>
    <row r="2879">
      <c r="A2879" s="2" t="n"/>
    </row>
    <row r="2880">
      <c r="A2880" s="2" t="n"/>
    </row>
    <row r="2881">
      <c r="A2881" s="2" t="n"/>
    </row>
    <row r="2882">
      <c r="A2882" s="2" t="n"/>
    </row>
    <row r="2883">
      <c r="A2883" s="2" t="n"/>
    </row>
    <row r="2884">
      <c r="A2884" s="2" t="n"/>
    </row>
    <row r="2885">
      <c r="A2885" s="2" t="n"/>
    </row>
    <row r="2886">
      <c r="A2886" s="2" t="n"/>
    </row>
    <row r="2887">
      <c r="A2887" s="2" t="n"/>
    </row>
    <row r="2888">
      <c r="A2888" s="2" t="n"/>
    </row>
    <row r="2889">
      <c r="A2889" s="2" t="n"/>
    </row>
    <row r="2890">
      <c r="A2890" s="2" t="n"/>
    </row>
    <row r="2891">
      <c r="A2891" s="2" t="n"/>
    </row>
    <row r="2892">
      <c r="A2892" s="2" t="n"/>
    </row>
    <row r="2893">
      <c r="A2893" s="2" t="n"/>
    </row>
    <row r="2894">
      <c r="A2894" s="2" t="n"/>
    </row>
    <row r="2895">
      <c r="A2895" s="2" t="n"/>
    </row>
    <row r="2896">
      <c r="A2896" s="2" t="n"/>
    </row>
    <row r="2897">
      <c r="A2897" s="2" t="n"/>
    </row>
    <row r="2898">
      <c r="A2898" s="2" t="n"/>
    </row>
    <row r="2899">
      <c r="A2899" s="2" t="n"/>
    </row>
    <row r="2900">
      <c r="A2900" s="2" t="n"/>
    </row>
    <row r="2901">
      <c r="A2901" s="2" t="n"/>
    </row>
    <row r="2902">
      <c r="A2902" s="2" t="n"/>
    </row>
    <row r="2903">
      <c r="A2903" s="2" t="n"/>
    </row>
    <row r="2904">
      <c r="A2904" s="2" t="n"/>
    </row>
    <row r="2905">
      <c r="A2905" s="2" t="n"/>
    </row>
    <row r="2906">
      <c r="A2906" s="2" t="n"/>
    </row>
    <row r="2907">
      <c r="A2907" s="2" t="n"/>
    </row>
    <row r="2908">
      <c r="A2908" s="2" t="n"/>
    </row>
    <row r="2909">
      <c r="A2909" s="2" t="n"/>
    </row>
    <row r="2910">
      <c r="A2910" s="2" t="n"/>
    </row>
    <row r="2911">
      <c r="A2911" s="2" t="n"/>
    </row>
    <row r="2912">
      <c r="A2912" s="2" t="n"/>
    </row>
    <row r="2913">
      <c r="A2913" s="2" t="n"/>
    </row>
    <row r="2914">
      <c r="A2914" s="2" t="n"/>
    </row>
    <row r="2915">
      <c r="A2915" s="2" t="n"/>
    </row>
    <row r="2916">
      <c r="A2916" s="2" t="n"/>
    </row>
    <row r="2917">
      <c r="A2917" s="2" t="n"/>
    </row>
    <row r="2918">
      <c r="A2918" s="2" t="n"/>
    </row>
    <row r="2919">
      <c r="A2919" s="2" t="n"/>
    </row>
    <row r="2920">
      <c r="A2920" s="2" t="n"/>
    </row>
    <row r="2921">
      <c r="A2921" s="2" t="n"/>
    </row>
    <row r="2922">
      <c r="A2922" s="2" t="n"/>
    </row>
    <row r="2923">
      <c r="A2923" s="2" t="n"/>
    </row>
    <row r="2924">
      <c r="A2924" s="2" t="n"/>
    </row>
    <row r="2925">
      <c r="A2925" s="2" t="n"/>
    </row>
    <row r="2926">
      <c r="A2926" s="2" t="n"/>
    </row>
    <row r="2927">
      <c r="A2927" s="2" t="n"/>
    </row>
    <row r="2928">
      <c r="A2928" s="2" t="n"/>
    </row>
    <row r="2929">
      <c r="A2929" s="2" t="n"/>
    </row>
    <row r="2930">
      <c r="A2930" s="2" t="n"/>
    </row>
    <row r="2931">
      <c r="A2931" s="2" t="n"/>
    </row>
    <row r="2932">
      <c r="A2932" s="2" t="n"/>
    </row>
    <row r="2933">
      <c r="A2933" s="2" t="n"/>
    </row>
    <row r="2934">
      <c r="A2934" s="2" t="n"/>
    </row>
    <row r="2935">
      <c r="A2935" s="2" t="n"/>
    </row>
    <row r="2936">
      <c r="A2936" s="2" t="n"/>
    </row>
    <row r="2937">
      <c r="A2937" s="2" t="n"/>
    </row>
    <row r="2938">
      <c r="A2938" s="2" t="n"/>
    </row>
    <row r="2939">
      <c r="A2939" s="2" t="n"/>
    </row>
    <row r="2940">
      <c r="A2940" s="2" t="n"/>
    </row>
    <row r="2941">
      <c r="A2941" s="2" t="n"/>
    </row>
    <row r="2942">
      <c r="A2942" s="2" t="n"/>
    </row>
    <row r="2943">
      <c r="A2943" s="2" t="n"/>
    </row>
    <row r="2944">
      <c r="A2944" s="2" t="n"/>
    </row>
    <row r="2945">
      <c r="A2945" s="2" t="n"/>
    </row>
    <row r="2946">
      <c r="A2946" s="2" t="n"/>
    </row>
    <row r="2947">
      <c r="A2947" s="2" t="n"/>
    </row>
    <row r="2948">
      <c r="A2948" s="2" t="n"/>
    </row>
    <row r="2949">
      <c r="A2949" s="2" t="n"/>
    </row>
    <row r="2950">
      <c r="A2950" s="2" t="n"/>
    </row>
    <row r="2951">
      <c r="A2951" s="2" t="n"/>
    </row>
    <row r="2952">
      <c r="A2952" s="2" t="n"/>
    </row>
    <row r="2953">
      <c r="A2953" s="2" t="n"/>
    </row>
    <row r="2954">
      <c r="A2954" s="2" t="n"/>
    </row>
    <row r="2955">
      <c r="A2955" s="2" t="n"/>
    </row>
    <row r="2956">
      <c r="A2956" s="2" t="n"/>
    </row>
    <row r="2957">
      <c r="A2957" s="2" t="n"/>
    </row>
    <row r="2958">
      <c r="A2958" s="2" t="n"/>
    </row>
    <row r="2959">
      <c r="A2959" s="2" t="n"/>
    </row>
    <row r="2960">
      <c r="A2960" s="2" t="n"/>
    </row>
    <row r="2961">
      <c r="A2961" s="2" t="n"/>
    </row>
    <row r="2962">
      <c r="A2962" s="2" t="n"/>
    </row>
    <row r="2963">
      <c r="A2963" s="2" t="n"/>
    </row>
    <row r="2964">
      <c r="A2964" s="2" t="n"/>
    </row>
    <row r="2965">
      <c r="A2965" s="2" t="n"/>
    </row>
    <row r="2966">
      <c r="A2966" s="2" t="n"/>
    </row>
    <row r="2967">
      <c r="A2967" s="2" t="n"/>
    </row>
    <row r="2968">
      <c r="A2968" s="2" t="n"/>
    </row>
    <row r="2969">
      <c r="A2969" s="2" t="n"/>
    </row>
    <row r="2970">
      <c r="A2970" s="2" t="n"/>
    </row>
    <row r="2971">
      <c r="A2971" s="2" t="n"/>
    </row>
    <row r="2972">
      <c r="A2972" s="2" t="n"/>
    </row>
    <row r="2973">
      <c r="A2973" s="2" t="n"/>
    </row>
    <row r="2974">
      <c r="A2974" s="2" t="n"/>
    </row>
    <row r="2975">
      <c r="A2975" s="2" t="n"/>
    </row>
    <row r="2976">
      <c r="A2976" s="2" t="n"/>
    </row>
    <row r="2977">
      <c r="A2977" s="2" t="n"/>
    </row>
    <row r="2978">
      <c r="A2978" s="2" t="n"/>
    </row>
    <row r="2979">
      <c r="A2979" s="2" t="n"/>
    </row>
    <row r="2980">
      <c r="A2980" s="2" t="n"/>
    </row>
    <row r="2981">
      <c r="A2981" s="2" t="n"/>
    </row>
    <row r="2982">
      <c r="A2982" s="2" t="n"/>
    </row>
    <row r="2983">
      <c r="A2983" s="2" t="n"/>
    </row>
    <row r="2984">
      <c r="A2984" s="2" t="n"/>
    </row>
    <row r="2985">
      <c r="A2985" s="2" t="n"/>
    </row>
    <row r="2986">
      <c r="A2986" s="2" t="n"/>
    </row>
    <row r="2987">
      <c r="A2987" s="2" t="n"/>
    </row>
    <row r="2988">
      <c r="A2988" s="2" t="n"/>
    </row>
    <row r="2989">
      <c r="A2989" s="2" t="n"/>
    </row>
    <row r="2990">
      <c r="A2990" s="2" t="n"/>
    </row>
    <row r="2991">
      <c r="A2991" s="2" t="n"/>
    </row>
    <row r="2992">
      <c r="A2992" s="2" t="n"/>
    </row>
    <row r="2993">
      <c r="A2993" s="2" t="n"/>
    </row>
    <row r="2994">
      <c r="A2994" s="2" t="n"/>
    </row>
    <row r="2995">
      <c r="A2995" s="2" t="n"/>
    </row>
    <row r="2996">
      <c r="A2996" s="2" t="n"/>
    </row>
    <row r="2997">
      <c r="A2997" s="2" t="n"/>
    </row>
    <row r="2998">
      <c r="A2998" s="2" t="n"/>
    </row>
    <row r="2999">
      <c r="A2999" s="2" t="n"/>
    </row>
    <row r="3000">
      <c r="A3000" s="2" t="n"/>
    </row>
    <row r="3001">
      <c r="A3001" s="2" t="n"/>
    </row>
    <row r="3002">
      <c r="A3002" s="2" t="n"/>
    </row>
    <row r="3003">
      <c r="A3003" s="2" t="n"/>
    </row>
    <row r="3004">
      <c r="A3004" s="2" t="n"/>
    </row>
    <row r="3005">
      <c r="A3005" s="2" t="n"/>
    </row>
    <row r="3006">
      <c r="A3006" s="2" t="n"/>
    </row>
    <row r="3007">
      <c r="A3007" s="2" t="n"/>
    </row>
    <row r="3008">
      <c r="A3008" s="2" t="n"/>
    </row>
    <row r="3009">
      <c r="A3009" s="2" t="n"/>
    </row>
    <row r="3010">
      <c r="A3010" s="2" t="n"/>
    </row>
    <row r="3011">
      <c r="A3011" s="2" t="n"/>
    </row>
    <row r="3012">
      <c r="A3012" s="2" t="n"/>
    </row>
    <row r="3013">
      <c r="A3013" s="2" t="n"/>
    </row>
    <row r="3014">
      <c r="A3014" s="2" t="n"/>
    </row>
    <row r="3015">
      <c r="A3015" s="2" t="n"/>
    </row>
    <row r="3016">
      <c r="A3016" s="2" t="n"/>
    </row>
    <row r="3017">
      <c r="A3017" s="2" t="n"/>
    </row>
    <row r="3018">
      <c r="A3018" s="2" t="n"/>
    </row>
    <row r="3019">
      <c r="A3019" s="2" t="n"/>
    </row>
    <row r="3020">
      <c r="A3020" s="2" t="n"/>
    </row>
    <row r="3021">
      <c r="A3021" s="2" t="n"/>
    </row>
    <row r="3022">
      <c r="A3022" s="2" t="n"/>
    </row>
    <row r="3023">
      <c r="A3023" s="2" t="n"/>
    </row>
    <row r="3024">
      <c r="A3024" s="2" t="n"/>
    </row>
    <row r="3025">
      <c r="A3025" s="2" t="n"/>
    </row>
    <row r="3026">
      <c r="A3026" s="2" t="n"/>
    </row>
    <row r="3027">
      <c r="A3027" s="2" t="n"/>
    </row>
    <row r="3028">
      <c r="A3028" s="2" t="n"/>
    </row>
    <row r="3029">
      <c r="A3029" s="2" t="n"/>
    </row>
    <row r="3030">
      <c r="A3030" s="2" t="n"/>
    </row>
    <row r="3031">
      <c r="A3031" s="2" t="n"/>
    </row>
    <row r="3032">
      <c r="A3032" s="2" t="n"/>
    </row>
    <row r="3033">
      <c r="A3033" s="2" t="n"/>
    </row>
    <row r="3034">
      <c r="A3034" s="2" t="n"/>
    </row>
    <row r="3035">
      <c r="A3035" s="2" t="n"/>
    </row>
    <row r="3036">
      <c r="A3036" s="2" t="n"/>
    </row>
    <row r="3037">
      <c r="A3037" s="2" t="n"/>
    </row>
    <row r="3038">
      <c r="A3038" s="2" t="n"/>
    </row>
    <row r="3039">
      <c r="A3039" s="2" t="n"/>
    </row>
    <row r="3040">
      <c r="A3040" s="2" t="n"/>
    </row>
    <row r="3041">
      <c r="A3041" s="2" t="n"/>
    </row>
    <row r="3042">
      <c r="A3042" s="2" t="n"/>
    </row>
    <row r="3043">
      <c r="A3043" s="2" t="n"/>
    </row>
    <row r="3044">
      <c r="A3044" s="2" t="n"/>
    </row>
    <row r="3045">
      <c r="A3045" s="2" t="n"/>
    </row>
    <row r="3046">
      <c r="A3046" s="2" t="n"/>
    </row>
    <row r="3047">
      <c r="A3047" s="2" t="n"/>
    </row>
    <row r="3048">
      <c r="A3048" s="2" t="n"/>
    </row>
    <row r="3049">
      <c r="A3049" s="2" t="n"/>
    </row>
    <row r="3050">
      <c r="A3050" s="2" t="n"/>
    </row>
    <row r="3051">
      <c r="A3051" s="2" t="n"/>
    </row>
    <row r="3052">
      <c r="A3052" s="2" t="n"/>
    </row>
    <row r="3053">
      <c r="A3053" s="2" t="n"/>
    </row>
    <row r="3054">
      <c r="A3054" s="2" t="n"/>
    </row>
    <row r="3055">
      <c r="A3055" s="2" t="n"/>
    </row>
    <row r="3056">
      <c r="A3056" s="2" t="n"/>
    </row>
    <row r="3057">
      <c r="A3057" s="2" t="n"/>
    </row>
    <row r="3058">
      <c r="A3058" s="2" t="n"/>
    </row>
    <row r="3059">
      <c r="A3059" s="2" t="n"/>
    </row>
    <row r="3060">
      <c r="A3060" s="2" t="n"/>
    </row>
    <row r="3061">
      <c r="A3061" s="2" t="n"/>
    </row>
    <row r="3062">
      <c r="A3062" s="2" t="n"/>
    </row>
    <row r="3063">
      <c r="A3063" s="2" t="n"/>
    </row>
    <row r="3064">
      <c r="A3064" s="2" t="n"/>
    </row>
    <row r="3065">
      <c r="A3065" s="2" t="n"/>
    </row>
    <row r="3066">
      <c r="A3066" s="2" t="n"/>
    </row>
    <row r="3067">
      <c r="A3067" s="2" t="n"/>
    </row>
    <row r="3068">
      <c r="A3068" s="2" t="n"/>
    </row>
    <row r="3069">
      <c r="A3069" s="2" t="n"/>
    </row>
    <row r="3070">
      <c r="A3070" s="2" t="n"/>
    </row>
    <row r="3071">
      <c r="A3071" s="2" t="n"/>
    </row>
    <row r="3072">
      <c r="A3072" s="2" t="n"/>
    </row>
    <row r="3073">
      <c r="A3073" s="2" t="n"/>
    </row>
    <row r="3074">
      <c r="A3074" s="2" t="n"/>
    </row>
    <row r="3075">
      <c r="A3075" s="2" t="n"/>
    </row>
    <row r="3076">
      <c r="A3076" s="2" t="n"/>
    </row>
    <row r="3077">
      <c r="A3077" s="2" t="n"/>
    </row>
    <row r="3078">
      <c r="A3078" s="2" t="n"/>
    </row>
    <row r="3079">
      <c r="A3079" s="2" t="n"/>
    </row>
    <row r="3080">
      <c r="A3080" s="2" t="n"/>
    </row>
    <row r="3081">
      <c r="A3081" s="2" t="n"/>
    </row>
    <row r="3082">
      <c r="A3082" s="2" t="n"/>
    </row>
    <row r="3083">
      <c r="A3083" s="2" t="n"/>
    </row>
    <row r="3084">
      <c r="A3084" s="2" t="n"/>
    </row>
    <row r="3085">
      <c r="A3085" s="2" t="n"/>
    </row>
    <row r="3086">
      <c r="A3086" s="2" t="n"/>
    </row>
    <row r="3087">
      <c r="A3087" s="2" t="n"/>
    </row>
    <row r="3088">
      <c r="A3088" s="2" t="n"/>
    </row>
    <row r="3089">
      <c r="A3089" s="2" t="n"/>
    </row>
    <row r="3090">
      <c r="A3090" s="2" t="n"/>
    </row>
    <row r="3091">
      <c r="A3091" s="2" t="n"/>
    </row>
    <row r="3092">
      <c r="A3092" s="2" t="n"/>
    </row>
    <row r="3093">
      <c r="A3093" s="2" t="n"/>
    </row>
    <row r="3094">
      <c r="A3094" s="2" t="n"/>
    </row>
    <row r="3095">
      <c r="A3095" s="2" t="n"/>
    </row>
    <row r="3096">
      <c r="A3096" s="2" t="n"/>
    </row>
    <row r="3097">
      <c r="A3097" s="2" t="n"/>
    </row>
    <row r="3098">
      <c r="A3098" s="2" t="n"/>
    </row>
    <row r="3099">
      <c r="A3099" s="2" t="n"/>
    </row>
    <row r="3100">
      <c r="A3100" s="2" t="n"/>
    </row>
    <row r="3101">
      <c r="A3101" s="2" t="n"/>
    </row>
    <row r="3102">
      <c r="A3102" s="2" t="n"/>
    </row>
    <row r="3103">
      <c r="A3103" s="2" t="n"/>
    </row>
    <row r="3104">
      <c r="A3104" s="2" t="n"/>
    </row>
    <row r="3105">
      <c r="A3105" s="2" t="n"/>
    </row>
    <row r="3106">
      <c r="A3106" s="2" t="n"/>
    </row>
    <row r="3107">
      <c r="A3107" s="2" t="n"/>
    </row>
    <row r="3108">
      <c r="A3108" s="2" t="n"/>
    </row>
    <row r="3109">
      <c r="A3109" s="2" t="n"/>
    </row>
    <row r="3110">
      <c r="A3110" s="2" t="n"/>
    </row>
    <row r="3111">
      <c r="A3111" s="2" t="n"/>
    </row>
    <row r="3112">
      <c r="A3112" s="2" t="n"/>
    </row>
    <row r="3113">
      <c r="A3113" s="2" t="n"/>
    </row>
    <row r="3114">
      <c r="A3114" s="2" t="n"/>
    </row>
    <row r="3115">
      <c r="A3115" s="2" t="n"/>
    </row>
    <row r="3116">
      <c r="A3116" s="2" t="n"/>
    </row>
    <row r="3117">
      <c r="A3117" s="2" t="n"/>
    </row>
    <row r="3118">
      <c r="A3118" s="2" t="n"/>
    </row>
    <row r="3119">
      <c r="A3119" s="2" t="n"/>
    </row>
    <row r="3120">
      <c r="A3120" s="2" t="n"/>
    </row>
    <row r="3121">
      <c r="A3121" s="2" t="n"/>
    </row>
    <row r="3122">
      <c r="A3122" s="2" t="n"/>
    </row>
    <row r="3123">
      <c r="A3123" s="2" t="n"/>
    </row>
    <row r="3124">
      <c r="A3124" s="2" t="n"/>
    </row>
    <row r="3125">
      <c r="A3125" s="2" t="n"/>
    </row>
    <row r="3126">
      <c r="A3126" s="2" t="n"/>
    </row>
    <row r="3127">
      <c r="A3127" s="2" t="n"/>
    </row>
    <row r="3128">
      <c r="A3128" s="2" t="n"/>
    </row>
    <row r="3129">
      <c r="A3129" s="2" t="n"/>
    </row>
    <row r="3130">
      <c r="A3130" s="2" t="n"/>
    </row>
    <row r="3131">
      <c r="A3131" s="2" t="n"/>
    </row>
    <row r="3132">
      <c r="A3132" s="2" t="n"/>
    </row>
    <row r="3133">
      <c r="A3133" s="2" t="n"/>
    </row>
    <row r="3134">
      <c r="A3134" s="2" t="n"/>
    </row>
    <row r="3135">
      <c r="A3135" s="2" t="n"/>
    </row>
    <row r="3136">
      <c r="A3136" s="2" t="n"/>
    </row>
    <row r="3137">
      <c r="A3137" s="2" t="n"/>
    </row>
    <row r="3138">
      <c r="A3138" s="2" t="n"/>
    </row>
    <row r="3139">
      <c r="A3139" s="2" t="n"/>
    </row>
    <row r="3140">
      <c r="A3140" s="2" t="n"/>
    </row>
    <row r="3141">
      <c r="A3141" s="2" t="n"/>
    </row>
    <row r="3142">
      <c r="A3142" s="2" t="n"/>
    </row>
    <row r="3143">
      <c r="A3143" s="2" t="n"/>
    </row>
    <row r="3144">
      <c r="A3144" s="2" t="n"/>
    </row>
    <row r="3145">
      <c r="A3145" s="2" t="n"/>
    </row>
    <row r="3146">
      <c r="A3146" s="2" t="n"/>
    </row>
    <row r="3147">
      <c r="A3147" s="2" t="n"/>
    </row>
    <row r="3148">
      <c r="A3148" s="2" t="n"/>
    </row>
    <row r="3149">
      <c r="A3149" s="2" t="n"/>
    </row>
    <row r="3150">
      <c r="A3150" s="2" t="n"/>
    </row>
    <row r="3151">
      <c r="A3151" s="2" t="n"/>
    </row>
    <row r="3152">
      <c r="A3152" s="2" t="n"/>
    </row>
    <row r="3153">
      <c r="A3153" s="2" t="n"/>
    </row>
    <row r="3154">
      <c r="A3154" s="2" t="n"/>
    </row>
    <row r="3155">
      <c r="A3155" s="2" t="n"/>
    </row>
    <row r="3156">
      <c r="A3156" s="2" t="n"/>
    </row>
    <row r="3157">
      <c r="A3157" s="2" t="n"/>
    </row>
    <row r="3158">
      <c r="A3158" s="2" t="n"/>
    </row>
    <row r="3159">
      <c r="A3159" s="2" t="n"/>
    </row>
    <row r="3160">
      <c r="A3160" s="2" t="n"/>
    </row>
    <row r="3161">
      <c r="A3161" s="2" t="n"/>
    </row>
    <row r="3162">
      <c r="A3162" s="2" t="n"/>
    </row>
    <row r="3163">
      <c r="A3163" s="2" t="n"/>
    </row>
    <row r="3164">
      <c r="A3164" s="2" t="n"/>
    </row>
    <row r="3165">
      <c r="A3165" s="2" t="n"/>
    </row>
    <row r="3166">
      <c r="A3166" s="2" t="n"/>
    </row>
    <row r="3167">
      <c r="A3167" s="2" t="n"/>
    </row>
    <row r="3168">
      <c r="A3168" s="2" t="n"/>
    </row>
    <row r="3169">
      <c r="A3169" s="2" t="n"/>
    </row>
    <row r="3170">
      <c r="A3170" s="2" t="n"/>
    </row>
    <row r="3171">
      <c r="A3171" s="2" t="n"/>
    </row>
    <row r="3172">
      <c r="A3172" s="2" t="n"/>
    </row>
    <row r="3173">
      <c r="A3173" s="2" t="n"/>
    </row>
    <row r="3174">
      <c r="A3174" s="2" t="n"/>
    </row>
    <row r="3175">
      <c r="A3175" s="2" t="n"/>
    </row>
    <row r="3176">
      <c r="A3176" s="2" t="n"/>
    </row>
    <row r="3177">
      <c r="A3177" s="2" t="n"/>
    </row>
    <row r="3178">
      <c r="A3178" s="2" t="n"/>
    </row>
    <row r="3179">
      <c r="A3179" s="2" t="n"/>
    </row>
    <row r="3180">
      <c r="A3180" s="2" t="n"/>
    </row>
    <row r="3181">
      <c r="A3181" s="2" t="n"/>
    </row>
    <row r="3182">
      <c r="A3182" s="2" t="n"/>
    </row>
    <row r="3183">
      <c r="A3183" s="2" t="n"/>
    </row>
    <row r="3184">
      <c r="A3184" s="2" t="n"/>
    </row>
    <row r="3185">
      <c r="A3185" s="2" t="n"/>
    </row>
    <row r="3186">
      <c r="A3186" s="2" t="n"/>
    </row>
    <row r="3187">
      <c r="A3187" s="2" t="n"/>
    </row>
    <row r="3188">
      <c r="A3188" s="2" t="n"/>
    </row>
    <row r="3189">
      <c r="A3189" s="2" t="n"/>
    </row>
    <row r="3190">
      <c r="A3190" s="2" t="n"/>
    </row>
    <row r="3191">
      <c r="A3191" s="2" t="n"/>
    </row>
    <row r="3192">
      <c r="A3192" s="2" t="n"/>
    </row>
    <row r="3193">
      <c r="A3193" s="2" t="n"/>
    </row>
    <row r="3194">
      <c r="A3194" s="2" t="n"/>
    </row>
    <row r="3195">
      <c r="A3195" s="2" t="n"/>
    </row>
    <row r="3196">
      <c r="A3196" s="2" t="n"/>
    </row>
    <row r="3197">
      <c r="A3197" s="2" t="n"/>
    </row>
    <row r="3198">
      <c r="A3198" s="2" t="n"/>
    </row>
    <row r="3199">
      <c r="A3199" s="2" t="n"/>
    </row>
    <row r="3200">
      <c r="A3200" s="2" t="n"/>
    </row>
    <row r="3201">
      <c r="A3201" s="2" t="n"/>
    </row>
    <row r="3202">
      <c r="A3202" s="2" t="n"/>
    </row>
    <row r="3203">
      <c r="A3203" s="2" t="n"/>
    </row>
    <row r="3204">
      <c r="A3204" s="2" t="n"/>
    </row>
    <row r="3205">
      <c r="A3205" s="2" t="n"/>
    </row>
    <row r="3206">
      <c r="A3206" s="2" t="n"/>
    </row>
    <row r="3207">
      <c r="A3207" s="2" t="n"/>
    </row>
    <row r="3208">
      <c r="A3208" s="2" t="n"/>
    </row>
    <row r="3209">
      <c r="A3209" s="2" t="n"/>
    </row>
    <row r="3210">
      <c r="A3210" s="2" t="n"/>
    </row>
    <row r="3211">
      <c r="A3211" s="2" t="n"/>
    </row>
    <row r="3212">
      <c r="A3212" s="2" t="n"/>
    </row>
    <row r="3213">
      <c r="A3213" s="2" t="n"/>
    </row>
    <row r="3214">
      <c r="A3214" s="2" t="n"/>
    </row>
    <row r="3215">
      <c r="A3215" s="2" t="n"/>
    </row>
    <row r="3216">
      <c r="A3216" s="2" t="n"/>
    </row>
    <row r="3217">
      <c r="A3217" s="2" t="n"/>
    </row>
    <row r="3218">
      <c r="A3218" s="2" t="n"/>
    </row>
    <row r="3219">
      <c r="A3219" s="2" t="n"/>
    </row>
    <row r="3220">
      <c r="A3220" s="2" t="n"/>
    </row>
    <row r="3221">
      <c r="A3221" s="2" t="n"/>
    </row>
    <row r="3222">
      <c r="A3222" s="2" t="n"/>
    </row>
    <row r="3223">
      <c r="A3223" s="2" t="n"/>
    </row>
    <row r="3224">
      <c r="A3224" s="2" t="n"/>
    </row>
    <row r="3225">
      <c r="A3225" s="2" t="n"/>
    </row>
    <row r="3226">
      <c r="A3226" s="2" t="n"/>
    </row>
    <row r="3227">
      <c r="A3227" s="2" t="n"/>
    </row>
    <row r="3228">
      <c r="A3228" s="2" t="n"/>
    </row>
    <row r="3229">
      <c r="A3229" s="2" t="n"/>
    </row>
    <row r="3230">
      <c r="A3230" s="2" t="n"/>
    </row>
    <row r="3231">
      <c r="A3231" s="2" t="n"/>
    </row>
    <row r="3232">
      <c r="A3232" s="2" t="n"/>
    </row>
    <row r="3233">
      <c r="A3233" s="2" t="n"/>
    </row>
    <row r="3234">
      <c r="A3234" s="2" t="n"/>
    </row>
    <row r="3235">
      <c r="A3235" s="2" t="n"/>
    </row>
    <row r="3236">
      <c r="A3236" s="2" t="n"/>
    </row>
    <row r="3237">
      <c r="A3237" s="2" t="n"/>
    </row>
    <row r="3238">
      <c r="A3238" s="2" t="n"/>
    </row>
    <row r="3239">
      <c r="A3239" s="2" t="n"/>
    </row>
    <row r="3240">
      <c r="A3240" s="2" t="n"/>
    </row>
    <row r="3241">
      <c r="A3241" s="2" t="n"/>
    </row>
    <row r="3242">
      <c r="A3242" s="2" t="n"/>
    </row>
    <row r="3243">
      <c r="A3243" s="2" t="n"/>
    </row>
    <row r="3244">
      <c r="A3244" s="2" t="n"/>
    </row>
    <row r="3245">
      <c r="A3245" s="2" t="n"/>
    </row>
    <row r="3246">
      <c r="A3246" s="2" t="n"/>
    </row>
    <row r="3247">
      <c r="A3247" s="2" t="n"/>
    </row>
    <row r="3248">
      <c r="A3248" s="2" t="n"/>
    </row>
    <row r="3249">
      <c r="A3249" s="2" t="n"/>
    </row>
    <row r="3250">
      <c r="A3250" s="2" t="n"/>
    </row>
    <row r="3251">
      <c r="A3251" s="2" t="n"/>
    </row>
    <row r="3252">
      <c r="A3252" s="2" t="n"/>
    </row>
    <row r="3253">
      <c r="A3253" s="2" t="n"/>
    </row>
    <row r="3254">
      <c r="A3254" s="2" t="n"/>
    </row>
    <row r="3255">
      <c r="A3255" s="2" t="n"/>
    </row>
    <row r="3256">
      <c r="A3256" s="2" t="n"/>
    </row>
    <row r="3257">
      <c r="A3257" s="2" t="n"/>
    </row>
    <row r="3258">
      <c r="A3258" s="2" t="n"/>
    </row>
    <row r="3259">
      <c r="A3259" s="2" t="n"/>
    </row>
    <row r="3260">
      <c r="A3260" s="2" t="n"/>
    </row>
    <row r="3261">
      <c r="A3261" s="2" t="n"/>
    </row>
    <row r="3262">
      <c r="A3262" s="2" t="n"/>
    </row>
    <row r="3263">
      <c r="A3263" s="2" t="n"/>
    </row>
    <row r="3264">
      <c r="A3264" s="2" t="n"/>
    </row>
    <row r="3265">
      <c r="A3265" s="2" t="n"/>
    </row>
    <row r="3266">
      <c r="A3266" s="2" t="n"/>
    </row>
    <row r="3267">
      <c r="A3267" s="2" t="n"/>
    </row>
    <row r="3268">
      <c r="A3268" s="2" t="n"/>
    </row>
    <row r="3269">
      <c r="A3269" s="2" t="n"/>
    </row>
    <row r="3270">
      <c r="A3270" s="2" t="n"/>
    </row>
    <row r="3271">
      <c r="A3271" s="2" t="n"/>
    </row>
    <row r="3272">
      <c r="A3272" s="2" t="n"/>
    </row>
    <row r="3273">
      <c r="A3273" s="2" t="n"/>
    </row>
    <row r="3274">
      <c r="A3274" s="2" t="n"/>
    </row>
    <row r="3275">
      <c r="A3275" s="2" t="n"/>
    </row>
    <row r="3276">
      <c r="A3276" s="2" t="n"/>
    </row>
    <row r="3277">
      <c r="A3277" s="2" t="n"/>
    </row>
    <row r="3278">
      <c r="A3278" s="2" t="n"/>
    </row>
    <row r="3279">
      <c r="A3279" s="2" t="n"/>
    </row>
    <row r="3280">
      <c r="A3280" s="2" t="n"/>
    </row>
    <row r="3281">
      <c r="A3281" s="2" t="n"/>
    </row>
    <row r="3282">
      <c r="A3282" s="2" t="n"/>
    </row>
    <row r="3283">
      <c r="A3283" s="2" t="n"/>
    </row>
    <row r="3284">
      <c r="A3284" s="2" t="n"/>
    </row>
    <row r="3285">
      <c r="A3285" s="2" t="n"/>
    </row>
    <row r="3286">
      <c r="A3286" s="2" t="n"/>
    </row>
    <row r="3287">
      <c r="A3287" s="2" t="n"/>
    </row>
    <row r="3288">
      <c r="A3288" s="2" t="n"/>
    </row>
    <row r="3289">
      <c r="A3289" s="2" t="n"/>
    </row>
    <row r="3290">
      <c r="A3290" s="2" t="n"/>
    </row>
    <row r="3291">
      <c r="A3291" s="2" t="n"/>
    </row>
    <row r="3292">
      <c r="A3292" s="2" t="n"/>
    </row>
    <row r="3293">
      <c r="A3293" s="2" t="n"/>
    </row>
    <row r="3294">
      <c r="A3294" s="2" t="n"/>
    </row>
    <row r="3295">
      <c r="A3295" s="2" t="n"/>
    </row>
    <row r="3296">
      <c r="A3296" s="2" t="n"/>
    </row>
    <row r="3297">
      <c r="A3297" s="2" t="n"/>
    </row>
    <row r="3298">
      <c r="A3298" s="2" t="n"/>
    </row>
    <row r="3299">
      <c r="A3299" s="2" t="n"/>
    </row>
    <row r="3300">
      <c r="A3300" s="2" t="n"/>
    </row>
    <row r="3301">
      <c r="A3301" s="2" t="n"/>
    </row>
    <row r="3302">
      <c r="A3302" s="2" t="n"/>
    </row>
    <row r="3303">
      <c r="A3303" s="2" t="n"/>
    </row>
    <row r="3304">
      <c r="A3304" s="2" t="n"/>
    </row>
    <row r="3305">
      <c r="A3305" s="2" t="n"/>
    </row>
    <row r="3306">
      <c r="A3306" s="2" t="n"/>
    </row>
    <row r="3307">
      <c r="A3307" s="2" t="n"/>
    </row>
    <row r="3308">
      <c r="A3308" s="2" t="n"/>
    </row>
    <row r="3309">
      <c r="A3309" s="2" t="n"/>
    </row>
    <row r="3310">
      <c r="A3310" s="2" t="n"/>
    </row>
    <row r="3311">
      <c r="A3311" s="2" t="n"/>
    </row>
    <row r="3312">
      <c r="A3312" s="2" t="n"/>
    </row>
    <row r="3313">
      <c r="A3313" s="2" t="n"/>
    </row>
    <row r="3314">
      <c r="A3314" s="2" t="n"/>
    </row>
    <row r="3315">
      <c r="A3315" s="2" t="n"/>
    </row>
    <row r="3316">
      <c r="A3316" s="2" t="n"/>
    </row>
    <row r="3317">
      <c r="A3317" s="2" t="n"/>
    </row>
    <row r="3318">
      <c r="A3318" s="2" t="n"/>
    </row>
    <row r="3319">
      <c r="A3319" s="2" t="n"/>
    </row>
    <row r="3320">
      <c r="A3320" s="2" t="n"/>
    </row>
    <row r="3321">
      <c r="A3321" s="2" t="n"/>
    </row>
    <row r="3322">
      <c r="A3322" s="2" t="n"/>
    </row>
    <row r="3323">
      <c r="A3323" s="2" t="n"/>
    </row>
    <row r="3324">
      <c r="A3324" s="2" t="n"/>
    </row>
    <row r="3325">
      <c r="A3325" s="2" t="n"/>
    </row>
    <row r="3326">
      <c r="A3326" s="2" t="n"/>
    </row>
    <row r="3327">
      <c r="A3327" s="2" t="n"/>
    </row>
    <row r="3328">
      <c r="A3328" s="2" t="n"/>
    </row>
    <row r="3329">
      <c r="A3329" s="2" t="n"/>
    </row>
    <row r="3330">
      <c r="A3330" s="2" t="n"/>
    </row>
    <row r="3331">
      <c r="A3331" s="2" t="n"/>
    </row>
    <row r="3332">
      <c r="A3332" s="2" t="n"/>
    </row>
    <row r="3333">
      <c r="A3333" s="2" t="n"/>
    </row>
    <row r="3334">
      <c r="A3334" s="2" t="n"/>
    </row>
    <row r="3335">
      <c r="A3335" s="2" t="n"/>
    </row>
    <row r="3336">
      <c r="A3336" s="2" t="n"/>
    </row>
    <row r="3337">
      <c r="A3337" s="2" t="n"/>
    </row>
    <row r="3338">
      <c r="A3338" s="2" t="n"/>
    </row>
    <row r="3339">
      <c r="A3339" s="2" t="n"/>
    </row>
    <row r="3340">
      <c r="A3340" s="2" t="n"/>
    </row>
    <row r="3341">
      <c r="A3341" s="2" t="n"/>
    </row>
    <row r="3342">
      <c r="A3342" s="2" t="n"/>
    </row>
    <row r="3343">
      <c r="A3343" s="2" t="n"/>
    </row>
    <row r="3344">
      <c r="A3344" s="2" t="n"/>
    </row>
    <row r="3345">
      <c r="A3345" s="2" t="n"/>
    </row>
    <row r="3346">
      <c r="A3346" s="2" t="n"/>
    </row>
    <row r="3347">
      <c r="A3347" s="2" t="n"/>
    </row>
    <row r="3348">
      <c r="A3348" s="2" t="n"/>
    </row>
    <row r="3349">
      <c r="A3349" s="2" t="n"/>
    </row>
    <row r="3350">
      <c r="A3350" s="2" t="n"/>
    </row>
    <row r="3351">
      <c r="A3351" s="2" t="n"/>
    </row>
    <row r="3352">
      <c r="A3352" s="2" t="n"/>
    </row>
    <row r="3353">
      <c r="A3353" s="2" t="n"/>
    </row>
    <row r="3354">
      <c r="A3354" s="2" t="n"/>
    </row>
    <row r="3355">
      <c r="A3355" s="2" t="n"/>
    </row>
    <row r="3356">
      <c r="A3356" s="2" t="n"/>
    </row>
    <row r="3357">
      <c r="A3357" s="2" t="n"/>
    </row>
    <row r="3358">
      <c r="A3358" s="2" t="n"/>
    </row>
    <row r="3359">
      <c r="A3359" s="2" t="n"/>
    </row>
    <row r="3360">
      <c r="A3360" s="2" t="n"/>
    </row>
    <row r="3361">
      <c r="A3361" s="2" t="n"/>
    </row>
    <row r="3362">
      <c r="A3362" s="2" t="n"/>
    </row>
    <row r="3363">
      <c r="A3363" s="2" t="n"/>
    </row>
    <row r="3364">
      <c r="A3364" s="2" t="n"/>
    </row>
    <row r="3365">
      <c r="A3365" s="2" t="n"/>
    </row>
    <row r="3366">
      <c r="A3366" s="2" t="n"/>
    </row>
    <row r="3367">
      <c r="A3367" s="2" t="n"/>
    </row>
    <row r="3368">
      <c r="A3368" s="2" t="n"/>
    </row>
    <row r="3369">
      <c r="A3369" s="2" t="n"/>
    </row>
    <row r="3370">
      <c r="A3370" s="2" t="n"/>
    </row>
    <row r="3371">
      <c r="A3371" s="2" t="n"/>
    </row>
    <row r="3372">
      <c r="A3372" s="2" t="n"/>
    </row>
    <row r="3373">
      <c r="A3373" s="2" t="n"/>
    </row>
    <row r="3374">
      <c r="A3374" s="2" t="n"/>
    </row>
    <row r="3375">
      <c r="A3375" s="2" t="n"/>
    </row>
    <row r="3376">
      <c r="A3376" s="2" t="n"/>
    </row>
    <row r="3377">
      <c r="A3377" s="2" t="n"/>
    </row>
    <row r="3378">
      <c r="A3378" s="2" t="n"/>
    </row>
    <row r="3379">
      <c r="A3379" s="2" t="n"/>
    </row>
    <row r="3380">
      <c r="A3380" s="2" t="n"/>
    </row>
    <row r="3381">
      <c r="A3381" s="2" t="n"/>
    </row>
    <row r="3382">
      <c r="A3382" s="2" t="n"/>
    </row>
    <row r="3383">
      <c r="A3383" s="2" t="n"/>
    </row>
    <row r="3384">
      <c r="A3384" s="2" t="n"/>
    </row>
    <row r="3385">
      <c r="A3385" s="2" t="n"/>
    </row>
    <row r="3386">
      <c r="A3386" s="2" t="n"/>
    </row>
    <row r="3387">
      <c r="A3387" s="2" t="n"/>
    </row>
    <row r="3388">
      <c r="A3388" s="2" t="n"/>
    </row>
    <row r="3389">
      <c r="A3389" s="2" t="n"/>
    </row>
    <row r="3390">
      <c r="A3390" s="2" t="n"/>
    </row>
    <row r="3391">
      <c r="A3391" s="2" t="n"/>
    </row>
    <row r="3392">
      <c r="A3392" s="2" t="n"/>
    </row>
    <row r="3393">
      <c r="A3393" s="2" t="n"/>
    </row>
    <row r="3394">
      <c r="A3394" s="2" t="n"/>
    </row>
    <row r="3395">
      <c r="A3395" s="2" t="n"/>
    </row>
    <row r="3396">
      <c r="A3396" s="2" t="n"/>
    </row>
    <row r="3397">
      <c r="A3397" s="2" t="n"/>
    </row>
    <row r="3398">
      <c r="A3398" s="2" t="n"/>
    </row>
    <row r="3399">
      <c r="A3399" s="2" t="n"/>
    </row>
    <row r="3400">
      <c r="A3400" s="2" t="n"/>
    </row>
    <row r="3401">
      <c r="A3401" s="2" t="n"/>
    </row>
    <row r="3402">
      <c r="A3402" s="2" t="n"/>
    </row>
    <row r="3403">
      <c r="A3403" s="2" t="n"/>
    </row>
    <row r="3404">
      <c r="A3404" s="2" t="n"/>
    </row>
    <row r="3405">
      <c r="A3405" s="2" t="n"/>
    </row>
    <row r="3406">
      <c r="A3406" s="2" t="n"/>
    </row>
    <row r="3407">
      <c r="A3407" s="2" t="n"/>
    </row>
    <row r="3408">
      <c r="A3408" s="2" t="n"/>
    </row>
    <row r="3409">
      <c r="A3409" s="2" t="n"/>
    </row>
    <row r="3410">
      <c r="A3410" s="2" t="n"/>
    </row>
    <row r="3411">
      <c r="A3411" s="2" t="n"/>
    </row>
    <row r="3412">
      <c r="A3412" s="2" t="n"/>
    </row>
    <row r="3413">
      <c r="A3413" s="2" t="n"/>
    </row>
    <row r="3414">
      <c r="A3414" s="2" t="n"/>
    </row>
    <row r="3415">
      <c r="A3415" s="2" t="n"/>
    </row>
    <row r="3416">
      <c r="A3416" s="2" t="n"/>
    </row>
    <row r="3417">
      <c r="A3417" s="2" t="n"/>
    </row>
    <row r="3418">
      <c r="A3418" s="2" t="n"/>
    </row>
    <row r="3419">
      <c r="A3419" s="2" t="n"/>
    </row>
    <row r="3420">
      <c r="A3420" s="2" t="n"/>
    </row>
    <row r="3421">
      <c r="A3421" s="2" t="n"/>
    </row>
    <row r="3422">
      <c r="A3422" s="2" t="n"/>
    </row>
    <row r="3423">
      <c r="A3423" s="2" t="n"/>
    </row>
    <row r="3424">
      <c r="A3424" s="2" t="n"/>
    </row>
    <row r="3425">
      <c r="A3425" s="2" t="n"/>
    </row>
    <row r="3426">
      <c r="A3426" s="2" t="n"/>
    </row>
    <row r="3427">
      <c r="A3427" s="2" t="n"/>
    </row>
    <row r="3428">
      <c r="A3428" s="2" t="n"/>
    </row>
    <row r="3429">
      <c r="A3429" s="2" t="n"/>
    </row>
    <row r="3430">
      <c r="A3430" s="2" t="n"/>
    </row>
    <row r="3431">
      <c r="A3431" s="2" t="n"/>
    </row>
    <row r="3432">
      <c r="A3432" s="2" t="n"/>
    </row>
    <row r="3433">
      <c r="A3433" s="2" t="n"/>
    </row>
    <row r="3434">
      <c r="A3434" s="2" t="n"/>
    </row>
    <row r="3435">
      <c r="A3435" s="2" t="n"/>
    </row>
    <row r="3436">
      <c r="A3436" s="2" t="n"/>
    </row>
    <row r="3437">
      <c r="A3437" s="2" t="n"/>
    </row>
    <row r="3438">
      <c r="A3438" s="2" t="n"/>
    </row>
    <row r="3439">
      <c r="A3439" s="2" t="n"/>
    </row>
    <row r="3440">
      <c r="A3440" s="2" t="n"/>
    </row>
    <row r="3441">
      <c r="A3441" s="2" t="n"/>
    </row>
    <row r="3442">
      <c r="A3442" s="2" t="n"/>
    </row>
    <row r="3443">
      <c r="A3443" s="2" t="n"/>
    </row>
    <row r="3444">
      <c r="A3444" s="2" t="n"/>
    </row>
    <row r="3445">
      <c r="A3445" s="2" t="n"/>
    </row>
    <row r="3446">
      <c r="A3446" s="2" t="n"/>
    </row>
    <row r="3447">
      <c r="A3447" s="2" t="n"/>
    </row>
    <row r="3448">
      <c r="A3448" s="2" t="n"/>
    </row>
    <row r="3449">
      <c r="A3449" s="2" t="n"/>
    </row>
    <row r="3450">
      <c r="A3450" s="2" t="n"/>
    </row>
    <row r="3451">
      <c r="A3451" s="2" t="n"/>
    </row>
    <row r="3452">
      <c r="A3452" s="2" t="n"/>
    </row>
    <row r="3453">
      <c r="A3453" s="2" t="n"/>
    </row>
    <row r="3454">
      <c r="A3454" s="2" t="n"/>
    </row>
    <row r="3455">
      <c r="A3455" s="2" t="n"/>
    </row>
    <row r="3456">
      <c r="A3456" s="2" t="n"/>
    </row>
    <row r="3457">
      <c r="A3457" s="2" t="n"/>
    </row>
    <row r="3458">
      <c r="A3458" s="2" t="n"/>
    </row>
    <row r="3459">
      <c r="A3459" s="2" t="n"/>
    </row>
    <row r="3460">
      <c r="A3460" s="2" t="n"/>
    </row>
    <row r="3461">
      <c r="A3461" s="2" t="n"/>
    </row>
    <row r="3462">
      <c r="A3462" s="2" t="n"/>
    </row>
    <row r="3463">
      <c r="A3463" s="2" t="n"/>
    </row>
    <row r="3464">
      <c r="A3464" s="2" t="n"/>
    </row>
    <row r="3465">
      <c r="A3465" s="2" t="n"/>
    </row>
    <row r="3466">
      <c r="A3466" s="2" t="n"/>
    </row>
    <row r="3467">
      <c r="A3467" s="2" t="n"/>
    </row>
    <row r="3468">
      <c r="A3468" s="2" t="n"/>
    </row>
    <row r="3469">
      <c r="A3469" s="2" t="n"/>
    </row>
    <row r="3470">
      <c r="A3470" s="2" t="n"/>
    </row>
    <row r="3471">
      <c r="A3471" s="2" t="n"/>
    </row>
    <row r="3472">
      <c r="A3472" s="2" t="n"/>
    </row>
    <row r="3473">
      <c r="A3473" s="2" t="n"/>
    </row>
    <row r="3474">
      <c r="A3474" s="2" t="n"/>
    </row>
    <row r="3475">
      <c r="A3475" s="2" t="n"/>
    </row>
    <row r="3476">
      <c r="A3476" s="2" t="n"/>
    </row>
    <row r="3477">
      <c r="A3477" s="2" t="n"/>
    </row>
    <row r="3478">
      <c r="A3478" s="2" t="n"/>
    </row>
    <row r="3479">
      <c r="A3479" s="2" t="n"/>
    </row>
    <row r="3480">
      <c r="A3480" s="2" t="n"/>
    </row>
    <row r="3481">
      <c r="A3481" s="2" t="n"/>
    </row>
    <row r="3482">
      <c r="A3482" s="2" t="n"/>
    </row>
    <row r="3483">
      <c r="A3483" s="2" t="n"/>
    </row>
    <row r="3484">
      <c r="A3484" s="2" t="n"/>
    </row>
    <row r="3485">
      <c r="A3485" s="2" t="n"/>
    </row>
    <row r="3486">
      <c r="A3486" s="2" t="n"/>
    </row>
    <row r="3487">
      <c r="A3487" s="2" t="n"/>
    </row>
    <row r="3488">
      <c r="A3488" s="2" t="n"/>
    </row>
    <row r="3489">
      <c r="A3489" s="2" t="n"/>
    </row>
    <row r="3490">
      <c r="A3490" s="2" t="n"/>
    </row>
    <row r="3491">
      <c r="A3491" s="2" t="n"/>
    </row>
    <row r="3492">
      <c r="A3492" s="2" t="n"/>
    </row>
    <row r="3493">
      <c r="A3493" s="2" t="n"/>
    </row>
    <row r="3494">
      <c r="A3494" s="2" t="n"/>
    </row>
    <row r="3495">
      <c r="A3495" s="2" t="n"/>
    </row>
    <row r="3496">
      <c r="A3496" s="2" t="n"/>
    </row>
    <row r="3497">
      <c r="A3497" s="2" t="n"/>
    </row>
    <row r="3498">
      <c r="A3498" s="2" t="n"/>
    </row>
    <row r="3499">
      <c r="A3499" s="2" t="n"/>
    </row>
    <row r="3500">
      <c r="A3500" s="2" t="n"/>
    </row>
    <row r="3501">
      <c r="A3501" s="2" t="n"/>
    </row>
    <row r="3502">
      <c r="A3502" s="2" t="n"/>
    </row>
    <row r="3503">
      <c r="A3503" s="2" t="n"/>
    </row>
    <row r="3504">
      <c r="A3504" s="2" t="n"/>
    </row>
    <row r="3505">
      <c r="A3505" s="2" t="n"/>
    </row>
    <row r="3506">
      <c r="A3506" s="2" t="n"/>
    </row>
    <row r="3507">
      <c r="A3507" s="2" t="n"/>
    </row>
    <row r="3508">
      <c r="A3508" s="2" t="n"/>
    </row>
    <row r="3509">
      <c r="A3509" s="2" t="n"/>
    </row>
    <row r="3510">
      <c r="A3510" s="2" t="n"/>
    </row>
    <row r="3511">
      <c r="A3511" s="2" t="n"/>
    </row>
    <row r="3512">
      <c r="A3512" s="2" t="n"/>
    </row>
    <row r="3513">
      <c r="A3513" s="2" t="n"/>
    </row>
    <row r="3514">
      <c r="A3514" s="2" t="n"/>
    </row>
    <row r="3515">
      <c r="A3515" s="2" t="n"/>
    </row>
    <row r="3516">
      <c r="A3516" s="2" t="n"/>
    </row>
    <row r="3517">
      <c r="A3517" s="2" t="n"/>
    </row>
    <row r="3518">
      <c r="A3518" s="2" t="n"/>
    </row>
    <row r="3519">
      <c r="A3519" s="2" t="n"/>
    </row>
    <row r="3520">
      <c r="A3520" s="2" t="n"/>
    </row>
    <row r="3521">
      <c r="A3521" s="2" t="n"/>
    </row>
    <row r="3522">
      <c r="A3522" s="2" t="n"/>
    </row>
    <row r="3523">
      <c r="A3523" s="2" t="n"/>
    </row>
    <row r="3524">
      <c r="A3524" s="2" t="n"/>
    </row>
    <row r="3525">
      <c r="A3525" s="2" t="n"/>
    </row>
    <row r="3526">
      <c r="A3526" s="2" t="n"/>
    </row>
    <row r="3527">
      <c r="A3527" s="2" t="n"/>
    </row>
    <row r="3528">
      <c r="A3528" s="2" t="n"/>
    </row>
    <row r="3529">
      <c r="A3529" s="2" t="n"/>
    </row>
    <row r="3530">
      <c r="A3530" s="2" t="n"/>
    </row>
    <row r="3531">
      <c r="A3531" s="2" t="n"/>
    </row>
    <row r="3532">
      <c r="A3532" s="2" t="n"/>
    </row>
    <row r="3533">
      <c r="A3533" s="2" t="n"/>
    </row>
    <row r="3534">
      <c r="A3534" s="2" t="n"/>
    </row>
    <row r="3535">
      <c r="A3535" s="2" t="n"/>
    </row>
    <row r="3536">
      <c r="A3536" s="2" t="n"/>
    </row>
    <row r="3537">
      <c r="A3537" s="2" t="n"/>
    </row>
    <row r="3538">
      <c r="A3538" s="2" t="n"/>
    </row>
    <row r="3539">
      <c r="A3539" s="2" t="n"/>
    </row>
    <row r="3540">
      <c r="A3540" s="2" t="n"/>
    </row>
    <row r="3541">
      <c r="A3541" s="2" t="n"/>
    </row>
    <row r="3542">
      <c r="A3542" s="2" t="n"/>
    </row>
    <row r="3543">
      <c r="A3543" s="2" t="n"/>
    </row>
    <row r="3544">
      <c r="A3544" s="2" t="n"/>
    </row>
    <row r="3545">
      <c r="A3545" s="2" t="n"/>
    </row>
    <row r="3546">
      <c r="A3546" s="2" t="n"/>
    </row>
    <row r="3547">
      <c r="A3547" s="2" t="n"/>
    </row>
    <row r="3548">
      <c r="A3548" s="2" t="n"/>
    </row>
    <row r="3549">
      <c r="A3549" s="2" t="n"/>
    </row>
    <row r="3550">
      <c r="A3550" s="2" t="n"/>
    </row>
    <row r="3551">
      <c r="A3551" s="2" t="n"/>
    </row>
    <row r="3552">
      <c r="A3552" s="2" t="n"/>
    </row>
    <row r="3553">
      <c r="A3553" s="2" t="n"/>
    </row>
    <row r="3554">
      <c r="A3554" s="2" t="n"/>
    </row>
    <row r="3555">
      <c r="A3555" s="2" t="n"/>
    </row>
    <row r="3556">
      <c r="A3556" s="2" t="n"/>
    </row>
    <row r="3557">
      <c r="A3557" s="2" t="n"/>
    </row>
    <row r="3558">
      <c r="A3558" s="2" t="n"/>
    </row>
    <row r="3559">
      <c r="A3559" s="2" t="n"/>
    </row>
    <row r="3560">
      <c r="A3560" s="2" t="n"/>
    </row>
    <row r="3561">
      <c r="A3561" s="2" t="n"/>
    </row>
    <row r="3562">
      <c r="A3562" s="2" t="n"/>
    </row>
    <row r="3563">
      <c r="A3563" s="2" t="n"/>
    </row>
    <row r="3564">
      <c r="A3564" s="2" t="n"/>
    </row>
    <row r="3565">
      <c r="A3565" s="2" t="n"/>
    </row>
    <row r="3566">
      <c r="A3566" s="2" t="n"/>
    </row>
    <row r="3567">
      <c r="A3567" s="2" t="n"/>
    </row>
    <row r="3568">
      <c r="A3568" s="2" t="n"/>
    </row>
    <row r="3569">
      <c r="A3569" s="2" t="n"/>
    </row>
    <row r="3570">
      <c r="A3570" s="2" t="n"/>
    </row>
    <row r="3571">
      <c r="A3571" s="2" t="n"/>
    </row>
    <row r="3572">
      <c r="A3572" s="2" t="n"/>
    </row>
    <row r="3573">
      <c r="A3573" s="2" t="n"/>
    </row>
    <row r="3574">
      <c r="A3574" s="2" t="n"/>
    </row>
    <row r="3575">
      <c r="A3575" s="2" t="n"/>
    </row>
    <row r="3576">
      <c r="A3576" s="2" t="n"/>
    </row>
    <row r="3577">
      <c r="A3577" s="2" t="n"/>
    </row>
    <row r="3578">
      <c r="A3578" s="2" t="n"/>
    </row>
    <row r="3579">
      <c r="A3579" s="2" t="n"/>
    </row>
    <row r="3580">
      <c r="A3580" s="2" t="n"/>
    </row>
    <row r="3581">
      <c r="A3581" s="2" t="n"/>
    </row>
    <row r="3582">
      <c r="A3582" s="2" t="n"/>
    </row>
    <row r="3583">
      <c r="A3583" s="2" t="n"/>
    </row>
    <row r="3584">
      <c r="A3584" s="2" t="n"/>
    </row>
    <row r="3585">
      <c r="A3585" s="2" t="n"/>
    </row>
    <row r="3586">
      <c r="A3586" s="2" t="n"/>
    </row>
    <row r="3587">
      <c r="A3587" s="2" t="n"/>
    </row>
    <row r="3588">
      <c r="A3588" s="2" t="n"/>
    </row>
    <row r="3589">
      <c r="A3589" s="2" t="n"/>
    </row>
    <row r="3590">
      <c r="A3590" s="2" t="n"/>
    </row>
    <row r="3591">
      <c r="A3591" s="2" t="n"/>
    </row>
    <row r="3592">
      <c r="A3592" s="2" t="n"/>
    </row>
    <row r="3593">
      <c r="A3593" s="2" t="n"/>
    </row>
    <row r="3594">
      <c r="A3594" s="2" t="n"/>
    </row>
    <row r="3595">
      <c r="A3595" s="2" t="n"/>
    </row>
    <row r="3596">
      <c r="A3596" s="2" t="n"/>
    </row>
    <row r="3597">
      <c r="A3597" s="2" t="n"/>
    </row>
    <row r="3598">
      <c r="A3598" s="2" t="n"/>
    </row>
    <row r="3599">
      <c r="A3599" s="2" t="n"/>
    </row>
    <row r="3600">
      <c r="A3600" s="2" t="n"/>
    </row>
    <row r="3601">
      <c r="A3601" s="2" t="n"/>
    </row>
    <row r="3602">
      <c r="A3602" s="2" t="n"/>
    </row>
    <row r="3603">
      <c r="A3603" s="2" t="n"/>
    </row>
    <row r="3604">
      <c r="A3604" s="2" t="n"/>
    </row>
    <row r="3605">
      <c r="A3605" s="2" t="n"/>
    </row>
    <row r="3606">
      <c r="A3606" s="2" t="n"/>
    </row>
    <row r="3607">
      <c r="A3607" s="2" t="n"/>
    </row>
    <row r="3608">
      <c r="A3608" s="2" t="n"/>
    </row>
    <row r="3609">
      <c r="A3609" s="2" t="n"/>
    </row>
    <row r="3610">
      <c r="A3610" s="2" t="n"/>
    </row>
    <row r="3611">
      <c r="A3611" s="2" t="n"/>
    </row>
    <row r="3612">
      <c r="A3612" s="2" t="n"/>
    </row>
    <row r="3613">
      <c r="A3613" s="2" t="n"/>
    </row>
    <row r="3614">
      <c r="A3614" s="2" t="n"/>
    </row>
    <row r="3615">
      <c r="A3615" s="2" t="n"/>
    </row>
    <row r="3616">
      <c r="A3616" s="2" t="n"/>
    </row>
    <row r="3617">
      <c r="A3617" s="2" t="n"/>
    </row>
    <row r="3618">
      <c r="A3618" s="2" t="n"/>
    </row>
    <row r="3619">
      <c r="A3619" s="2" t="n"/>
    </row>
    <row r="3620">
      <c r="A3620" s="2" t="n"/>
    </row>
    <row r="3621">
      <c r="A3621" s="2" t="n"/>
    </row>
    <row r="3622">
      <c r="A3622" s="2" t="n"/>
    </row>
    <row r="3623">
      <c r="A3623" s="2" t="n"/>
    </row>
    <row r="3624">
      <c r="A3624" s="2" t="n"/>
    </row>
    <row r="3625">
      <c r="A3625" s="2" t="n"/>
    </row>
    <row r="3626">
      <c r="A3626" s="2" t="n"/>
    </row>
    <row r="3627">
      <c r="A3627" s="2" t="n"/>
    </row>
    <row r="3628">
      <c r="A3628" s="2" t="n"/>
    </row>
    <row r="3629">
      <c r="A3629" s="2" t="n"/>
    </row>
    <row r="3630">
      <c r="A3630" s="2" t="n"/>
    </row>
    <row r="3631">
      <c r="A3631" s="2" t="n"/>
    </row>
    <row r="3632">
      <c r="A3632" s="2" t="n"/>
    </row>
    <row r="3633">
      <c r="A3633" s="2" t="n"/>
    </row>
    <row r="3634">
      <c r="A3634" s="2" t="n"/>
    </row>
    <row r="3635">
      <c r="A3635" s="2" t="n"/>
    </row>
    <row r="3636">
      <c r="A3636" s="2" t="n"/>
    </row>
    <row r="3637">
      <c r="A3637" s="2" t="n"/>
    </row>
    <row r="3638">
      <c r="A3638" s="2" t="n"/>
    </row>
    <row r="3639">
      <c r="A3639" s="2" t="n"/>
    </row>
    <row r="3640">
      <c r="A3640" s="2" t="n"/>
    </row>
    <row r="3641">
      <c r="A3641" s="2" t="n"/>
    </row>
    <row r="3642">
      <c r="A3642" s="2" t="n"/>
    </row>
    <row r="3643">
      <c r="A3643" s="2" t="n"/>
    </row>
    <row r="3644">
      <c r="A3644" s="2" t="n"/>
    </row>
    <row r="3645">
      <c r="A3645" s="2" t="n"/>
    </row>
    <row r="3646">
      <c r="A3646" s="2" t="n"/>
    </row>
    <row r="3647">
      <c r="A3647" s="2" t="n"/>
    </row>
    <row r="3648">
      <c r="A3648" s="2" t="n"/>
    </row>
    <row r="3649">
      <c r="A3649" s="2" t="n"/>
    </row>
    <row r="3650">
      <c r="A3650" s="2" t="n"/>
    </row>
    <row r="3651">
      <c r="A3651" s="2" t="n"/>
    </row>
    <row r="3652">
      <c r="A3652" s="2" t="n"/>
    </row>
    <row r="3653">
      <c r="A3653" s="2" t="n"/>
    </row>
    <row r="3654">
      <c r="A3654" s="2" t="n"/>
    </row>
    <row r="3655">
      <c r="A3655" s="2" t="n"/>
    </row>
    <row r="3656">
      <c r="A3656" s="2" t="n"/>
    </row>
    <row r="3657">
      <c r="A3657" s="2" t="n"/>
    </row>
    <row r="3658">
      <c r="A3658" s="2" t="n"/>
    </row>
    <row r="3659">
      <c r="A3659" s="2" t="n"/>
    </row>
    <row r="3660">
      <c r="A3660" s="2" t="n"/>
    </row>
    <row r="3661">
      <c r="A3661" s="2" t="n"/>
    </row>
    <row r="3662">
      <c r="A3662" s="2" t="n"/>
    </row>
    <row r="3663">
      <c r="A3663" s="2" t="n"/>
    </row>
    <row r="3664">
      <c r="A3664" s="2" t="n"/>
    </row>
    <row r="3665">
      <c r="A3665" s="2" t="n"/>
    </row>
    <row r="3666">
      <c r="A3666" s="2" t="n"/>
    </row>
    <row r="3667">
      <c r="A3667" s="2" t="n"/>
    </row>
    <row r="3668">
      <c r="A3668" s="2" t="n"/>
    </row>
    <row r="3669">
      <c r="A3669" s="2" t="n"/>
    </row>
    <row r="3670">
      <c r="A3670" s="2" t="n"/>
    </row>
    <row r="3671">
      <c r="A3671" s="2" t="n"/>
    </row>
    <row r="3672">
      <c r="A3672" s="2" t="n"/>
    </row>
    <row r="3673">
      <c r="A3673" s="2" t="n"/>
    </row>
    <row r="3674">
      <c r="A3674" s="2" t="n"/>
    </row>
    <row r="3675">
      <c r="A3675" s="2" t="n"/>
    </row>
    <row r="3676">
      <c r="A3676" s="2" t="n"/>
    </row>
    <row r="3677">
      <c r="A3677" s="2" t="n"/>
    </row>
    <row r="3678">
      <c r="A3678" s="2" t="n"/>
    </row>
    <row r="3679">
      <c r="A3679" s="2" t="n"/>
    </row>
    <row r="3680">
      <c r="A3680" s="2" t="n"/>
    </row>
    <row r="3681">
      <c r="A3681" s="2" t="n"/>
    </row>
    <row r="3682">
      <c r="A3682" s="2" t="n"/>
    </row>
    <row r="3683">
      <c r="A3683" s="2" t="n"/>
    </row>
    <row r="3684">
      <c r="A3684" s="2" t="n"/>
    </row>
    <row r="3685">
      <c r="A3685" s="2" t="n"/>
    </row>
    <row r="3686">
      <c r="A3686" s="2" t="n"/>
    </row>
    <row r="3687">
      <c r="A3687" s="2" t="n"/>
    </row>
    <row r="3688">
      <c r="A3688" s="2" t="n"/>
    </row>
    <row r="3689">
      <c r="A3689" s="2" t="n"/>
    </row>
    <row r="3690">
      <c r="A3690" s="2" t="n"/>
    </row>
    <row r="3691">
      <c r="A3691" s="2" t="n"/>
    </row>
    <row r="3692">
      <c r="A3692" s="2" t="n"/>
    </row>
    <row r="3693">
      <c r="A3693" s="2" t="n"/>
    </row>
    <row r="3694">
      <c r="A3694" s="2" t="n"/>
    </row>
    <row r="3695">
      <c r="A3695" s="2" t="n"/>
    </row>
    <row r="3696">
      <c r="A3696" s="2" t="n"/>
    </row>
    <row r="3697">
      <c r="A3697" s="2" t="n"/>
    </row>
    <row r="3698">
      <c r="A3698" s="2" t="n"/>
    </row>
    <row r="3699">
      <c r="A3699" s="2" t="n"/>
    </row>
    <row r="3700">
      <c r="A3700" s="2" t="n"/>
    </row>
    <row r="3701">
      <c r="A3701" s="2" t="n"/>
    </row>
    <row r="3702">
      <c r="A3702" s="2" t="n"/>
    </row>
    <row r="3703">
      <c r="A3703" s="2" t="n"/>
    </row>
    <row r="3704">
      <c r="A3704" s="2" t="n"/>
    </row>
    <row r="3705">
      <c r="A3705" s="2" t="n"/>
    </row>
    <row r="3706">
      <c r="A3706" s="2" t="n"/>
    </row>
    <row r="3707">
      <c r="A3707" s="2" t="n"/>
    </row>
    <row r="3708">
      <c r="A3708" s="2" t="n"/>
    </row>
    <row r="3709">
      <c r="A3709" s="2" t="n"/>
    </row>
    <row r="3710">
      <c r="A3710" s="2" t="n"/>
    </row>
    <row r="3711">
      <c r="A3711" s="2" t="n"/>
    </row>
    <row r="3712">
      <c r="A3712" s="2" t="n"/>
    </row>
    <row r="3713">
      <c r="A3713" s="2" t="n"/>
    </row>
    <row r="3714">
      <c r="A3714" s="2" t="n"/>
    </row>
    <row r="3715">
      <c r="A3715" s="2" t="n"/>
    </row>
    <row r="3716">
      <c r="A3716" s="2" t="n"/>
    </row>
    <row r="3717">
      <c r="A3717" s="2" t="n"/>
    </row>
    <row r="3718">
      <c r="A3718" s="2" t="n"/>
    </row>
    <row r="3719">
      <c r="A3719" s="2" t="n"/>
    </row>
    <row r="3720">
      <c r="A3720" s="2" t="n"/>
    </row>
    <row r="3721">
      <c r="A3721" s="2" t="n"/>
    </row>
    <row r="3722">
      <c r="A3722" s="2" t="n"/>
    </row>
    <row r="3723">
      <c r="A3723" s="2" t="n"/>
    </row>
    <row r="3724">
      <c r="A3724" s="2" t="n"/>
    </row>
    <row r="3725">
      <c r="A3725" s="2" t="n"/>
    </row>
    <row r="3726">
      <c r="A3726" s="2" t="n"/>
    </row>
    <row r="3727">
      <c r="A3727" s="2" t="n"/>
    </row>
    <row r="3728">
      <c r="A3728" s="2" t="n"/>
    </row>
    <row r="3729">
      <c r="A3729" s="2" t="n"/>
    </row>
    <row r="3730">
      <c r="A3730" s="2" t="n"/>
    </row>
    <row r="3731">
      <c r="A3731" s="2" t="n"/>
    </row>
    <row r="3732">
      <c r="A3732" s="2" t="n"/>
    </row>
    <row r="3733">
      <c r="A3733" s="2" t="n"/>
    </row>
    <row r="3734">
      <c r="A3734" s="2" t="n"/>
    </row>
    <row r="3735">
      <c r="A3735" s="2" t="n"/>
    </row>
    <row r="3736">
      <c r="A3736" s="2" t="n"/>
    </row>
    <row r="3737">
      <c r="A3737" s="2" t="n"/>
    </row>
    <row r="3738">
      <c r="A3738" s="2" t="n"/>
    </row>
    <row r="3739">
      <c r="A3739" s="2" t="n"/>
    </row>
    <row r="3740">
      <c r="A3740" s="2" t="n"/>
    </row>
    <row r="3741">
      <c r="A3741" s="2" t="n"/>
    </row>
    <row r="3742">
      <c r="A3742" s="2" t="n"/>
    </row>
    <row r="3743">
      <c r="A3743" s="2" t="n"/>
    </row>
    <row r="3744">
      <c r="A3744" s="2" t="n"/>
    </row>
    <row r="3745">
      <c r="A3745" s="2" t="n"/>
    </row>
    <row r="3746">
      <c r="A3746" s="2" t="n"/>
    </row>
    <row r="3747">
      <c r="A3747" s="2" t="n"/>
    </row>
    <row r="3748">
      <c r="A3748" s="2" t="n"/>
    </row>
    <row r="3749">
      <c r="A3749" s="2" t="n"/>
    </row>
    <row r="3750">
      <c r="A3750" s="2" t="n"/>
    </row>
    <row r="3751">
      <c r="A3751" s="2" t="n"/>
    </row>
    <row r="3752">
      <c r="A3752" s="2" t="n"/>
    </row>
    <row r="3753">
      <c r="A3753" s="2" t="n"/>
    </row>
    <row r="3754">
      <c r="A3754" s="2" t="n"/>
    </row>
    <row r="3755">
      <c r="A3755" s="2" t="n"/>
    </row>
    <row r="3756">
      <c r="A3756" s="2" t="n"/>
    </row>
    <row r="3757">
      <c r="A3757" s="2" t="n"/>
    </row>
    <row r="3758">
      <c r="A3758" s="2" t="n"/>
    </row>
    <row r="3759">
      <c r="A3759" s="2" t="n"/>
    </row>
    <row r="3760">
      <c r="A3760" s="2" t="n"/>
    </row>
    <row r="3761">
      <c r="A3761" s="2" t="n"/>
    </row>
    <row r="3762">
      <c r="A3762" s="2" t="n"/>
    </row>
    <row r="3763">
      <c r="A3763" s="2" t="n"/>
    </row>
    <row r="3764">
      <c r="A3764" s="2" t="n"/>
    </row>
    <row r="3765">
      <c r="A3765" s="2" t="n"/>
    </row>
    <row r="3766">
      <c r="A3766" s="2" t="n"/>
    </row>
    <row r="3767">
      <c r="A3767" s="2" t="n"/>
    </row>
    <row r="3768">
      <c r="A3768" s="2" t="n"/>
    </row>
    <row r="3769">
      <c r="A3769" s="2" t="n"/>
    </row>
    <row r="3770">
      <c r="A3770" s="2" t="n"/>
    </row>
    <row r="3771">
      <c r="A3771" s="2" t="n"/>
    </row>
    <row r="3772">
      <c r="A3772" s="2" t="n"/>
    </row>
    <row r="3773">
      <c r="A3773" s="2" t="n"/>
    </row>
    <row r="3774">
      <c r="A3774" s="2" t="n"/>
    </row>
    <row r="3775">
      <c r="A3775" s="2" t="n"/>
    </row>
    <row r="3776">
      <c r="A3776" s="2" t="n"/>
    </row>
    <row r="3777">
      <c r="A3777" s="2" t="n"/>
    </row>
    <row r="3778">
      <c r="A3778" s="2" t="n"/>
    </row>
    <row r="3779">
      <c r="A3779" s="2" t="n"/>
    </row>
    <row r="3780">
      <c r="A3780" s="2" t="n"/>
    </row>
    <row r="3781">
      <c r="A3781" s="2" t="n"/>
    </row>
    <row r="3782">
      <c r="A3782" s="2" t="n"/>
    </row>
    <row r="3783">
      <c r="A3783" s="2" t="n"/>
    </row>
    <row r="3784">
      <c r="A3784" s="2" t="n"/>
    </row>
    <row r="3785">
      <c r="A3785" s="2" t="n"/>
    </row>
    <row r="3786">
      <c r="A3786" s="2" t="n"/>
    </row>
    <row r="3787">
      <c r="A3787" s="2" t="n"/>
    </row>
    <row r="3788">
      <c r="A3788" s="2" t="n"/>
    </row>
    <row r="3789">
      <c r="A3789" s="2" t="n"/>
    </row>
    <row r="3790">
      <c r="A3790" s="2" t="n"/>
    </row>
    <row r="3791">
      <c r="A3791" s="2" t="n"/>
    </row>
    <row r="3792">
      <c r="A3792" s="2" t="n"/>
    </row>
    <row r="3793">
      <c r="A3793" s="2" t="n"/>
    </row>
    <row r="3794">
      <c r="A3794" s="2" t="n"/>
    </row>
    <row r="3795">
      <c r="A3795" s="2" t="n"/>
    </row>
    <row r="3796">
      <c r="A3796" s="2" t="n"/>
    </row>
    <row r="3797">
      <c r="A3797" s="2" t="n"/>
    </row>
    <row r="3798">
      <c r="A3798" s="2" t="n"/>
    </row>
    <row r="3799">
      <c r="A3799" s="2" t="n"/>
    </row>
    <row r="3800">
      <c r="A3800" s="2" t="n"/>
    </row>
    <row r="3801">
      <c r="A3801" s="2" t="n"/>
    </row>
    <row r="3802">
      <c r="A3802" s="2" t="n"/>
    </row>
    <row r="3803">
      <c r="A3803" s="2" t="n"/>
    </row>
    <row r="3804">
      <c r="A3804" s="2" t="n"/>
    </row>
    <row r="3805">
      <c r="A3805" s="2" t="n"/>
    </row>
    <row r="3806">
      <c r="A3806" s="2" t="n"/>
    </row>
    <row r="3807">
      <c r="A3807" s="2" t="n"/>
    </row>
    <row r="3808">
      <c r="A3808" s="2" t="n"/>
    </row>
    <row r="3809">
      <c r="A3809" s="2" t="n"/>
    </row>
    <row r="3810">
      <c r="A3810" s="2" t="n"/>
    </row>
    <row r="3811">
      <c r="A3811" s="2" t="n"/>
    </row>
    <row r="3812">
      <c r="A3812" s="2" t="n"/>
    </row>
    <row r="3813">
      <c r="A3813" s="2" t="n"/>
    </row>
    <row r="3814">
      <c r="A3814" s="2" t="n"/>
    </row>
    <row r="3815">
      <c r="A3815" s="2" t="n"/>
    </row>
    <row r="3816">
      <c r="A3816" s="2" t="n"/>
    </row>
    <row r="3817">
      <c r="A3817" s="2" t="n"/>
    </row>
    <row r="3818">
      <c r="A3818" s="2" t="n"/>
    </row>
    <row r="3819">
      <c r="A3819" s="2" t="n"/>
    </row>
    <row r="3820">
      <c r="A3820" s="2" t="n"/>
    </row>
    <row r="3821">
      <c r="A3821" s="2" t="n"/>
    </row>
    <row r="3822">
      <c r="A3822" s="2" t="n"/>
    </row>
    <row r="3823">
      <c r="A3823" s="2" t="n"/>
    </row>
    <row r="3824">
      <c r="A3824" s="2" t="n"/>
    </row>
    <row r="3825">
      <c r="A3825" s="2" t="n"/>
    </row>
    <row r="3826">
      <c r="A3826" s="2" t="n"/>
    </row>
    <row r="3827">
      <c r="A3827" s="2" t="n"/>
    </row>
    <row r="3828">
      <c r="A3828" s="2" t="n"/>
    </row>
    <row r="3829">
      <c r="A3829" s="2" t="n"/>
    </row>
    <row r="3830">
      <c r="A3830" s="2" t="n"/>
    </row>
    <row r="3831">
      <c r="A3831" s="2" t="n"/>
    </row>
    <row r="3832">
      <c r="A3832" s="2" t="n"/>
    </row>
    <row r="3833">
      <c r="A3833" s="2" t="n"/>
    </row>
    <row r="3834">
      <c r="A3834" s="2" t="n"/>
    </row>
    <row r="3835">
      <c r="A3835" s="2" t="n"/>
    </row>
    <row r="3836">
      <c r="A3836" s="2" t="n"/>
    </row>
    <row r="3837">
      <c r="A3837" s="2" t="n"/>
    </row>
    <row r="3838">
      <c r="A3838" s="2" t="n"/>
    </row>
    <row r="3839">
      <c r="A3839" s="2" t="n"/>
    </row>
    <row r="3840">
      <c r="A3840" s="2" t="n"/>
    </row>
    <row r="3841">
      <c r="A3841" s="2" t="n"/>
    </row>
    <row r="3842">
      <c r="A3842" s="2" t="n"/>
    </row>
    <row r="3843">
      <c r="A3843" s="2" t="n"/>
    </row>
    <row r="3844">
      <c r="A3844" s="2" t="n"/>
    </row>
    <row r="3845">
      <c r="A3845" s="2" t="n"/>
    </row>
    <row r="3846">
      <c r="A3846" s="2" t="n"/>
    </row>
    <row r="3847">
      <c r="A3847" s="2" t="n"/>
    </row>
    <row r="3848">
      <c r="A3848" s="2" t="n"/>
    </row>
    <row r="3849">
      <c r="A3849" s="2" t="n"/>
    </row>
    <row r="3850">
      <c r="A3850" s="2" t="n"/>
    </row>
    <row r="3851">
      <c r="A3851" s="2" t="n"/>
    </row>
    <row r="3852">
      <c r="A3852" s="2" t="n"/>
    </row>
    <row r="3853">
      <c r="A3853" s="2" t="n"/>
    </row>
    <row r="3854">
      <c r="A3854" s="2" t="n"/>
    </row>
    <row r="3855">
      <c r="A3855" s="2" t="n"/>
    </row>
    <row r="3856">
      <c r="A3856" s="2" t="n"/>
    </row>
    <row r="3857">
      <c r="A3857" s="2" t="n"/>
    </row>
    <row r="3858">
      <c r="A3858" s="2" t="n"/>
    </row>
    <row r="3859">
      <c r="A3859" s="2" t="n"/>
    </row>
    <row r="3860">
      <c r="A3860" s="2" t="n"/>
    </row>
    <row r="3861">
      <c r="A3861" s="2" t="n"/>
    </row>
    <row r="3862">
      <c r="A3862" s="2" t="n"/>
    </row>
    <row r="3863">
      <c r="A3863" s="2" t="n"/>
    </row>
    <row r="3864">
      <c r="A3864" s="2" t="n"/>
    </row>
    <row r="3865">
      <c r="A3865" s="2" t="n"/>
    </row>
    <row r="3866">
      <c r="A3866" s="2" t="n"/>
    </row>
    <row r="3867">
      <c r="A3867" s="2" t="n"/>
    </row>
    <row r="3868">
      <c r="A3868" s="2" t="n"/>
    </row>
    <row r="3869">
      <c r="A3869" s="2" t="n"/>
    </row>
    <row r="3870">
      <c r="A3870" s="2" t="n"/>
    </row>
    <row r="3871">
      <c r="A3871" s="2" t="n"/>
    </row>
    <row r="3872">
      <c r="A3872" s="2" t="n"/>
    </row>
    <row r="3873">
      <c r="A3873" s="2" t="n"/>
    </row>
    <row r="3874">
      <c r="A3874" s="2" t="n"/>
    </row>
    <row r="3875">
      <c r="A3875" s="2" t="n"/>
    </row>
    <row r="3876">
      <c r="A3876" s="2" t="n"/>
    </row>
    <row r="3877">
      <c r="A3877" s="2" t="n"/>
    </row>
    <row r="3878">
      <c r="A3878" s="2" t="n"/>
    </row>
    <row r="3879">
      <c r="A3879" s="2" t="n"/>
    </row>
    <row r="3880">
      <c r="A3880" s="2" t="n"/>
    </row>
    <row r="3881">
      <c r="A3881" s="2" t="n"/>
    </row>
    <row r="3882">
      <c r="A3882" s="2" t="n"/>
    </row>
    <row r="3883">
      <c r="A3883" s="2" t="n"/>
    </row>
    <row r="3884">
      <c r="A3884" s="2" t="n"/>
    </row>
    <row r="3885">
      <c r="A3885" s="2" t="n"/>
    </row>
    <row r="3886">
      <c r="A3886" s="2" t="n"/>
    </row>
    <row r="3887">
      <c r="A3887" s="2" t="n"/>
    </row>
    <row r="3888">
      <c r="A3888" s="2" t="n"/>
    </row>
    <row r="3889">
      <c r="A3889" s="2" t="n"/>
    </row>
    <row r="3890">
      <c r="A3890" s="2" t="n"/>
    </row>
    <row r="3891">
      <c r="A3891" s="2" t="n"/>
    </row>
    <row r="3892">
      <c r="A3892" s="2" t="n"/>
    </row>
    <row r="3893">
      <c r="A3893" s="2" t="n"/>
    </row>
    <row r="3894">
      <c r="A3894" s="2" t="n"/>
    </row>
    <row r="3895">
      <c r="A3895" s="2" t="n"/>
    </row>
    <row r="3896">
      <c r="A3896" s="2" t="n"/>
    </row>
    <row r="3897">
      <c r="A3897" s="2" t="n"/>
    </row>
    <row r="3898">
      <c r="A3898" s="2" t="n"/>
    </row>
    <row r="3899">
      <c r="A3899" s="2" t="n"/>
    </row>
    <row r="3900">
      <c r="A3900" s="2" t="n"/>
    </row>
    <row r="3901">
      <c r="A3901" s="2" t="n"/>
    </row>
    <row r="3902">
      <c r="A3902" s="2" t="n"/>
    </row>
    <row r="3903">
      <c r="A3903" s="2" t="n"/>
    </row>
    <row r="3904">
      <c r="A3904" s="2" t="n"/>
    </row>
    <row r="3905">
      <c r="A3905" s="2" t="n"/>
    </row>
    <row r="3906">
      <c r="A3906" s="2" t="n"/>
    </row>
    <row r="3907">
      <c r="A3907" s="2" t="n"/>
    </row>
    <row r="3908">
      <c r="A3908" s="2" t="n"/>
    </row>
    <row r="3909">
      <c r="A3909" s="2" t="n"/>
    </row>
    <row r="3910">
      <c r="A3910" s="2" t="n"/>
    </row>
    <row r="3911">
      <c r="A3911" s="2" t="n"/>
    </row>
    <row r="3912">
      <c r="A3912" s="2" t="n"/>
    </row>
    <row r="3913">
      <c r="A3913" s="2" t="n"/>
    </row>
    <row r="3914">
      <c r="A3914" s="2" t="n"/>
    </row>
    <row r="3915">
      <c r="A3915" s="2" t="n"/>
    </row>
    <row r="3916">
      <c r="A3916" s="2" t="n"/>
    </row>
    <row r="3917">
      <c r="A3917" s="2" t="n"/>
    </row>
    <row r="3918">
      <c r="A3918" s="2" t="n"/>
    </row>
    <row r="3919">
      <c r="A3919" s="2" t="n"/>
    </row>
    <row r="3920">
      <c r="A3920" s="2" t="n"/>
    </row>
    <row r="3921">
      <c r="A3921" s="2" t="n"/>
    </row>
    <row r="3922">
      <c r="A3922" s="2" t="n"/>
    </row>
    <row r="3923">
      <c r="A3923" s="2" t="n"/>
    </row>
    <row r="3924">
      <c r="A3924" s="2" t="n"/>
    </row>
    <row r="3925">
      <c r="A3925" s="2" t="n"/>
    </row>
    <row r="3926">
      <c r="A3926" s="2" t="n"/>
    </row>
    <row r="3927">
      <c r="A3927" s="2" t="n"/>
    </row>
    <row r="3928">
      <c r="A3928" s="2" t="n"/>
    </row>
    <row r="3929">
      <c r="A3929" s="2" t="n"/>
    </row>
    <row r="3930">
      <c r="A3930" s="2" t="n"/>
    </row>
    <row r="3931">
      <c r="A3931" s="2" t="n"/>
    </row>
    <row r="3932">
      <c r="A3932" s="2" t="n"/>
    </row>
    <row r="3933">
      <c r="A3933" s="2" t="n"/>
    </row>
    <row r="3934">
      <c r="A3934" s="2" t="n"/>
    </row>
    <row r="3935">
      <c r="A3935" s="2" t="n"/>
    </row>
    <row r="3936">
      <c r="A3936" s="2" t="n"/>
    </row>
    <row r="3937">
      <c r="A3937" s="2" t="n"/>
    </row>
    <row r="3938">
      <c r="A3938" s="2" t="n"/>
    </row>
    <row r="3939">
      <c r="A3939" s="2" t="n"/>
    </row>
    <row r="3940">
      <c r="A3940" s="2" t="n"/>
    </row>
    <row r="3941">
      <c r="A3941" s="2" t="n"/>
    </row>
    <row r="3942">
      <c r="A3942" s="2" t="n"/>
    </row>
    <row r="3943">
      <c r="A3943" s="2" t="n"/>
    </row>
    <row r="3944">
      <c r="A3944" s="2" t="n"/>
    </row>
    <row r="3945">
      <c r="A3945" s="2" t="n"/>
    </row>
    <row r="3946">
      <c r="A3946" s="2" t="n"/>
    </row>
    <row r="3947">
      <c r="A3947" s="2" t="n"/>
    </row>
    <row r="3948">
      <c r="A3948" s="2" t="n"/>
    </row>
    <row r="3949">
      <c r="A3949" s="2" t="n"/>
    </row>
    <row r="3950">
      <c r="A3950" s="2" t="n"/>
    </row>
    <row r="3951">
      <c r="A3951" s="2" t="n"/>
    </row>
    <row r="3952">
      <c r="A3952" s="2" t="n"/>
    </row>
    <row r="3953">
      <c r="A3953" s="2" t="n"/>
    </row>
    <row r="3954">
      <c r="A3954" s="2" t="n"/>
    </row>
    <row r="3955">
      <c r="A3955" s="2" t="n"/>
    </row>
    <row r="3956">
      <c r="A3956" s="2" t="n"/>
    </row>
    <row r="3957">
      <c r="A3957" s="2" t="n"/>
    </row>
    <row r="3958">
      <c r="A3958" s="2" t="n"/>
    </row>
    <row r="3959">
      <c r="A3959" s="2" t="n"/>
    </row>
    <row r="3960">
      <c r="A3960" s="2" t="n"/>
    </row>
    <row r="3961">
      <c r="A3961" s="2" t="n"/>
    </row>
    <row r="3962">
      <c r="A3962" s="2" t="n"/>
    </row>
    <row r="3963">
      <c r="A3963" s="2" t="n"/>
    </row>
    <row r="3964">
      <c r="A3964" s="2" t="n"/>
    </row>
    <row r="3965">
      <c r="A3965" s="2" t="n"/>
    </row>
    <row r="3966">
      <c r="A3966" s="2" t="n"/>
    </row>
    <row r="3967">
      <c r="A3967" s="2" t="n"/>
    </row>
    <row r="3968">
      <c r="A3968" s="2" t="n"/>
    </row>
    <row r="3969">
      <c r="A3969" s="2" t="n"/>
    </row>
    <row r="3970">
      <c r="A3970" s="2" t="n"/>
    </row>
    <row r="3971">
      <c r="A3971" s="2" t="n"/>
    </row>
    <row r="3972">
      <c r="A3972" s="2" t="n"/>
    </row>
    <row r="3973">
      <c r="A3973" s="2" t="n"/>
    </row>
    <row r="3974">
      <c r="A3974" s="2" t="n"/>
    </row>
    <row r="3975">
      <c r="A3975" s="2" t="n"/>
    </row>
    <row r="3976">
      <c r="A3976" s="2" t="n"/>
    </row>
    <row r="3977">
      <c r="A3977" s="2" t="n"/>
    </row>
    <row r="3978">
      <c r="A3978" s="2" t="n"/>
    </row>
    <row r="3979">
      <c r="A3979" s="2" t="n"/>
    </row>
    <row r="3980">
      <c r="A3980" s="2" t="n"/>
    </row>
    <row r="3981">
      <c r="A3981" s="2" t="n"/>
    </row>
    <row r="3982">
      <c r="A3982" s="2" t="n"/>
    </row>
    <row r="3983">
      <c r="A3983" s="2" t="n"/>
    </row>
    <row r="3984">
      <c r="A3984" s="2" t="n"/>
    </row>
    <row r="3985">
      <c r="A3985" s="2" t="n"/>
    </row>
    <row r="3986">
      <c r="A3986" s="2" t="n"/>
    </row>
    <row r="3987">
      <c r="A3987" s="2" t="n"/>
    </row>
    <row r="3988">
      <c r="A3988" s="2" t="n"/>
    </row>
    <row r="3989">
      <c r="A3989" s="2" t="n"/>
    </row>
    <row r="3990">
      <c r="A3990" s="2" t="n"/>
    </row>
    <row r="3991">
      <c r="A3991" s="2" t="n"/>
    </row>
    <row r="3992">
      <c r="A3992" s="2" t="n"/>
    </row>
    <row r="3993">
      <c r="A3993" s="2" t="n"/>
    </row>
    <row r="3994">
      <c r="A3994" s="2" t="n"/>
    </row>
    <row r="3995">
      <c r="A3995" s="2" t="n"/>
    </row>
    <row r="3996">
      <c r="A3996" s="2" t="n"/>
    </row>
    <row r="3997">
      <c r="A3997" s="2" t="n"/>
    </row>
    <row r="3998">
      <c r="A3998" s="2" t="n"/>
    </row>
    <row r="3999">
      <c r="A3999" s="2" t="n"/>
    </row>
    <row r="4000">
      <c r="A4000" s="2" t="n"/>
    </row>
    <row r="4001">
      <c r="A4001" s="2" t="n"/>
    </row>
    <row r="4002">
      <c r="A4002" s="2" t="n"/>
    </row>
    <row r="4003">
      <c r="A4003" s="2" t="n"/>
    </row>
    <row r="4004">
      <c r="A4004" s="2" t="n"/>
    </row>
    <row r="4005">
      <c r="A4005" s="2" t="n"/>
    </row>
    <row r="4006">
      <c r="A4006" s="2" t="n"/>
    </row>
    <row r="4007">
      <c r="A4007" s="2" t="n"/>
    </row>
    <row r="4008">
      <c r="A4008" s="2" t="n"/>
    </row>
    <row r="4009">
      <c r="A4009" s="2" t="n"/>
    </row>
    <row r="4010">
      <c r="A4010" s="2" t="n"/>
    </row>
    <row r="4011">
      <c r="A4011" s="2" t="n"/>
    </row>
    <row r="4012">
      <c r="A4012" s="2" t="n"/>
    </row>
    <row r="4013">
      <c r="A4013" s="2" t="n"/>
    </row>
    <row r="4014">
      <c r="A4014" s="2" t="n"/>
    </row>
    <row r="4015">
      <c r="A4015" s="2" t="n"/>
    </row>
    <row r="4016">
      <c r="A4016" s="2" t="n"/>
    </row>
    <row r="4017">
      <c r="A4017" s="2" t="n"/>
    </row>
    <row r="4018">
      <c r="A4018" s="2" t="n"/>
    </row>
    <row r="4019">
      <c r="A4019" s="2" t="n"/>
    </row>
    <row r="4020">
      <c r="A4020" s="2" t="n"/>
    </row>
    <row r="4021">
      <c r="A4021" s="2" t="n"/>
    </row>
    <row r="4022">
      <c r="A4022" s="2" t="n"/>
    </row>
    <row r="4023">
      <c r="A4023" s="2" t="n"/>
    </row>
    <row r="4024">
      <c r="A4024" s="2" t="n"/>
    </row>
    <row r="4025">
      <c r="A4025" s="2" t="n"/>
    </row>
    <row r="4026">
      <c r="A4026" s="2" t="n"/>
    </row>
    <row r="4027">
      <c r="A4027" s="2" t="n"/>
    </row>
    <row r="4028">
      <c r="A4028" s="2" t="n"/>
    </row>
    <row r="4029">
      <c r="A4029" s="2" t="n"/>
    </row>
    <row r="4030">
      <c r="A4030" s="2" t="n"/>
    </row>
    <row r="4031">
      <c r="A4031" s="2" t="n"/>
    </row>
    <row r="4032">
      <c r="A4032" s="2" t="n"/>
    </row>
    <row r="4033">
      <c r="A4033" s="2" t="n"/>
    </row>
    <row r="4034">
      <c r="A4034" s="2" t="n"/>
    </row>
    <row r="4035">
      <c r="A4035" s="2" t="n"/>
    </row>
    <row r="4036">
      <c r="A4036" s="2" t="n"/>
    </row>
    <row r="4037">
      <c r="A4037" s="2" t="n"/>
    </row>
    <row r="4038">
      <c r="A4038" s="2" t="n"/>
    </row>
    <row r="4039">
      <c r="A4039" s="2" t="n"/>
    </row>
    <row r="4040">
      <c r="A4040" s="2" t="n"/>
    </row>
    <row r="4041">
      <c r="A4041" s="2" t="n"/>
    </row>
    <row r="4042">
      <c r="A4042" s="2" t="n"/>
    </row>
    <row r="4043">
      <c r="A4043" s="2" t="n"/>
    </row>
    <row r="4044">
      <c r="A4044" s="2" t="n"/>
    </row>
    <row r="4045">
      <c r="A4045" s="2" t="n"/>
    </row>
    <row r="4046">
      <c r="A4046" s="2" t="n"/>
    </row>
    <row r="4047">
      <c r="A4047" s="2" t="n"/>
    </row>
    <row r="4048">
      <c r="A4048" s="2" t="n"/>
    </row>
    <row r="4049">
      <c r="A4049" s="2" t="n"/>
    </row>
    <row r="4050">
      <c r="A4050" s="2" t="n"/>
    </row>
    <row r="4051">
      <c r="A4051" s="2" t="n"/>
    </row>
    <row r="4052">
      <c r="A4052" s="2" t="n"/>
    </row>
    <row r="4053">
      <c r="A4053" s="2" t="n"/>
    </row>
    <row r="4054">
      <c r="A4054" s="2" t="n"/>
    </row>
    <row r="4055">
      <c r="A4055" s="2" t="n"/>
    </row>
    <row r="4056">
      <c r="A4056" s="2" t="n"/>
    </row>
    <row r="4057">
      <c r="A4057" s="2" t="n"/>
    </row>
    <row r="4058">
      <c r="A4058" s="2" t="n"/>
    </row>
    <row r="4059">
      <c r="A4059" s="2" t="n"/>
    </row>
    <row r="4060">
      <c r="A4060" s="2" t="n"/>
    </row>
    <row r="4061">
      <c r="A4061" s="2" t="n"/>
    </row>
    <row r="4062">
      <c r="A4062" s="2" t="n"/>
    </row>
    <row r="4063">
      <c r="A4063" s="2" t="n"/>
    </row>
    <row r="4064">
      <c r="A4064" s="2" t="n"/>
    </row>
    <row r="4065">
      <c r="A4065" s="2" t="n"/>
    </row>
    <row r="4066">
      <c r="A4066" s="2" t="n"/>
    </row>
    <row r="4067">
      <c r="A4067" s="2" t="n"/>
    </row>
    <row r="4068">
      <c r="A4068" s="2" t="n"/>
    </row>
    <row r="4069">
      <c r="A4069" s="2" t="n"/>
    </row>
    <row r="4070">
      <c r="A4070" s="2" t="n"/>
    </row>
    <row r="4071">
      <c r="A4071" s="2" t="n"/>
    </row>
    <row r="4072">
      <c r="A4072" s="2" t="n"/>
    </row>
    <row r="4073">
      <c r="A4073" s="2" t="n"/>
    </row>
    <row r="4074">
      <c r="A4074" s="2" t="n"/>
    </row>
    <row r="4075">
      <c r="A4075" s="2" t="n"/>
    </row>
    <row r="4076">
      <c r="A4076" s="2" t="n"/>
    </row>
    <row r="4077">
      <c r="A4077" s="2" t="n"/>
    </row>
    <row r="4078">
      <c r="A4078" s="2" t="n"/>
    </row>
    <row r="4079">
      <c r="A4079" s="2" t="n"/>
    </row>
    <row r="4080">
      <c r="A4080" s="2" t="n"/>
    </row>
    <row r="4081">
      <c r="A4081" s="2" t="n"/>
    </row>
    <row r="4082">
      <c r="A4082" s="2" t="n"/>
    </row>
    <row r="4083">
      <c r="A4083" s="2" t="n"/>
    </row>
    <row r="4084">
      <c r="A4084" s="2" t="n"/>
    </row>
    <row r="4085">
      <c r="A4085" s="2" t="n"/>
    </row>
    <row r="4086">
      <c r="A4086" s="2" t="n"/>
    </row>
    <row r="4087">
      <c r="A4087" s="2" t="n"/>
    </row>
    <row r="4088">
      <c r="A4088" s="2" t="n"/>
    </row>
    <row r="4089">
      <c r="A4089" s="2" t="n"/>
    </row>
    <row r="4090">
      <c r="A4090" s="2" t="n"/>
    </row>
    <row r="4091">
      <c r="A4091" s="2" t="n"/>
    </row>
    <row r="4092">
      <c r="A4092" s="2" t="n"/>
    </row>
    <row r="4093">
      <c r="A4093" s="2" t="n"/>
    </row>
    <row r="4094">
      <c r="A4094" s="2" t="n"/>
    </row>
    <row r="4095">
      <c r="A4095" s="2" t="n"/>
    </row>
    <row r="4096">
      <c r="A4096" s="2" t="n"/>
    </row>
    <row r="4097">
      <c r="A4097" s="2" t="n"/>
    </row>
    <row r="4098">
      <c r="A4098" s="2" t="n"/>
    </row>
    <row r="4099">
      <c r="A4099" s="2" t="n"/>
    </row>
    <row r="4100">
      <c r="A4100" s="2" t="n"/>
    </row>
    <row r="4101">
      <c r="A4101" s="2" t="n"/>
    </row>
    <row r="4102">
      <c r="A4102" s="2" t="n"/>
    </row>
    <row r="4103">
      <c r="A4103" s="2" t="n"/>
    </row>
    <row r="4104">
      <c r="A4104" s="2" t="n"/>
    </row>
    <row r="4105">
      <c r="A4105" s="2" t="n"/>
    </row>
    <row r="4106">
      <c r="A4106" s="2" t="n"/>
    </row>
    <row r="4107">
      <c r="A4107" s="2" t="n"/>
    </row>
    <row r="4108">
      <c r="A4108" s="2" t="n"/>
    </row>
    <row r="4109">
      <c r="A4109" s="2" t="n"/>
    </row>
    <row r="4110">
      <c r="A4110" s="2" t="n"/>
    </row>
    <row r="4111">
      <c r="A4111" s="2" t="n"/>
    </row>
    <row r="4112">
      <c r="A4112" s="2" t="n"/>
    </row>
    <row r="4113">
      <c r="A4113" s="2" t="n"/>
    </row>
    <row r="4114">
      <c r="A4114" s="2" t="n"/>
    </row>
    <row r="4115">
      <c r="A4115" s="2" t="n"/>
    </row>
    <row r="4116">
      <c r="A4116" s="2" t="n"/>
    </row>
    <row r="4117">
      <c r="A4117" s="2" t="n"/>
    </row>
    <row r="4118">
      <c r="A4118" s="2" t="n"/>
    </row>
    <row r="4119">
      <c r="A4119" s="2" t="n"/>
    </row>
    <row r="4120">
      <c r="A4120" s="2" t="n"/>
    </row>
    <row r="4121">
      <c r="A4121" s="2" t="n"/>
    </row>
    <row r="4122">
      <c r="A4122" s="2" t="n"/>
    </row>
    <row r="4123">
      <c r="A4123" s="2" t="n"/>
    </row>
    <row r="4124">
      <c r="A4124" s="2" t="n"/>
    </row>
    <row r="4125">
      <c r="A4125" s="2" t="n"/>
    </row>
    <row r="4126">
      <c r="A4126" s="2" t="n"/>
    </row>
    <row r="4127">
      <c r="A4127" s="2" t="n"/>
    </row>
    <row r="4128">
      <c r="A4128" s="2" t="n"/>
    </row>
    <row r="4129">
      <c r="A4129" s="2" t="n"/>
    </row>
    <row r="4130">
      <c r="A4130" s="2" t="n"/>
    </row>
    <row r="4131">
      <c r="A4131" s="2" t="n"/>
    </row>
    <row r="4132">
      <c r="A4132" s="2" t="n"/>
    </row>
    <row r="4133">
      <c r="A4133" s="2" t="n"/>
    </row>
    <row r="4134">
      <c r="A4134" s="2" t="n"/>
    </row>
    <row r="4135">
      <c r="A4135" s="2" t="n"/>
    </row>
    <row r="4136">
      <c r="A4136" s="2" t="n"/>
    </row>
    <row r="4137">
      <c r="A4137" s="2" t="n"/>
    </row>
    <row r="4138">
      <c r="A4138" s="2" t="n"/>
    </row>
    <row r="4139">
      <c r="A4139" s="2" t="n"/>
    </row>
    <row r="4140">
      <c r="A4140" s="2" t="n"/>
    </row>
    <row r="4141">
      <c r="A4141" s="2" t="n"/>
    </row>
    <row r="4142">
      <c r="A4142" s="2" t="n"/>
    </row>
    <row r="4143">
      <c r="A4143" s="2" t="n"/>
    </row>
    <row r="4144">
      <c r="A4144" s="2" t="n"/>
    </row>
    <row r="4145">
      <c r="A4145" s="2" t="n"/>
    </row>
    <row r="4146">
      <c r="A4146" s="2" t="n"/>
    </row>
    <row r="4147">
      <c r="A4147" s="2" t="n"/>
    </row>
    <row r="4148">
      <c r="A4148" s="2" t="n"/>
    </row>
    <row r="4149">
      <c r="A4149" s="2" t="n"/>
    </row>
    <row r="4150">
      <c r="A4150" s="2" t="n"/>
    </row>
    <row r="4151">
      <c r="A4151" s="2" t="n"/>
    </row>
    <row r="4152">
      <c r="A4152" s="2" t="n"/>
    </row>
    <row r="4153">
      <c r="A4153" s="2" t="n"/>
    </row>
    <row r="4154">
      <c r="A4154" s="2" t="n"/>
    </row>
    <row r="4155">
      <c r="A4155" s="2" t="n"/>
    </row>
    <row r="4156">
      <c r="A4156" s="2" t="n"/>
    </row>
    <row r="4157">
      <c r="A4157" s="2" t="n"/>
    </row>
    <row r="4158">
      <c r="A4158" s="2" t="n"/>
    </row>
    <row r="4159">
      <c r="A4159" s="2" t="n"/>
    </row>
    <row r="4160">
      <c r="A4160" s="2" t="n"/>
    </row>
    <row r="4161">
      <c r="A4161" s="2" t="n"/>
    </row>
    <row r="4162">
      <c r="A4162" s="2" t="n"/>
    </row>
    <row r="4163">
      <c r="A4163" s="2" t="n"/>
    </row>
    <row r="4164">
      <c r="A4164" s="2" t="n"/>
    </row>
    <row r="4165">
      <c r="A4165" s="2" t="n"/>
    </row>
    <row r="4166">
      <c r="A4166" s="2" t="n"/>
    </row>
    <row r="4167">
      <c r="A4167" s="2" t="n"/>
    </row>
    <row r="4168">
      <c r="A4168" s="2" t="n"/>
    </row>
    <row r="4169">
      <c r="A4169" s="2" t="n"/>
    </row>
    <row r="4170">
      <c r="A4170" s="2" t="n"/>
    </row>
    <row r="4171">
      <c r="A4171" s="2" t="n"/>
    </row>
    <row r="4172">
      <c r="A4172" s="2" t="n"/>
    </row>
    <row r="4173">
      <c r="A4173" s="2" t="n"/>
    </row>
    <row r="4174">
      <c r="A4174" s="2" t="n"/>
    </row>
    <row r="4175">
      <c r="A4175" s="2" t="n"/>
    </row>
    <row r="4176">
      <c r="A4176" s="2" t="n"/>
    </row>
    <row r="4177">
      <c r="A4177" s="2" t="n"/>
    </row>
    <row r="4178">
      <c r="A4178" s="2" t="n"/>
    </row>
    <row r="4179">
      <c r="A4179" s="2" t="n"/>
    </row>
    <row r="4180">
      <c r="A4180" s="2" t="n"/>
    </row>
    <row r="4181">
      <c r="A4181" s="2" t="n"/>
    </row>
    <row r="4182">
      <c r="A4182" s="2" t="n"/>
    </row>
    <row r="4183">
      <c r="A4183" s="2" t="n"/>
    </row>
    <row r="4184">
      <c r="A4184" s="2" t="n"/>
    </row>
    <row r="4185">
      <c r="A4185" s="2" t="n"/>
    </row>
    <row r="4186">
      <c r="A4186" s="2" t="n"/>
    </row>
    <row r="4187">
      <c r="A4187" s="2" t="n"/>
    </row>
    <row r="4188">
      <c r="A4188" s="2" t="n"/>
    </row>
    <row r="4189">
      <c r="A4189" s="2" t="n"/>
    </row>
    <row r="4190">
      <c r="A4190" s="2" t="n"/>
    </row>
    <row r="4191">
      <c r="A4191" s="2" t="n"/>
    </row>
    <row r="4192">
      <c r="A4192" s="2" t="n"/>
    </row>
    <row r="4193">
      <c r="A4193" s="2" t="n"/>
    </row>
    <row r="4194">
      <c r="A4194" s="2" t="n"/>
    </row>
    <row r="4195">
      <c r="A4195" s="2" t="n"/>
    </row>
    <row r="4196">
      <c r="A4196" s="2" t="n"/>
    </row>
    <row r="4197">
      <c r="A4197" s="2" t="n"/>
    </row>
    <row r="4198">
      <c r="A4198" s="2" t="n"/>
    </row>
    <row r="4199">
      <c r="A4199" s="2" t="n"/>
    </row>
    <row r="4200">
      <c r="A4200" s="2" t="n"/>
    </row>
    <row r="4201">
      <c r="A4201" s="2" t="n"/>
    </row>
    <row r="4202">
      <c r="A4202" s="2" t="n"/>
    </row>
    <row r="4203">
      <c r="A4203" s="2" t="n"/>
    </row>
    <row r="4204">
      <c r="A4204" s="2" t="n"/>
    </row>
    <row r="4205">
      <c r="A4205" s="2" t="n"/>
    </row>
    <row r="4206">
      <c r="A4206" s="2" t="n"/>
    </row>
    <row r="4207">
      <c r="A4207" s="2" t="n"/>
    </row>
    <row r="4208">
      <c r="A4208" s="2" t="n"/>
    </row>
    <row r="4209">
      <c r="A4209" s="2" t="n"/>
    </row>
    <row r="4210">
      <c r="A4210" s="2" t="n"/>
    </row>
    <row r="4211">
      <c r="A4211" s="2" t="n"/>
    </row>
    <row r="4212">
      <c r="A4212" s="2" t="n"/>
    </row>
    <row r="4213">
      <c r="A4213" s="2" t="n"/>
    </row>
    <row r="4214">
      <c r="A4214" s="2" t="n"/>
    </row>
    <row r="4215">
      <c r="A4215" s="2" t="n"/>
    </row>
    <row r="4216">
      <c r="A4216" s="2" t="n"/>
    </row>
    <row r="4217">
      <c r="A4217" s="2" t="n"/>
    </row>
    <row r="4218">
      <c r="A4218" s="2" t="n"/>
    </row>
    <row r="4219">
      <c r="A4219" s="2" t="n"/>
    </row>
    <row r="4220">
      <c r="A4220" s="2" t="n"/>
    </row>
    <row r="4221">
      <c r="A4221" s="2" t="n"/>
    </row>
    <row r="4222">
      <c r="A4222" s="2" t="n"/>
    </row>
    <row r="4223">
      <c r="A4223" s="2" t="n"/>
    </row>
    <row r="4224">
      <c r="A4224" s="2" t="n"/>
    </row>
    <row r="4225">
      <c r="A4225" s="2" t="n"/>
    </row>
    <row r="4226">
      <c r="A4226" s="2" t="n"/>
    </row>
    <row r="4227">
      <c r="A4227" s="2" t="n"/>
    </row>
    <row r="4228">
      <c r="A4228" s="2" t="n"/>
    </row>
    <row r="4229">
      <c r="A4229" s="2" t="n"/>
    </row>
    <row r="4230">
      <c r="A4230" s="2" t="n"/>
    </row>
    <row r="4231">
      <c r="A4231" s="2" t="n"/>
    </row>
    <row r="4232">
      <c r="A4232" s="2" t="n"/>
    </row>
    <row r="4233">
      <c r="A4233" s="2" t="n"/>
    </row>
    <row r="4234">
      <c r="A4234" s="2" t="n"/>
    </row>
    <row r="4235">
      <c r="A4235" s="2" t="n"/>
    </row>
    <row r="4236">
      <c r="A4236" s="2" t="n"/>
    </row>
    <row r="4237">
      <c r="A4237" s="2" t="n"/>
    </row>
    <row r="4238">
      <c r="A4238" s="2" t="n"/>
    </row>
    <row r="4239">
      <c r="A4239" s="2" t="n"/>
    </row>
    <row r="4240">
      <c r="A4240" s="2" t="n"/>
    </row>
    <row r="4241">
      <c r="A4241" s="2" t="n"/>
    </row>
    <row r="4242">
      <c r="A4242" s="2" t="n"/>
    </row>
    <row r="4243">
      <c r="A4243" s="2" t="n"/>
    </row>
    <row r="4244">
      <c r="A4244" s="2" t="n"/>
    </row>
    <row r="4245">
      <c r="A4245" s="2" t="n"/>
    </row>
    <row r="4246">
      <c r="A4246" s="2" t="n"/>
    </row>
    <row r="4247">
      <c r="A4247" s="2" t="n"/>
    </row>
    <row r="4248">
      <c r="A4248" s="2" t="n"/>
    </row>
    <row r="4249">
      <c r="A4249" s="2" t="n"/>
    </row>
    <row r="4250">
      <c r="A4250" s="2" t="n"/>
    </row>
    <row r="4251">
      <c r="A4251" s="2" t="n"/>
    </row>
    <row r="4252">
      <c r="A4252" s="2" t="n"/>
    </row>
    <row r="4253">
      <c r="A4253" s="2" t="n"/>
    </row>
    <row r="4254">
      <c r="A4254" s="2" t="n"/>
    </row>
    <row r="4255">
      <c r="A4255" s="2" t="n"/>
    </row>
    <row r="4256">
      <c r="A4256" s="2" t="n"/>
    </row>
    <row r="4257">
      <c r="A4257" s="2" t="n"/>
    </row>
    <row r="4258">
      <c r="A4258" s="2" t="n"/>
    </row>
    <row r="4259">
      <c r="A4259" s="2" t="n"/>
    </row>
    <row r="4260">
      <c r="A4260" s="2" t="n"/>
    </row>
    <row r="4261">
      <c r="A4261" s="2" t="n"/>
    </row>
    <row r="4262">
      <c r="A4262" s="2" t="n"/>
    </row>
    <row r="4263">
      <c r="A4263" s="2" t="n"/>
    </row>
    <row r="4264">
      <c r="A4264" s="2" t="n"/>
    </row>
    <row r="4265">
      <c r="A4265" s="2" t="n"/>
    </row>
    <row r="4266">
      <c r="A4266" s="2" t="n"/>
    </row>
    <row r="4267">
      <c r="A4267" s="2" t="n"/>
    </row>
    <row r="4268">
      <c r="A4268" s="2" t="n"/>
    </row>
    <row r="4269">
      <c r="A4269" s="2" t="n"/>
    </row>
    <row r="4270">
      <c r="A4270" s="2" t="n"/>
    </row>
    <row r="4271">
      <c r="A4271" s="2" t="n"/>
    </row>
    <row r="4272">
      <c r="A4272" s="2" t="n"/>
    </row>
    <row r="4273">
      <c r="A4273" s="2" t="n"/>
    </row>
    <row r="4274">
      <c r="A4274" s="2" t="n"/>
    </row>
    <row r="4275">
      <c r="A4275" s="2" t="n"/>
    </row>
    <row r="4276">
      <c r="A4276" s="2" t="n"/>
    </row>
    <row r="4277">
      <c r="A4277" s="2" t="n"/>
    </row>
    <row r="4278">
      <c r="A4278" s="2" t="n"/>
    </row>
    <row r="4279">
      <c r="A4279" s="2" t="n"/>
    </row>
    <row r="4280">
      <c r="A4280" s="2" t="n"/>
    </row>
    <row r="4281">
      <c r="A4281" s="2" t="n"/>
    </row>
    <row r="4282">
      <c r="A4282" s="2" t="n"/>
    </row>
    <row r="4283">
      <c r="A4283" s="2" t="n"/>
    </row>
    <row r="4284">
      <c r="A4284" s="2" t="n"/>
    </row>
    <row r="4285">
      <c r="A4285" s="2" t="n"/>
    </row>
    <row r="4286">
      <c r="A4286" s="2" t="n"/>
    </row>
    <row r="4287">
      <c r="A4287" s="2" t="n"/>
    </row>
    <row r="4288">
      <c r="A4288" s="2" t="n"/>
    </row>
    <row r="4289">
      <c r="A4289" s="2" t="n"/>
    </row>
    <row r="4290">
      <c r="A4290" s="2" t="n"/>
    </row>
    <row r="4291">
      <c r="A4291" s="2" t="n"/>
    </row>
    <row r="4292">
      <c r="A4292" s="2" t="n"/>
    </row>
    <row r="4293">
      <c r="A4293" s="2" t="n"/>
    </row>
    <row r="4294">
      <c r="A4294" s="2" t="n"/>
    </row>
    <row r="4295">
      <c r="A4295" s="2" t="n"/>
    </row>
    <row r="4296">
      <c r="A4296" s="2" t="n"/>
    </row>
    <row r="4297">
      <c r="A4297" s="2" t="n"/>
    </row>
    <row r="4298">
      <c r="A4298" s="2" t="n"/>
    </row>
    <row r="4299">
      <c r="A4299" s="2" t="n"/>
    </row>
    <row r="4300">
      <c r="A4300" s="2" t="n"/>
    </row>
    <row r="4301">
      <c r="A4301" s="2" t="n"/>
    </row>
    <row r="4302">
      <c r="A4302" s="2" t="n"/>
    </row>
    <row r="4303">
      <c r="A4303" s="2" t="n"/>
    </row>
    <row r="4304">
      <c r="A4304" s="2" t="n"/>
    </row>
    <row r="4305">
      <c r="A4305" s="2" t="n"/>
    </row>
    <row r="4306">
      <c r="A4306" s="2" t="n"/>
    </row>
    <row r="4307">
      <c r="A4307" s="2" t="n"/>
    </row>
    <row r="4308">
      <c r="A4308" s="2" t="n"/>
    </row>
    <row r="4309">
      <c r="A4309" s="2" t="n"/>
    </row>
    <row r="4310">
      <c r="A4310" s="2" t="n"/>
    </row>
    <row r="4311">
      <c r="A4311" s="2" t="n"/>
    </row>
    <row r="4312">
      <c r="A4312" s="2" t="n"/>
    </row>
    <row r="4313">
      <c r="A4313" s="2" t="n"/>
    </row>
    <row r="4314">
      <c r="A4314" s="2" t="n"/>
    </row>
    <row r="4315">
      <c r="A4315" s="2" t="n"/>
    </row>
    <row r="4316">
      <c r="A4316" s="2" t="n"/>
    </row>
    <row r="4317">
      <c r="A4317" s="2" t="n"/>
    </row>
    <row r="4318">
      <c r="A4318" s="2" t="n"/>
    </row>
    <row r="4319">
      <c r="A4319" s="2" t="n"/>
    </row>
    <row r="4320">
      <c r="A4320" s="2" t="n"/>
    </row>
    <row r="4321">
      <c r="A4321" s="2" t="n"/>
    </row>
    <row r="4322">
      <c r="A4322" s="2" t="n"/>
    </row>
    <row r="4323">
      <c r="A4323" s="2" t="n"/>
    </row>
    <row r="4324">
      <c r="A4324" s="2" t="n"/>
    </row>
    <row r="4325">
      <c r="A4325" s="2" t="n"/>
    </row>
    <row r="4326">
      <c r="A4326" s="2" t="n"/>
    </row>
    <row r="4327">
      <c r="A4327" s="2" t="n"/>
    </row>
    <row r="4328">
      <c r="A4328" s="2" t="n"/>
    </row>
    <row r="4329">
      <c r="A4329" s="2" t="n"/>
    </row>
    <row r="4330">
      <c r="A4330" s="2" t="n"/>
    </row>
    <row r="4331">
      <c r="A4331" s="2" t="n"/>
    </row>
    <row r="4332">
      <c r="A4332" s="2" t="n"/>
    </row>
    <row r="4333">
      <c r="A4333" s="2" t="n"/>
    </row>
    <row r="4334">
      <c r="A4334" s="2" t="n"/>
    </row>
    <row r="4335">
      <c r="A4335" s="2" t="n"/>
    </row>
    <row r="4336">
      <c r="A4336" s="2" t="n"/>
    </row>
    <row r="4337">
      <c r="A4337" s="2" t="n"/>
    </row>
    <row r="4338">
      <c r="A4338" s="2" t="n"/>
    </row>
    <row r="4339">
      <c r="A4339" s="2" t="n"/>
    </row>
    <row r="4340">
      <c r="A4340" s="2" t="n"/>
    </row>
    <row r="4341">
      <c r="A4341" s="2" t="n"/>
    </row>
    <row r="4342">
      <c r="A4342" s="2" t="n"/>
    </row>
    <row r="4343">
      <c r="A4343" s="2" t="n"/>
    </row>
    <row r="4344">
      <c r="A4344" s="2" t="n"/>
    </row>
    <row r="4345">
      <c r="A4345" s="2" t="n"/>
    </row>
    <row r="4346">
      <c r="A4346" s="2" t="n"/>
    </row>
    <row r="4347">
      <c r="A4347" s="2" t="n"/>
    </row>
    <row r="4348">
      <c r="A4348" s="2" t="n"/>
    </row>
    <row r="4349">
      <c r="A4349" s="2" t="n"/>
    </row>
    <row r="4350">
      <c r="A4350" s="2" t="n"/>
    </row>
    <row r="4351">
      <c r="A4351" s="2" t="n"/>
    </row>
    <row r="4352">
      <c r="A4352" s="2" t="n"/>
    </row>
    <row r="4353">
      <c r="A4353" s="2" t="n"/>
    </row>
    <row r="4354">
      <c r="A4354" s="2" t="n"/>
    </row>
    <row r="4355">
      <c r="A4355" s="2" t="n"/>
    </row>
    <row r="4356">
      <c r="A4356" s="2" t="n"/>
    </row>
    <row r="4357">
      <c r="A4357" s="2" t="n"/>
    </row>
    <row r="4358">
      <c r="A4358" s="2" t="n"/>
    </row>
    <row r="4359">
      <c r="A4359" s="2" t="n"/>
    </row>
    <row r="4360">
      <c r="A4360" s="2" t="n"/>
    </row>
    <row r="4361">
      <c r="A4361" s="2" t="n"/>
    </row>
    <row r="4362">
      <c r="A4362" s="2" t="n"/>
    </row>
    <row r="4363">
      <c r="A4363" s="2" t="n"/>
    </row>
    <row r="4364">
      <c r="A4364" s="2" t="n"/>
    </row>
    <row r="4365">
      <c r="A4365" s="2" t="n"/>
    </row>
    <row r="4366">
      <c r="A4366" s="2" t="n"/>
    </row>
    <row r="4367">
      <c r="A4367" s="2" t="n"/>
    </row>
    <row r="4368">
      <c r="A4368" s="2" t="n"/>
    </row>
    <row r="4369">
      <c r="A4369" s="2" t="n"/>
    </row>
    <row r="4370">
      <c r="A4370" s="2" t="n"/>
    </row>
    <row r="4371">
      <c r="A4371" s="2" t="n"/>
    </row>
    <row r="4372">
      <c r="A4372" s="2" t="n"/>
    </row>
    <row r="4373">
      <c r="A4373" s="2" t="n"/>
    </row>
    <row r="4374">
      <c r="A4374" s="2" t="n"/>
    </row>
    <row r="4375">
      <c r="A4375" s="2" t="n"/>
    </row>
    <row r="4376">
      <c r="A4376" s="2" t="n"/>
    </row>
    <row r="4377">
      <c r="A4377" s="2" t="n"/>
    </row>
    <row r="4378">
      <c r="A4378" s="2" t="n"/>
    </row>
    <row r="4379">
      <c r="A4379" s="2" t="n"/>
    </row>
    <row r="4380">
      <c r="A4380" s="2" t="n"/>
    </row>
    <row r="4381">
      <c r="A4381" s="2" t="n"/>
    </row>
    <row r="4382">
      <c r="A4382" s="2" t="n"/>
    </row>
    <row r="4383">
      <c r="A4383" s="2" t="n"/>
    </row>
    <row r="4384">
      <c r="A4384" s="2" t="n"/>
    </row>
    <row r="4385">
      <c r="A4385" s="2" t="n"/>
    </row>
    <row r="4386">
      <c r="A4386" s="2" t="n"/>
    </row>
    <row r="4387">
      <c r="A4387" s="2" t="n"/>
    </row>
    <row r="4388">
      <c r="A4388" s="2" t="n"/>
    </row>
    <row r="4389">
      <c r="A4389" s="2" t="n"/>
    </row>
    <row r="4390">
      <c r="A4390" s="2" t="n"/>
    </row>
    <row r="4391">
      <c r="A4391" s="2" t="n"/>
    </row>
    <row r="4392">
      <c r="A4392" s="2" t="n"/>
    </row>
    <row r="4393">
      <c r="A4393" s="2" t="n"/>
    </row>
    <row r="4394">
      <c r="A4394" s="2" t="n"/>
    </row>
    <row r="4395">
      <c r="A4395" s="2" t="n"/>
    </row>
    <row r="4396">
      <c r="A4396" s="2" t="n"/>
    </row>
    <row r="4397">
      <c r="A4397" s="2" t="n"/>
    </row>
    <row r="4398">
      <c r="A4398" s="2" t="n"/>
    </row>
    <row r="4399">
      <c r="A4399" s="2" t="n"/>
    </row>
    <row r="4400">
      <c r="A4400" s="2" t="n"/>
    </row>
    <row r="4401">
      <c r="A4401" s="2" t="n"/>
    </row>
    <row r="4402">
      <c r="A4402" s="2" t="n"/>
    </row>
    <row r="4403">
      <c r="A4403" s="2" t="n"/>
    </row>
    <row r="4404">
      <c r="A4404" s="2" t="n"/>
    </row>
    <row r="4405">
      <c r="A4405" s="2" t="n"/>
    </row>
    <row r="4406">
      <c r="A4406" s="2" t="n"/>
    </row>
    <row r="4407">
      <c r="A4407" s="2" t="n"/>
    </row>
    <row r="4408">
      <c r="A4408" s="2" t="n"/>
    </row>
    <row r="4409">
      <c r="A4409" s="2" t="n"/>
    </row>
    <row r="4410">
      <c r="A4410" s="2" t="n"/>
    </row>
    <row r="4411">
      <c r="A4411" s="2" t="n"/>
    </row>
    <row r="4412">
      <c r="A4412" s="2" t="n"/>
    </row>
    <row r="4413">
      <c r="A4413" s="2" t="n"/>
    </row>
    <row r="4414">
      <c r="A4414" s="2" t="n"/>
    </row>
    <row r="4415">
      <c r="A4415" s="2" t="n"/>
    </row>
    <row r="4416">
      <c r="A4416" s="2" t="n"/>
    </row>
    <row r="4417">
      <c r="A4417" s="2" t="n"/>
    </row>
    <row r="4418">
      <c r="A4418" s="2" t="n"/>
    </row>
    <row r="4419">
      <c r="A4419" s="2" t="n"/>
    </row>
    <row r="4420">
      <c r="A4420" s="2" t="n"/>
    </row>
    <row r="4421">
      <c r="A4421" s="2" t="n"/>
    </row>
    <row r="4422">
      <c r="A4422" s="2" t="n"/>
    </row>
    <row r="4423">
      <c r="A4423" s="2" t="n"/>
    </row>
    <row r="4424">
      <c r="A4424" s="2" t="n"/>
    </row>
    <row r="4425">
      <c r="A4425" s="2" t="n"/>
    </row>
    <row r="4426">
      <c r="A4426" s="2" t="n"/>
    </row>
    <row r="4427">
      <c r="A4427" s="2" t="n"/>
    </row>
    <row r="4428">
      <c r="A4428" s="2" t="n"/>
    </row>
    <row r="4429">
      <c r="A4429" s="2" t="n"/>
    </row>
    <row r="4430">
      <c r="A4430" s="2" t="n"/>
    </row>
    <row r="4431">
      <c r="A4431" s="2" t="n"/>
    </row>
    <row r="4432">
      <c r="A4432" s="2" t="n"/>
    </row>
    <row r="4433">
      <c r="A4433" s="2" t="n"/>
    </row>
    <row r="4434">
      <c r="A4434" s="2" t="n"/>
    </row>
    <row r="4435">
      <c r="A4435" s="2" t="n"/>
    </row>
    <row r="4436">
      <c r="A4436" s="2" t="n"/>
    </row>
    <row r="4437">
      <c r="A4437" s="2" t="n"/>
    </row>
    <row r="4438">
      <c r="A4438" s="2" t="n"/>
    </row>
    <row r="4439">
      <c r="A4439" s="2" t="n"/>
    </row>
    <row r="4440">
      <c r="A4440" s="2" t="n"/>
    </row>
    <row r="4441">
      <c r="A4441" s="2" t="n"/>
    </row>
    <row r="4442">
      <c r="A4442" s="2" t="n"/>
    </row>
    <row r="4443">
      <c r="A4443" s="2" t="n"/>
    </row>
    <row r="4444">
      <c r="A4444" s="2" t="n"/>
    </row>
    <row r="4445">
      <c r="A4445" s="2" t="n"/>
    </row>
    <row r="4446">
      <c r="A4446" s="2" t="n"/>
    </row>
    <row r="4447">
      <c r="A4447" s="2" t="n"/>
    </row>
    <row r="4448">
      <c r="A4448" s="2" t="n"/>
    </row>
    <row r="4449">
      <c r="A4449" s="2" t="n"/>
    </row>
    <row r="4450">
      <c r="A4450" s="2" t="n"/>
    </row>
    <row r="4451">
      <c r="A4451" s="2" t="n"/>
    </row>
    <row r="4452">
      <c r="A4452" s="2" t="n"/>
    </row>
    <row r="4453">
      <c r="A4453" s="2" t="n"/>
    </row>
    <row r="4454">
      <c r="A4454" s="2" t="n"/>
    </row>
    <row r="4455">
      <c r="A4455" s="2" t="n"/>
    </row>
    <row r="4456">
      <c r="A4456" s="2" t="n"/>
    </row>
    <row r="4457">
      <c r="A4457" s="2" t="n"/>
    </row>
    <row r="4458">
      <c r="A4458" s="2" t="n"/>
    </row>
    <row r="4459">
      <c r="A4459" s="2" t="n"/>
    </row>
    <row r="4460">
      <c r="A4460" s="2" t="n"/>
    </row>
    <row r="4461">
      <c r="A4461" s="2" t="n"/>
    </row>
    <row r="4462">
      <c r="A4462" s="2" t="n"/>
    </row>
    <row r="4463">
      <c r="A4463" s="2" t="n"/>
    </row>
    <row r="4464">
      <c r="A4464" s="2" t="n"/>
    </row>
    <row r="4465">
      <c r="A4465" s="2" t="n"/>
    </row>
    <row r="4466">
      <c r="A4466" s="2" t="n"/>
    </row>
    <row r="4467">
      <c r="A4467" s="2" t="n"/>
    </row>
    <row r="4468">
      <c r="A4468" s="2" t="n"/>
    </row>
    <row r="4469">
      <c r="A4469" s="2" t="n"/>
    </row>
    <row r="4470">
      <c r="A4470" s="2" t="n"/>
    </row>
    <row r="4471">
      <c r="A4471" s="2" t="n"/>
    </row>
    <row r="4472">
      <c r="A4472" s="2" t="n"/>
    </row>
    <row r="4473">
      <c r="A4473" s="2" t="n"/>
    </row>
    <row r="4474">
      <c r="A4474" s="2" t="n"/>
    </row>
    <row r="4475">
      <c r="A4475" s="2" t="n"/>
    </row>
    <row r="4476">
      <c r="A4476" s="2" t="n"/>
    </row>
    <row r="4477">
      <c r="A4477" s="2" t="n"/>
    </row>
    <row r="4478">
      <c r="A4478" s="2" t="n"/>
    </row>
    <row r="4479">
      <c r="A4479" s="2" t="n"/>
    </row>
    <row r="4480">
      <c r="A4480" s="2" t="n"/>
    </row>
    <row r="4481">
      <c r="A4481" s="2" t="n"/>
    </row>
    <row r="4482">
      <c r="A4482" s="2" t="n"/>
    </row>
    <row r="4483">
      <c r="A4483" s="2" t="n"/>
    </row>
    <row r="4484">
      <c r="A4484" s="2" t="n"/>
    </row>
    <row r="4485">
      <c r="A4485" s="2" t="n"/>
    </row>
    <row r="4486">
      <c r="A4486" s="2" t="n"/>
    </row>
    <row r="4487">
      <c r="A4487" s="2" t="n"/>
    </row>
    <row r="4488">
      <c r="A4488" s="2" t="n"/>
    </row>
    <row r="4489">
      <c r="A4489" s="2" t="n"/>
    </row>
    <row r="4490">
      <c r="A4490" s="2" t="n"/>
    </row>
    <row r="4491">
      <c r="A4491" s="2" t="n"/>
    </row>
    <row r="4492">
      <c r="A4492" s="2" t="n"/>
    </row>
    <row r="4493">
      <c r="A4493" s="2" t="n"/>
    </row>
    <row r="4494">
      <c r="A4494" s="2" t="n"/>
    </row>
    <row r="4495">
      <c r="A4495" s="2" t="n"/>
    </row>
    <row r="4496">
      <c r="A4496" s="2" t="n"/>
    </row>
    <row r="4497">
      <c r="A4497" s="2" t="n"/>
    </row>
    <row r="4498">
      <c r="A4498" s="2" t="n"/>
    </row>
    <row r="4499">
      <c r="A4499" s="2" t="n"/>
    </row>
    <row r="4500">
      <c r="A4500" s="2" t="n"/>
    </row>
    <row r="4501">
      <c r="A4501" s="2" t="n"/>
    </row>
    <row r="4502">
      <c r="A4502" s="2" t="n"/>
    </row>
    <row r="4503">
      <c r="A4503" s="2" t="n"/>
    </row>
    <row r="4504">
      <c r="A4504" s="2" t="n"/>
    </row>
    <row r="4505">
      <c r="A4505" s="2" t="n"/>
    </row>
    <row r="4506">
      <c r="A4506" s="2" t="n"/>
    </row>
    <row r="4507">
      <c r="A4507" s="2" t="n"/>
    </row>
    <row r="4508">
      <c r="A4508" s="2" t="n"/>
    </row>
    <row r="4509">
      <c r="A4509" s="2" t="n"/>
    </row>
    <row r="4510">
      <c r="A4510" s="2" t="n"/>
    </row>
    <row r="4511">
      <c r="A4511" s="2" t="n"/>
    </row>
    <row r="4512">
      <c r="A4512" s="2" t="n"/>
    </row>
    <row r="4513">
      <c r="A4513" s="2" t="n"/>
    </row>
    <row r="4514">
      <c r="A4514" s="2" t="n"/>
    </row>
    <row r="4515">
      <c r="A4515" s="2" t="n"/>
    </row>
    <row r="4516">
      <c r="A4516" s="2" t="n"/>
    </row>
    <row r="4517">
      <c r="A4517" s="2" t="n"/>
    </row>
    <row r="4518">
      <c r="A4518" s="2" t="n"/>
    </row>
    <row r="4519">
      <c r="A4519" s="2" t="n"/>
    </row>
    <row r="4520">
      <c r="A4520" s="2" t="n"/>
    </row>
    <row r="4521">
      <c r="A4521" s="2" t="n"/>
    </row>
    <row r="4522">
      <c r="A4522" s="2" t="n"/>
    </row>
    <row r="4523">
      <c r="A4523" s="2" t="n"/>
    </row>
    <row r="4524">
      <c r="A4524" s="2" t="n"/>
    </row>
    <row r="4525">
      <c r="A4525" s="2" t="n"/>
    </row>
    <row r="4526">
      <c r="A4526" s="2" t="n"/>
    </row>
    <row r="4527">
      <c r="A4527" s="2" t="n"/>
    </row>
    <row r="4528">
      <c r="A4528" s="2" t="n"/>
    </row>
    <row r="4529">
      <c r="A4529" s="2" t="n"/>
    </row>
    <row r="4530">
      <c r="A4530" s="2" t="n"/>
    </row>
    <row r="4531">
      <c r="A4531" s="2" t="n"/>
    </row>
    <row r="4532">
      <c r="A4532" s="2" t="n"/>
    </row>
    <row r="4533">
      <c r="A4533" s="2" t="n"/>
    </row>
    <row r="4534">
      <c r="A4534" s="2" t="n"/>
    </row>
    <row r="4535">
      <c r="A4535" s="2" t="n"/>
    </row>
    <row r="4536">
      <c r="A4536" s="2" t="n"/>
    </row>
    <row r="4537">
      <c r="A4537" s="2" t="n"/>
    </row>
    <row r="4538">
      <c r="A4538" s="2" t="n"/>
    </row>
    <row r="4539">
      <c r="A4539" s="2" t="n"/>
    </row>
    <row r="4540">
      <c r="A4540" s="2" t="n"/>
    </row>
    <row r="4541">
      <c r="A4541" s="2" t="n"/>
    </row>
    <row r="4542">
      <c r="A4542" s="2" t="n"/>
    </row>
    <row r="4543">
      <c r="A4543" s="2" t="n"/>
    </row>
    <row r="4544">
      <c r="A4544" s="2" t="n"/>
    </row>
    <row r="4545">
      <c r="A4545" s="2" t="n"/>
    </row>
    <row r="4546">
      <c r="A4546" s="2" t="n"/>
    </row>
    <row r="4547">
      <c r="A4547" s="2" t="n"/>
    </row>
    <row r="4548">
      <c r="A4548" s="2" t="n"/>
    </row>
    <row r="4549">
      <c r="A4549" s="2" t="n"/>
    </row>
    <row r="4550">
      <c r="A4550" s="2" t="n"/>
    </row>
    <row r="4551">
      <c r="A4551" s="2" t="n"/>
    </row>
    <row r="4552">
      <c r="A4552" s="2" t="n"/>
    </row>
    <row r="4553">
      <c r="A4553" s="2" t="n"/>
    </row>
    <row r="4554">
      <c r="A4554" s="2" t="n"/>
    </row>
    <row r="4555">
      <c r="A4555" s="2" t="n"/>
    </row>
    <row r="4556">
      <c r="A4556" s="2" t="n"/>
    </row>
    <row r="4557">
      <c r="A4557" s="2" t="n"/>
    </row>
    <row r="4558">
      <c r="A4558" s="2" t="n"/>
    </row>
    <row r="4559">
      <c r="A4559" s="2" t="n"/>
    </row>
    <row r="4560">
      <c r="A4560" s="2" t="n"/>
    </row>
    <row r="4561">
      <c r="A4561" s="2" t="n"/>
    </row>
    <row r="4562">
      <c r="A4562" s="2" t="n"/>
    </row>
    <row r="4563">
      <c r="A4563" s="2" t="n"/>
    </row>
    <row r="4564">
      <c r="A4564" s="2" t="n"/>
    </row>
    <row r="4565">
      <c r="A4565" s="2" t="n"/>
    </row>
    <row r="4566">
      <c r="A4566" s="2" t="n"/>
    </row>
    <row r="4567">
      <c r="A4567" s="2" t="n"/>
    </row>
    <row r="4568">
      <c r="A4568" s="2" t="n"/>
    </row>
    <row r="4569">
      <c r="A4569" s="2" t="n"/>
    </row>
    <row r="4570">
      <c r="A4570" s="2" t="n"/>
    </row>
    <row r="4571">
      <c r="A4571" s="2" t="n"/>
    </row>
    <row r="4572">
      <c r="A4572" s="2" t="n"/>
    </row>
    <row r="4573">
      <c r="A4573" s="2" t="n"/>
    </row>
    <row r="4574">
      <c r="A4574" s="2" t="n"/>
    </row>
    <row r="4575">
      <c r="A4575" s="2" t="n"/>
    </row>
    <row r="4576">
      <c r="A4576" s="2" t="n"/>
    </row>
    <row r="4577">
      <c r="A4577" s="2" t="n"/>
    </row>
    <row r="4578">
      <c r="A4578" s="2" t="n"/>
    </row>
    <row r="4579">
      <c r="A4579" s="2" t="n"/>
    </row>
    <row r="4580">
      <c r="A4580" s="2" t="n"/>
    </row>
    <row r="4581">
      <c r="A4581" s="2" t="n"/>
    </row>
    <row r="4582">
      <c r="A4582" s="2" t="n"/>
    </row>
    <row r="4583">
      <c r="A4583" s="2" t="n"/>
    </row>
    <row r="4584">
      <c r="A4584" s="2" t="n"/>
    </row>
    <row r="4585">
      <c r="A4585" s="2" t="n"/>
    </row>
    <row r="4586">
      <c r="A4586" s="2" t="n"/>
    </row>
    <row r="4587">
      <c r="A4587" s="2" t="n"/>
    </row>
    <row r="4588">
      <c r="A4588" s="2" t="n"/>
    </row>
    <row r="4589">
      <c r="A4589" s="2" t="n"/>
    </row>
    <row r="4590">
      <c r="A4590" s="2" t="n"/>
    </row>
    <row r="4591">
      <c r="A4591" s="2" t="n"/>
    </row>
    <row r="4592">
      <c r="A4592" s="2" t="n"/>
    </row>
    <row r="4593">
      <c r="A4593" s="2" t="n"/>
    </row>
    <row r="4594">
      <c r="A4594" s="2" t="n"/>
    </row>
    <row r="4595">
      <c r="A4595" s="2" t="n"/>
    </row>
    <row r="4596">
      <c r="A4596" s="2" t="n"/>
    </row>
    <row r="4597">
      <c r="A4597" s="2" t="n"/>
    </row>
    <row r="4598">
      <c r="A4598" s="2" t="n"/>
    </row>
    <row r="4599">
      <c r="A4599" s="2" t="n"/>
    </row>
    <row r="4600">
      <c r="A4600" s="2" t="n"/>
    </row>
    <row r="4601">
      <c r="A4601" s="2" t="n"/>
    </row>
    <row r="4602">
      <c r="A4602" s="2" t="n"/>
    </row>
    <row r="4603">
      <c r="A4603" s="2" t="n"/>
    </row>
    <row r="4604">
      <c r="A4604" s="2" t="n"/>
    </row>
    <row r="4605">
      <c r="A4605" s="2" t="n"/>
    </row>
    <row r="4606">
      <c r="A4606" s="2" t="n"/>
    </row>
    <row r="4607">
      <c r="A4607" s="2" t="n"/>
    </row>
    <row r="4608">
      <c r="A4608" s="2" t="n"/>
    </row>
    <row r="4609">
      <c r="A4609" s="2" t="n"/>
    </row>
    <row r="4610">
      <c r="A4610" s="2" t="n"/>
    </row>
    <row r="4611">
      <c r="A4611" s="2" t="n"/>
    </row>
    <row r="4612">
      <c r="A4612" s="2" t="n"/>
    </row>
    <row r="4613">
      <c r="A4613" s="2" t="n"/>
    </row>
    <row r="4614">
      <c r="A4614" s="2" t="n"/>
    </row>
    <row r="4615">
      <c r="A4615" s="2" t="n"/>
    </row>
    <row r="4616">
      <c r="A4616" s="2" t="n"/>
    </row>
    <row r="4617">
      <c r="A4617" s="2" t="n"/>
    </row>
    <row r="4618">
      <c r="A4618" s="2" t="n"/>
    </row>
    <row r="4619">
      <c r="A4619" s="2" t="n"/>
    </row>
    <row r="4620">
      <c r="A4620" s="2" t="n"/>
    </row>
    <row r="4621">
      <c r="A4621" s="2" t="n"/>
    </row>
    <row r="4622">
      <c r="A4622" s="2" t="n"/>
    </row>
    <row r="4623">
      <c r="A4623" s="2" t="n"/>
    </row>
    <row r="4624">
      <c r="A4624" s="2" t="n"/>
    </row>
    <row r="4625">
      <c r="A4625" s="2" t="n"/>
    </row>
    <row r="4626">
      <c r="A4626" s="2" t="n"/>
    </row>
    <row r="4627">
      <c r="A4627" s="2" t="n"/>
    </row>
    <row r="4628">
      <c r="A4628" s="2" t="n"/>
    </row>
    <row r="4629">
      <c r="A4629" s="2" t="n"/>
    </row>
    <row r="4630">
      <c r="A4630" s="2" t="n"/>
    </row>
    <row r="4631">
      <c r="A4631" s="2" t="n"/>
    </row>
    <row r="4632">
      <c r="A4632" s="2" t="n"/>
    </row>
    <row r="4633">
      <c r="A4633" s="2" t="n"/>
    </row>
    <row r="4634">
      <c r="A4634" s="2" t="n"/>
    </row>
    <row r="4635">
      <c r="A4635" s="2" t="n"/>
    </row>
    <row r="4636">
      <c r="A4636" s="2" t="n"/>
    </row>
    <row r="4637">
      <c r="A4637" s="2" t="n"/>
    </row>
    <row r="4638">
      <c r="A4638" s="2" t="n"/>
    </row>
    <row r="4639">
      <c r="A4639" s="2" t="n"/>
    </row>
    <row r="4640">
      <c r="A4640" s="2" t="n"/>
    </row>
    <row r="4641">
      <c r="A4641" s="2" t="n"/>
    </row>
    <row r="4642">
      <c r="A4642" s="2" t="n"/>
    </row>
    <row r="4643">
      <c r="A4643" s="2" t="n"/>
    </row>
    <row r="4644">
      <c r="A4644" s="2" t="n"/>
    </row>
    <row r="4645">
      <c r="A4645" s="2" t="n"/>
    </row>
    <row r="4646">
      <c r="A4646" s="2" t="n"/>
    </row>
    <row r="4647">
      <c r="A4647" s="2" t="n"/>
    </row>
    <row r="4648">
      <c r="A4648" s="2" t="n"/>
    </row>
    <row r="4649">
      <c r="A4649" s="2" t="n"/>
    </row>
    <row r="4650">
      <c r="A4650" s="2" t="n"/>
    </row>
    <row r="4651">
      <c r="A4651" s="2" t="n"/>
    </row>
    <row r="4652">
      <c r="A4652" s="2" t="n"/>
    </row>
    <row r="4653">
      <c r="A4653" s="2" t="n"/>
    </row>
    <row r="4654">
      <c r="A4654" s="2" t="n"/>
    </row>
    <row r="4655">
      <c r="A4655" s="2" t="n"/>
    </row>
    <row r="4656">
      <c r="A4656" s="2" t="n"/>
    </row>
    <row r="4657">
      <c r="A4657" s="2" t="n"/>
    </row>
    <row r="4658">
      <c r="A4658" s="2" t="n"/>
    </row>
    <row r="4659">
      <c r="A4659" s="2" t="n"/>
    </row>
    <row r="4660">
      <c r="A4660" s="2" t="n"/>
    </row>
    <row r="4661">
      <c r="A4661" s="2" t="n"/>
    </row>
    <row r="4662">
      <c r="A4662" s="2" t="n"/>
    </row>
    <row r="4663">
      <c r="A4663" s="2" t="n"/>
    </row>
    <row r="4664">
      <c r="A4664" s="2" t="n"/>
    </row>
    <row r="4665">
      <c r="A4665" s="2" t="n"/>
    </row>
    <row r="4666">
      <c r="A4666" s="2" t="n"/>
    </row>
    <row r="4667">
      <c r="A4667" s="2" t="n"/>
    </row>
    <row r="4668">
      <c r="A4668" s="2" t="n"/>
    </row>
    <row r="4669">
      <c r="A4669" s="2" t="n"/>
    </row>
    <row r="4670">
      <c r="A4670" s="2" t="n"/>
    </row>
    <row r="4671">
      <c r="A4671" s="2" t="n"/>
    </row>
    <row r="4672">
      <c r="A4672" s="2" t="n"/>
    </row>
    <row r="4673">
      <c r="A4673" s="2" t="n"/>
    </row>
    <row r="4674">
      <c r="A4674" s="2" t="n"/>
    </row>
    <row r="4675">
      <c r="A4675" s="2" t="n"/>
    </row>
    <row r="4676">
      <c r="A4676" s="2" t="n"/>
    </row>
    <row r="4677">
      <c r="A4677" s="2" t="n"/>
    </row>
    <row r="4678">
      <c r="A4678" s="2" t="n"/>
    </row>
    <row r="4679">
      <c r="A4679" s="2" t="n"/>
    </row>
    <row r="4680">
      <c r="A4680" s="2" t="n"/>
    </row>
    <row r="4681">
      <c r="A4681" s="2" t="n"/>
    </row>
    <row r="4682">
      <c r="A4682" s="2" t="n"/>
    </row>
    <row r="4683">
      <c r="A4683" s="2" t="n"/>
    </row>
    <row r="4684">
      <c r="A4684" s="2" t="n"/>
    </row>
    <row r="4685">
      <c r="A4685" s="2" t="n"/>
    </row>
    <row r="4686">
      <c r="A4686" s="2" t="n"/>
    </row>
    <row r="4687">
      <c r="A4687" s="2" t="n"/>
    </row>
    <row r="4688">
      <c r="A4688" s="2" t="n"/>
    </row>
    <row r="4689">
      <c r="A4689" s="2" t="n"/>
    </row>
    <row r="4690">
      <c r="A4690" s="2" t="n"/>
    </row>
    <row r="4691">
      <c r="A4691" s="2" t="n"/>
    </row>
    <row r="4692">
      <c r="A4692" s="2" t="n"/>
    </row>
    <row r="4693">
      <c r="A4693" s="2" t="n"/>
    </row>
    <row r="4694">
      <c r="A4694" s="2" t="n"/>
    </row>
    <row r="4695">
      <c r="A4695" s="2" t="n"/>
    </row>
    <row r="4696">
      <c r="A4696" s="2" t="n"/>
    </row>
    <row r="4697">
      <c r="A4697" s="2" t="n"/>
    </row>
    <row r="4698">
      <c r="A4698" s="2" t="n"/>
    </row>
    <row r="4699">
      <c r="A4699" s="2" t="n"/>
    </row>
    <row r="4700">
      <c r="A4700" s="2" t="n"/>
    </row>
    <row r="4701">
      <c r="A4701" s="2" t="n"/>
    </row>
    <row r="4702">
      <c r="A4702" s="2" t="n"/>
    </row>
    <row r="4703">
      <c r="A4703" s="2" t="n"/>
    </row>
    <row r="4704">
      <c r="A4704" s="2" t="n"/>
    </row>
    <row r="4705">
      <c r="A4705" s="2" t="n"/>
    </row>
    <row r="4706">
      <c r="A4706" s="2" t="n"/>
    </row>
    <row r="4707">
      <c r="A4707" s="2" t="n"/>
    </row>
    <row r="4708">
      <c r="A4708" s="2" t="n"/>
    </row>
    <row r="4709">
      <c r="A4709" s="2" t="n"/>
    </row>
    <row r="4710">
      <c r="A4710" s="2" t="n"/>
    </row>
    <row r="4711">
      <c r="A4711" s="2" t="n"/>
    </row>
    <row r="4712">
      <c r="A4712" s="2" t="n"/>
    </row>
    <row r="4713">
      <c r="A4713" s="2" t="n"/>
    </row>
    <row r="4714">
      <c r="A4714" s="2" t="n"/>
    </row>
    <row r="4715">
      <c r="A4715" s="2" t="n"/>
    </row>
    <row r="4716">
      <c r="A4716" s="2" t="n"/>
    </row>
    <row r="4717">
      <c r="A4717" s="2" t="n"/>
    </row>
    <row r="4718">
      <c r="A4718" s="2" t="n"/>
    </row>
    <row r="4719">
      <c r="A4719" s="2" t="n"/>
    </row>
    <row r="4720">
      <c r="A4720" s="2" t="n"/>
    </row>
    <row r="4721">
      <c r="A4721" s="2" t="n"/>
    </row>
    <row r="4722">
      <c r="A4722" s="2" t="n"/>
    </row>
    <row r="4723">
      <c r="A4723" s="2" t="n"/>
    </row>
    <row r="4724">
      <c r="A4724" s="2" t="n"/>
    </row>
    <row r="4725">
      <c r="A4725" s="2" t="n"/>
    </row>
    <row r="4726">
      <c r="A4726" s="2" t="n"/>
    </row>
    <row r="4727">
      <c r="A4727" s="2" t="n"/>
    </row>
    <row r="4728">
      <c r="A4728" s="2" t="n"/>
    </row>
    <row r="4729">
      <c r="A4729" s="2" t="n"/>
    </row>
    <row r="4730">
      <c r="A4730" s="2" t="n"/>
    </row>
    <row r="4731">
      <c r="A4731" s="2" t="n"/>
    </row>
    <row r="4732">
      <c r="A4732" s="2" t="n"/>
    </row>
    <row r="4733">
      <c r="A4733" s="2" t="n"/>
    </row>
    <row r="4734">
      <c r="A4734" s="2" t="n"/>
    </row>
    <row r="4735">
      <c r="A4735" s="2" t="n"/>
    </row>
    <row r="4736">
      <c r="A4736" s="2" t="n"/>
    </row>
    <row r="4737">
      <c r="A4737" s="2" t="n"/>
    </row>
    <row r="4738">
      <c r="A4738" s="2" t="n"/>
    </row>
    <row r="4739">
      <c r="A4739" s="2" t="n"/>
    </row>
    <row r="4740">
      <c r="A4740" s="2" t="n"/>
    </row>
    <row r="4741">
      <c r="A4741" s="2" t="n"/>
    </row>
    <row r="4742">
      <c r="A4742" s="2" t="n"/>
    </row>
    <row r="4743">
      <c r="A4743" s="2" t="n"/>
    </row>
    <row r="4744">
      <c r="A4744" s="2" t="n"/>
    </row>
    <row r="4745">
      <c r="A4745" s="2" t="n"/>
    </row>
    <row r="4746">
      <c r="A4746" s="2" t="n"/>
    </row>
    <row r="4747">
      <c r="A4747" s="2" t="n"/>
    </row>
    <row r="4748">
      <c r="A4748" s="2" t="n"/>
    </row>
    <row r="4749">
      <c r="A4749" s="2" t="n"/>
    </row>
    <row r="4750">
      <c r="A4750" s="2" t="n"/>
    </row>
    <row r="4751">
      <c r="A4751" s="2" t="n"/>
    </row>
    <row r="4752">
      <c r="A4752" s="2" t="n"/>
    </row>
    <row r="4753">
      <c r="A4753" s="2" t="n"/>
    </row>
    <row r="4754">
      <c r="A4754" s="2" t="n"/>
    </row>
    <row r="4755">
      <c r="A4755" s="2" t="n"/>
    </row>
    <row r="4756">
      <c r="A4756" s="2" t="n"/>
    </row>
    <row r="4757">
      <c r="A4757" s="2" t="n"/>
    </row>
    <row r="4758">
      <c r="A4758" s="2" t="n"/>
    </row>
    <row r="4759">
      <c r="A4759" s="2" t="n"/>
    </row>
    <row r="4760">
      <c r="A4760" s="2" t="n"/>
    </row>
    <row r="4761">
      <c r="A4761" s="2" t="n"/>
    </row>
    <row r="4762">
      <c r="A4762" s="2" t="n"/>
    </row>
    <row r="4763">
      <c r="A4763" s="2" t="n"/>
    </row>
    <row r="4764">
      <c r="A4764" s="2" t="n"/>
    </row>
    <row r="4765">
      <c r="A4765" s="2" t="n"/>
    </row>
    <row r="4766">
      <c r="A4766" s="2" t="n"/>
    </row>
    <row r="4767">
      <c r="A4767" s="2" t="n"/>
    </row>
    <row r="4768">
      <c r="A4768" s="2" t="n"/>
    </row>
    <row r="4769">
      <c r="A4769" s="2" t="n"/>
    </row>
    <row r="4770">
      <c r="A4770" s="2" t="n"/>
    </row>
    <row r="4771">
      <c r="A4771" s="2" t="n"/>
    </row>
    <row r="4772">
      <c r="A4772" s="2" t="n"/>
    </row>
    <row r="4773">
      <c r="A4773" s="2" t="n"/>
    </row>
    <row r="4774">
      <c r="A4774" s="2" t="n"/>
    </row>
    <row r="4775">
      <c r="A4775" s="2" t="n"/>
    </row>
    <row r="4776">
      <c r="A4776" s="2" t="n"/>
    </row>
    <row r="4777">
      <c r="A4777" s="2" t="n"/>
    </row>
    <row r="4778">
      <c r="A4778" s="2" t="n"/>
    </row>
    <row r="4779">
      <c r="A4779" s="2" t="n"/>
    </row>
    <row r="4780">
      <c r="A4780" s="2" t="n"/>
    </row>
    <row r="4781">
      <c r="A4781" s="2" t="n"/>
    </row>
    <row r="4782">
      <c r="A4782" s="2" t="n"/>
    </row>
    <row r="4783">
      <c r="A4783" s="2" t="n"/>
    </row>
    <row r="4784">
      <c r="A4784" s="2" t="n"/>
    </row>
    <row r="4785">
      <c r="A4785" s="2" t="n"/>
    </row>
    <row r="4786">
      <c r="A4786" s="2" t="n"/>
    </row>
    <row r="4787">
      <c r="A4787" s="2" t="n"/>
    </row>
    <row r="4788">
      <c r="A4788" s="2" t="n"/>
    </row>
    <row r="4789">
      <c r="A4789" s="2" t="n"/>
    </row>
    <row r="4790">
      <c r="A4790" s="2" t="n"/>
    </row>
    <row r="4791">
      <c r="A4791" s="2" t="n"/>
    </row>
    <row r="4792">
      <c r="A4792" s="2" t="n"/>
    </row>
    <row r="4793">
      <c r="A4793" s="2" t="n"/>
    </row>
    <row r="4794">
      <c r="A4794" s="2" t="n"/>
    </row>
    <row r="4795">
      <c r="A4795" s="2" t="n"/>
    </row>
    <row r="4796">
      <c r="A4796" s="2" t="n"/>
    </row>
    <row r="4797">
      <c r="A4797" s="2" t="n"/>
    </row>
    <row r="4798">
      <c r="A4798" s="2" t="n"/>
    </row>
    <row r="4799">
      <c r="A4799" s="2" t="n"/>
    </row>
    <row r="4800">
      <c r="A4800" s="2" t="n"/>
    </row>
    <row r="4801">
      <c r="A4801" s="2" t="n"/>
    </row>
    <row r="4802">
      <c r="A4802" s="2" t="n"/>
    </row>
    <row r="4803">
      <c r="A4803" s="2" t="n"/>
    </row>
    <row r="4804">
      <c r="A4804" s="2" t="n"/>
    </row>
    <row r="4805">
      <c r="A4805" s="2" t="n"/>
    </row>
    <row r="4806">
      <c r="A4806" s="2" t="n"/>
    </row>
    <row r="4807">
      <c r="A4807" s="2" t="n"/>
    </row>
    <row r="4808">
      <c r="A4808" s="2" t="n"/>
    </row>
    <row r="4809">
      <c r="A4809" s="2" t="n"/>
    </row>
    <row r="4810">
      <c r="A4810" s="2" t="n"/>
    </row>
    <row r="4811">
      <c r="A4811" s="2" t="n"/>
    </row>
    <row r="4812">
      <c r="A4812" s="2" t="n"/>
    </row>
    <row r="4813">
      <c r="A4813" s="2" t="n"/>
    </row>
    <row r="4814">
      <c r="A4814" s="2" t="n"/>
    </row>
    <row r="4815">
      <c r="A4815" s="2" t="n"/>
    </row>
    <row r="4816">
      <c r="A4816" s="2" t="n"/>
    </row>
    <row r="4817">
      <c r="A4817" s="2" t="n"/>
    </row>
    <row r="4818">
      <c r="A4818" s="2" t="n"/>
    </row>
    <row r="4819">
      <c r="A4819" s="2" t="n"/>
    </row>
    <row r="4820">
      <c r="A4820" s="2" t="n"/>
    </row>
    <row r="4821">
      <c r="A4821" s="2" t="n"/>
    </row>
    <row r="4822">
      <c r="A4822" s="2" t="n"/>
    </row>
    <row r="4823">
      <c r="A4823" s="2" t="n"/>
    </row>
    <row r="4824">
      <c r="A4824" s="2" t="n"/>
    </row>
    <row r="4825">
      <c r="A4825" s="2" t="n"/>
    </row>
    <row r="4826">
      <c r="A4826" s="2" t="n"/>
    </row>
    <row r="4827">
      <c r="A4827" s="2" t="n"/>
    </row>
    <row r="4828">
      <c r="A4828" s="2" t="n"/>
    </row>
    <row r="4829">
      <c r="A4829" s="2" t="n"/>
    </row>
    <row r="4830">
      <c r="A4830" s="2" t="n"/>
    </row>
    <row r="4831">
      <c r="A4831" s="2" t="n"/>
    </row>
    <row r="4832">
      <c r="A4832" s="2" t="n"/>
    </row>
    <row r="4833">
      <c r="A4833" s="2" t="n"/>
    </row>
    <row r="4834">
      <c r="A4834" s="2" t="n"/>
    </row>
    <row r="4835">
      <c r="A4835" s="2" t="n"/>
    </row>
    <row r="4836">
      <c r="A4836" s="2" t="n"/>
    </row>
    <row r="4837">
      <c r="A4837" s="2" t="n"/>
    </row>
    <row r="4838">
      <c r="A4838" s="2" t="n"/>
    </row>
    <row r="4839">
      <c r="A4839" s="2" t="n"/>
    </row>
    <row r="4840">
      <c r="A4840" s="2" t="n"/>
    </row>
    <row r="4841">
      <c r="A4841" s="2" t="n"/>
    </row>
    <row r="4842">
      <c r="A4842" s="2" t="n"/>
    </row>
    <row r="4843">
      <c r="A4843" s="2" t="n"/>
    </row>
    <row r="4844">
      <c r="A4844" s="2" t="n"/>
    </row>
    <row r="4845">
      <c r="A4845" s="2" t="n"/>
    </row>
    <row r="4846">
      <c r="A4846" s="2" t="n"/>
    </row>
    <row r="4847">
      <c r="A4847" s="2" t="n"/>
    </row>
    <row r="4848">
      <c r="A4848" s="2" t="n"/>
    </row>
    <row r="4849">
      <c r="A4849" s="2" t="n"/>
    </row>
    <row r="4850">
      <c r="A4850" s="2" t="n"/>
    </row>
    <row r="4851">
      <c r="A4851" s="2" t="n"/>
    </row>
    <row r="4852">
      <c r="A4852" s="2" t="n"/>
    </row>
    <row r="4853">
      <c r="A4853" s="2" t="n"/>
    </row>
    <row r="4854">
      <c r="A4854" s="2" t="n"/>
    </row>
    <row r="4855">
      <c r="A4855" s="2" t="n"/>
    </row>
    <row r="4856">
      <c r="A4856" s="2" t="n"/>
    </row>
    <row r="4857">
      <c r="A4857" s="2" t="n"/>
    </row>
    <row r="4858">
      <c r="A4858" s="2" t="n"/>
    </row>
    <row r="4859">
      <c r="A4859" s="2" t="n"/>
    </row>
    <row r="4860">
      <c r="A4860" s="2" t="n"/>
    </row>
    <row r="4861">
      <c r="A4861" s="2" t="n"/>
    </row>
    <row r="4862">
      <c r="A4862" s="2" t="n"/>
    </row>
    <row r="4863">
      <c r="A4863" s="2" t="n"/>
    </row>
    <row r="4864">
      <c r="A4864" s="2" t="n"/>
    </row>
    <row r="4865">
      <c r="A4865" s="2" t="n"/>
    </row>
    <row r="4866">
      <c r="A4866" s="2" t="n"/>
    </row>
    <row r="4867">
      <c r="A4867" s="2" t="n"/>
    </row>
    <row r="4868">
      <c r="A4868" s="2" t="n"/>
    </row>
    <row r="4869">
      <c r="A4869" s="2" t="n"/>
    </row>
    <row r="4870">
      <c r="A4870" s="2" t="n"/>
    </row>
    <row r="4871">
      <c r="A4871" s="2" t="n"/>
    </row>
    <row r="4872">
      <c r="A4872" s="2" t="n"/>
    </row>
    <row r="4873">
      <c r="A4873" s="2" t="n"/>
    </row>
    <row r="4874">
      <c r="A4874" s="2" t="n"/>
    </row>
    <row r="4875">
      <c r="A4875" s="2" t="n"/>
    </row>
    <row r="4876">
      <c r="A4876" s="2" t="n"/>
    </row>
    <row r="4877">
      <c r="A4877" s="2" t="n"/>
    </row>
    <row r="4878">
      <c r="A4878" s="2" t="n"/>
    </row>
    <row r="4879">
      <c r="A4879" s="2" t="n"/>
    </row>
    <row r="4880">
      <c r="A4880" s="2" t="n"/>
    </row>
    <row r="4881">
      <c r="A4881" s="2" t="n"/>
    </row>
    <row r="4882">
      <c r="A4882" s="2" t="n"/>
    </row>
    <row r="4883">
      <c r="A4883" s="2" t="n"/>
    </row>
    <row r="4884">
      <c r="A4884" s="2" t="n"/>
    </row>
    <row r="4885">
      <c r="A4885" s="2" t="n"/>
    </row>
    <row r="4886">
      <c r="A4886" s="2" t="n"/>
    </row>
    <row r="4887">
      <c r="A4887" s="2" t="n"/>
    </row>
    <row r="4888">
      <c r="A4888" s="2" t="n"/>
    </row>
    <row r="4889">
      <c r="A4889" s="2" t="n"/>
    </row>
    <row r="4890">
      <c r="A4890" s="2" t="n"/>
    </row>
    <row r="4891">
      <c r="A4891" s="2" t="n"/>
    </row>
    <row r="4892">
      <c r="A4892" s="2" t="n"/>
    </row>
    <row r="4893">
      <c r="A4893" s="2" t="n"/>
    </row>
    <row r="4894">
      <c r="A4894" s="2" t="n"/>
    </row>
    <row r="4895">
      <c r="A4895" s="2" t="n"/>
    </row>
    <row r="4896">
      <c r="A4896" s="2" t="n"/>
    </row>
    <row r="4897">
      <c r="A4897" s="2" t="n"/>
    </row>
    <row r="4898">
      <c r="A4898" s="2" t="n"/>
    </row>
    <row r="4899">
      <c r="A4899" s="2" t="n"/>
    </row>
    <row r="4900">
      <c r="A4900" s="2" t="n"/>
    </row>
    <row r="4901">
      <c r="A4901" s="2" t="n"/>
    </row>
    <row r="4902">
      <c r="A4902" s="2" t="n"/>
    </row>
    <row r="4903">
      <c r="A4903" s="2" t="n"/>
    </row>
    <row r="4904">
      <c r="A4904" s="2" t="n"/>
    </row>
    <row r="4905">
      <c r="A4905" s="2" t="n"/>
    </row>
    <row r="4906">
      <c r="A4906" s="2" t="n"/>
    </row>
    <row r="4907">
      <c r="A4907" s="2" t="n"/>
    </row>
    <row r="4908">
      <c r="A4908" s="2" t="n"/>
    </row>
    <row r="4909">
      <c r="A4909" s="2" t="n"/>
    </row>
    <row r="4910">
      <c r="A4910" s="2" t="n"/>
    </row>
    <row r="4911">
      <c r="A4911" s="2" t="n"/>
    </row>
    <row r="4912">
      <c r="A4912" s="2" t="n"/>
    </row>
    <row r="4913">
      <c r="A4913" s="2" t="n"/>
    </row>
    <row r="4914">
      <c r="A4914" s="2" t="n"/>
    </row>
    <row r="4915">
      <c r="A4915" s="2" t="n"/>
    </row>
    <row r="4916">
      <c r="A4916" s="2" t="n"/>
    </row>
    <row r="4917">
      <c r="A4917" s="2" t="n"/>
    </row>
    <row r="4918">
      <c r="A4918" s="2" t="n"/>
    </row>
    <row r="4919">
      <c r="A4919" s="2" t="n"/>
    </row>
    <row r="4920">
      <c r="A4920" s="2" t="n"/>
    </row>
    <row r="4921">
      <c r="A4921" s="2" t="n"/>
    </row>
    <row r="4922">
      <c r="A4922" s="2" t="n"/>
    </row>
    <row r="4923">
      <c r="A4923" s="2" t="n"/>
    </row>
    <row r="4924">
      <c r="A4924" s="2" t="n"/>
    </row>
    <row r="4925">
      <c r="A4925" s="2" t="n"/>
    </row>
    <row r="4926">
      <c r="A4926" s="2" t="n"/>
    </row>
    <row r="4927">
      <c r="A4927" s="2" t="n"/>
    </row>
    <row r="4928">
      <c r="A4928" s="2" t="n"/>
    </row>
    <row r="4929">
      <c r="A4929" s="2" t="n"/>
    </row>
    <row r="4930">
      <c r="A4930" s="2" t="n"/>
    </row>
    <row r="4931">
      <c r="A4931" s="2" t="n"/>
    </row>
    <row r="4932">
      <c r="A4932" s="2" t="n"/>
    </row>
    <row r="4933">
      <c r="A4933" s="2" t="n"/>
    </row>
    <row r="4934">
      <c r="A4934" s="2" t="n"/>
    </row>
    <row r="4935">
      <c r="A4935" s="2" t="n"/>
    </row>
    <row r="4936">
      <c r="A4936" s="2" t="n"/>
    </row>
    <row r="4937">
      <c r="A4937" s="2" t="n"/>
    </row>
    <row r="4938">
      <c r="A4938" s="2" t="n"/>
    </row>
    <row r="4939">
      <c r="A4939" s="2" t="n"/>
    </row>
    <row r="4940">
      <c r="A4940" s="2" t="n"/>
    </row>
    <row r="4941">
      <c r="A4941" s="2" t="n"/>
    </row>
    <row r="4942">
      <c r="A4942" s="2" t="n"/>
    </row>
    <row r="4943">
      <c r="A4943" s="2" t="n"/>
    </row>
    <row r="4944">
      <c r="A4944" s="2" t="n"/>
    </row>
    <row r="4945">
      <c r="A4945" s="2" t="n"/>
    </row>
    <row r="4946">
      <c r="A4946" s="2" t="n"/>
    </row>
    <row r="4947">
      <c r="A4947" s="2" t="n"/>
    </row>
    <row r="4948">
      <c r="A4948" s="2" t="n"/>
    </row>
    <row r="4949">
      <c r="A4949" s="2" t="n"/>
    </row>
    <row r="4950">
      <c r="A4950" s="2" t="n"/>
    </row>
    <row r="4951">
      <c r="A4951" s="2" t="n"/>
    </row>
    <row r="4952">
      <c r="A4952" s="2" t="n"/>
    </row>
    <row r="4953">
      <c r="A4953" s="2" t="n"/>
    </row>
    <row r="4954">
      <c r="A4954" s="2" t="n"/>
    </row>
    <row r="4955">
      <c r="A4955" s="2" t="n"/>
    </row>
    <row r="4956">
      <c r="A4956" s="2" t="n"/>
    </row>
    <row r="4957">
      <c r="A4957" s="2" t="n"/>
    </row>
    <row r="4958">
      <c r="A4958" s="2" t="n"/>
    </row>
    <row r="4959">
      <c r="A4959" s="2" t="n"/>
    </row>
    <row r="4960">
      <c r="A4960" s="2" t="n"/>
    </row>
    <row r="4961">
      <c r="A4961" s="2" t="n"/>
    </row>
    <row r="4962">
      <c r="A4962" s="2" t="n"/>
    </row>
    <row r="4963">
      <c r="A4963" s="2" t="n"/>
    </row>
    <row r="4964">
      <c r="A4964" s="2" t="n"/>
    </row>
    <row r="4965">
      <c r="A4965" s="2" t="n"/>
    </row>
    <row r="4966">
      <c r="A4966" s="2" t="n"/>
    </row>
    <row r="4967">
      <c r="A4967" s="2" t="n"/>
    </row>
    <row r="4968">
      <c r="A4968" s="2" t="n"/>
    </row>
    <row r="4969">
      <c r="A4969" s="2" t="n"/>
    </row>
    <row r="4970">
      <c r="A4970" s="2" t="n"/>
    </row>
    <row r="4971">
      <c r="A4971" s="2" t="n"/>
    </row>
    <row r="4972">
      <c r="A4972" s="2" t="n"/>
    </row>
    <row r="4973">
      <c r="A4973" s="2" t="n"/>
    </row>
    <row r="4974">
      <c r="A4974" s="2" t="n"/>
    </row>
    <row r="4975">
      <c r="A4975" s="2" t="n"/>
    </row>
    <row r="4976">
      <c r="A4976" s="2" t="n"/>
    </row>
    <row r="4977">
      <c r="A4977" s="2" t="n"/>
    </row>
    <row r="4978">
      <c r="A4978" s="2" t="n"/>
    </row>
    <row r="4979">
      <c r="A4979" s="2" t="n"/>
    </row>
    <row r="4980">
      <c r="A4980" s="2" t="n"/>
    </row>
    <row r="4981">
      <c r="A4981" s="2" t="n"/>
    </row>
    <row r="4982">
      <c r="A4982" s="2" t="n"/>
    </row>
    <row r="4983">
      <c r="A4983" s="2" t="n"/>
    </row>
    <row r="4984">
      <c r="A4984" s="2" t="n"/>
    </row>
    <row r="4985">
      <c r="A4985" s="2" t="n"/>
    </row>
    <row r="4986">
      <c r="A4986" s="2" t="n"/>
    </row>
    <row r="4987">
      <c r="A4987" s="2" t="n"/>
    </row>
    <row r="4988">
      <c r="A4988" s="2" t="n"/>
    </row>
    <row r="4989">
      <c r="A4989" s="2" t="n"/>
    </row>
    <row r="4990">
      <c r="A4990" s="2" t="n"/>
    </row>
    <row r="4991">
      <c r="A4991" s="2" t="n"/>
    </row>
    <row r="4992">
      <c r="A4992" s="2" t="n"/>
    </row>
    <row r="4993">
      <c r="A4993" s="2" t="n"/>
    </row>
    <row r="4994">
      <c r="A4994" s="2" t="n"/>
    </row>
    <row r="4995">
      <c r="A4995" s="2" t="n"/>
    </row>
    <row r="4996">
      <c r="A4996" s="2" t="n"/>
    </row>
    <row r="4997">
      <c r="A4997" s="2" t="n"/>
    </row>
    <row r="4998">
      <c r="A4998" s="2" t="n"/>
    </row>
    <row r="4999">
      <c r="A4999" s="2" t="n"/>
    </row>
    <row r="5000">
      <c r="A5000" s="2" t="n"/>
    </row>
    <row r="5001">
      <c r="A5001" s="2" t="n"/>
    </row>
    <row r="5002">
      <c r="A5002" s="2" t="n"/>
    </row>
    <row r="5003">
      <c r="A5003" s="2" t="n"/>
    </row>
    <row r="5004">
      <c r="A5004" s="2" t="n"/>
    </row>
    <row r="5005">
      <c r="A5005" s="2" t="n"/>
    </row>
    <row r="5006">
      <c r="A5006" s="2" t="n"/>
    </row>
    <row r="5007">
      <c r="A5007" s="2" t="n"/>
    </row>
    <row r="5008">
      <c r="A5008" s="2" t="n"/>
    </row>
    <row r="5009">
      <c r="A5009" s="2" t="n"/>
    </row>
    <row r="5010">
      <c r="A5010" s="2" t="n"/>
    </row>
    <row r="5011">
      <c r="A5011" s="2" t="n"/>
    </row>
    <row r="5012">
      <c r="A5012" s="2" t="n"/>
    </row>
    <row r="5013">
      <c r="A5013" s="2" t="n"/>
    </row>
    <row r="5014">
      <c r="A5014" s="2" t="n"/>
    </row>
    <row r="5015">
      <c r="A5015" s="2" t="n"/>
    </row>
    <row r="5016">
      <c r="A5016" s="2" t="n"/>
    </row>
    <row r="5017">
      <c r="A5017" s="2" t="n"/>
    </row>
    <row r="5018">
      <c r="A5018" s="2" t="n"/>
    </row>
    <row r="5019">
      <c r="A5019" s="2" t="n"/>
    </row>
    <row r="5020">
      <c r="A5020" s="2" t="n"/>
    </row>
    <row r="5021">
      <c r="A5021" s="2" t="n"/>
    </row>
    <row r="5022">
      <c r="A5022" s="2" t="n"/>
    </row>
    <row r="5023">
      <c r="A5023" s="2" t="n"/>
    </row>
    <row r="5024">
      <c r="A5024" s="2" t="n"/>
    </row>
    <row r="5025">
      <c r="A5025" s="2" t="n"/>
    </row>
    <row r="5026">
      <c r="A5026" s="2" t="n"/>
    </row>
    <row r="5027">
      <c r="A5027" s="2" t="n"/>
    </row>
    <row r="5028">
      <c r="A5028" s="2" t="n"/>
    </row>
    <row r="5029">
      <c r="A5029" s="2" t="n"/>
    </row>
    <row r="5030">
      <c r="A5030" s="2" t="n"/>
    </row>
    <row r="5031">
      <c r="A5031" s="2" t="n"/>
    </row>
    <row r="5032">
      <c r="A5032" s="2" t="n"/>
    </row>
    <row r="5033">
      <c r="A5033" s="2" t="n"/>
    </row>
    <row r="5034">
      <c r="A5034" s="2" t="n"/>
    </row>
    <row r="5035">
      <c r="A5035" s="2" t="n"/>
    </row>
    <row r="5036">
      <c r="A5036" s="2" t="n"/>
    </row>
    <row r="5037">
      <c r="A5037" s="2" t="n"/>
    </row>
    <row r="5038">
      <c r="A5038" s="2" t="n"/>
    </row>
    <row r="5039">
      <c r="A5039" s="2" t="n"/>
    </row>
    <row r="5040">
      <c r="A5040" s="2" t="n"/>
    </row>
    <row r="5041">
      <c r="A5041" s="2" t="n"/>
    </row>
    <row r="5042">
      <c r="A5042" s="2" t="n"/>
    </row>
    <row r="5043">
      <c r="A5043" s="2" t="n"/>
    </row>
    <row r="5044">
      <c r="A5044" s="2" t="n"/>
    </row>
    <row r="5045">
      <c r="A5045" s="2" t="n"/>
    </row>
    <row r="5046">
      <c r="A5046" s="2" t="n"/>
    </row>
    <row r="5047">
      <c r="A5047" s="2" t="n"/>
    </row>
    <row r="5048">
      <c r="A5048" s="2" t="n"/>
    </row>
    <row r="5049">
      <c r="A5049" s="2" t="n"/>
    </row>
    <row r="5050">
      <c r="A5050" s="2" t="n"/>
    </row>
    <row r="5051">
      <c r="A5051" s="2" t="n"/>
    </row>
    <row r="5052">
      <c r="A5052" s="2" t="n"/>
    </row>
    <row r="5053">
      <c r="A5053" s="2" t="n"/>
    </row>
    <row r="5054">
      <c r="A5054" s="2" t="n"/>
    </row>
    <row r="5055">
      <c r="A5055" s="2" t="n"/>
    </row>
    <row r="5056">
      <c r="A5056" s="2" t="n"/>
    </row>
    <row r="5057">
      <c r="A5057" s="2" t="n"/>
    </row>
    <row r="5058">
      <c r="A5058" s="2" t="n"/>
    </row>
    <row r="5059">
      <c r="A5059" s="2" t="n"/>
    </row>
    <row r="5060">
      <c r="A5060" s="2" t="n"/>
    </row>
    <row r="5061">
      <c r="A5061" s="2" t="n"/>
    </row>
    <row r="5062">
      <c r="A5062" s="2" t="n"/>
    </row>
    <row r="5063">
      <c r="A5063" s="2" t="n"/>
    </row>
    <row r="5064">
      <c r="A5064" s="2" t="n"/>
    </row>
    <row r="5065">
      <c r="A5065" s="2" t="n"/>
    </row>
    <row r="5066">
      <c r="A5066" s="2" t="n"/>
    </row>
    <row r="5067">
      <c r="A5067" s="2" t="n"/>
    </row>
    <row r="5068">
      <c r="A5068" s="2" t="n"/>
    </row>
    <row r="5069">
      <c r="A5069" s="2" t="n"/>
    </row>
    <row r="5070">
      <c r="A5070" s="2" t="n"/>
    </row>
    <row r="5071">
      <c r="A5071" s="2" t="n"/>
    </row>
    <row r="5072">
      <c r="A5072" s="2" t="n"/>
    </row>
    <row r="5073">
      <c r="A5073" s="2" t="n"/>
    </row>
    <row r="5074">
      <c r="A5074" s="2" t="n"/>
    </row>
    <row r="5075">
      <c r="A5075" s="2" t="n"/>
    </row>
    <row r="5076">
      <c r="A5076" s="2" t="n"/>
    </row>
    <row r="5077">
      <c r="A5077" s="2" t="n"/>
    </row>
    <row r="5078">
      <c r="A5078" s="2" t="n"/>
    </row>
    <row r="5079">
      <c r="A5079" s="2" t="n"/>
    </row>
    <row r="5080">
      <c r="A5080" s="2" t="n"/>
    </row>
    <row r="5081">
      <c r="A5081" s="2" t="n"/>
    </row>
    <row r="5082">
      <c r="A5082" s="2" t="n"/>
    </row>
    <row r="5083">
      <c r="A5083" s="2" t="n"/>
    </row>
    <row r="5084">
      <c r="A5084" s="2" t="n"/>
    </row>
    <row r="5085">
      <c r="A5085" s="2" t="n"/>
    </row>
    <row r="5086">
      <c r="A5086" s="2" t="n"/>
    </row>
    <row r="5087">
      <c r="A5087" s="2" t="n"/>
    </row>
    <row r="5088">
      <c r="A5088" s="2" t="n"/>
    </row>
    <row r="5089">
      <c r="A5089" s="2" t="n"/>
    </row>
    <row r="5090">
      <c r="A5090" s="2" t="n"/>
    </row>
    <row r="5091">
      <c r="A5091" s="2" t="n"/>
    </row>
    <row r="5092">
      <c r="A5092" s="2" t="n"/>
    </row>
    <row r="5093">
      <c r="A5093" s="2" t="n"/>
    </row>
    <row r="5094">
      <c r="A5094" s="2" t="n"/>
    </row>
    <row r="5095">
      <c r="A5095" s="2" t="n"/>
    </row>
    <row r="5096">
      <c r="A5096" s="2" t="n"/>
    </row>
    <row r="5097">
      <c r="A5097" s="2" t="n"/>
    </row>
    <row r="5098">
      <c r="A5098" s="2" t="n"/>
    </row>
    <row r="5099">
      <c r="A5099" s="2" t="n"/>
    </row>
    <row r="5100">
      <c r="A5100" s="2" t="n"/>
    </row>
    <row r="5101">
      <c r="A5101" s="2" t="n"/>
    </row>
    <row r="5102">
      <c r="A5102" s="2" t="n"/>
    </row>
    <row r="5103">
      <c r="A5103" s="2" t="n"/>
    </row>
    <row r="5104">
      <c r="A5104" s="2" t="n"/>
    </row>
    <row r="5105">
      <c r="A5105" s="2" t="n"/>
    </row>
    <row r="5106">
      <c r="A5106" s="2" t="n"/>
    </row>
    <row r="5107">
      <c r="A5107" s="2" t="n"/>
    </row>
    <row r="5108">
      <c r="A5108" s="2" t="n"/>
    </row>
    <row r="5109">
      <c r="A5109" s="2" t="n"/>
    </row>
    <row r="5110">
      <c r="A5110" s="2" t="n"/>
    </row>
    <row r="5111">
      <c r="A5111" s="2" t="n"/>
    </row>
    <row r="5112">
      <c r="A5112" s="2" t="n"/>
    </row>
    <row r="5113">
      <c r="A5113" s="2" t="n"/>
    </row>
    <row r="5114">
      <c r="A5114" s="2" t="n"/>
    </row>
    <row r="5115">
      <c r="A5115" s="2" t="n"/>
    </row>
    <row r="5116">
      <c r="A5116" s="2" t="n"/>
    </row>
    <row r="5117">
      <c r="A5117" s="2" t="n"/>
    </row>
    <row r="5118">
      <c r="A5118" s="2" t="n"/>
    </row>
    <row r="5119">
      <c r="A5119" s="2" t="n"/>
    </row>
    <row r="5120">
      <c r="A5120" s="2" t="n"/>
    </row>
    <row r="5121">
      <c r="A5121" s="2" t="n"/>
    </row>
    <row r="5122">
      <c r="A5122" s="2" t="n"/>
    </row>
    <row r="5123">
      <c r="A5123" s="2" t="n"/>
    </row>
    <row r="5124">
      <c r="A5124" s="2" t="n"/>
    </row>
    <row r="5125">
      <c r="A5125" s="2" t="n"/>
    </row>
    <row r="5126">
      <c r="A5126" s="2" t="n"/>
    </row>
    <row r="5127">
      <c r="A5127" s="2" t="n"/>
    </row>
    <row r="5128">
      <c r="A5128" s="2" t="n"/>
    </row>
    <row r="5129">
      <c r="A5129" s="2" t="n"/>
    </row>
    <row r="5130">
      <c r="A5130" s="2" t="n"/>
    </row>
    <row r="5131">
      <c r="A5131" s="2" t="n"/>
    </row>
    <row r="5132">
      <c r="A5132" s="2" t="n"/>
    </row>
    <row r="5133">
      <c r="A5133" s="2" t="n"/>
    </row>
    <row r="5134">
      <c r="A5134" s="2" t="n"/>
    </row>
    <row r="5135">
      <c r="A5135" s="2" t="n"/>
    </row>
    <row r="5136">
      <c r="A5136" s="2" t="n"/>
    </row>
    <row r="5137">
      <c r="A5137" s="2" t="n"/>
    </row>
    <row r="5138">
      <c r="A5138" s="2" t="n"/>
    </row>
    <row r="5139">
      <c r="A5139" s="2" t="n"/>
    </row>
    <row r="5140">
      <c r="A5140" s="2" t="n"/>
    </row>
    <row r="5141">
      <c r="A5141" s="2" t="n"/>
    </row>
    <row r="5142">
      <c r="A5142" s="2" t="n"/>
    </row>
    <row r="5143">
      <c r="A5143" s="2" t="n"/>
    </row>
    <row r="5144">
      <c r="A5144" s="2" t="n"/>
    </row>
    <row r="5145">
      <c r="A5145" s="2" t="n"/>
    </row>
    <row r="5146">
      <c r="A5146" s="2" t="n"/>
    </row>
    <row r="5147">
      <c r="A5147" s="2" t="n"/>
    </row>
    <row r="5148">
      <c r="A5148" s="2" t="n"/>
    </row>
    <row r="5149">
      <c r="A5149" s="2" t="n"/>
    </row>
    <row r="5150">
      <c r="A5150" s="2" t="n"/>
    </row>
    <row r="5151">
      <c r="A5151" s="2" t="n"/>
    </row>
    <row r="5152">
      <c r="A5152" s="2" t="n"/>
    </row>
    <row r="5153">
      <c r="A5153" s="2" t="n"/>
    </row>
    <row r="5154">
      <c r="A5154" s="2" t="n"/>
    </row>
    <row r="5155">
      <c r="A5155" s="2" t="n"/>
    </row>
    <row r="5156">
      <c r="A5156" s="2" t="n"/>
    </row>
    <row r="5157">
      <c r="A5157" s="2" t="n"/>
    </row>
    <row r="5158">
      <c r="A5158" s="2" t="n"/>
    </row>
    <row r="5159">
      <c r="A5159" s="2" t="n"/>
    </row>
    <row r="5160">
      <c r="A5160" s="2" t="n"/>
    </row>
    <row r="5161">
      <c r="A5161" s="2" t="n"/>
    </row>
    <row r="5162">
      <c r="A5162" s="2" t="n"/>
    </row>
    <row r="5163">
      <c r="A5163" s="2" t="n"/>
    </row>
    <row r="5164">
      <c r="A5164" s="2" t="n"/>
    </row>
    <row r="5165">
      <c r="A5165" s="2" t="n"/>
    </row>
    <row r="5166">
      <c r="A5166" s="2" t="n"/>
    </row>
    <row r="5167">
      <c r="A5167" s="2" t="n"/>
    </row>
    <row r="5168">
      <c r="A5168" s="2" t="n"/>
    </row>
    <row r="5169">
      <c r="A5169" s="2" t="n"/>
    </row>
    <row r="5170">
      <c r="A5170" s="2" t="n"/>
    </row>
    <row r="5171">
      <c r="A5171" s="2" t="n"/>
    </row>
    <row r="5172">
      <c r="A5172" s="2" t="n"/>
    </row>
    <row r="5173">
      <c r="A5173" s="2" t="n"/>
    </row>
    <row r="5174">
      <c r="A5174" s="2" t="n"/>
    </row>
    <row r="5175">
      <c r="A5175" s="2" t="n"/>
    </row>
    <row r="5176">
      <c r="A5176" s="2" t="n"/>
    </row>
    <row r="5177">
      <c r="A5177" s="2" t="n"/>
    </row>
    <row r="5178">
      <c r="A5178" s="2" t="n"/>
    </row>
    <row r="5179">
      <c r="A5179" s="2" t="n"/>
    </row>
    <row r="5180">
      <c r="A5180" s="2" t="n"/>
    </row>
    <row r="5181">
      <c r="A5181" s="2" t="n"/>
    </row>
    <row r="5182">
      <c r="A5182" s="2" t="n"/>
    </row>
    <row r="5183">
      <c r="A5183" s="2" t="n"/>
    </row>
    <row r="5184">
      <c r="A5184" s="2" t="n"/>
    </row>
    <row r="5185">
      <c r="A5185" s="2" t="n"/>
    </row>
    <row r="5186">
      <c r="A5186" s="2" t="n"/>
    </row>
    <row r="5187">
      <c r="A5187" s="2" t="n"/>
    </row>
    <row r="5188">
      <c r="A5188" s="2" t="n"/>
    </row>
    <row r="5189">
      <c r="A5189" s="2" t="n"/>
    </row>
    <row r="5190">
      <c r="A5190" s="2" t="n"/>
    </row>
    <row r="5191">
      <c r="A5191" s="2" t="n"/>
    </row>
    <row r="5192">
      <c r="A5192" s="2" t="n"/>
    </row>
    <row r="5193">
      <c r="A5193" s="2" t="n"/>
    </row>
    <row r="5194">
      <c r="A5194" s="2" t="n"/>
    </row>
    <row r="5195">
      <c r="A5195" s="2" t="n"/>
    </row>
    <row r="5196">
      <c r="A5196" s="2" t="n"/>
    </row>
    <row r="5197">
      <c r="A5197" s="2" t="n"/>
    </row>
    <row r="5198">
      <c r="A5198" s="2" t="n"/>
    </row>
    <row r="5199">
      <c r="A5199" s="2" t="n"/>
    </row>
    <row r="5200">
      <c r="A5200" s="2" t="n"/>
    </row>
    <row r="5201">
      <c r="A5201" s="2" t="n"/>
    </row>
    <row r="5202">
      <c r="A5202" s="2" t="n"/>
    </row>
    <row r="5203">
      <c r="A5203" s="2" t="n"/>
    </row>
    <row r="5204">
      <c r="A5204" s="2" t="n"/>
    </row>
    <row r="5205">
      <c r="A5205" s="2" t="n"/>
    </row>
    <row r="5206">
      <c r="A5206" s="2" t="n"/>
    </row>
    <row r="5207">
      <c r="A5207" s="2" t="n"/>
    </row>
    <row r="5208">
      <c r="A5208" s="2" t="n"/>
    </row>
    <row r="5209">
      <c r="A5209" s="2" t="n"/>
    </row>
    <row r="5210">
      <c r="A5210" s="2" t="n"/>
    </row>
    <row r="5211">
      <c r="A5211" s="2" t="n"/>
    </row>
    <row r="5212">
      <c r="A5212" s="2" t="n"/>
    </row>
    <row r="5213">
      <c r="A5213" s="2" t="n"/>
    </row>
    <row r="5214">
      <c r="A5214" s="2" t="n"/>
    </row>
    <row r="5215">
      <c r="A5215" s="2" t="n"/>
    </row>
    <row r="5216">
      <c r="A5216" s="2" t="n"/>
    </row>
    <row r="5217">
      <c r="A5217" s="2" t="n"/>
    </row>
    <row r="5218">
      <c r="A5218" s="2" t="n"/>
    </row>
    <row r="5219">
      <c r="A5219" s="2" t="n"/>
    </row>
    <row r="5220">
      <c r="A5220" s="2" t="n"/>
    </row>
    <row r="5221">
      <c r="A5221" s="2" t="n"/>
    </row>
    <row r="5222">
      <c r="A5222" s="2" t="n"/>
    </row>
    <row r="5223">
      <c r="A5223" s="2" t="n"/>
    </row>
    <row r="5224">
      <c r="A5224" s="2" t="n"/>
    </row>
    <row r="5225">
      <c r="A5225" s="2" t="n"/>
    </row>
    <row r="5226">
      <c r="A5226" s="2" t="n"/>
    </row>
    <row r="5227">
      <c r="A5227" s="2" t="n"/>
    </row>
    <row r="5228">
      <c r="A5228" s="2" t="n"/>
    </row>
    <row r="5229">
      <c r="A5229" s="2" t="n"/>
    </row>
    <row r="5230">
      <c r="A5230" s="2" t="n"/>
    </row>
    <row r="5231">
      <c r="A5231" s="2" t="n"/>
    </row>
    <row r="5232">
      <c r="A5232" s="2" t="n"/>
    </row>
    <row r="5233">
      <c r="A5233" s="2" t="n"/>
    </row>
    <row r="5234">
      <c r="A5234" s="2" t="n"/>
    </row>
    <row r="5235">
      <c r="A5235" s="2" t="n"/>
    </row>
    <row r="5236">
      <c r="A5236" s="2" t="n"/>
    </row>
    <row r="5237">
      <c r="A5237" s="2" t="n"/>
    </row>
    <row r="5238">
      <c r="A5238" s="2" t="n"/>
    </row>
    <row r="5239">
      <c r="A5239" s="2" t="n"/>
    </row>
    <row r="5240">
      <c r="A5240" s="2" t="n"/>
    </row>
    <row r="5241">
      <c r="A5241" s="2" t="n"/>
    </row>
    <row r="5242">
      <c r="A5242" s="2" t="n"/>
    </row>
    <row r="5243">
      <c r="A5243" s="2" t="n"/>
    </row>
    <row r="5244">
      <c r="A5244" s="2" t="n"/>
    </row>
    <row r="5245">
      <c r="A5245" s="2" t="n"/>
    </row>
    <row r="5246">
      <c r="A5246" s="2" t="n"/>
    </row>
    <row r="5247">
      <c r="A5247" s="2" t="n"/>
    </row>
    <row r="5248">
      <c r="A5248" s="2" t="n"/>
    </row>
    <row r="5249">
      <c r="A5249" s="2" t="n"/>
    </row>
    <row r="5250">
      <c r="A5250" s="2" t="n"/>
    </row>
    <row r="5251">
      <c r="A5251" s="2" t="n"/>
    </row>
    <row r="5252">
      <c r="A5252" s="2" t="n"/>
    </row>
    <row r="5253">
      <c r="A5253" s="2" t="n"/>
    </row>
    <row r="5254">
      <c r="A5254" s="2" t="n"/>
    </row>
    <row r="5255">
      <c r="A5255" s="2" t="n"/>
    </row>
    <row r="5256">
      <c r="A5256" s="2" t="n"/>
    </row>
    <row r="5257">
      <c r="A5257" s="2" t="n"/>
    </row>
    <row r="5258">
      <c r="A5258" s="2" t="n"/>
    </row>
    <row r="5259">
      <c r="A5259" s="2" t="n"/>
    </row>
    <row r="5260">
      <c r="A5260" s="2" t="n"/>
    </row>
    <row r="5261">
      <c r="A5261" s="2" t="n"/>
    </row>
    <row r="5262">
      <c r="A5262" s="2" t="n"/>
    </row>
    <row r="5263">
      <c r="A5263" s="2" t="n"/>
    </row>
    <row r="5264">
      <c r="A5264" s="2" t="n"/>
    </row>
    <row r="5265">
      <c r="A5265" s="2" t="n"/>
    </row>
    <row r="5266">
      <c r="A5266" s="2" t="n"/>
    </row>
    <row r="5267">
      <c r="A5267" s="2" t="n"/>
    </row>
    <row r="5268">
      <c r="A5268" s="2" t="n"/>
    </row>
    <row r="5269">
      <c r="A5269" s="2" t="n"/>
    </row>
    <row r="5270">
      <c r="A5270" s="2" t="n"/>
    </row>
    <row r="5271">
      <c r="A5271" s="2" t="n"/>
    </row>
    <row r="5272">
      <c r="A5272" s="2" t="n"/>
    </row>
    <row r="5273">
      <c r="A5273" s="2" t="n"/>
    </row>
    <row r="5274">
      <c r="A5274" s="2" t="n"/>
    </row>
    <row r="5275">
      <c r="A5275" s="2" t="n"/>
    </row>
    <row r="5276">
      <c r="A5276" s="2" t="n"/>
    </row>
    <row r="5277">
      <c r="A5277" s="2" t="n"/>
    </row>
    <row r="5278">
      <c r="A5278" s="2" t="n"/>
    </row>
    <row r="5279">
      <c r="A5279" s="2" t="n"/>
    </row>
    <row r="5280">
      <c r="A5280" s="2" t="n"/>
    </row>
    <row r="5281">
      <c r="A5281" s="2" t="n"/>
    </row>
    <row r="5282">
      <c r="A5282" s="2" t="n"/>
    </row>
    <row r="5283">
      <c r="A5283" s="2" t="n"/>
    </row>
    <row r="5284">
      <c r="A5284" s="2" t="n"/>
    </row>
    <row r="5285">
      <c r="A5285" s="2" t="n"/>
    </row>
    <row r="5286">
      <c r="A5286" s="2" t="n"/>
    </row>
    <row r="5287">
      <c r="A5287" s="2" t="n"/>
    </row>
    <row r="5288">
      <c r="A5288" s="2" t="n"/>
    </row>
    <row r="5289">
      <c r="A5289" s="2" t="n"/>
    </row>
    <row r="5290">
      <c r="A5290" s="2" t="n"/>
    </row>
    <row r="5291">
      <c r="A5291" s="2" t="n"/>
    </row>
    <row r="5292">
      <c r="A5292" s="2" t="n"/>
    </row>
    <row r="5293">
      <c r="A5293" s="2" t="n"/>
    </row>
    <row r="5294">
      <c r="A5294" s="2" t="n"/>
    </row>
    <row r="5295">
      <c r="A5295" s="2" t="n"/>
    </row>
    <row r="5296">
      <c r="A5296" s="2" t="n"/>
    </row>
    <row r="5297">
      <c r="A5297" s="2" t="n"/>
    </row>
    <row r="5298">
      <c r="A5298" s="2" t="n"/>
    </row>
    <row r="5299">
      <c r="A5299" s="2" t="n"/>
    </row>
    <row r="5300">
      <c r="A5300" s="2" t="n"/>
    </row>
    <row r="5301">
      <c r="A5301" s="2" t="n"/>
    </row>
    <row r="5302">
      <c r="A5302" s="2" t="n"/>
    </row>
    <row r="5303">
      <c r="A5303" s="2" t="n"/>
    </row>
    <row r="5304">
      <c r="A5304" s="2" t="n"/>
    </row>
    <row r="5305">
      <c r="A5305" s="2" t="n"/>
    </row>
    <row r="5306">
      <c r="A5306" s="2" t="n"/>
    </row>
    <row r="5307">
      <c r="A5307" s="2" t="n"/>
    </row>
    <row r="5308">
      <c r="A5308" s="2" t="n"/>
    </row>
    <row r="5309">
      <c r="A5309" s="2" t="n"/>
    </row>
    <row r="5310">
      <c r="A5310" s="2" t="n"/>
    </row>
    <row r="5311">
      <c r="A5311" s="2" t="n"/>
    </row>
    <row r="5312">
      <c r="A5312" s="2" t="n"/>
    </row>
    <row r="5313">
      <c r="A5313" s="2" t="n"/>
    </row>
    <row r="5314">
      <c r="A5314" s="2" t="n"/>
    </row>
    <row r="5315">
      <c r="A5315" s="2" t="n"/>
    </row>
    <row r="5316">
      <c r="A5316" s="2" t="n"/>
    </row>
    <row r="5317">
      <c r="A5317" s="2" t="n"/>
    </row>
    <row r="5318">
      <c r="A5318" s="2" t="n"/>
    </row>
    <row r="5319">
      <c r="A5319" s="2" t="n"/>
    </row>
    <row r="5320">
      <c r="A5320" s="2" t="n"/>
    </row>
    <row r="5321">
      <c r="A5321" s="2" t="n"/>
    </row>
    <row r="5322">
      <c r="A5322" s="2" t="n"/>
    </row>
    <row r="5323">
      <c r="A5323" s="2" t="n"/>
    </row>
    <row r="5324">
      <c r="A5324" s="2" t="n"/>
    </row>
    <row r="5325">
      <c r="A5325" s="2" t="n"/>
    </row>
    <row r="5326">
      <c r="A5326" s="2" t="n"/>
    </row>
    <row r="5327">
      <c r="A5327" s="2" t="n"/>
    </row>
    <row r="5328">
      <c r="A5328" s="2" t="n"/>
    </row>
    <row r="5329">
      <c r="A5329" s="2" t="n"/>
    </row>
    <row r="5330">
      <c r="A5330" s="2" t="n"/>
    </row>
    <row r="5331">
      <c r="A5331" s="2" t="n"/>
    </row>
    <row r="5332">
      <c r="A5332" s="2" t="n"/>
    </row>
    <row r="5333">
      <c r="A5333" s="2" t="n"/>
    </row>
    <row r="5334">
      <c r="A5334" s="2" t="n"/>
    </row>
    <row r="5335">
      <c r="A5335" s="2" t="n"/>
    </row>
    <row r="5336">
      <c r="A5336" s="2" t="n"/>
    </row>
    <row r="5337">
      <c r="A5337" s="2" t="n"/>
    </row>
    <row r="5338">
      <c r="A5338" s="2" t="n"/>
    </row>
    <row r="5339">
      <c r="A5339" s="2" t="n"/>
    </row>
    <row r="5340">
      <c r="A5340" s="2" t="n"/>
    </row>
    <row r="5341">
      <c r="A5341" s="2" t="n"/>
    </row>
    <row r="5342">
      <c r="A5342" s="2" t="n"/>
    </row>
    <row r="5343">
      <c r="A5343" s="2" t="n"/>
    </row>
    <row r="5344">
      <c r="A5344" s="2" t="n"/>
    </row>
    <row r="5345">
      <c r="A5345" s="2" t="n"/>
    </row>
    <row r="5346">
      <c r="A5346" s="2" t="n"/>
    </row>
    <row r="5347">
      <c r="A5347" s="2" t="n"/>
    </row>
    <row r="5348">
      <c r="A5348" s="2" t="n"/>
    </row>
    <row r="5349">
      <c r="A5349" s="2" t="n"/>
    </row>
    <row r="5350">
      <c r="A5350" s="2" t="n"/>
    </row>
    <row r="5351">
      <c r="A5351" s="2" t="n"/>
    </row>
    <row r="5352">
      <c r="A5352" s="2" t="n"/>
    </row>
    <row r="5353">
      <c r="A5353" s="2" t="n"/>
    </row>
    <row r="5354">
      <c r="A5354" s="2" t="n"/>
    </row>
    <row r="5355">
      <c r="A5355" s="2" t="n"/>
    </row>
    <row r="5356">
      <c r="A5356" s="2" t="n"/>
    </row>
    <row r="5357">
      <c r="A5357" s="2" t="n"/>
    </row>
    <row r="5358">
      <c r="A5358" s="2" t="n"/>
    </row>
    <row r="5359">
      <c r="A5359" s="2" t="n"/>
    </row>
    <row r="5360">
      <c r="A5360" s="2" t="n"/>
    </row>
    <row r="5361">
      <c r="A5361" s="2" t="n"/>
    </row>
    <row r="5362">
      <c r="A5362" s="2" t="n"/>
    </row>
    <row r="5363">
      <c r="A5363" s="2" t="n"/>
    </row>
    <row r="5364">
      <c r="A5364" s="2" t="n"/>
    </row>
    <row r="5365">
      <c r="A5365" s="2" t="n"/>
    </row>
    <row r="5366">
      <c r="A5366" s="2" t="n"/>
    </row>
    <row r="5367">
      <c r="A5367" s="2" t="n"/>
    </row>
    <row r="5368">
      <c r="A5368" s="2" t="n"/>
    </row>
    <row r="5369">
      <c r="A5369" s="2" t="n"/>
    </row>
    <row r="5370">
      <c r="A5370" s="2" t="n"/>
    </row>
    <row r="5371">
      <c r="A5371" s="2" t="n"/>
    </row>
    <row r="5372">
      <c r="A5372" s="2" t="n"/>
    </row>
    <row r="5373">
      <c r="A5373" s="2" t="n"/>
    </row>
    <row r="5374">
      <c r="A5374" s="2" t="n"/>
    </row>
    <row r="5375">
      <c r="A5375" s="2" t="n"/>
    </row>
    <row r="5376">
      <c r="A5376" s="2" t="n"/>
    </row>
    <row r="5377">
      <c r="A5377" s="2" t="n"/>
    </row>
    <row r="5378">
      <c r="A5378" s="2" t="n"/>
    </row>
    <row r="5379">
      <c r="A5379" s="2" t="n"/>
    </row>
    <row r="5380">
      <c r="A5380" s="2" t="n"/>
    </row>
    <row r="5381">
      <c r="A5381" s="2" t="n"/>
    </row>
    <row r="5382">
      <c r="A5382" s="2" t="n"/>
    </row>
    <row r="5383">
      <c r="A5383" s="2" t="n"/>
    </row>
    <row r="5384">
      <c r="A5384" s="2" t="n"/>
    </row>
    <row r="5385">
      <c r="A5385" s="2" t="n"/>
    </row>
    <row r="5386">
      <c r="A5386" s="2" t="n"/>
    </row>
    <row r="5387">
      <c r="A5387" s="2" t="n"/>
    </row>
    <row r="5388">
      <c r="A5388" s="2" t="n"/>
    </row>
    <row r="5389">
      <c r="A5389" s="2" t="n"/>
    </row>
    <row r="5390">
      <c r="A5390" s="2" t="n"/>
    </row>
    <row r="5391">
      <c r="A5391" s="2" t="n"/>
    </row>
    <row r="5392">
      <c r="A5392" s="2" t="n"/>
    </row>
    <row r="5393">
      <c r="A5393" s="2" t="n"/>
    </row>
    <row r="5394">
      <c r="A5394" s="2" t="n"/>
    </row>
    <row r="5395">
      <c r="A5395" s="2" t="n"/>
    </row>
    <row r="5396">
      <c r="A5396" s="2" t="n"/>
    </row>
    <row r="5397">
      <c r="A5397" s="2" t="n"/>
    </row>
    <row r="5398">
      <c r="A5398" s="2" t="n"/>
    </row>
    <row r="5399">
      <c r="A5399" s="2" t="n"/>
    </row>
    <row r="5400">
      <c r="A5400" s="2" t="n"/>
    </row>
    <row r="5401">
      <c r="A5401" s="2" t="n"/>
    </row>
    <row r="5402">
      <c r="A5402" s="2" t="n"/>
    </row>
    <row r="5403">
      <c r="A5403" s="2" t="n"/>
    </row>
    <row r="5404">
      <c r="A5404" s="2" t="n"/>
    </row>
    <row r="5405">
      <c r="A5405" s="2" t="n"/>
    </row>
    <row r="5406">
      <c r="A5406" s="2" t="n"/>
    </row>
    <row r="5407">
      <c r="A5407" s="2" t="n"/>
    </row>
    <row r="5408">
      <c r="A5408" s="2" t="n"/>
    </row>
    <row r="5409">
      <c r="A5409" s="2" t="n"/>
    </row>
    <row r="5410">
      <c r="A5410" s="2" t="n"/>
    </row>
    <row r="5411">
      <c r="A5411" s="2" t="n"/>
    </row>
    <row r="5412">
      <c r="A5412" s="2" t="n"/>
    </row>
    <row r="5413">
      <c r="A5413" s="2" t="n"/>
    </row>
    <row r="5414">
      <c r="A5414" s="2" t="n"/>
    </row>
    <row r="5415">
      <c r="A5415" s="2" t="n"/>
    </row>
    <row r="5416">
      <c r="A5416" s="2" t="n"/>
    </row>
    <row r="5417">
      <c r="A5417" s="2" t="n"/>
    </row>
    <row r="5418">
      <c r="A5418" s="2" t="n"/>
    </row>
    <row r="5419">
      <c r="A5419" s="2" t="n"/>
    </row>
    <row r="5420">
      <c r="A5420" s="2" t="n"/>
    </row>
    <row r="5421">
      <c r="A5421" s="2" t="n"/>
    </row>
    <row r="5422">
      <c r="A5422" s="2" t="n"/>
    </row>
    <row r="5423">
      <c r="A5423" s="2" t="n"/>
    </row>
    <row r="5424">
      <c r="A5424" s="2" t="n"/>
    </row>
    <row r="5425">
      <c r="A5425" s="2" t="n"/>
    </row>
    <row r="5426">
      <c r="A5426" s="2" t="n"/>
    </row>
    <row r="5427">
      <c r="A5427" s="2" t="n"/>
    </row>
    <row r="5428">
      <c r="A5428" s="2" t="n"/>
    </row>
    <row r="5429">
      <c r="A5429" s="2" t="n"/>
    </row>
    <row r="5430">
      <c r="A5430" s="2" t="n"/>
    </row>
    <row r="5431">
      <c r="A5431" s="2" t="n"/>
    </row>
    <row r="5432">
      <c r="A5432" s="2" t="n"/>
    </row>
    <row r="5433">
      <c r="A5433" s="2" t="n"/>
    </row>
    <row r="5434">
      <c r="A5434" s="2" t="n"/>
    </row>
    <row r="5435">
      <c r="A5435" s="2" t="n"/>
    </row>
    <row r="5436">
      <c r="A5436" s="2" t="n"/>
    </row>
    <row r="5437">
      <c r="A5437" s="2" t="n"/>
    </row>
    <row r="5438">
      <c r="A5438" s="2" t="n"/>
    </row>
    <row r="5439">
      <c r="A5439" s="2" t="n"/>
    </row>
    <row r="5440">
      <c r="A5440" s="2" t="n"/>
    </row>
    <row r="5441">
      <c r="A5441" s="2" t="n"/>
    </row>
    <row r="5442">
      <c r="A5442" s="2" t="n"/>
    </row>
    <row r="5443">
      <c r="A5443" s="2" t="n"/>
    </row>
    <row r="5444">
      <c r="A5444" s="2" t="n"/>
    </row>
    <row r="5445">
      <c r="A5445" s="2" t="n"/>
    </row>
    <row r="5446">
      <c r="A5446" s="2" t="n"/>
    </row>
    <row r="5447">
      <c r="A5447" s="2" t="n"/>
    </row>
    <row r="5448">
      <c r="A5448" s="2" t="n"/>
    </row>
    <row r="5449">
      <c r="A5449" s="2" t="n"/>
    </row>
    <row r="5450">
      <c r="A5450" s="2" t="n"/>
    </row>
    <row r="5451">
      <c r="A5451" s="2" t="n"/>
    </row>
    <row r="5452">
      <c r="A5452" s="2" t="n"/>
    </row>
    <row r="5453">
      <c r="A5453" s="2" t="n"/>
    </row>
    <row r="5454">
      <c r="A5454" s="2" t="n"/>
    </row>
    <row r="5455">
      <c r="A5455" s="2" t="n"/>
    </row>
    <row r="5456">
      <c r="A5456" s="2" t="n"/>
    </row>
    <row r="5457">
      <c r="A5457" s="2" t="n"/>
    </row>
    <row r="5458">
      <c r="A5458" s="2" t="n"/>
    </row>
    <row r="5459">
      <c r="A5459" s="2" t="n"/>
    </row>
    <row r="5460">
      <c r="A5460" s="2" t="n"/>
    </row>
    <row r="5461">
      <c r="A5461" s="2" t="n"/>
    </row>
    <row r="5462">
      <c r="A5462" s="2" t="n"/>
    </row>
    <row r="5463">
      <c r="A5463" s="2" t="n"/>
    </row>
    <row r="5464">
      <c r="A5464" s="2" t="n"/>
    </row>
    <row r="5465">
      <c r="A5465" s="2" t="n"/>
    </row>
    <row r="5466">
      <c r="A5466" s="2" t="n"/>
    </row>
    <row r="5467">
      <c r="A5467" s="2" t="n"/>
    </row>
    <row r="5468">
      <c r="A5468" s="2" t="n"/>
    </row>
    <row r="5469">
      <c r="A5469" s="2" t="n"/>
    </row>
    <row r="5470">
      <c r="A5470" s="2" t="n"/>
    </row>
    <row r="5471">
      <c r="A5471" s="2" t="n"/>
    </row>
    <row r="5472">
      <c r="A5472" s="2" t="n"/>
    </row>
    <row r="5473">
      <c r="A5473" s="2" t="n"/>
    </row>
    <row r="5474">
      <c r="A5474" s="2" t="n"/>
    </row>
    <row r="5475">
      <c r="A5475" s="2" t="n"/>
    </row>
    <row r="5476">
      <c r="A5476" s="2" t="n"/>
    </row>
    <row r="5477">
      <c r="A5477" s="2" t="n"/>
    </row>
    <row r="5478">
      <c r="A5478" s="2" t="n"/>
    </row>
    <row r="5479">
      <c r="A5479" s="2" t="n"/>
    </row>
    <row r="5480">
      <c r="A5480" s="2" t="n"/>
    </row>
    <row r="5481">
      <c r="A5481" s="2" t="n"/>
    </row>
    <row r="5482">
      <c r="A5482" s="2" t="n"/>
    </row>
    <row r="5483">
      <c r="A5483" s="2" t="n"/>
    </row>
    <row r="5484">
      <c r="A5484" s="2" t="n"/>
    </row>
    <row r="5485">
      <c r="A5485" s="2" t="n"/>
    </row>
    <row r="5486">
      <c r="A5486" s="2" t="n"/>
    </row>
    <row r="5487">
      <c r="A5487" s="2" t="n"/>
    </row>
    <row r="5488">
      <c r="A5488" s="2" t="n"/>
    </row>
    <row r="5489">
      <c r="A5489" s="2" t="n"/>
    </row>
    <row r="5490">
      <c r="A5490" s="2" t="n"/>
    </row>
    <row r="5491">
      <c r="A5491" s="2" t="n"/>
    </row>
    <row r="5492">
      <c r="A5492" s="2" t="n"/>
    </row>
    <row r="5493">
      <c r="A5493" s="2" t="n"/>
    </row>
    <row r="5494">
      <c r="A5494" s="2" t="n"/>
    </row>
    <row r="5495">
      <c r="A5495" s="2" t="n"/>
    </row>
    <row r="5496">
      <c r="A5496" s="2" t="n"/>
    </row>
    <row r="5497">
      <c r="A5497" s="2" t="n"/>
    </row>
    <row r="5498">
      <c r="A5498" s="2" t="n"/>
    </row>
    <row r="5499">
      <c r="A5499" s="2" t="n"/>
    </row>
    <row r="5500">
      <c r="A5500" s="2" t="n"/>
    </row>
    <row r="5501">
      <c r="A5501" s="2" t="n"/>
    </row>
    <row r="5502">
      <c r="A5502" s="2" t="n"/>
    </row>
    <row r="5503">
      <c r="A5503" s="2" t="n"/>
    </row>
    <row r="5504">
      <c r="A5504" s="2" t="n"/>
    </row>
    <row r="5505">
      <c r="A5505" s="2" t="n"/>
    </row>
    <row r="5506">
      <c r="A5506" s="2" t="n"/>
    </row>
    <row r="5507">
      <c r="A5507" s="2" t="n"/>
    </row>
    <row r="5508">
      <c r="A5508" s="2" t="n"/>
    </row>
    <row r="5509">
      <c r="A5509" s="2" t="n"/>
    </row>
    <row r="5510">
      <c r="A5510" s="2" t="n"/>
    </row>
    <row r="5511">
      <c r="A5511" s="2" t="n"/>
    </row>
    <row r="5512">
      <c r="A5512" s="2" t="n"/>
    </row>
    <row r="5513">
      <c r="A5513" s="2" t="n"/>
    </row>
    <row r="5514">
      <c r="A5514" s="2" t="n"/>
    </row>
    <row r="5515">
      <c r="A5515" s="2" t="n"/>
    </row>
    <row r="5516">
      <c r="A5516" s="2" t="n"/>
    </row>
    <row r="5517">
      <c r="A5517" s="2" t="n"/>
    </row>
    <row r="5518">
      <c r="A5518" s="2" t="n"/>
    </row>
    <row r="5519">
      <c r="A5519" s="2" t="n"/>
    </row>
    <row r="5520">
      <c r="A5520" s="2" t="n"/>
    </row>
    <row r="5521">
      <c r="A5521" s="2" t="n"/>
    </row>
    <row r="5522">
      <c r="A5522" s="2" t="n"/>
    </row>
    <row r="5523">
      <c r="A5523" s="2" t="n"/>
    </row>
    <row r="5524">
      <c r="A5524" s="2" t="n"/>
    </row>
    <row r="5525">
      <c r="A5525" s="2" t="n"/>
    </row>
    <row r="5526">
      <c r="A5526" s="2" t="n"/>
    </row>
    <row r="5527">
      <c r="A5527" s="2" t="n"/>
    </row>
    <row r="5528">
      <c r="A5528" s="2" t="n"/>
    </row>
    <row r="5529">
      <c r="A5529" s="2" t="n"/>
    </row>
    <row r="5530">
      <c r="A5530" s="2" t="n"/>
    </row>
    <row r="5531">
      <c r="A5531" s="2" t="n"/>
    </row>
    <row r="5532">
      <c r="A5532" s="2" t="n"/>
    </row>
    <row r="5533">
      <c r="A5533" s="2" t="n"/>
    </row>
    <row r="5534">
      <c r="A5534" s="2" t="n"/>
    </row>
    <row r="5535">
      <c r="A5535" s="2" t="n"/>
    </row>
    <row r="5536">
      <c r="A5536" s="2" t="n"/>
    </row>
    <row r="5537">
      <c r="A5537" s="2" t="n"/>
    </row>
    <row r="5538">
      <c r="A5538" s="2" t="n"/>
    </row>
    <row r="5539">
      <c r="A5539" s="2" t="n"/>
    </row>
    <row r="5540">
      <c r="A5540" s="2" t="n"/>
    </row>
    <row r="5541">
      <c r="A5541" s="2" t="n"/>
    </row>
    <row r="5542">
      <c r="A5542" s="2" t="n"/>
    </row>
    <row r="5543">
      <c r="A5543" s="2" t="n"/>
    </row>
    <row r="5544">
      <c r="A5544" s="2" t="n"/>
    </row>
    <row r="5545">
      <c r="A5545" s="2" t="n"/>
    </row>
    <row r="5546">
      <c r="A5546" s="2" t="n"/>
    </row>
    <row r="5547">
      <c r="A5547" s="2" t="n"/>
    </row>
    <row r="5548">
      <c r="A5548" s="2" t="n"/>
    </row>
    <row r="5549">
      <c r="A5549" s="2" t="n"/>
    </row>
    <row r="5550">
      <c r="A5550" s="2" t="n"/>
    </row>
    <row r="5551">
      <c r="A5551" s="2" t="n"/>
    </row>
    <row r="5552">
      <c r="A5552" s="2" t="n"/>
    </row>
    <row r="5553">
      <c r="A5553" s="2" t="n"/>
    </row>
    <row r="5554">
      <c r="A5554" s="2" t="n"/>
    </row>
    <row r="5555">
      <c r="A5555" s="2" t="n"/>
    </row>
    <row r="5556">
      <c r="A5556" s="2" t="n"/>
    </row>
    <row r="5557">
      <c r="A5557" s="2" t="n"/>
    </row>
    <row r="5558">
      <c r="A5558" s="2" t="n"/>
    </row>
    <row r="5559">
      <c r="A5559" s="2" t="n"/>
    </row>
    <row r="5560">
      <c r="A5560" s="2" t="n"/>
    </row>
    <row r="5561">
      <c r="A5561" s="2" t="n"/>
    </row>
    <row r="5562">
      <c r="A5562" s="2" t="n"/>
    </row>
    <row r="5563">
      <c r="A5563" s="2" t="n"/>
    </row>
    <row r="5564">
      <c r="A5564" s="2" t="n"/>
    </row>
    <row r="5565">
      <c r="A5565" s="2" t="n"/>
    </row>
    <row r="5566">
      <c r="A5566" s="2" t="n"/>
    </row>
    <row r="5567">
      <c r="A5567" s="2" t="n"/>
    </row>
    <row r="5568">
      <c r="A5568" s="2" t="n"/>
    </row>
    <row r="5569">
      <c r="A5569" s="2" t="n"/>
    </row>
    <row r="5570">
      <c r="A5570" s="2" t="n"/>
    </row>
    <row r="5571">
      <c r="A5571" s="2" t="n"/>
    </row>
    <row r="5572">
      <c r="A5572" s="2" t="n"/>
    </row>
    <row r="5573">
      <c r="A5573" s="2" t="n"/>
    </row>
    <row r="5574">
      <c r="A5574" s="2" t="n"/>
    </row>
    <row r="5575">
      <c r="A5575" s="2" t="n"/>
    </row>
    <row r="5576">
      <c r="A5576" s="2" t="n"/>
    </row>
    <row r="5577">
      <c r="A5577" s="2" t="n"/>
    </row>
    <row r="5578">
      <c r="A5578" s="2" t="n"/>
    </row>
    <row r="5579">
      <c r="A5579" s="2" t="n"/>
    </row>
    <row r="5580">
      <c r="A5580" s="2" t="n"/>
    </row>
    <row r="5581">
      <c r="A5581" s="2" t="n"/>
    </row>
    <row r="5582">
      <c r="A5582" s="2" t="n"/>
    </row>
    <row r="5583">
      <c r="A5583" s="2" t="n"/>
    </row>
    <row r="5584">
      <c r="A5584" s="2" t="n"/>
    </row>
    <row r="5585">
      <c r="A5585" s="2" t="n"/>
    </row>
    <row r="5586">
      <c r="A5586" s="2" t="n"/>
    </row>
    <row r="5587">
      <c r="A5587" s="2" t="n"/>
    </row>
    <row r="5588">
      <c r="A5588" s="2" t="n"/>
    </row>
    <row r="5589">
      <c r="A5589" s="2" t="n"/>
    </row>
    <row r="5590">
      <c r="A5590" s="2" t="n"/>
    </row>
    <row r="5591">
      <c r="A5591" s="2" t="n"/>
    </row>
    <row r="5592">
      <c r="A5592" s="2" t="n"/>
    </row>
    <row r="5593">
      <c r="A5593" s="2" t="n"/>
    </row>
    <row r="5594">
      <c r="A5594" s="2" t="n"/>
    </row>
    <row r="5595">
      <c r="A5595" s="2" t="n"/>
    </row>
    <row r="5596">
      <c r="A5596" s="2" t="n"/>
    </row>
    <row r="5597">
      <c r="A5597" s="2" t="n"/>
    </row>
    <row r="5598">
      <c r="A5598" s="2" t="n"/>
    </row>
    <row r="5599">
      <c r="A5599" s="2" t="n"/>
    </row>
    <row r="5600">
      <c r="A5600" s="2" t="n"/>
    </row>
    <row r="5601">
      <c r="A5601" s="2" t="n"/>
    </row>
    <row r="5602">
      <c r="A5602" s="2" t="n"/>
    </row>
    <row r="5603">
      <c r="A5603" s="2" t="n"/>
    </row>
    <row r="5604">
      <c r="A5604" s="2" t="n"/>
    </row>
    <row r="5605">
      <c r="A5605" s="2" t="n"/>
    </row>
    <row r="5606">
      <c r="A5606" s="2" t="n"/>
    </row>
    <row r="5607">
      <c r="A5607" s="2" t="n"/>
    </row>
    <row r="5608">
      <c r="A5608" s="2" t="n"/>
    </row>
    <row r="5609">
      <c r="A5609" s="2" t="n"/>
    </row>
    <row r="5610">
      <c r="A5610" s="2" t="n"/>
    </row>
    <row r="5611">
      <c r="A5611" s="2" t="n"/>
    </row>
    <row r="5612">
      <c r="A5612" s="2" t="n"/>
    </row>
    <row r="5613">
      <c r="A5613" s="2" t="n"/>
    </row>
    <row r="5614">
      <c r="A5614" s="2" t="n"/>
    </row>
    <row r="5615">
      <c r="A5615" s="2" t="n"/>
    </row>
    <row r="5616">
      <c r="A5616" s="2" t="n"/>
    </row>
    <row r="5617">
      <c r="A5617" s="2" t="n"/>
    </row>
    <row r="5618">
      <c r="A5618" s="2" t="n"/>
    </row>
    <row r="5619">
      <c r="A5619" s="2" t="n"/>
    </row>
    <row r="5620">
      <c r="A5620" s="2" t="n"/>
    </row>
    <row r="5621">
      <c r="A5621" s="2" t="n"/>
    </row>
    <row r="5622">
      <c r="A5622" s="2" t="n"/>
    </row>
    <row r="5623">
      <c r="A5623" s="2" t="n"/>
    </row>
    <row r="5624">
      <c r="A5624" s="2" t="n"/>
    </row>
    <row r="5625">
      <c r="A5625" s="2" t="n"/>
    </row>
    <row r="5626">
      <c r="A5626" s="2" t="n"/>
    </row>
    <row r="5627">
      <c r="A5627" s="2" t="n"/>
    </row>
    <row r="5628">
      <c r="A5628" s="2" t="n"/>
    </row>
    <row r="5629">
      <c r="A5629" s="2" t="n"/>
    </row>
    <row r="5630">
      <c r="A5630" s="2" t="n"/>
    </row>
    <row r="5631">
      <c r="A5631" s="2" t="n"/>
    </row>
    <row r="5632">
      <c r="A5632" s="2" t="n"/>
    </row>
    <row r="5633">
      <c r="A5633" s="2" t="n"/>
    </row>
    <row r="5634">
      <c r="A5634" s="2" t="n"/>
    </row>
    <row r="5635">
      <c r="A5635" s="2" t="n"/>
    </row>
    <row r="5636">
      <c r="A5636" s="2" t="n"/>
    </row>
    <row r="5637">
      <c r="A5637" s="2" t="n"/>
    </row>
    <row r="5638">
      <c r="A5638" s="2" t="n"/>
    </row>
    <row r="5639">
      <c r="A5639" s="2" t="n"/>
    </row>
    <row r="5640">
      <c r="A5640" s="2" t="n"/>
    </row>
    <row r="5641">
      <c r="A5641" s="2" t="n"/>
    </row>
    <row r="5642">
      <c r="A5642" s="2" t="n"/>
    </row>
    <row r="5643">
      <c r="A5643" s="2" t="n"/>
    </row>
    <row r="5644">
      <c r="A5644" s="2" t="n"/>
    </row>
    <row r="5645">
      <c r="A5645" s="2" t="n"/>
    </row>
    <row r="5646">
      <c r="A5646" s="2" t="n"/>
    </row>
    <row r="5647">
      <c r="A5647" s="2" t="n"/>
    </row>
    <row r="5648">
      <c r="A5648" s="2" t="n"/>
    </row>
    <row r="5649">
      <c r="A5649" s="2" t="n"/>
    </row>
    <row r="5650">
      <c r="A5650" s="2" t="n"/>
    </row>
    <row r="5651">
      <c r="A5651" s="2" t="n"/>
    </row>
    <row r="5652">
      <c r="A5652" s="2" t="n"/>
    </row>
    <row r="5653">
      <c r="A5653" s="2" t="n"/>
    </row>
    <row r="5654">
      <c r="A5654" s="2" t="n"/>
    </row>
    <row r="5655">
      <c r="A5655" s="2" t="n"/>
    </row>
    <row r="5656">
      <c r="A5656" s="2" t="n"/>
    </row>
    <row r="5657">
      <c r="A5657" s="2" t="n"/>
    </row>
    <row r="5658">
      <c r="A5658" s="2" t="n"/>
    </row>
    <row r="5659">
      <c r="A5659" s="2" t="n"/>
    </row>
    <row r="5660">
      <c r="A5660" s="2" t="n"/>
    </row>
    <row r="5661">
      <c r="A5661" s="2" t="n"/>
    </row>
    <row r="5662">
      <c r="A5662" s="2" t="n"/>
    </row>
    <row r="5663">
      <c r="A5663" s="2" t="n"/>
    </row>
    <row r="5664">
      <c r="A5664" s="2" t="n"/>
    </row>
    <row r="5665">
      <c r="A5665" s="2" t="n"/>
    </row>
    <row r="5666">
      <c r="A5666" s="2" t="n"/>
    </row>
    <row r="5667">
      <c r="A5667" s="2" t="n"/>
    </row>
    <row r="5668">
      <c r="A5668" s="2" t="n"/>
    </row>
    <row r="5669">
      <c r="A5669" s="2" t="n"/>
    </row>
    <row r="5670">
      <c r="A5670" s="2" t="n"/>
    </row>
    <row r="5671">
      <c r="A5671" s="2" t="n"/>
    </row>
    <row r="5672">
      <c r="A5672" s="2" t="n"/>
    </row>
    <row r="5673">
      <c r="A5673" s="2" t="n"/>
    </row>
    <row r="5674">
      <c r="A5674" s="2" t="n"/>
    </row>
    <row r="5675">
      <c r="A5675" s="2" t="n"/>
    </row>
    <row r="5676">
      <c r="A5676" s="2" t="n"/>
    </row>
    <row r="5677">
      <c r="A5677" s="2" t="n"/>
    </row>
    <row r="5678">
      <c r="A5678" s="2" t="n"/>
    </row>
    <row r="5679">
      <c r="A5679" s="2" t="n"/>
    </row>
    <row r="5680">
      <c r="A5680" s="2" t="n"/>
    </row>
    <row r="5681">
      <c r="A5681" s="2" t="n"/>
    </row>
    <row r="5682">
      <c r="A5682" s="2" t="n"/>
    </row>
    <row r="5683">
      <c r="A5683" s="2" t="n"/>
    </row>
    <row r="5684">
      <c r="A5684" s="2" t="n"/>
    </row>
    <row r="5685">
      <c r="A5685" s="2" t="n"/>
    </row>
    <row r="5686">
      <c r="A5686" s="2" t="n"/>
    </row>
    <row r="5687">
      <c r="A5687" s="2" t="n"/>
    </row>
    <row r="5688">
      <c r="A5688" s="2" t="n"/>
    </row>
    <row r="5689">
      <c r="A5689" s="2" t="n"/>
    </row>
    <row r="5690">
      <c r="A5690" s="2" t="n"/>
    </row>
    <row r="5691">
      <c r="A5691" s="2" t="n"/>
    </row>
    <row r="5692">
      <c r="A5692" s="2" t="n"/>
    </row>
    <row r="5693">
      <c r="A5693" s="2" t="n"/>
    </row>
    <row r="5694">
      <c r="A5694" s="2" t="n"/>
    </row>
    <row r="5695">
      <c r="A5695" s="2" t="n"/>
    </row>
    <row r="5696">
      <c r="A5696" s="2" t="n"/>
    </row>
    <row r="5697">
      <c r="A5697" s="2" t="n"/>
    </row>
    <row r="5698">
      <c r="A5698" s="2" t="n"/>
    </row>
    <row r="5699">
      <c r="A5699" s="2" t="n"/>
    </row>
    <row r="5700">
      <c r="A5700" s="2" t="n"/>
    </row>
    <row r="5701">
      <c r="A5701" s="2" t="n"/>
    </row>
    <row r="5702">
      <c r="A5702" s="2" t="n"/>
    </row>
    <row r="5703">
      <c r="A5703" s="2" t="n"/>
    </row>
    <row r="5704">
      <c r="A5704" s="2" t="n"/>
    </row>
    <row r="5705">
      <c r="A5705" s="2" t="n"/>
    </row>
    <row r="5706">
      <c r="A5706" s="2" t="n"/>
    </row>
    <row r="5707">
      <c r="A5707" s="2" t="n"/>
    </row>
    <row r="5708">
      <c r="A5708" s="2" t="n"/>
    </row>
    <row r="5709">
      <c r="A5709" s="2" t="n"/>
    </row>
    <row r="5710">
      <c r="A5710" s="2" t="n"/>
    </row>
    <row r="5711">
      <c r="A5711" s="2" t="n"/>
    </row>
    <row r="5712">
      <c r="A5712" s="2" t="n"/>
    </row>
    <row r="5713">
      <c r="A5713" s="2" t="n"/>
    </row>
    <row r="5714">
      <c r="A5714" s="2" t="n"/>
    </row>
    <row r="5715">
      <c r="A5715" s="2" t="n"/>
    </row>
    <row r="5716">
      <c r="A5716" s="2" t="n"/>
    </row>
    <row r="5717">
      <c r="A5717" s="2" t="n"/>
    </row>
    <row r="5718">
      <c r="A5718" s="2" t="n"/>
    </row>
    <row r="5719">
      <c r="A5719" s="2" t="n"/>
    </row>
    <row r="5720">
      <c r="A5720" s="2" t="n"/>
    </row>
    <row r="5721">
      <c r="A5721" s="2" t="n"/>
    </row>
    <row r="5722">
      <c r="A5722" s="2" t="n"/>
    </row>
    <row r="5723">
      <c r="A5723" s="2" t="n"/>
    </row>
    <row r="5724">
      <c r="A5724" s="2" t="n"/>
    </row>
    <row r="5725">
      <c r="A5725" s="2" t="n"/>
    </row>
    <row r="5726">
      <c r="A5726" s="2" t="n"/>
    </row>
    <row r="5727">
      <c r="A5727" s="2" t="n"/>
    </row>
    <row r="5728">
      <c r="A5728" s="2" t="n"/>
    </row>
    <row r="5729">
      <c r="A5729" s="2" t="n"/>
    </row>
    <row r="5730">
      <c r="A5730" s="2" t="n"/>
    </row>
    <row r="5731">
      <c r="A5731" s="2" t="n"/>
    </row>
    <row r="5732">
      <c r="A5732" s="2" t="n"/>
    </row>
    <row r="5733">
      <c r="A5733" s="2" t="n"/>
    </row>
    <row r="5734">
      <c r="A5734" s="2" t="n"/>
    </row>
    <row r="5735">
      <c r="A5735" s="2" t="n"/>
    </row>
    <row r="5736">
      <c r="A5736" s="2" t="n"/>
    </row>
    <row r="5737">
      <c r="A5737" s="2" t="n"/>
    </row>
    <row r="5738">
      <c r="A5738" s="2" t="n"/>
    </row>
    <row r="5739">
      <c r="A5739" s="2" t="n"/>
    </row>
    <row r="5740">
      <c r="A5740" s="2" t="n"/>
    </row>
    <row r="5741">
      <c r="A5741" s="2" t="n"/>
    </row>
    <row r="5742">
      <c r="A5742" s="2" t="n"/>
    </row>
    <row r="5743">
      <c r="A5743" s="2" t="n"/>
    </row>
    <row r="5744">
      <c r="A5744" s="2" t="n"/>
    </row>
    <row r="5745">
      <c r="A5745" s="2" t="n"/>
    </row>
    <row r="5746">
      <c r="A5746" s="2" t="n"/>
    </row>
    <row r="5747">
      <c r="A5747" s="2" t="n"/>
    </row>
    <row r="5748">
      <c r="A5748" s="2" t="n"/>
    </row>
    <row r="5749">
      <c r="A5749" s="2" t="n"/>
    </row>
    <row r="5750">
      <c r="A5750" s="2" t="n"/>
    </row>
    <row r="5751">
      <c r="A5751" s="2" t="n"/>
    </row>
    <row r="5752">
      <c r="A5752" s="2" t="n"/>
    </row>
    <row r="5753">
      <c r="A5753" s="2" t="n"/>
    </row>
    <row r="5754">
      <c r="A5754" s="2" t="n"/>
    </row>
    <row r="5755">
      <c r="A5755" s="2" t="n"/>
    </row>
    <row r="5756">
      <c r="A5756" s="2" t="n"/>
    </row>
    <row r="5757">
      <c r="A5757" s="2" t="n"/>
    </row>
    <row r="5758">
      <c r="A5758" s="2" t="n"/>
    </row>
    <row r="5759">
      <c r="A5759" s="2" t="n"/>
    </row>
    <row r="5760">
      <c r="A5760" s="2" t="n"/>
    </row>
    <row r="5761">
      <c r="A5761" s="2" t="n"/>
    </row>
    <row r="5762">
      <c r="A5762" s="2" t="n"/>
    </row>
    <row r="5763">
      <c r="A5763" s="2" t="n"/>
    </row>
    <row r="5764">
      <c r="A5764" s="2" t="n"/>
    </row>
    <row r="5765">
      <c r="A5765" s="2" t="n"/>
    </row>
    <row r="5766">
      <c r="A5766" s="2" t="n"/>
    </row>
    <row r="5767">
      <c r="A5767" s="2" t="n"/>
    </row>
    <row r="5768">
      <c r="A5768" s="2" t="n"/>
    </row>
    <row r="5769">
      <c r="A5769" s="2" t="n"/>
    </row>
    <row r="5770">
      <c r="A5770" s="2" t="n"/>
    </row>
    <row r="5771">
      <c r="A5771" s="2" t="n"/>
    </row>
    <row r="5772">
      <c r="A5772" s="2" t="n"/>
    </row>
    <row r="5773">
      <c r="A5773" s="2" t="n"/>
    </row>
    <row r="5774">
      <c r="A5774" s="2" t="n"/>
    </row>
    <row r="5775">
      <c r="A5775" s="2" t="n"/>
    </row>
    <row r="5776">
      <c r="A5776" s="2" t="n"/>
    </row>
    <row r="5777">
      <c r="A5777" s="2" t="n"/>
    </row>
    <row r="5778">
      <c r="A5778" s="2" t="n"/>
    </row>
    <row r="5779">
      <c r="A5779" s="2" t="n"/>
    </row>
    <row r="5780">
      <c r="A5780" s="2" t="n"/>
    </row>
    <row r="5781">
      <c r="A5781" s="2" t="n"/>
    </row>
    <row r="5782">
      <c r="A5782" s="2" t="n"/>
    </row>
    <row r="5783">
      <c r="A5783" s="2" t="n"/>
    </row>
    <row r="5784">
      <c r="A5784" s="2" t="n"/>
    </row>
    <row r="5785">
      <c r="A5785" s="2" t="n"/>
    </row>
    <row r="5786">
      <c r="A5786" s="2" t="n"/>
    </row>
    <row r="5787">
      <c r="A5787" s="2" t="n"/>
    </row>
    <row r="5788">
      <c r="A5788" s="2" t="n"/>
    </row>
    <row r="5789">
      <c r="A5789" s="2" t="n"/>
    </row>
    <row r="5790">
      <c r="A5790" s="2" t="n"/>
    </row>
    <row r="5791">
      <c r="A5791" s="2" t="n"/>
    </row>
    <row r="5792">
      <c r="A5792" s="2" t="n"/>
    </row>
    <row r="5793">
      <c r="A5793" s="2" t="n"/>
    </row>
    <row r="5794">
      <c r="A5794" s="2" t="n"/>
    </row>
    <row r="5795">
      <c r="A5795" s="2" t="n"/>
    </row>
    <row r="5796">
      <c r="A5796" s="2" t="n"/>
    </row>
    <row r="5797">
      <c r="A5797" s="2" t="n"/>
    </row>
    <row r="5798">
      <c r="A5798" s="2" t="n"/>
    </row>
    <row r="5799">
      <c r="A5799" s="2" t="n"/>
    </row>
    <row r="5800">
      <c r="A5800" s="2" t="n"/>
    </row>
    <row r="5801">
      <c r="A5801" s="2" t="n"/>
    </row>
    <row r="5802">
      <c r="A5802" s="2" t="n"/>
    </row>
    <row r="5803">
      <c r="A5803" s="2" t="n"/>
    </row>
    <row r="5804">
      <c r="A5804" s="2" t="n"/>
    </row>
    <row r="5805">
      <c r="A5805" s="2" t="n"/>
    </row>
    <row r="5806">
      <c r="A5806" s="2" t="n"/>
    </row>
    <row r="5807">
      <c r="A5807" s="2" t="n"/>
    </row>
    <row r="5808">
      <c r="A5808" s="2" t="n"/>
    </row>
    <row r="5809">
      <c r="A5809" s="2" t="n"/>
    </row>
    <row r="5810">
      <c r="A5810" s="2" t="n"/>
    </row>
    <row r="5811">
      <c r="A5811" s="2" t="n"/>
    </row>
    <row r="5812">
      <c r="A5812" s="2" t="n"/>
    </row>
    <row r="5813">
      <c r="A5813" s="2" t="n"/>
    </row>
    <row r="5814">
      <c r="A5814" s="2" t="n"/>
    </row>
    <row r="5815">
      <c r="A5815" s="2" t="n"/>
    </row>
    <row r="5816">
      <c r="A5816" s="2" t="n"/>
    </row>
    <row r="5817">
      <c r="A5817" s="2" t="n"/>
    </row>
    <row r="5818">
      <c r="A5818" s="2" t="n"/>
    </row>
    <row r="5819">
      <c r="A5819" s="2" t="n"/>
    </row>
    <row r="5820">
      <c r="A5820" s="2" t="n"/>
    </row>
    <row r="5821">
      <c r="A5821" s="2" t="n"/>
    </row>
    <row r="5822">
      <c r="A5822" s="2" t="n"/>
    </row>
    <row r="5823">
      <c r="A5823" s="2" t="n"/>
    </row>
    <row r="5824">
      <c r="A5824" s="2" t="n"/>
    </row>
    <row r="5825">
      <c r="A5825" s="2" t="n"/>
    </row>
    <row r="5826">
      <c r="A5826" s="2" t="n"/>
    </row>
    <row r="5827">
      <c r="A5827" s="2" t="n"/>
    </row>
    <row r="5828">
      <c r="A5828" s="2" t="n"/>
    </row>
    <row r="5829">
      <c r="A5829" s="2" t="n"/>
    </row>
    <row r="5830">
      <c r="A5830" s="2" t="n"/>
    </row>
    <row r="5831">
      <c r="A5831" s="2" t="n"/>
    </row>
    <row r="5832">
      <c r="A5832" s="2" t="n"/>
    </row>
    <row r="5833">
      <c r="A5833" s="2" t="n"/>
    </row>
    <row r="5834">
      <c r="A5834" s="2" t="n"/>
    </row>
    <row r="5835">
      <c r="A5835" s="2" t="n"/>
    </row>
    <row r="5836">
      <c r="A5836" s="2" t="n"/>
    </row>
    <row r="5837">
      <c r="A5837" s="2" t="n"/>
    </row>
    <row r="5838">
      <c r="A5838" s="2" t="n"/>
    </row>
    <row r="5839">
      <c r="A5839" s="2" t="n"/>
    </row>
    <row r="5840">
      <c r="A5840" s="2" t="n"/>
    </row>
    <row r="5841">
      <c r="A5841" s="2" t="n"/>
    </row>
    <row r="5842">
      <c r="A5842" s="2" t="n"/>
    </row>
    <row r="5843">
      <c r="A5843" s="2" t="n"/>
    </row>
    <row r="5844">
      <c r="A5844" s="2" t="n"/>
    </row>
    <row r="5845">
      <c r="A5845" s="2" t="n"/>
    </row>
    <row r="5846">
      <c r="A5846" s="2" t="n"/>
    </row>
    <row r="5847">
      <c r="A5847" s="2" t="n"/>
    </row>
    <row r="5848">
      <c r="A5848" s="2" t="n"/>
    </row>
    <row r="5849">
      <c r="A5849" s="2" t="n"/>
    </row>
    <row r="5850">
      <c r="A5850" s="2" t="n"/>
    </row>
    <row r="5851">
      <c r="A5851" s="2" t="n"/>
    </row>
    <row r="5852">
      <c r="A5852" s="2" t="n"/>
    </row>
    <row r="5853">
      <c r="A5853" s="2" t="n"/>
    </row>
    <row r="5854">
      <c r="A5854" s="2" t="n"/>
    </row>
    <row r="5855">
      <c r="A5855" s="2" t="n"/>
    </row>
    <row r="5856">
      <c r="A5856" s="2" t="n"/>
    </row>
    <row r="5857">
      <c r="A5857" s="2" t="n"/>
    </row>
    <row r="5858">
      <c r="A5858" s="2" t="n"/>
    </row>
    <row r="5859">
      <c r="A5859" s="2" t="n"/>
    </row>
    <row r="5860">
      <c r="A5860" s="2" t="n"/>
    </row>
    <row r="5861">
      <c r="A5861" s="2" t="n"/>
    </row>
    <row r="5862">
      <c r="A5862" s="2" t="n"/>
    </row>
    <row r="5863">
      <c r="A5863" s="2" t="n"/>
    </row>
    <row r="5864">
      <c r="A5864" s="2" t="n"/>
    </row>
    <row r="5865">
      <c r="A5865" s="2" t="n"/>
    </row>
    <row r="5866">
      <c r="A5866" s="2" t="n"/>
    </row>
    <row r="5867">
      <c r="A5867" s="2" t="n"/>
    </row>
    <row r="5868">
      <c r="A5868" s="2" t="n"/>
    </row>
    <row r="5869">
      <c r="A5869" s="2" t="n"/>
    </row>
    <row r="5870">
      <c r="A5870" s="2" t="n"/>
    </row>
    <row r="5871">
      <c r="A5871" s="2" t="n"/>
    </row>
    <row r="5872">
      <c r="A5872" s="2" t="n"/>
    </row>
    <row r="5873">
      <c r="A5873" s="2" t="n"/>
    </row>
    <row r="5874">
      <c r="A5874" s="2" t="n"/>
    </row>
    <row r="5875">
      <c r="A5875" s="2" t="n"/>
    </row>
    <row r="5876">
      <c r="A5876" s="2" t="n"/>
    </row>
    <row r="5877">
      <c r="A5877" s="2" t="n"/>
    </row>
    <row r="5878">
      <c r="A5878" s="2" t="n"/>
    </row>
    <row r="5879">
      <c r="A5879" s="2" t="n"/>
    </row>
    <row r="5880">
      <c r="A5880" s="2" t="n"/>
    </row>
    <row r="5881">
      <c r="A5881" s="2" t="n"/>
    </row>
    <row r="5882">
      <c r="A5882" s="2" t="n"/>
    </row>
    <row r="5883">
      <c r="A5883" s="2" t="n"/>
    </row>
    <row r="5884">
      <c r="A5884" s="2" t="n"/>
    </row>
    <row r="5885">
      <c r="A5885" s="2" t="n"/>
    </row>
    <row r="5886">
      <c r="A5886" s="2" t="n"/>
    </row>
    <row r="5887">
      <c r="A5887" s="2" t="n"/>
    </row>
    <row r="5888">
      <c r="A5888" s="2" t="n"/>
    </row>
    <row r="5889">
      <c r="A5889" s="2" t="n"/>
    </row>
    <row r="5890">
      <c r="A5890" s="2" t="n"/>
    </row>
    <row r="5891">
      <c r="A5891" s="2" t="n"/>
    </row>
    <row r="5892">
      <c r="A5892" s="2" t="n"/>
    </row>
    <row r="5893">
      <c r="A5893" s="2" t="n"/>
    </row>
    <row r="5894">
      <c r="A5894" s="2" t="n"/>
    </row>
    <row r="5895">
      <c r="A5895" s="2" t="n"/>
    </row>
    <row r="5896">
      <c r="A5896" s="2" t="n"/>
    </row>
    <row r="5897">
      <c r="A5897" s="2" t="n"/>
    </row>
    <row r="5898">
      <c r="A5898" s="2" t="n"/>
    </row>
    <row r="5899">
      <c r="A5899" s="2" t="n"/>
    </row>
    <row r="5900">
      <c r="A5900" s="2" t="n"/>
    </row>
    <row r="5901">
      <c r="A5901" s="2" t="n"/>
    </row>
    <row r="5902">
      <c r="A5902" s="2" t="n"/>
    </row>
    <row r="5903">
      <c r="A5903" s="2" t="n"/>
    </row>
    <row r="5904">
      <c r="A5904" s="2" t="n"/>
    </row>
    <row r="5905">
      <c r="A5905" s="2" t="n"/>
    </row>
    <row r="5906">
      <c r="A5906" s="2" t="n"/>
    </row>
    <row r="5907">
      <c r="A5907" s="2" t="n"/>
    </row>
    <row r="5908">
      <c r="A5908" s="2" t="n"/>
    </row>
    <row r="5909">
      <c r="A5909" s="2" t="n"/>
    </row>
    <row r="5910">
      <c r="A5910" s="2" t="n"/>
    </row>
    <row r="5911">
      <c r="A5911" s="2" t="n"/>
    </row>
    <row r="5912">
      <c r="A5912" s="2" t="n"/>
    </row>
    <row r="5913">
      <c r="A5913" s="2" t="n"/>
    </row>
    <row r="5914">
      <c r="A5914" s="2" t="n"/>
    </row>
    <row r="5915">
      <c r="A5915" s="2" t="n"/>
    </row>
    <row r="5916">
      <c r="A5916" s="2" t="n"/>
    </row>
    <row r="5917">
      <c r="A5917" s="2" t="n"/>
    </row>
    <row r="5918">
      <c r="A5918" s="2" t="n"/>
    </row>
    <row r="5919">
      <c r="A5919" s="2" t="n"/>
    </row>
    <row r="5920">
      <c r="A5920" s="2" t="n"/>
    </row>
    <row r="5921">
      <c r="A5921" s="2" t="n"/>
    </row>
    <row r="5922">
      <c r="A5922" s="2" t="n"/>
    </row>
    <row r="5923">
      <c r="A5923" s="2" t="n"/>
    </row>
    <row r="5924">
      <c r="A5924" s="2" t="n"/>
    </row>
    <row r="5925">
      <c r="A5925" s="2" t="n"/>
    </row>
    <row r="5926">
      <c r="A5926" s="2" t="n"/>
    </row>
    <row r="5927">
      <c r="A5927" s="2" t="n"/>
    </row>
    <row r="5928">
      <c r="A5928" s="2" t="n"/>
    </row>
    <row r="5929">
      <c r="A5929" s="2" t="n"/>
    </row>
    <row r="5930">
      <c r="A5930" s="2" t="n"/>
    </row>
    <row r="5931">
      <c r="A5931" s="2" t="n"/>
    </row>
    <row r="5932">
      <c r="A5932" s="2" t="n"/>
    </row>
    <row r="5933">
      <c r="A5933" s="2" t="n"/>
    </row>
    <row r="5934">
      <c r="A5934" s="2" t="n"/>
    </row>
    <row r="5935">
      <c r="A5935" s="2" t="n"/>
    </row>
    <row r="5936">
      <c r="A5936" s="2" t="n"/>
    </row>
    <row r="5937">
      <c r="A5937" s="2" t="n"/>
    </row>
    <row r="5938">
      <c r="A5938" s="2" t="n"/>
    </row>
    <row r="5939">
      <c r="A5939" s="2" t="n"/>
    </row>
    <row r="5940">
      <c r="A5940" s="2" t="n"/>
    </row>
    <row r="5941">
      <c r="A5941" s="2" t="n"/>
    </row>
    <row r="5942">
      <c r="A5942" s="2" t="n"/>
    </row>
    <row r="5943">
      <c r="A5943" s="2" t="n"/>
    </row>
    <row r="5944">
      <c r="A5944" s="2" t="n"/>
    </row>
    <row r="5945">
      <c r="A5945" s="2" t="n"/>
    </row>
    <row r="5946">
      <c r="A5946" s="2" t="n"/>
    </row>
    <row r="5947">
      <c r="A5947" s="2" t="n"/>
    </row>
    <row r="5948">
      <c r="A5948" s="2" t="n"/>
    </row>
    <row r="5949">
      <c r="A5949" s="2" t="n"/>
    </row>
    <row r="5950">
      <c r="A5950" s="2" t="n"/>
    </row>
    <row r="5951">
      <c r="A5951" s="2" t="n"/>
    </row>
    <row r="5952">
      <c r="A5952" s="2" t="n"/>
    </row>
    <row r="5953">
      <c r="A5953" s="2" t="n"/>
    </row>
    <row r="5954">
      <c r="A5954" s="2" t="n"/>
    </row>
    <row r="5955">
      <c r="A5955" s="2" t="n"/>
    </row>
    <row r="5956">
      <c r="A5956" s="2" t="n"/>
    </row>
    <row r="5957">
      <c r="A5957" s="2" t="n"/>
    </row>
    <row r="5958">
      <c r="A5958" s="2" t="n"/>
    </row>
    <row r="5959">
      <c r="A5959" s="2" t="n"/>
    </row>
    <row r="5960">
      <c r="A5960" s="2" t="n"/>
    </row>
    <row r="5961">
      <c r="A5961" s="2" t="n"/>
    </row>
    <row r="5962">
      <c r="A5962" s="2" t="n"/>
    </row>
    <row r="5963">
      <c r="A5963" s="2" t="n"/>
    </row>
    <row r="5964">
      <c r="A5964" s="2" t="n"/>
    </row>
    <row r="5965">
      <c r="A5965" s="2" t="n"/>
    </row>
    <row r="5966">
      <c r="A5966" s="2" t="n"/>
    </row>
    <row r="5967">
      <c r="A5967" s="2" t="n"/>
    </row>
    <row r="5968">
      <c r="A5968" s="2" t="n"/>
    </row>
    <row r="5969">
      <c r="A5969" s="2" t="n"/>
    </row>
    <row r="5970">
      <c r="A5970" s="2" t="n"/>
    </row>
    <row r="5971">
      <c r="A5971" s="2" t="n"/>
    </row>
    <row r="5972">
      <c r="A5972" s="2" t="n"/>
    </row>
    <row r="5973">
      <c r="A5973" s="2" t="n"/>
    </row>
    <row r="5974">
      <c r="A5974" s="2" t="n"/>
    </row>
    <row r="5975">
      <c r="A5975" s="2" t="n"/>
    </row>
    <row r="5976">
      <c r="A5976" s="2" t="n"/>
    </row>
    <row r="5977">
      <c r="A5977" s="2" t="n"/>
    </row>
    <row r="5978">
      <c r="A5978" s="2" t="n"/>
    </row>
    <row r="5979">
      <c r="A5979" s="2" t="n"/>
    </row>
    <row r="5980">
      <c r="A5980" s="2" t="n"/>
    </row>
    <row r="5981">
      <c r="A5981" s="2" t="n"/>
    </row>
    <row r="5982">
      <c r="A5982" s="2" t="n"/>
    </row>
    <row r="5983">
      <c r="A5983" s="2" t="n"/>
    </row>
    <row r="5984">
      <c r="A5984" s="2" t="n"/>
    </row>
    <row r="5985">
      <c r="A5985" s="2" t="n"/>
    </row>
    <row r="5986">
      <c r="A5986" s="2" t="n"/>
    </row>
    <row r="5987">
      <c r="A5987" s="2" t="n"/>
    </row>
    <row r="5988">
      <c r="A5988" s="2" t="n"/>
    </row>
    <row r="5989">
      <c r="A5989" s="2" t="n"/>
    </row>
    <row r="5990">
      <c r="A5990" s="2" t="n"/>
    </row>
    <row r="5991">
      <c r="A5991" s="2" t="n"/>
    </row>
    <row r="5992">
      <c r="A5992" s="2" t="n"/>
    </row>
    <row r="5993">
      <c r="A5993" s="2" t="n"/>
    </row>
    <row r="5994">
      <c r="A5994" s="2" t="n"/>
    </row>
    <row r="5995">
      <c r="A5995" s="2" t="n"/>
    </row>
    <row r="5996">
      <c r="A5996" s="2" t="n"/>
    </row>
    <row r="5997">
      <c r="A5997" s="2" t="n"/>
    </row>
    <row r="5998">
      <c r="A5998" s="2" t="n"/>
    </row>
    <row r="5999">
      <c r="A5999" s="2" t="n"/>
    </row>
    <row r="6000">
      <c r="A6000" s="2" t="n"/>
    </row>
    <row r="6001">
      <c r="A6001" s="2" t="n"/>
    </row>
    <row r="6002">
      <c r="A6002" s="2" t="n"/>
    </row>
    <row r="6003">
      <c r="A6003" s="2" t="n"/>
    </row>
    <row r="6004">
      <c r="A6004" s="2" t="n"/>
    </row>
    <row r="6005">
      <c r="A6005" s="2" t="n"/>
    </row>
    <row r="6006">
      <c r="A6006" s="2" t="n"/>
    </row>
    <row r="6007">
      <c r="A6007" s="2" t="n"/>
    </row>
    <row r="6008">
      <c r="A6008" s="2" t="n"/>
    </row>
    <row r="6009">
      <c r="A6009" s="2" t="n"/>
    </row>
    <row r="6010">
      <c r="A6010" s="2" t="n"/>
    </row>
    <row r="6011">
      <c r="A6011" s="2" t="n"/>
    </row>
    <row r="6012">
      <c r="A6012" s="2" t="n"/>
    </row>
    <row r="6013">
      <c r="A6013" s="2" t="n"/>
    </row>
    <row r="6014">
      <c r="A6014" s="2" t="n"/>
    </row>
    <row r="6015">
      <c r="A6015" s="2" t="n"/>
    </row>
    <row r="6016">
      <c r="A6016" s="2" t="n"/>
    </row>
    <row r="6017">
      <c r="A6017" s="2" t="n"/>
    </row>
    <row r="6018">
      <c r="A6018" s="2" t="n"/>
    </row>
    <row r="6019">
      <c r="A6019" s="2" t="n"/>
    </row>
    <row r="6020">
      <c r="A6020" s="2" t="n"/>
    </row>
    <row r="6021">
      <c r="A6021" s="2" t="n"/>
    </row>
    <row r="6022">
      <c r="A6022" s="2" t="n"/>
    </row>
    <row r="6023">
      <c r="A6023" s="2" t="n"/>
    </row>
    <row r="6024">
      <c r="A6024" s="2" t="n"/>
    </row>
    <row r="6025">
      <c r="A6025" s="2" t="n"/>
    </row>
    <row r="6026">
      <c r="A6026" s="2" t="n"/>
    </row>
    <row r="6027">
      <c r="A6027" s="2" t="n"/>
    </row>
    <row r="6028">
      <c r="A6028" s="2" t="n"/>
    </row>
    <row r="6029">
      <c r="A6029" s="2" t="n"/>
    </row>
    <row r="6030">
      <c r="A6030" s="2" t="n"/>
    </row>
    <row r="6031">
      <c r="A6031" s="2" t="n"/>
    </row>
    <row r="6032">
      <c r="A6032" s="2" t="n"/>
    </row>
    <row r="6033">
      <c r="A6033" s="2" t="n"/>
    </row>
    <row r="6034">
      <c r="A6034" s="2" t="n"/>
    </row>
    <row r="6035">
      <c r="A6035" s="2" t="n"/>
    </row>
    <row r="6036">
      <c r="A6036" s="2" t="n"/>
    </row>
    <row r="6037">
      <c r="A6037" s="2" t="n"/>
    </row>
    <row r="6038">
      <c r="A6038" s="2" t="n"/>
    </row>
    <row r="6039">
      <c r="A6039" s="2" t="n"/>
    </row>
    <row r="6040">
      <c r="A6040" s="2" t="n"/>
    </row>
    <row r="6041">
      <c r="A6041" s="2" t="n"/>
    </row>
    <row r="6042">
      <c r="A6042" s="2" t="n"/>
    </row>
    <row r="6043">
      <c r="A6043" s="2" t="n"/>
    </row>
    <row r="6044">
      <c r="A6044" s="2" t="n"/>
    </row>
    <row r="6045">
      <c r="A6045" s="2" t="n"/>
    </row>
    <row r="6046">
      <c r="A6046" s="2" t="n"/>
    </row>
    <row r="6047">
      <c r="A6047" s="2" t="n"/>
    </row>
    <row r="6048">
      <c r="A6048" s="2" t="n"/>
    </row>
    <row r="6049">
      <c r="A6049" s="2" t="n"/>
    </row>
    <row r="6050">
      <c r="A6050" s="2" t="n"/>
    </row>
    <row r="6051">
      <c r="A6051" s="2" t="n"/>
    </row>
    <row r="6052">
      <c r="A6052" s="2" t="n"/>
    </row>
    <row r="6053">
      <c r="A6053" s="2" t="n"/>
    </row>
    <row r="6054">
      <c r="A6054" s="2" t="n"/>
    </row>
    <row r="6055">
      <c r="A6055" s="2" t="n"/>
    </row>
    <row r="6056">
      <c r="A6056" s="2" t="n"/>
    </row>
    <row r="6057">
      <c r="A6057" s="2" t="n"/>
    </row>
    <row r="6058">
      <c r="A6058" s="2" t="n"/>
    </row>
    <row r="6059">
      <c r="A6059" s="2" t="n"/>
    </row>
    <row r="6060">
      <c r="A6060" s="2" t="n"/>
    </row>
    <row r="6061">
      <c r="A6061" s="2" t="n"/>
    </row>
    <row r="6062">
      <c r="A6062" s="2" t="n"/>
    </row>
    <row r="6063">
      <c r="A6063" s="2" t="n"/>
    </row>
    <row r="6064">
      <c r="A6064" s="2" t="n"/>
    </row>
    <row r="6065">
      <c r="A6065" s="2" t="n"/>
    </row>
    <row r="6066">
      <c r="A6066" s="2" t="n"/>
    </row>
    <row r="6067">
      <c r="A6067" s="2" t="n"/>
    </row>
    <row r="6068">
      <c r="A6068" s="2" t="n"/>
    </row>
    <row r="6069">
      <c r="A6069" s="2" t="n"/>
    </row>
    <row r="6070">
      <c r="A6070" s="2" t="n"/>
    </row>
    <row r="6071">
      <c r="A6071" s="2" t="n"/>
    </row>
    <row r="6072">
      <c r="A6072" s="2" t="n"/>
    </row>
    <row r="6073">
      <c r="A6073" s="2" t="n"/>
    </row>
    <row r="6074">
      <c r="A6074" s="2" t="n"/>
    </row>
    <row r="6075">
      <c r="A6075" s="2" t="n"/>
    </row>
    <row r="6076">
      <c r="A6076" s="2" t="n"/>
    </row>
    <row r="6077">
      <c r="A6077" s="2" t="n"/>
    </row>
    <row r="6078">
      <c r="A6078" s="2" t="n"/>
    </row>
    <row r="6079">
      <c r="A6079" s="2" t="n"/>
    </row>
    <row r="6080">
      <c r="A6080" s="2" t="n"/>
    </row>
    <row r="6081">
      <c r="A6081" s="2" t="n"/>
    </row>
    <row r="6082">
      <c r="A6082" s="2" t="n"/>
    </row>
    <row r="6083">
      <c r="A6083" s="2" t="n"/>
    </row>
    <row r="6084">
      <c r="A6084" s="2" t="n"/>
    </row>
    <row r="6085">
      <c r="A6085" s="2" t="n"/>
    </row>
    <row r="6086">
      <c r="A6086" s="2" t="n"/>
    </row>
    <row r="6087">
      <c r="A6087" s="2" t="n"/>
    </row>
    <row r="6088">
      <c r="A6088" s="2" t="n"/>
    </row>
    <row r="6089">
      <c r="A6089" s="2" t="n"/>
    </row>
    <row r="6090">
      <c r="A6090" s="2" t="n"/>
    </row>
    <row r="6091">
      <c r="A6091" s="2" t="n"/>
    </row>
    <row r="6092">
      <c r="A6092" s="2" t="n"/>
    </row>
    <row r="6093">
      <c r="A6093" s="2" t="n"/>
    </row>
    <row r="6094">
      <c r="A6094" s="2" t="n"/>
    </row>
    <row r="6095">
      <c r="A6095" s="2" t="n"/>
    </row>
    <row r="6096">
      <c r="A6096" s="2" t="n"/>
    </row>
    <row r="6097">
      <c r="A6097" s="2" t="n"/>
    </row>
    <row r="6098">
      <c r="A6098" s="2" t="n"/>
    </row>
    <row r="6099">
      <c r="A6099" s="2" t="n"/>
    </row>
    <row r="6100">
      <c r="A6100" s="2" t="n"/>
    </row>
    <row r="6101">
      <c r="A6101" s="2" t="n"/>
    </row>
    <row r="6102">
      <c r="A6102" s="2" t="n"/>
    </row>
    <row r="6103">
      <c r="A6103" s="2" t="n"/>
    </row>
    <row r="6104">
      <c r="A6104" s="2" t="n"/>
    </row>
    <row r="6105">
      <c r="A6105" s="2" t="n"/>
    </row>
    <row r="6106">
      <c r="A6106" s="2" t="n"/>
    </row>
    <row r="6107">
      <c r="A6107" s="2" t="n"/>
    </row>
    <row r="6108">
      <c r="A6108" s="2" t="n"/>
    </row>
    <row r="6109">
      <c r="A6109" s="2" t="n"/>
    </row>
    <row r="6110">
      <c r="A6110" s="2" t="n"/>
    </row>
    <row r="6111">
      <c r="A6111" s="2" t="n"/>
    </row>
    <row r="6112">
      <c r="A6112" s="2" t="n"/>
    </row>
    <row r="6113">
      <c r="A6113" s="2" t="n"/>
    </row>
    <row r="6114">
      <c r="A6114" s="2" t="n"/>
    </row>
    <row r="6115">
      <c r="A6115" s="2" t="n"/>
    </row>
    <row r="6116">
      <c r="A6116" s="2" t="n"/>
    </row>
    <row r="6117">
      <c r="A6117" s="2" t="n"/>
    </row>
    <row r="6118">
      <c r="A6118" s="2" t="n"/>
    </row>
    <row r="6119">
      <c r="A6119" s="2" t="n"/>
    </row>
    <row r="6120">
      <c r="A6120" s="2" t="n"/>
    </row>
    <row r="6121">
      <c r="A6121" s="2" t="n"/>
    </row>
    <row r="6122">
      <c r="A6122" s="2" t="n"/>
    </row>
    <row r="6123">
      <c r="A6123" s="2" t="n"/>
    </row>
    <row r="6124">
      <c r="A6124" s="2" t="n"/>
    </row>
    <row r="6125">
      <c r="A6125" s="2" t="n"/>
    </row>
    <row r="6126">
      <c r="A6126" s="2" t="n"/>
    </row>
    <row r="6127">
      <c r="A6127" s="2" t="n"/>
    </row>
    <row r="6128">
      <c r="A6128" s="2" t="n"/>
    </row>
    <row r="6129">
      <c r="A6129" s="2" t="n"/>
    </row>
    <row r="6130">
      <c r="A6130" s="2" t="n"/>
    </row>
    <row r="6131">
      <c r="A6131" s="2" t="n"/>
    </row>
    <row r="6132">
      <c r="A6132" s="2" t="n"/>
    </row>
    <row r="6133">
      <c r="A6133" s="2" t="n"/>
    </row>
    <row r="6134">
      <c r="A6134" s="2" t="n"/>
    </row>
    <row r="6135">
      <c r="A6135" s="2" t="n"/>
    </row>
    <row r="6136">
      <c r="A6136" s="2" t="n"/>
    </row>
    <row r="6137">
      <c r="A6137" s="2" t="n"/>
    </row>
    <row r="6138">
      <c r="A6138" s="2" t="n"/>
    </row>
    <row r="6139">
      <c r="A6139" s="2" t="n"/>
    </row>
    <row r="6140">
      <c r="A6140" s="2" t="n"/>
    </row>
    <row r="6141">
      <c r="A6141" s="2" t="n"/>
    </row>
    <row r="6142">
      <c r="A6142" s="2" t="n"/>
    </row>
    <row r="6143">
      <c r="A6143" s="2" t="n"/>
    </row>
    <row r="6144">
      <c r="A6144" s="2" t="n"/>
    </row>
    <row r="6145">
      <c r="A6145" s="2" t="n"/>
    </row>
    <row r="6146">
      <c r="A6146" s="2" t="n"/>
    </row>
    <row r="6147">
      <c r="A6147" s="2" t="n"/>
    </row>
    <row r="6148">
      <c r="A6148" s="2" t="n"/>
    </row>
    <row r="6149">
      <c r="A6149" s="2" t="n"/>
    </row>
    <row r="6150">
      <c r="A6150" s="2" t="n"/>
    </row>
    <row r="6151">
      <c r="A6151" s="2" t="n"/>
    </row>
    <row r="6152">
      <c r="A6152" s="2" t="n"/>
    </row>
    <row r="6153">
      <c r="A6153" s="2" t="n"/>
    </row>
    <row r="6154">
      <c r="A6154" s="2" t="n"/>
    </row>
    <row r="6155">
      <c r="A6155" s="2" t="n"/>
    </row>
    <row r="6156">
      <c r="A6156" s="2" t="n"/>
    </row>
    <row r="6157">
      <c r="A6157" s="2" t="n"/>
    </row>
    <row r="6158">
      <c r="A6158" s="2" t="n"/>
    </row>
    <row r="6159">
      <c r="A6159" s="2" t="n"/>
    </row>
    <row r="6160">
      <c r="A6160" s="2" t="n"/>
    </row>
    <row r="6161">
      <c r="A6161" s="2" t="n"/>
    </row>
    <row r="6162">
      <c r="A6162" s="2" t="n"/>
    </row>
    <row r="6163">
      <c r="A6163" s="2" t="n"/>
    </row>
    <row r="6164">
      <c r="A6164" s="2" t="n"/>
    </row>
    <row r="6165">
      <c r="A6165" s="2" t="n"/>
    </row>
    <row r="6166">
      <c r="A6166" s="2" t="n"/>
    </row>
    <row r="6167">
      <c r="A6167" s="2" t="n"/>
    </row>
    <row r="6168">
      <c r="A6168" s="2" t="n"/>
    </row>
    <row r="6169">
      <c r="A6169" s="2" t="n"/>
    </row>
    <row r="6170">
      <c r="A6170" s="2" t="n"/>
    </row>
    <row r="6171">
      <c r="A6171" s="2" t="n"/>
    </row>
    <row r="6172">
      <c r="A6172" s="2" t="n"/>
    </row>
    <row r="6173">
      <c r="A6173" s="2" t="n"/>
    </row>
    <row r="6174">
      <c r="A6174" s="2" t="n"/>
    </row>
    <row r="6175">
      <c r="A6175" s="2" t="n"/>
    </row>
    <row r="6176">
      <c r="A6176" s="2" t="n"/>
    </row>
    <row r="6177">
      <c r="A6177" s="2" t="n"/>
    </row>
    <row r="6178">
      <c r="A6178" s="2" t="n"/>
    </row>
    <row r="6179">
      <c r="A6179" s="2" t="n"/>
    </row>
    <row r="6180">
      <c r="A6180" s="2" t="n"/>
    </row>
    <row r="6181">
      <c r="A6181" s="2" t="n"/>
    </row>
    <row r="6182">
      <c r="A6182" s="2" t="n"/>
    </row>
    <row r="6183">
      <c r="A6183" s="2" t="n"/>
    </row>
    <row r="6184">
      <c r="A6184" s="2" t="n"/>
    </row>
    <row r="6185">
      <c r="A6185" s="2" t="n"/>
    </row>
    <row r="6186">
      <c r="A6186" s="2" t="n"/>
    </row>
    <row r="6187">
      <c r="A6187" s="2" t="n"/>
    </row>
    <row r="6188">
      <c r="A6188" s="2" t="n"/>
    </row>
    <row r="6189">
      <c r="A6189" s="2" t="n"/>
    </row>
    <row r="6190">
      <c r="A6190" s="2" t="n"/>
    </row>
    <row r="6191">
      <c r="A6191" s="2" t="n"/>
    </row>
    <row r="6192">
      <c r="A6192" s="2" t="n"/>
    </row>
    <row r="6193">
      <c r="A6193" s="2" t="n"/>
    </row>
    <row r="6194">
      <c r="A6194" s="2" t="n"/>
    </row>
    <row r="6195">
      <c r="A6195" s="2" t="n"/>
    </row>
    <row r="6196">
      <c r="A6196" s="2" t="n"/>
    </row>
    <row r="6197">
      <c r="A6197" s="2" t="n"/>
    </row>
    <row r="6198">
      <c r="A6198" s="2" t="n"/>
    </row>
    <row r="6199">
      <c r="A6199" s="2" t="n"/>
    </row>
    <row r="6200">
      <c r="A6200" s="2" t="n"/>
    </row>
    <row r="6201">
      <c r="A6201" s="2" t="n"/>
    </row>
    <row r="6202">
      <c r="A6202" s="2" t="n"/>
    </row>
    <row r="6203">
      <c r="A6203" s="2" t="n"/>
    </row>
    <row r="6204">
      <c r="A6204" s="2" t="n"/>
    </row>
    <row r="6205">
      <c r="A6205" s="2" t="n"/>
    </row>
    <row r="6206">
      <c r="A6206" s="2" t="n"/>
    </row>
    <row r="6207">
      <c r="A6207" s="2" t="n"/>
    </row>
    <row r="6208">
      <c r="A6208" s="2" t="n"/>
    </row>
    <row r="6209">
      <c r="A6209" s="2" t="n"/>
    </row>
    <row r="6210">
      <c r="A6210" s="2" t="n"/>
    </row>
    <row r="6211">
      <c r="A6211" s="2" t="n"/>
    </row>
    <row r="6212">
      <c r="A6212" s="2" t="n"/>
    </row>
    <row r="6213">
      <c r="A6213" s="2" t="n"/>
    </row>
    <row r="6214">
      <c r="A6214" s="2" t="n"/>
    </row>
    <row r="6215">
      <c r="A6215" s="2" t="n"/>
    </row>
    <row r="6216">
      <c r="A6216" s="2" t="n"/>
    </row>
    <row r="6217">
      <c r="A6217" s="2" t="n"/>
    </row>
    <row r="6218">
      <c r="A6218" s="2" t="n"/>
    </row>
    <row r="6219">
      <c r="A6219" s="2" t="n"/>
    </row>
    <row r="6220">
      <c r="A6220" s="2" t="n"/>
    </row>
    <row r="6221">
      <c r="A6221" s="2" t="n"/>
    </row>
    <row r="6222">
      <c r="A6222" s="2" t="n"/>
    </row>
    <row r="6223">
      <c r="A6223" s="2" t="n"/>
    </row>
    <row r="6224">
      <c r="A6224" s="2" t="n"/>
    </row>
    <row r="6225">
      <c r="A6225" s="2" t="n"/>
    </row>
    <row r="6226">
      <c r="A6226" s="2" t="n"/>
    </row>
    <row r="6227">
      <c r="A6227" s="2" t="n"/>
    </row>
    <row r="6228">
      <c r="A6228" s="2" t="n"/>
    </row>
    <row r="6229">
      <c r="A6229" s="2" t="n"/>
    </row>
    <row r="6230">
      <c r="A6230" s="2" t="n"/>
    </row>
    <row r="6231">
      <c r="A6231" s="2" t="n"/>
    </row>
    <row r="6232">
      <c r="A6232" s="2" t="n"/>
    </row>
    <row r="6233">
      <c r="A6233" s="2" t="n"/>
    </row>
    <row r="6234">
      <c r="A6234" s="2" t="n"/>
    </row>
    <row r="6235">
      <c r="A6235" s="2" t="n"/>
    </row>
    <row r="6236">
      <c r="A6236" s="2" t="n"/>
    </row>
    <row r="6237">
      <c r="A6237" s="2" t="n"/>
    </row>
    <row r="6238">
      <c r="A6238" s="2" t="n"/>
    </row>
    <row r="6239">
      <c r="A6239" s="2" t="n"/>
    </row>
    <row r="6240">
      <c r="A6240" s="2" t="n"/>
    </row>
    <row r="6241">
      <c r="A6241" s="2" t="n"/>
    </row>
    <row r="6242">
      <c r="A6242" s="2" t="n"/>
    </row>
    <row r="6243">
      <c r="A6243" s="2" t="n"/>
    </row>
    <row r="6244">
      <c r="A6244" s="2" t="n"/>
    </row>
    <row r="6245">
      <c r="A6245" s="2" t="n"/>
    </row>
    <row r="6246">
      <c r="A6246" s="2" t="n"/>
    </row>
    <row r="6247">
      <c r="A6247" s="2" t="n"/>
    </row>
    <row r="6248">
      <c r="A6248" s="2" t="n"/>
    </row>
    <row r="6249">
      <c r="A6249" s="2" t="n"/>
    </row>
    <row r="6250">
      <c r="A6250" s="2" t="n"/>
    </row>
    <row r="6251">
      <c r="A6251" s="2" t="n"/>
    </row>
    <row r="6252">
      <c r="A6252" s="2" t="n"/>
    </row>
    <row r="6253">
      <c r="A6253" s="2" t="n"/>
    </row>
    <row r="6254">
      <c r="A6254" s="2" t="n"/>
    </row>
    <row r="6255">
      <c r="A6255" s="2" t="n"/>
    </row>
    <row r="6256">
      <c r="A6256" s="2" t="n"/>
    </row>
    <row r="6257">
      <c r="A6257" s="2" t="n"/>
    </row>
    <row r="6258">
      <c r="A6258" s="2" t="n"/>
    </row>
    <row r="6259">
      <c r="A6259" s="2" t="n"/>
    </row>
    <row r="6260">
      <c r="A6260" s="2" t="n"/>
    </row>
    <row r="6261">
      <c r="A6261" s="2" t="n"/>
    </row>
    <row r="6262">
      <c r="A6262" s="2" t="n"/>
    </row>
    <row r="6263">
      <c r="A6263" s="2" t="n"/>
    </row>
    <row r="6264">
      <c r="A6264" s="2" t="n"/>
    </row>
    <row r="6265">
      <c r="A6265" s="2" t="n"/>
    </row>
    <row r="6266">
      <c r="A6266" s="2" t="n"/>
    </row>
    <row r="6267">
      <c r="A6267" s="2" t="n"/>
    </row>
    <row r="6268">
      <c r="A6268" s="2" t="n"/>
    </row>
    <row r="6269">
      <c r="A6269" s="2" t="n"/>
    </row>
    <row r="6270">
      <c r="A6270" s="2" t="n"/>
    </row>
    <row r="6271">
      <c r="A6271" s="2" t="n"/>
    </row>
    <row r="6272">
      <c r="A6272" s="2" t="n"/>
    </row>
    <row r="6273">
      <c r="A6273" s="2" t="n"/>
    </row>
    <row r="6274">
      <c r="A6274" s="2" t="n"/>
    </row>
    <row r="6275">
      <c r="A6275" s="2" t="n"/>
    </row>
    <row r="6276">
      <c r="A6276" s="2" t="n"/>
    </row>
    <row r="6277">
      <c r="A6277" s="2" t="n"/>
    </row>
    <row r="6278">
      <c r="A6278" s="2" t="n"/>
    </row>
    <row r="6279">
      <c r="A6279" s="2" t="n"/>
    </row>
    <row r="6280">
      <c r="A6280" s="2" t="n"/>
    </row>
    <row r="6281">
      <c r="A6281" s="2" t="n"/>
    </row>
    <row r="6282">
      <c r="A6282" s="2" t="n"/>
    </row>
    <row r="6283">
      <c r="A6283" s="2" t="n"/>
    </row>
    <row r="6284">
      <c r="A6284" s="2" t="n"/>
    </row>
    <row r="6285">
      <c r="A6285" s="2" t="n"/>
    </row>
    <row r="6286">
      <c r="A6286" s="2" t="n"/>
    </row>
    <row r="6287">
      <c r="A6287" s="2" t="n"/>
    </row>
    <row r="6288">
      <c r="A6288" s="2" t="n"/>
    </row>
    <row r="6289">
      <c r="A6289" s="2" t="n"/>
    </row>
    <row r="6290">
      <c r="A6290" s="2" t="n"/>
    </row>
    <row r="6291">
      <c r="A6291" s="2" t="n"/>
    </row>
    <row r="6292">
      <c r="A6292" s="2" t="n"/>
    </row>
    <row r="6293">
      <c r="A6293" s="2" t="n"/>
    </row>
    <row r="6294">
      <c r="A6294" s="2" t="n"/>
    </row>
    <row r="6295">
      <c r="A6295" s="2" t="n"/>
    </row>
    <row r="6296">
      <c r="A6296" s="2" t="n"/>
    </row>
    <row r="6297">
      <c r="A6297" s="2" t="n"/>
    </row>
    <row r="6298">
      <c r="A6298" s="2" t="n"/>
    </row>
    <row r="6299">
      <c r="A6299" s="2" t="n"/>
    </row>
    <row r="6300">
      <c r="A6300" s="2" t="n"/>
    </row>
    <row r="6301">
      <c r="A6301" s="2" t="n"/>
    </row>
    <row r="6302">
      <c r="A6302" s="2" t="n"/>
    </row>
    <row r="6303">
      <c r="A6303" s="2" t="n"/>
    </row>
    <row r="6304">
      <c r="A6304" s="2" t="n"/>
    </row>
    <row r="6305">
      <c r="A6305" s="2" t="n"/>
    </row>
    <row r="6306">
      <c r="A6306" s="2" t="n"/>
    </row>
    <row r="6307">
      <c r="A6307" s="2" t="n"/>
    </row>
    <row r="6308">
      <c r="A6308" s="2" t="n"/>
    </row>
    <row r="6309">
      <c r="A6309" s="2" t="n"/>
    </row>
    <row r="6310">
      <c r="A6310" s="2" t="n"/>
    </row>
    <row r="6311">
      <c r="A6311" s="2" t="n"/>
    </row>
    <row r="6312">
      <c r="A6312" s="2" t="n"/>
    </row>
    <row r="6313">
      <c r="A6313" s="2" t="n"/>
    </row>
    <row r="6314">
      <c r="A6314" s="2" t="n"/>
    </row>
    <row r="6315">
      <c r="A6315" s="2" t="n"/>
    </row>
    <row r="6316">
      <c r="A6316" s="2" t="n"/>
    </row>
    <row r="6317">
      <c r="A6317" s="2" t="n"/>
    </row>
    <row r="6318">
      <c r="A6318" s="2" t="n"/>
    </row>
    <row r="6319">
      <c r="A6319" s="2" t="n"/>
    </row>
    <row r="6320">
      <c r="A6320" s="2" t="n"/>
    </row>
    <row r="6321">
      <c r="A6321" s="2" t="n"/>
    </row>
    <row r="6322">
      <c r="A6322" s="2" t="n"/>
    </row>
    <row r="6323">
      <c r="A6323" s="2" t="n"/>
    </row>
    <row r="6324">
      <c r="A6324" s="2" t="n"/>
    </row>
    <row r="6325">
      <c r="A6325" s="2" t="n"/>
    </row>
    <row r="6326">
      <c r="A6326" s="2" t="n"/>
    </row>
    <row r="6327">
      <c r="A6327" s="2" t="n"/>
    </row>
    <row r="6328">
      <c r="A6328" s="2" t="n"/>
    </row>
    <row r="6329">
      <c r="A6329" s="2" t="n"/>
    </row>
    <row r="6330">
      <c r="A6330" s="2" t="n"/>
    </row>
    <row r="6331">
      <c r="A6331" s="2" t="n"/>
    </row>
    <row r="6332">
      <c r="A6332" s="2" t="n"/>
    </row>
    <row r="6333">
      <c r="A6333" s="2" t="n"/>
    </row>
    <row r="6334">
      <c r="A6334" s="2" t="n"/>
    </row>
    <row r="6335">
      <c r="A6335" s="2" t="n"/>
    </row>
    <row r="6336">
      <c r="A6336" s="2" t="n"/>
    </row>
    <row r="6337">
      <c r="A6337" s="2" t="n"/>
    </row>
    <row r="6338">
      <c r="A6338" s="2" t="n"/>
    </row>
    <row r="6339">
      <c r="A6339" s="2" t="n"/>
    </row>
    <row r="6340">
      <c r="A6340" s="2" t="n"/>
    </row>
    <row r="6341">
      <c r="A6341" s="2" t="n"/>
    </row>
    <row r="6342">
      <c r="A6342" s="2" t="n"/>
    </row>
    <row r="6343">
      <c r="A6343" s="2" t="n"/>
    </row>
    <row r="6344">
      <c r="A6344" s="2" t="n"/>
    </row>
    <row r="6345">
      <c r="A6345" s="2" t="n"/>
    </row>
    <row r="6346">
      <c r="A6346" s="2" t="n"/>
    </row>
    <row r="6347">
      <c r="A6347" s="2" t="n"/>
    </row>
    <row r="6348">
      <c r="A6348" s="2" t="n"/>
    </row>
    <row r="6349">
      <c r="A6349" s="2" t="n"/>
    </row>
    <row r="6350">
      <c r="A6350" s="2" t="n"/>
    </row>
    <row r="6351">
      <c r="A6351" s="2" t="n"/>
    </row>
    <row r="6352">
      <c r="A6352" s="2" t="n"/>
    </row>
    <row r="6353">
      <c r="A6353" s="2" t="n"/>
    </row>
    <row r="6354">
      <c r="A6354" s="2" t="n"/>
    </row>
    <row r="6355">
      <c r="A6355" s="2" t="n"/>
    </row>
    <row r="6356">
      <c r="A6356" s="2" t="n"/>
    </row>
    <row r="6357">
      <c r="A6357" s="2" t="n"/>
    </row>
    <row r="6358">
      <c r="A6358" s="2" t="n"/>
    </row>
    <row r="6359">
      <c r="A6359" s="2" t="n"/>
    </row>
    <row r="6360">
      <c r="A6360" s="2" t="n"/>
    </row>
    <row r="6361">
      <c r="A6361" s="2" t="n"/>
    </row>
    <row r="6362">
      <c r="A6362" s="2" t="n"/>
    </row>
    <row r="6363">
      <c r="A6363" s="2" t="n"/>
    </row>
    <row r="6364">
      <c r="A6364" s="2" t="n"/>
    </row>
    <row r="6365">
      <c r="A6365" s="2" t="n"/>
    </row>
    <row r="6366">
      <c r="A6366" s="2" t="n"/>
    </row>
    <row r="6367">
      <c r="A6367" s="2" t="n"/>
    </row>
    <row r="6368">
      <c r="A6368" s="2" t="n"/>
    </row>
    <row r="6369">
      <c r="A6369" s="2" t="n"/>
    </row>
    <row r="6370">
      <c r="A6370" s="2" t="n"/>
    </row>
    <row r="6371">
      <c r="A6371" s="2" t="n"/>
    </row>
    <row r="6372">
      <c r="A6372" s="2" t="n"/>
    </row>
    <row r="6373">
      <c r="A6373" s="2" t="n"/>
    </row>
    <row r="6374">
      <c r="A6374" s="2" t="n"/>
    </row>
    <row r="6375">
      <c r="A6375" s="2" t="n"/>
    </row>
    <row r="6376">
      <c r="A6376" s="2" t="n"/>
    </row>
    <row r="6377">
      <c r="A6377" s="2" t="n"/>
    </row>
    <row r="6378">
      <c r="A6378" s="2" t="n"/>
    </row>
    <row r="6379">
      <c r="A6379" s="2" t="n"/>
    </row>
    <row r="6380">
      <c r="A6380" s="2" t="n"/>
    </row>
    <row r="6381">
      <c r="A6381" s="2" t="n"/>
    </row>
    <row r="6382">
      <c r="A6382" s="2" t="n"/>
    </row>
    <row r="6383">
      <c r="A6383" s="2" t="n"/>
    </row>
    <row r="6384">
      <c r="A6384" s="2" t="n"/>
    </row>
    <row r="6385">
      <c r="A6385" s="2" t="n"/>
    </row>
    <row r="6386">
      <c r="A6386" s="2" t="n"/>
    </row>
    <row r="6387">
      <c r="A6387" s="2" t="n"/>
    </row>
    <row r="6388">
      <c r="A6388" s="2" t="n"/>
    </row>
    <row r="6389">
      <c r="A6389" s="2" t="n"/>
    </row>
    <row r="6390">
      <c r="A6390" s="2" t="n"/>
    </row>
    <row r="6391">
      <c r="A6391" s="2" t="n"/>
    </row>
    <row r="6392">
      <c r="A6392" s="2" t="n"/>
    </row>
    <row r="6393">
      <c r="A6393" s="2" t="n"/>
    </row>
    <row r="6394">
      <c r="A6394" s="2" t="n"/>
    </row>
    <row r="6395">
      <c r="A6395" s="2" t="n"/>
    </row>
    <row r="6396">
      <c r="A6396" s="2" t="n"/>
    </row>
    <row r="6397">
      <c r="A6397" s="2" t="n"/>
    </row>
    <row r="6398">
      <c r="A6398" s="2" t="n"/>
    </row>
    <row r="6399">
      <c r="A6399" s="2" t="n"/>
    </row>
    <row r="6400">
      <c r="A6400" s="2" t="n"/>
    </row>
    <row r="6401">
      <c r="A6401" s="2" t="n"/>
    </row>
    <row r="6402">
      <c r="A6402" s="2" t="n"/>
    </row>
    <row r="6403">
      <c r="A6403" s="2" t="n"/>
    </row>
    <row r="6404">
      <c r="A6404" s="2" t="n"/>
    </row>
    <row r="6405">
      <c r="A6405" s="2" t="n"/>
    </row>
    <row r="6406">
      <c r="A6406" s="2" t="n"/>
    </row>
    <row r="6407">
      <c r="A6407" s="2" t="n"/>
    </row>
    <row r="6408">
      <c r="A6408" s="2" t="n"/>
    </row>
    <row r="6409">
      <c r="A6409" s="2" t="n"/>
    </row>
    <row r="6410">
      <c r="A6410" s="2" t="n"/>
    </row>
    <row r="6411">
      <c r="A6411" s="2" t="n"/>
    </row>
    <row r="6412">
      <c r="A6412" s="2" t="n"/>
    </row>
    <row r="6413">
      <c r="A6413" s="2" t="n"/>
    </row>
    <row r="6414">
      <c r="A6414" s="2" t="n"/>
    </row>
    <row r="6415">
      <c r="A6415" s="2" t="n"/>
    </row>
    <row r="6416">
      <c r="A6416" s="2" t="n"/>
    </row>
    <row r="6417">
      <c r="A6417" s="2" t="n"/>
    </row>
    <row r="6418">
      <c r="A6418" s="2" t="n"/>
    </row>
    <row r="6419">
      <c r="A6419" s="2" t="n"/>
    </row>
    <row r="6420">
      <c r="A6420" s="2" t="n"/>
    </row>
    <row r="6421">
      <c r="A6421" s="2" t="n"/>
    </row>
    <row r="6422">
      <c r="A6422" s="2" t="n"/>
    </row>
    <row r="6423">
      <c r="A6423" s="2" t="n"/>
    </row>
    <row r="6424">
      <c r="A6424" s="2" t="n"/>
    </row>
    <row r="6425">
      <c r="A6425" s="2" t="n"/>
    </row>
    <row r="6426">
      <c r="A6426" s="2" t="n"/>
    </row>
    <row r="6427">
      <c r="A6427" s="2" t="n"/>
    </row>
    <row r="6428">
      <c r="A6428" s="2" t="n"/>
    </row>
    <row r="6429">
      <c r="A6429" s="2" t="n"/>
    </row>
    <row r="6430">
      <c r="A6430" s="2" t="n"/>
    </row>
    <row r="6431">
      <c r="A6431" s="2" t="n"/>
    </row>
    <row r="6432">
      <c r="A6432" s="2" t="n"/>
    </row>
    <row r="6433">
      <c r="A6433" s="2" t="n"/>
    </row>
    <row r="6434">
      <c r="A6434" s="2" t="n"/>
    </row>
    <row r="6435">
      <c r="A6435" s="2" t="n"/>
    </row>
    <row r="6436">
      <c r="A6436" s="2" t="n"/>
    </row>
    <row r="6437">
      <c r="A6437" s="2" t="n"/>
    </row>
    <row r="6438">
      <c r="A6438" s="2" t="n"/>
    </row>
    <row r="6439">
      <c r="A6439" s="2" t="n"/>
    </row>
    <row r="6440">
      <c r="A6440" s="2" t="n"/>
    </row>
    <row r="6441">
      <c r="A6441" s="2" t="n"/>
    </row>
    <row r="6442">
      <c r="A6442" s="2" t="n"/>
    </row>
    <row r="6443">
      <c r="A6443" s="2" t="n"/>
    </row>
    <row r="6444">
      <c r="A6444" s="2" t="n"/>
    </row>
    <row r="6445">
      <c r="A6445" s="2" t="n"/>
    </row>
    <row r="6446">
      <c r="A6446" s="2" t="n"/>
    </row>
    <row r="6447">
      <c r="A6447" s="2" t="n"/>
    </row>
    <row r="6448">
      <c r="A6448" s="2" t="n"/>
    </row>
    <row r="6449">
      <c r="A6449" s="2" t="n"/>
    </row>
    <row r="6450">
      <c r="A6450" s="2" t="n"/>
    </row>
    <row r="6451">
      <c r="A6451" s="2" t="n"/>
    </row>
    <row r="6452">
      <c r="A6452" s="2" t="n"/>
    </row>
    <row r="6453">
      <c r="A6453" s="2" t="n"/>
    </row>
    <row r="6454">
      <c r="A6454" s="2" t="n"/>
    </row>
    <row r="6455">
      <c r="A6455" s="2" t="n"/>
    </row>
    <row r="6456">
      <c r="A6456" s="2" t="n"/>
    </row>
    <row r="6457">
      <c r="A6457" s="2" t="n"/>
    </row>
    <row r="6458">
      <c r="A6458" s="2" t="n"/>
    </row>
    <row r="6459">
      <c r="A6459" s="2" t="n"/>
    </row>
    <row r="6460">
      <c r="A6460" s="2" t="n"/>
    </row>
    <row r="6461">
      <c r="A6461" s="2" t="n"/>
    </row>
    <row r="6462">
      <c r="A6462" s="2" t="n"/>
    </row>
    <row r="6463">
      <c r="A6463" s="2" t="n"/>
    </row>
    <row r="6464">
      <c r="A6464" s="2" t="n"/>
    </row>
    <row r="6465">
      <c r="A6465" s="2" t="n"/>
    </row>
    <row r="6466">
      <c r="A6466" s="2" t="n"/>
    </row>
    <row r="6467">
      <c r="A6467" s="2" t="n"/>
    </row>
    <row r="6468">
      <c r="A6468" s="2" t="n"/>
    </row>
    <row r="6469">
      <c r="A6469" s="2" t="n"/>
    </row>
    <row r="6470">
      <c r="A6470" s="2" t="n"/>
    </row>
    <row r="6471">
      <c r="A6471" s="2" t="n"/>
    </row>
    <row r="6472">
      <c r="A6472" s="2" t="n"/>
    </row>
    <row r="6473">
      <c r="A6473" s="2" t="n"/>
    </row>
    <row r="6474">
      <c r="A6474" s="2" t="n"/>
    </row>
    <row r="6475">
      <c r="A6475" s="2" t="n"/>
    </row>
    <row r="6476">
      <c r="A6476" s="2" t="n"/>
    </row>
    <row r="6477">
      <c r="A6477" s="2" t="n"/>
    </row>
    <row r="6478">
      <c r="A6478" s="2" t="n"/>
    </row>
    <row r="6479">
      <c r="A6479" s="2" t="n"/>
    </row>
    <row r="6480">
      <c r="A6480" s="2" t="n"/>
    </row>
    <row r="6481">
      <c r="A6481" s="2" t="n"/>
    </row>
    <row r="6482">
      <c r="A6482" s="2" t="n"/>
    </row>
    <row r="6483">
      <c r="A6483" s="2" t="n"/>
    </row>
    <row r="6484">
      <c r="A6484" s="2" t="n"/>
    </row>
    <row r="6485">
      <c r="A6485" s="2" t="n"/>
    </row>
    <row r="6486">
      <c r="A6486" s="2" t="n"/>
    </row>
    <row r="6487">
      <c r="A6487" s="2" t="n"/>
    </row>
    <row r="6488">
      <c r="A6488" s="2" t="n"/>
    </row>
    <row r="6489">
      <c r="A6489" s="2" t="n"/>
    </row>
    <row r="6490">
      <c r="A6490" s="2" t="n"/>
    </row>
    <row r="6491">
      <c r="A6491" s="2" t="n"/>
    </row>
    <row r="6492">
      <c r="A6492" s="2" t="n"/>
    </row>
    <row r="6493">
      <c r="A6493" s="2" t="n"/>
    </row>
    <row r="6494">
      <c r="A6494" s="2" t="n"/>
    </row>
    <row r="6495">
      <c r="A6495" s="2" t="n"/>
    </row>
    <row r="6496">
      <c r="A6496" s="2" t="n"/>
    </row>
    <row r="6497">
      <c r="A6497" s="2" t="n"/>
    </row>
    <row r="6498">
      <c r="A6498" s="2" t="n"/>
    </row>
    <row r="6499">
      <c r="A6499" s="2" t="n"/>
    </row>
    <row r="6500">
      <c r="A6500" s="2" t="n"/>
    </row>
    <row r="6501">
      <c r="A6501" s="2" t="n"/>
    </row>
    <row r="6502">
      <c r="A6502" s="2" t="n"/>
    </row>
    <row r="6503">
      <c r="A6503" s="2" t="n"/>
    </row>
    <row r="6504">
      <c r="A6504" s="2" t="n"/>
    </row>
    <row r="6505">
      <c r="A6505" s="2" t="n"/>
    </row>
    <row r="6506">
      <c r="A6506" s="2" t="n"/>
    </row>
    <row r="6507">
      <c r="A6507" s="2" t="n"/>
    </row>
    <row r="6508">
      <c r="A6508" s="2" t="n"/>
    </row>
    <row r="6509">
      <c r="A6509" s="2" t="n"/>
    </row>
    <row r="6510">
      <c r="A6510" s="2" t="n"/>
    </row>
    <row r="6511">
      <c r="A6511" s="2" t="n"/>
    </row>
    <row r="6512">
      <c r="A6512" s="2" t="n"/>
    </row>
    <row r="6513">
      <c r="A6513" s="2" t="n"/>
    </row>
    <row r="6514">
      <c r="A6514" s="2" t="n"/>
    </row>
    <row r="6515">
      <c r="A6515" s="2" t="n"/>
    </row>
    <row r="6516">
      <c r="A6516" s="2" t="n"/>
    </row>
    <row r="6517">
      <c r="A6517" s="2" t="n"/>
    </row>
    <row r="6518">
      <c r="A6518" s="2" t="n"/>
    </row>
    <row r="6519">
      <c r="A6519" s="2" t="n"/>
    </row>
    <row r="6520">
      <c r="A6520" s="2" t="n"/>
    </row>
    <row r="6521">
      <c r="A6521" s="2" t="n"/>
    </row>
    <row r="6522">
      <c r="A6522" s="2" t="n"/>
    </row>
    <row r="6523">
      <c r="A6523" s="2" t="n"/>
    </row>
    <row r="6524">
      <c r="A6524" s="2" t="n"/>
    </row>
    <row r="6525">
      <c r="A6525" s="2" t="n"/>
    </row>
    <row r="6526">
      <c r="A6526" s="2" t="n"/>
    </row>
    <row r="6527">
      <c r="A6527" s="2" t="n"/>
    </row>
    <row r="6528">
      <c r="A6528" s="2" t="n"/>
    </row>
    <row r="6529">
      <c r="A6529" s="2" t="n"/>
    </row>
    <row r="6530">
      <c r="A6530" s="2" t="n"/>
    </row>
    <row r="6531">
      <c r="A6531" s="2" t="n"/>
    </row>
    <row r="6532">
      <c r="A6532" s="2" t="n"/>
    </row>
    <row r="6533">
      <c r="A6533" s="2" t="n"/>
    </row>
    <row r="6534">
      <c r="A6534" s="2" t="n"/>
    </row>
    <row r="6535">
      <c r="A6535" s="2" t="n"/>
    </row>
    <row r="6536">
      <c r="A6536" s="2" t="n"/>
    </row>
    <row r="6537">
      <c r="A6537" s="2" t="n"/>
    </row>
    <row r="6538">
      <c r="A6538" s="2" t="n"/>
    </row>
    <row r="6539">
      <c r="A6539" s="2" t="n"/>
    </row>
    <row r="6540">
      <c r="A6540" s="2" t="n"/>
    </row>
    <row r="6541">
      <c r="A6541" s="2" t="n"/>
    </row>
    <row r="6542">
      <c r="A6542" s="2" t="n"/>
    </row>
    <row r="6543">
      <c r="A6543" s="2" t="n"/>
    </row>
    <row r="6544">
      <c r="A6544" s="2" t="n"/>
    </row>
    <row r="6545">
      <c r="A6545" s="2" t="n"/>
    </row>
    <row r="6546">
      <c r="A6546" s="2" t="n"/>
    </row>
    <row r="6547">
      <c r="A6547" s="2" t="n"/>
    </row>
    <row r="6548">
      <c r="A6548" s="2" t="n"/>
    </row>
    <row r="6549">
      <c r="A6549" s="2" t="n"/>
    </row>
    <row r="6550">
      <c r="A6550" s="2" t="n"/>
    </row>
    <row r="6551">
      <c r="A6551" s="2" t="n"/>
    </row>
    <row r="6552">
      <c r="A6552" s="2" t="n"/>
    </row>
    <row r="6553">
      <c r="A6553" s="2" t="n"/>
    </row>
    <row r="6554">
      <c r="A6554" s="2" t="n"/>
    </row>
    <row r="6555">
      <c r="A6555" s="2" t="n"/>
    </row>
    <row r="6556">
      <c r="A6556" s="2" t="n"/>
    </row>
    <row r="6557">
      <c r="A6557" s="2" t="n"/>
    </row>
    <row r="6558">
      <c r="A6558" s="2" t="n"/>
    </row>
    <row r="6559">
      <c r="A6559" s="2" t="n"/>
    </row>
    <row r="6560">
      <c r="A6560" s="2" t="n"/>
    </row>
    <row r="6561">
      <c r="A6561" s="2" t="n"/>
    </row>
    <row r="6562">
      <c r="A6562" s="2" t="n"/>
    </row>
    <row r="6563">
      <c r="A6563" s="2" t="n"/>
    </row>
    <row r="6564">
      <c r="A6564" s="2" t="n"/>
    </row>
    <row r="6565">
      <c r="A6565" s="2" t="n"/>
    </row>
    <row r="6566">
      <c r="A6566" s="2" t="n"/>
    </row>
    <row r="6567">
      <c r="A6567" s="2" t="n"/>
    </row>
    <row r="6568">
      <c r="A6568" s="2" t="n"/>
    </row>
    <row r="6569">
      <c r="A6569" s="2" t="n"/>
    </row>
    <row r="6570">
      <c r="A6570" s="2" t="n"/>
    </row>
    <row r="6571">
      <c r="A6571" s="2" t="n"/>
    </row>
    <row r="6572">
      <c r="A6572" s="2" t="n"/>
    </row>
    <row r="6573">
      <c r="A6573" s="2" t="n"/>
    </row>
    <row r="6574">
      <c r="A6574" s="2" t="n"/>
    </row>
    <row r="6575">
      <c r="A6575" s="2" t="n"/>
    </row>
    <row r="6576">
      <c r="A6576" s="2" t="n"/>
    </row>
    <row r="6577">
      <c r="A6577" s="2" t="n"/>
    </row>
    <row r="6578">
      <c r="A6578" s="2" t="n"/>
    </row>
    <row r="6579">
      <c r="A6579" s="2" t="n"/>
    </row>
    <row r="6580">
      <c r="A6580" s="2" t="n"/>
    </row>
    <row r="6581">
      <c r="A6581" s="2" t="n"/>
    </row>
    <row r="6582">
      <c r="A6582" s="2" t="n"/>
    </row>
    <row r="6583">
      <c r="A6583" s="2" t="n"/>
    </row>
    <row r="6584">
      <c r="A6584" s="2" t="n"/>
    </row>
    <row r="6585">
      <c r="A6585" s="2" t="n"/>
    </row>
    <row r="6586">
      <c r="A6586" s="2" t="n"/>
    </row>
    <row r="6587">
      <c r="A6587" s="2" t="n"/>
    </row>
    <row r="6588">
      <c r="A6588" s="2" t="n"/>
    </row>
    <row r="6589">
      <c r="A6589" s="2" t="n"/>
    </row>
    <row r="6590">
      <c r="A6590" s="2" t="n"/>
    </row>
    <row r="6591">
      <c r="A6591" s="2" t="n"/>
    </row>
    <row r="6592">
      <c r="A6592" s="2" t="n"/>
    </row>
    <row r="6593">
      <c r="A6593" s="2" t="n"/>
    </row>
    <row r="6594">
      <c r="A6594" s="2" t="n"/>
    </row>
    <row r="6595">
      <c r="A6595" s="2" t="n"/>
    </row>
    <row r="6596">
      <c r="A6596" s="2" t="n"/>
    </row>
    <row r="6597">
      <c r="A6597" s="2" t="n"/>
    </row>
    <row r="6598">
      <c r="A6598" s="2" t="n"/>
    </row>
    <row r="6599">
      <c r="A6599" s="2" t="n"/>
    </row>
    <row r="6600">
      <c r="A6600" s="2" t="n"/>
    </row>
    <row r="6601">
      <c r="A6601" s="2" t="n"/>
    </row>
    <row r="6602">
      <c r="A6602" s="2" t="n"/>
    </row>
    <row r="6603">
      <c r="A6603" s="2" t="n"/>
    </row>
    <row r="6604">
      <c r="A6604" s="2" t="n"/>
    </row>
    <row r="6605">
      <c r="A6605" s="2" t="n"/>
    </row>
    <row r="6606">
      <c r="A6606" s="2" t="n"/>
    </row>
    <row r="6607">
      <c r="A6607" s="2" t="n"/>
    </row>
    <row r="6608">
      <c r="A6608" s="2" t="n"/>
    </row>
    <row r="6609">
      <c r="A6609" s="2" t="n"/>
    </row>
    <row r="6610">
      <c r="A6610" s="2" t="n"/>
    </row>
    <row r="6611">
      <c r="A6611" s="2" t="n"/>
    </row>
    <row r="6612">
      <c r="A6612" s="2" t="n"/>
    </row>
    <row r="6613">
      <c r="A6613" s="2" t="n"/>
    </row>
    <row r="6614">
      <c r="A6614" s="2" t="n"/>
    </row>
    <row r="6615">
      <c r="A6615" s="2" t="n"/>
    </row>
    <row r="6616">
      <c r="A6616" s="2" t="n"/>
    </row>
    <row r="6617">
      <c r="A6617" s="2" t="n"/>
    </row>
    <row r="6618">
      <c r="A6618" s="2" t="n"/>
    </row>
    <row r="6619">
      <c r="A6619" s="2" t="n"/>
    </row>
    <row r="6620">
      <c r="A6620" s="2" t="n"/>
    </row>
    <row r="6621">
      <c r="A6621" s="2" t="n"/>
    </row>
    <row r="6622">
      <c r="A6622" s="2" t="n"/>
    </row>
    <row r="6623">
      <c r="A6623" s="2" t="n"/>
    </row>
    <row r="6624">
      <c r="A6624" s="2" t="n"/>
    </row>
    <row r="6625">
      <c r="A6625" s="2" t="n"/>
    </row>
    <row r="6626">
      <c r="A6626" s="2" t="n"/>
    </row>
    <row r="6627">
      <c r="A6627" s="2" t="n"/>
    </row>
    <row r="6628">
      <c r="A6628" s="2" t="n"/>
    </row>
    <row r="6629">
      <c r="A6629" s="2" t="n"/>
    </row>
    <row r="6630">
      <c r="A6630" s="2" t="n"/>
    </row>
    <row r="6631">
      <c r="A6631" s="2" t="n"/>
    </row>
    <row r="6632">
      <c r="A6632" s="2" t="n"/>
    </row>
    <row r="6633">
      <c r="A6633" s="2" t="n"/>
    </row>
    <row r="6634">
      <c r="A6634" s="2" t="n"/>
    </row>
    <row r="6635">
      <c r="A6635" s="2" t="n"/>
    </row>
    <row r="6636">
      <c r="A6636" s="2" t="n"/>
    </row>
    <row r="6637">
      <c r="A6637" s="2" t="n"/>
    </row>
    <row r="6638">
      <c r="A6638" s="2" t="n"/>
    </row>
    <row r="6639">
      <c r="A6639" s="2" t="n"/>
    </row>
    <row r="6640">
      <c r="A6640" s="2" t="n"/>
    </row>
    <row r="6641">
      <c r="A6641" s="2" t="n"/>
    </row>
    <row r="6642">
      <c r="A6642" s="2" t="n"/>
    </row>
    <row r="6643">
      <c r="A6643" s="2" t="n"/>
    </row>
    <row r="6644">
      <c r="A6644" s="2" t="n"/>
    </row>
    <row r="6645">
      <c r="A6645" s="2" t="n"/>
    </row>
    <row r="6646">
      <c r="A6646" s="2" t="n"/>
    </row>
    <row r="6647">
      <c r="A6647" s="2" t="n"/>
    </row>
    <row r="6648">
      <c r="A6648" s="2" t="n"/>
    </row>
    <row r="6649">
      <c r="A6649" s="2" t="n"/>
    </row>
    <row r="6650">
      <c r="A6650" s="2" t="n"/>
    </row>
    <row r="6651">
      <c r="A6651" s="2" t="n"/>
    </row>
    <row r="6652">
      <c r="A6652" s="2" t="n"/>
    </row>
    <row r="6653">
      <c r="A6653" s="2" t="n"/>
    </row>
    <row r="6654">
      <c r="A6654" s="2" t="n"/>
    </row>
    <row r="6655">
      <c r="A6655" s="2" t="n"/>
    </row>
    <row r="6656">
      <c r="A6656" s="2" t="n"/>
    </row>
    <row r="6657">
      <c r="A6657" s="2" t="n"/>
    </row>
    <row r="6658">
      <c r="A6658" s="2" t="n"/>
    </row>
    <row r="6659">
      <c r="A6659" s="2" t="n"/>
    </row>
    <row r="6660">
      <c r="A6660" s="2" t="n"/>
    </row>
    <row r="6661">
      <c r="A6661" s="2" t="n"/>
    </row>
    <row r="6662">
      <c r="A6662" s="2" t="n"/>
    </row>
    <row r="6663">
      <c r="A6663" s="2" t="n"/>
    </row>
    <row r="6664">
      <c r="A6664" s="2" t="n"/>
    </row>
    <row r="6665">
      <c r="A6665" s="2" t="n"/>
    </row>
    <row r="6666">
      <c r="A6666" s="2" t="n"/>
    </row>
    <row r="6667">
      <c r="A6667" s="2" t="n"/>
    </row>
    <row r="6668">
      <c r="A6668" s="2" t="n"/>
    </row>
    <row r="6669">
      <c r="A6669" s="2" t="n"/>
    </row>
    <row r="6670">
      <c r="A6670" s="2" t="n"/>
    </row>
    <row r="6671">
      <c r="A6671" s="2" t="n"/>
    </row>
    <row r="6672">
      <c r="A6672" s="2" t="n"/>
    </row>
    <row r="6673">
      <c r="A6673" s="2" t="n"/>
    </row>
    <row r="6674">
      <c r="A6674" s="2" t="n"/>
    </row>
    <row r="6675">
      <c r="A6675" s="2" t="n"/>
    </row>
    <row r="6676">
      <c r="A6676" s="2" t="n"/>
    </row>
    <row r="6677">
      <c r="A6677" s="2" t="n"/>
    </row>
    <row r="6678">
      <c r="A6678" s="2" t="n"/>
    </row>
    <row r="6679">
      <c r="A6679" s="2" t="n"/>
    </row>
    <row r="6680">
      <c r="A6680" s="2" t="n"/>
    </row>
    <row r="6681">
      <c r="A6681" s="2" t="n"/>
    </row>
    <row r="6682">
      <c r="A6682" s="2" t="n"/>
    </row>
    <row r="6683">
      <c r="A6683" s="2" t="n"/>
    </row>
    <row r="6684">
      <c r="A6684" s="2" t="n"/>
    </row>
    <row r="6685">
      <c r="A6685" s="2" t="n"/>
    </row>
    <row r="6686">
      <c r="A6686" s="2" t="n"/>
    </row>
    <row r="6687">
      <c r="A6687" s="2" t="n"/>
    </row>
    <row r="6688">
      <c r="A6688" s="2" t="n"/>
    </row>
    <row r="6689">
      <c r="A6689" s="2" t="n"/>
    </row>
    <row r="6690">
      <c r="A6690" s="2" t="n"/>
    </row>
    <row r="6691">
      <c r="A6691" s="2" t="n"/>
    </row>
    <row r="6692">
      <c r="A6692" s="2" t="n"/>
    </row>
    <row r="6693">
      <c r="A6693" s="2" t="n"/>
    </row>
    <row r="6694">
      <c r="A6694" s="2" t="n"/>
    </row>
    <row r="6695">
      <c r="A6695" s="2" t="n"/>
    </row>
    <row r="6696">
      <c r="A6696" s="2" t="n"/>
    </row>
    <row r="6697">
      <c r="A6697" s="2" t="n"/>
    </row>
    <row r="6698">
      <c r="A6698" s="2" t="n"/>
    </row>
    <row r="6699">
      <c r="A6699" s="2" t="n"/>
    </row>
    <row r="6700">
      <c r="A6700" s="2" t="n"/>
    </row>
    <row r="6701">
      <c r="A6701" s="2" t="n"/>
    </row>
    <row r="6702">
      <c r="A6702" s="2" t="n"/>
    </row>
    <row r="6703">
      <c r="A6703" s="2" t="n"/>
    </row>
    <row r="6704">
      <c r="A6704" s="2" t="n"/>
    </row>
    <row r="6705">
      <c r="A6705" s="2" t="n"/>
    </row>
    <row r="6706">
      <c r="A6706" s="2" t="n"/>
    </row>
    <row r="6707">
      <c r="A6707" s="2" t="n"/>
    </row>
    <row r="6708">
      <c r="A6708" s="2" t="n"/>
    </row>
    <row r="6709">
      <c r="A6709" s="2" t="n"/>
    </row>
    <row r="6710">
      <c r="A6710" s="2" t="n"/>
    </row>
    <row r="6711">
      <c r="A6711" s="2" t="n"/>
    </row>
    <row r="6712">
      <c r="A6712" s="2" t="n"/>
    </row>
    <row r="6713">
      <c r="A6713" s="2" t="n"/>
    </row>
    <row r="6714">
      <c r="A6714" s="2" t="n"/>
    </row>
    <row r="6715">
      <c r="A6715" s="2" t="n"/>
    </row>
    <row r="6716">
      <c r="A6716" s="2" t="n"/>
    </row>
    <row r="6717">
      <c r="A6717" s="2" t="n"/>
    </row>
    <row r="6718">
      <c r="A6718" s="2" t="n"/>
    </row>
    <row r="6719">
      <c r="A6719" s="2" t="n"/>
    </row>
    <row r="6720">
      <c r="A6720" s="2" t="n"/>
    </row>
    <row r="6721">
      <c r="A6721" s="2" t="n"/>
    </row>
    <row r="6722">
      <c r="A6722" s="2" t="n"/>
    </row>
    <row r="6723">
      <c r="A6723" s="2" t="n"/>
    </row>
    <row r="6724">
      <c r="A6724" s="2" t="n"/>
    </row>
    <row r="6725">
      <c r="A6725" s="2" t="n"/>
    </row>
    <row r="6726">
      <c r="A6726" s="2" t="n"/>
    </row>
    <row r="6727">
      <c r="A6727" s="2" t="n"/>
    </row>
    <row r="6728">
      <c r="A6728" s="2" t="n"/>
    </row>
    <row r="6729">
      <c r="A6729" s="2" t="n"/>
    </row>
    <row r="6730">
      <c r="A6730" s="2" t="n"/>
    </row>
    <row r="6731">
      <c r="A6731" s="2" t="n"/>
    </row>
    <row r="6732">
      <c r="A6732" s="2" t="n"/>
    </row>
    <row r="6733">
      <c r="A6733" s="2" t="n"/>
    </row>
    <row r="6734">
      <c r="A6734" s="2" t="n"/>
    </row>
    <row r="6735">
      <c r="A6735" s="2" t="n"/>
    </row>
    <row r="6736">
      <c r="A6736" s="2" t="n"/>
    </row>
    <row r="6737">
      <c r="A6737" s="2" t="n"/>
    </row>
    <row r="6738">
      <c r="A6738" s="2" t="n"/>
    </row>
    <row r="6739">
      <c r="A6739" s="2" t="n"/>
    </row>
    <row r="6740">
      <c r="A6740" s="2" t="n"/>
    </row>
    <row r="6741">
      <c r="A6741" s="2" t="n"/>
    </row>
    <row r="6742">
      <c r="A6742" s="2" t="n"/>
    </row>
    <row r="6743">
      <c r="A6743" s="2" t="n"/>
    </row>
    <row r="6744">
      <c r="A6744" s="2" t="n"/>
    </row>
    <row r="6745">
      <c r="A6745" s="2" t="n"/>
    </row>
    <row r="6746">
      <c r="A6746" s="2" t="n"/>
    </row>
    <row r="6747">
      <c r="A6747" s="2" t="n"/>
    </row>
    <row r="6748">
      <c r="A6748" s="2" t="n"/>
    </row>
    <row r="6749">
      <c r="A6749" s="2" t="n"/>
    </row>
    <row r="6750">
      <c r="A6750" s="2" t="n"/>
    </row>
    <row r="6751">
      <c r="A6751" s="2" t="n"/>
    </row>
    <row r="6752">
      <c r="A6752" s="2" t="n"/>
    </row>
    <row r="6753">
      <c r="A6753" s="2" t="n"/>
    </row>
    <row r="6754">
      <c r="A6754" s="2" t="n"/>
    </row>
    <row r="6755">
      <c r="A6755" s="2" t="n"/>
    </row>
    <row r="6756">
      <c r="A6756" s="2" t="n"/>
    </row>
    <row r="6757">
      <c r="A6757" s="2" t="n"/>
    </row>
    <row r="6758">
      <c r="A6758" s="2" t="n"/>
    </row>
    <row r="6759">
      <c r="A6759" s="2" t="n"/>
    </row>
    <row r="6760">
      <c r="A6760" s="2" t="n"/>
    </row>
    <row r="6761">
      <c r="A6761" s="2" t="n"/>
    </row>
    <row r="6762">
      <c r="A6762" s="2" t="n"/>
    </row>
    <row r="6763">
      <c r="A6763" s="2" t="n"/>
    </row>
    <row r="6764">
      <c r="A6764" s="2" t="n"/>
    </row>
    <row r="6765">
      <c r="A6765" s="2" t="n"/>
    </row>
    <row r="6766">
      <c r="A6766" s="2" t="n"/>
    </row>
    <row r="6767">
      <c r="A6767" s="2" t="n"/>
    </row>
    <row r="6768">
      <c r="A6768" s="2" t="n"/>
    </row>
    <row r="6769">
      <c r="A6769" s="2" t="n"/>
    </row>
    <row r="6770">
      <c r="A6770" s="2" t="n"/>
    </row>
    <row r="6771">
      <c r="A6771" s="2" t="n"/>
    </row>
    <row r="6772">
      <c r="A6772" s="2" t="n"/>
    </row>
    <row r="6773">
      <c r="A6773" s="2" t="n"/>
    </row>
    <row r="6774">
      <c r="A6774" s="2" t="n"/>
    </row>
    <row r="6775">
      <c r="A6775" s="2" t="n"/>
    </row>
    <row r="6776">
      <c r="A6776" s="2" t="n"/>
    </row>
    <row r="6777">
      <c r="A6777" s="2" t="n"/>
    </row>
    <row r="6778">
      <c r="A6778" s="2" t="n"/>
    </row>
    <row r="6779">
      <c r="A6779" s="2" t="n"/>
    </row>
    <row r="6780">
      <c r="A6780" s="2" t="n"/>
    </row>
    <row r="6781">
      <c r="A6781" s="2" t="n"/>
    </row>
    <row r="6782">
      <c r="A6782" s="2" t="n"/>
    </row>
    <row r="6783">
      <c r="A6783" s="2" t="n"/>
    </row>
    <row r="6784">
      <c r="A6784" s="2" t="n"/>
    </row>
    <row r="6785">
      <c r="A6785" s="2" t="n"/>
    </row>
    <row r="6786">
      <c r="A6786" s="2" t="n"/>
    </row>
    <row r="6787">
      <c r="A6787" s="2" t="n"/>
    </row>
    <row r="6788">
      <c r="A6788" s="2" t="n"/>
    </row>
    <row r="6789">
      <c r="A6789" s="2" t="n"/>
    </row>
    <row r="6790">
      <c r="A6790" s="2" t="n"/>
    </row>
    <row r="6791">
      <c r="A6791" s="2" t="n"/>
    </row>
    <row r="6792">
      <c r="A6792" s="2" t="n"/>
    </row>
    <row r="6793">
      <c r="A6793" s="2" t="n"/>
    </row>
    <row r="6794">
      <c r="A6794" s="2" t="n"/>
    </row>
    <row r="6795">
      <c r="A6795" s="2" t="n"/>
    </row>
    <row r="6796">
      <c r="A6796" s="2" t="n"/>
    </row>
    <row r="6797">
      <c r="A6797" s="2" t="n"/>
    </row>
    <row r="6798">
      <c r="A6798" s="2" t="n"/>
    </row>
    <row r="6799">
      <c r="A6799" s="2" t="n"/>
    </row>
    <row r="6800">
      <c r="A6800" s="2" t="n"/>
    </row>
    <row r="6801">
      <c r="A6801" s="2" t="n"/>
    </row>
    <row r="6802">
      <c r="A6802" s="2" t="n"/>
    </row>
    <row r="6803">
      <c r="A6803" s="2" t="n"/>
    </row>
    <row r="6804">
      <c r="A6804" s="2" t="n"/>
    </row>
    <row r="6805">
      <c r="A6805" s="2" t="n"/>
    </row>
    <row r="6806">
      <c r="A6806" s="2" t="n"/>
    </row>
    <row r="6807">
      <c r="A6807" s="2" t="n"/>
    </row>
    <row r="6808">
      <c r="A6808" s="2" t="n"/>
    </row>
    <row r="6809">
      <c r="A6809" s="2" t="n"/>
    </row>
    <row r="6810">
      <c r="A6810" s="2" t="n"/>
    </row>
    <row r="6811">
      <c r="A6811" s="2" t="n"/>
    </row>
    <row r="6812">
      <c r="A6812" s="2" t="n"/>
    </row>
    <row r="6813">
      <c r="A6813" s="2" t="n"/>
    </row>
    <row r="6814">
      <c r="A6814" s="2" t="n"/>
    </row>
    <row r="6815">
      <c r="A6815" s="2" t="n"/>
    </row>
    <row r="6816">
      <c r="A6816" s="2" t="n"/>
    </row>
    <row r="6817">
      <c r="A6817" s="2" t="n"/>
    </row>
    <row r="6818">
      <c r="A6818" s="2" t="n"/>
    </row>
    <row r="6819">
      <c r="A6819" s="2" t="n"/>
    </row>
    <row r="6820">
      <c r="A6820" s="2" t="n"/>
    </row>
    <row r="6821">
      <c r="A6821" s="2" t="n"/>
    </row>
    <row r="6822">
      <c r="A6822" s="2" t="n"/>
    </row>
    <row r="6823">
      <c r="A6823" s="2" t="n"/>
    </row>
    <row r="6824">
      <c r="A6824" s="2" t="n"/>
    </row>
    <row r="6825">
      <c r="A6825" s="2" t="n"/>
    </row>
    <row r="6826">
      <c r="A6826" s="2" t="n"/>
    </row>
    <row r="6827">
      <c r="A6827" s="2" t="n"/>
    </row>
    <row r="6828">
      <c r="A6828" s="2" t="n"/>
    </row>
    <row r="6829">
      <c r="A6829" s="2" t="n"/>
    </row>
    <row r="6830">
      <c r="A6830" s="2" t="n"/>
    </row>
    <row r="6831">
      <c r="A6831" s="2" t="n"/>
    </row>
    <row r="6832">
      <c r="A6832" s="2" t="n"/>
    </row>
    <row r="6833">
      <c r="A6833" s="2" t="n"/>
    </row>
    <row r="6834">
      <c r="A6834" s="2" t="n"/>
    </row>
    <row r="6835">
      <c r="A6835" s="2" t="n"/>
    </row>
    <row r="6836">
      <c r="A6836" s="2" t="n"/>
    </row>
    <row r="6837">
      <c r="A6837" s="2" t="n"/>
    </row>
    <row r="6838">
      <c r="A6838" s="2" t="n"/>
    </row>
    <row r="6839">
      <c r="A6839" s="2" t="n"/>
    </row>
    <row r="6840">
      <c r="A6840" s="2" t="n"/>
    </row>
    <row r="6841">
      <c r="A6841" s="2" t="n"/>
    </row>
    <row r="6842">
      <c r="A6842" s="2" t="n"/>
    </row>
    <row r="6843">
      <c r="A6843" s="2" t="n"/>
    </row>
    <row r="6844">
      <c r="A6844" s="2" t="n"/>
    </row>
    <row r="6845">
      <c r="A6845" s="2" t="n"/>
    </row>
    <row r="6846">
      <c r="A6846" s="2" t="n"/>
    </row>
    <row r="6847">
      <c r="A6847" s="2" t="n"/>
    </row>
    <row r="6848">
      <c r="A6848" s="2" t="n"/>
    </row>
    <row r="6849">
      <c r="A6849" s="2" t="n"/>
    </row>
    <row r="6850">
      <c r="A6850" s="2" t="n"/>
    </row>
    <row r="6851">
      <c r="A6851" s="2" t="n"/>
    </row>
    <row r="6852">
      <c r="A6852" s="2" t="n"/>
    </row>
    <row r="6853">
      <c r="A6853" s="2" t="n"/>
    </row>
    <row r="6854">
      <c r="A6854" s="2" t="n"/>
    </row>
    <row r="6855">
      <c r="A6855" s="2" t="n"/>
    </row>
    <row r="6856">
      <c r="A6856" s="2" t="n"/>
    </row>
    <row r="6857">
      <c r="A6857" s="2" t="n"/>
    </row>
    <row r="6858">
      <c r="A6858" s="2" t="n"/>
    </row>
    <row r="6859">
      <c r="A6859" s="2" t="n"/>
    </row>
    <row r="6860">
      <c r="A6860" s="2" t="n"/>
    </row>
    <row r="6861">
      <c r="A6861" s="2" t="n"/>
    </row>
    <row r="6862">
      <c r="A6862" s="2" t="n"/>
    </row>
    <row r="6863">
      <c r="A6863" s="2" t="n"/>
    </row>
    <row r="6864">
      <c r="A6864" s="2" t="n"/>
    </row>
    <row r="6865">
      <c r="A6865" s="2" t="n"/>
    </row>
    <row r="6866">
      <c r="A6866" s="2" t="n"/>
    </row>
    <row r="6867">
      <c r="A6867" s="2" t="n"/>
    </row>
    <row r="6868">
      <c r="A6868" s="2" t="n"/>
    </row>
    <row r="6869">
      <c r="A6869" s="2" t="n"/>
    </row>
    <row r="6870">
      <c r="A6870" s="2" t="n"/>
    </row>
    <row r="6871">
      <c r="A6871" s="2" t="n"/>
    </row>
    <row r="6872">
      <c r="A6872" s="2" t="n"/>
    </row>
    <row r="6873">
      <c r="A6873" s="2" t="n"/>
    </row>
    <row r="6874">
      <c r="A6874" s="2" t="n"/>
    </row>
    <row r="6875">
      <c r="A6875" s="2" t="n"/>
    </row>
    <row r="6876">
      <c r="A6876" s="2" t="n"/>
    </row>
    <row r="6877">
      <c r="A6877" s="2" t="n"/>
    </row>
    <row r="6878">
      <c r="A6878" s="2" t="n"/>
    </row>
    <row r="6879">
      <c r="A6879" s="2" t="n"/>
    </row>
    <row r="6880">
      <c r="A6880" s="2" t="n"/>
    </row>
    <row r="6881">
      <c r="A6881" s="2" t="n"/>
    </row>
    <row r="6882">
      <c r="A6882" s="2" t="n"/>
    </row>
    <row r="6883">
      <c r="A6883" s="2" t="n"/>
    </row>
    <row r="6884">
      <c r="A6884" s="2" t="n"/>
    </row>
    <row r="6885">
      <c r="A6885" s="2" t="n"/>
    </row>
    <row r="6886">
      <c r="A6886" s="2" t="n"/>
    </row>
    <row r="6887">
      <c r="A6887" s="2" t="n"/>
    </row>
    <row r="6888">
      <c r="A6888" s="2" t="n"/>
    </row>
    <row r="6889">
      <c r="A6889" s="2" t="n"/>
    </row>
    <row r="6890">
      <c r="A6890" s="2" t="n"/>
    </row>
    <row r="6891">
      <c r="A6891" s="2" t="n"/>
    </row>
    <row r="6892">
      <c r="A6892" s="2" t="n"/>
    </row>
    <row r="6893">
      <c r="A6893" s="2" t="n"/>
    </row>
    <row r="6894">
      <c r="A6894" s="2" t="n"/>
    </row>
    <row r="6895">
      <c r="A6895" s="2" t="n"/>
    </row>
    <row r="6896">
      <c r="A6896" s="2" t="n"/>
    </row>
    <row r="6897">
      <c r="A6897" s="2" t="n"/>
    </row>
    <row r="6898">
      <c r="A6898" s="2" t="n"/>
    </row>
    <row r="6899">
      <c r="A6899" s="2" t="n"/>
    </row>
    <row r="6900">
      <c r="A6900" s="2" t="n"/>
    </row>
    <row r="6901">
      <c r="A6901" s="2" t="n"/>
    </row>
    <row r="6902">
      <c r="A6902" s="2" t="n"/>
    </row>
    <row r="6903">
      <c r="A6903" s="2" t="n"/>
    </row>
    <row r="6904">
      <c r="A6904" s="2" t="n"/>
    </row>
    <row r="6905">
      <c r="A6905" s="2" t="n"/>
    </row>
    <row r="6906">
      <c r="A6906" s="2" t="n"/>
    </row>
    <row r="6907">
      <c r="A6907" s="2" t="n"/>
    </row>
    <row r="6908">
      <c r="A6908" s="2" t="n"/>
    </row>
    <row r="6909">
      <c r="A6909" s="2" t="n"/>
    </row>
    <row r="6910">
      <c r="A6910" s="2" t="n"/>
    </row>
    <row r="6911">
      <c r="A6911" s="2" t="n"/>
    </row>
    <row r="6912">
      <c r="A6912" s="2" t="n"/>
    </row>
    <row r="6913">
      <c r="A6913" s="2" t="n"/>
    </row>
    <row r="6914">
      <c r="A6914" s="2" t="n"/>
    </row>
    <row r="6915">
      <c r="A6915" s="2" t="n"/>
    </row>
    <row r="6916">
      <c r="A6916" s="2" t="n"/>
    </row>
    <row r="6917">
      <c r="A6917" s="2" t="n"/>
    </row>
    <row r="6918">
      <c r="A6918" s="2" t="n"/>
    </row>
    <row r="6919">
      <c r="A6919" s="2" t="n"/>
    </row>
    <row r="6920">
      <c r="A6920" s="2" t="n"/>
    </row>
    <row r="6921">
      <c r="A6921" s="2" t="n"/>
    </row>
    <row r="6922">
      <c r="A6922" s="2" t="n"/>
    </row>
    <row r="6923">
      <c r="A6923" s="2" t="n"/>
    </row>
    <row r="6924">
      <c r="A6924" s="2" t="n"/>
    </row>
    <row r="6925">
      <c r="A6925" s="2" t="n"/>
    </row>
    <row r="6926">
      <c r="A6926" s="2" t="n"/>
    </row>
    <row r="6927">
      <c r="A6927" s="2" t="n"/>
    </row>
    <row r="6928">
      <c r="A6928" s="2" t="n"/>
    </row>
    <row r="6929">
      <c r="A6929" s="2" t="n"/>
    </row>
    <row r="6930">
      <c r="A6930" s="2" t="n"/>
    </row>
    <row r="6931">
      <c r="A6931" s="2" t="n"/>
    </row>
    <row r="6932">
      <c r="A6932" s="2" t="n"/>
    </row>
    <row r="6933">
      <c r="A6933" s="2" t="n"/>
    </row>
    <row r="6934">
      <c r="A6934" s="2" t="n"/>
    </row>
    <row r="6935">
      <c r="A6935" s="2" t="n"/>
    </row>
    <row r="6936">
      <c r="A6936" s="2" t="n"/>
    </row>
    <row r="6937">
      <c r="A6937" s="2" t="n"/>
    </row>
    <row r="6938">
      <c r="A6938" s="2" t="n"/>
    </row>
    <row r="6939">
      <c r="A6939" s="2" t="n"/>
    </row>
    <row r="6940">
      <c r="A6940" s="2" t="n"/>
    </row>
    <row r="6941">
      <c r="A6941" s="2" t="n"/>
    </row>
    <row r="6942">
      <c r="A6942" s="2" t="n"/>
    </row>
    <row r="6943">
      <c r="A6943" s="2" t="n"/>
    </row>
    <row r="6944">
      <c r="A6944" s="2" t="n"/>
    </row>
    <row r="6945">
      <c r="A6945" s="2" t="n"/>
    </row>
    <row r="6946">
      <c r="A6946" s="2" t="n"/>
    </row>
    <row r="6947">
      <c r="A6947" s="2" t="n"/>
    </row>
    <row r="6948">
      <c r="A6948" s="2" t="n"/>
    </row>
    <row r="6949">
      <c r="A6949" s="2" t="n"/>
    </row>
    <row r="6950">
      <c r="A6950" s="2" t="n"/>
    </row>
    <row r="6951">
      <c r="A6951" s="2" t="n"/>
    </row>
    <row r="6952">
      <c r="A6952" s="2" t="n"/>
    </row>
    <row r="6953">
      <c r="A6953" s="2" t="n"/>
    </row>
    <row r="6954">
      <c r="A6954" s="2" t="n"/>
    </row>
    <row r="6955">
      <c r="A6955" s="2" t="n"/>
    </row>
    <row r="6956">
      <c r="A6956" s="2" t="n"/>
    </row>
    <row r="6957">
      <c r="A6957" s="2" t="n"/>
    </row>
    <row r="6958">
      <c r="A6958" s="2" t="n"/>
    </row>
    <row r="6959">
      <c r="A6959" s="2" t="n"/>
    </row>
    <row r="6960">
      <c r="A6960" s="2" t="n"/>
    </row>
    <row r="6961">
      <c r="A6961" s="2" t="n"/>
    </row>
    <row r="6962">
      <c r="A6962" s="2" t="n"/>
    </row>
    <row r="6963">
      <c r="A6963" s="2" t="n"/>
    </row>
    <row r="6964">
      <c r="A6964" s="2" t="n"/>
    </row>
    <row r="6965">
      <c r="A6965" s="2" t="n"/>
    </row>
    <row r="6966">
      <c r="A6966" s="2" t="n"/>
    </row>
    <row r="6967">
      <c r="A6967" s="2" t="n"/>
    </row>
    <row r="6968">
      <c r="A6968" s="2" t="n"/>
    </row>
    <row r="6969">
      <c r="A6969" s="2" t="n"/>
    </row>
    <row r="6970">
      <c r="A6970" s="2" t="n"/>
    </row>
    <row r="6971">
      <c r="A6971" s="2" t="n"/>
    </row>
    <row r="6972">
      <c r="A6972" s="2" t="n"/>
    </row>
    <row r="6973">
      <c r="A6973" s="2" t="n"/>
    </row>
    <row r="6974">
      <c r="A6974" s="2" t="n"/>
    </row>
    <row r="6975">
      <c r="A6975" s="2" t="n"/>
    </row>
    <row r="6976">
      <c r="A6976" s="2" t="n"/>
    </row>
    <row r="6977">
      <c r="A6977" s="2" t="n"/>
    </row>
    <row r="6978">
      <c r="A6978" s="2" t="n"/>
    </row>
    <row r="6979">
      <c r="A6979" s="2" t="n"/>
    </row>
    <row r="6980">
      <c r="A6980" s="2" t="n"/>
    </row>
    <row r="6981">
      <c r="A6981" s="2" t="n"/>
    </row>
    <row r="6982">
      <c r="A6982" s="2" t="n"/>
    </row>
    <row r="6983">
      <c r="A6983" s="2" t="n"/>
    </row>
    <row r="6984">
      <c r="A6984" s="2" t="n"/>
    </row>
    <row r="6985">
      <c r="A6985" s="2" t="n"/>
    </row>
    <row r="6986">
      <c r="A6986" s="2" t="n"/>
    </row>
    <row r="6987">
      <c r="A6987" s="2" t="n"/>
    </row>
    <row r="6988">
      <c r="A6988" s="2" t="n"/>
    </row>
    <row r="6989">
      <c r="A6989" s="2" t="n"/>
    </row>
    <row r="6990">
      <c r="A6990" s="2" t="n"/>
    </row>
    <row r="6991">
      <c r="A6991" s="2" t="n"/>
    </row>
    <row r="6992">
      <c r="A6992" s="2" t="n"/>
    </row>
    <row r="6993">
      <c r="A6993" s="2" t="n"/>
    </row>
    <row r="6994">
      <c r="A6994" s="2" t="n"/>
    </row>
    <row r="6995">
      <c r="A6995" s="2" t="n"/>
    </row>
    <row r="6996">
      <c r="A6996" s="2" t="n"/>
    </row>
    <row r="6997">
      <c r="A6997" s="2" t="n"/>
    </row>
    <row r="6998">
      <c r="A6998" s="2" t="n"/>
    </row>
    <row r="6999">
      <c r="A6999" s="2" t="n"/>
    </row>
    <row r="7000">
      <c r="A7000" s="2" t="n"/>
    </row>
    <row r="7001">
      <c r="A7001" s="2" t="n"/>
    </row>
    <row r="7002">
      <c r="A7002" s="2" t="n"/>
    </row>
    <row r="7003">
      <c r="A7003" s="2" t="n"/>
    </row>
    <row r="7004">
      <c r="A7004" s="2" t="n"/>
    </row>
    <row r="7005">
      <c r="A7005" s="2" t="n"/>
    </row>
    <row r="7006">
      <c r="A7006" s="2" t="n"/>
    </row>
    <row r="7007">
      <c r="A7007" s="2" t="n"/>
    </row>
    <row r="7008">
      <c r="A7008" s="2" t="n"/>
    </row>
    <row r="7009">
      <c r="A7009" s="2" t="n"/>
    </row>
    <row r="7010">
      <c r="A7010" s="2" t="n"/>
    </row>
    <row r="7011">
      <c r="A7011" s="2" t="n"/>
    </row>
    <row r="7012">
      <c r="A7012" s="2" t="n"/>
    </row>
    <row r="7013">
      <c r="A7013" s="2" t="n"/>
    </row>
    <row r="7014">
      <c r="A7014" s="2" t="n"/>
    </row>
    <row r="7015">
      <c r="A7015" s="2" t="n"/>
    </row>
    <row r="7016">
      <c r="A7016" s="2" t="n"/>
    </row>
    <row r="7017">
      <c r="A7017" s="2" t="n"/>
    </row>
    <row r="7018">
      <c r="A7018" s="2" t="n"/>
    </row>
    <row r="7019">
      <c r="A7019" s="2" t="n"/>
    </row>
    <row r="7020">
      <c r="A7020" s="2" t="n"/>
    </row>
    <row r="7021">
      <c r="A7021" s="2" t="n"/>
    </row>
    <row r="7022">
      <c r="A7022" s="2" t="n"/>
    </row>
    <row r="7023">
      <c r="A7023" s="2" t="n"/>
    </row>
    <row r="7024">
      <c r="A7024" s="2" t="n"/>
    </row>
    <row r="7025">
      <c r="A7025" s="2" t="n"/>
    </row>
    <row r="7026">
      <c r="A7026" s="2" t="n"/>
    </row>
    <row r="7027">
      <c r="A7027" s="2" t="n"/>
    </row>
    <row r="7028">
      <c r="A7028" s="2" t="n"/>
    </row>
    <row r="7029">
      <c r="A7029" s="2" t="n"/>
    </row>
    <row r="7030">
      <c r="A7030" s="2" t="n"/>
    </row>
    <row r="7031">
      <c r="A7031" s="2" t="n"/>
    </row>
    <row r="7032">
      <c r="A7032" s="2" t="n"/>
    </row>
    <row r="7033">
      <c r="A7033" s="2" t="n"/>
    </row>
    <row r="7034">
      <c r="A7034" s="2" t="n"/>
    </row>
    <row r="7035">
      <c r="A7035" s="2" t="n"/>
    </row>
    <row r="7036">
      <c r="A7036" s="2" t="n"/>
    </row>
    <row r="7037">
      <c r="A7037" s="2" t="n"/>
    </row>
    <row r="7038">
      <c r="A7038" s="2" t="n"/>
    </row>
    <row r="7039">
      <c r="A7039" s="2" t="n"/>
    </row>
    <row r="7040">
      <c r="A7040" s="2" t="n"/>
    </row>
    <row r="7041">
      <c r="A7041" s="2" t="n"/>
    </row>
    <row r="7042">
      <c r="A7042" s="2" t="n"/>
    </row>
    <row r="7043">
      <c r="A7043" s="2" t="n"/>
    </row>
    <row r="7044">
      <c r="A7044" s="2" t="n"/>
    </row>
    <row r="7045">
      <c r="A7045" s="2" t="n"/>
    </row>
    <row r="7046">
      <c r="A7046" s="2" t="n"/>
    </row>
    <row r="7047">
      <c r="A7047" s="2" t="n"/>
    </row>
    <row r="7048">
      <c r="A7048" s="2" t="n"/>
    </row>
    <row r="7049">
      <c r="A7049" s="2" t="n"/>
    </row>
    <row r="7050">
      <c r="A7050" s="2" t="n"/>
    </row>
    <row r="7051">
      <c r="A7051" s="2" t="n"/>
    </row>
    <row r="7052">
      <c r="A7052" s="2" t="n"/>
    </row>
    <row r="7053">
      <c r="A7053" s="2" t="n"/>
    </row>
    <row r="7054">
      <c r="A7054" s="2" t="n"/>
    </row>
    <row r="7055">
      <c r="A7055" s="2" t="n"/>
    </row>
    <row r="7056">
      <c r="A7056" s="2" t="n"/>
    </row>
    <row r="7057">
      <c r="A7057" s="2" t="n"/>
    </row>
    <row r="7058">
      <c r="A7058" s="2" t="n"/>
    </row>
    <row r="7059">
      <c r="A7059" s="2" t="n"/>
    </row>
    <row r="7060">
      <c r="A7060" s="2" t="n"/>
    </row>
    <row r="7061">
      <c r="A7061" s="2" t="n"/>
    </row>
    <row r="7062">
      <c r="A7062" s="2" t="n"/>
    </row>
    <row r="7063">
      <c r="A7063" s="2" t="n"/>
    </row>
    <row r="7064">
      <c r="A7064" s="2" t="n"/>
    </row>
    <row r="7065">
      <c r="A7065" s="2" t="n"/>
    </row>
    <row r="7066">
      <c r="A7066" s="2" t="n"/>
    </row>
    <row r="7067">
      <c r="A7067" s="2" t="n"/>
    </row>
    <row r="7068">
      <c r="A7068" s="2" t="n"/>
    </row>
    <row r="7069">
      <c r="A7069" s="2" t="n"/>
    </row>
    <row r="7070">
      <c r="A7070" s="2" t="n"/>
    </row>
    <row r="7071">
      <c r="A7071" s="2" t="n"/>
    </row>
    <row r="7072">
      <c r="A7072" s="2" t="n"/>
    </row>
    <row r="7073">
      <c r="A7073" s="2" t="n"/>
    </row>
    <row r="7074">
      <c r="A7074" s="2" t="n"/>
    </row>
    <row r="7075">
      <c r="A7075" s="2" t="n"/>
    </row>
    <row r="7076">
      <c r="A7076" s="2" t="n"/>
    </row>
    <row r="7077">
      <c r="A7077" s="2" t="n"/>
    </row>
    <row r="7078">
      <c r="A7078" s="2" t="n"/>
    </row>
    <row r="7079">
      <c r="A7079" s="2" t="n"/>
    </row>
    <row r="7080">
      <c r="A7080" s="2" t="n"/>
    </row>
    <row r="7081">
      <c r="A7081" s="2" t="n"/>
    </row>
    <row r="7082">
      <c r="A7082" s="2" t="n"/>
    </row>
    <row r="7083">
      <c r="A7083" s="2" t="n"/>
    </row>
    <row r="7084">
      <c r="A7084" s="2" t="n"/>
    </row>
    <row r="7085">
      <c r="A7085" s="2" t="n"/>
    </row>
    <row r="7086">
      <c r="A7086" s="2" t="n"/>
    </row>
    <row r="7087">
      <c r="A7087" s="2" t="n"/>
    </row>
    <row r="7088">
      <c r="A7088" s="2" t="n"/>
    </row>
    <row r="7089">
      <c r="A7089" s="2" t="n"/>
    </row>
    <row r="7090">
      <c r="A7090" s="2" t="n"/>
    </row>
    <row r="7091">
      <c r="A7091" s="2" t="n"/>
    </row>
    <row r="7092">
      <c r="A7092" s="2" t="n"/>
    </row>
    <row r="7093">
      <c r="A7093" s="2" t="n"/>
    </row>
    <row r="7094">
      <c r="A7094" s="2" t="n"/>
    </row>
    <row r="7095">
      <c r="A7095" s="2" t="n"/>
    </row>
    <row r="7096">
      <c r="A7096" s="2" t="n"/>
    </row>
    <row r="7097">
      <c r="A7097" s="2" t="n"/>
    </row>
    <row r="7098">
      <c r="A7098" s="2" t="n"/>
    </row>
    <row r="7099">
      <c r="A7099" s="2" t="n"/>
    </row>
    <row r="7100">
      <c r="A7100" s="2" t="n"/>
    </row>
    <row r="7101">
      <c r="A7101" s="2" t="n"/>
    </row>
    <row r="7102">
      <c r="A7102" s="2" t="n"/>
    </row>
    <row r="7103">
      <c r="A7103" s="2" t="n"/>
    </row>
    <row r="7104">
      <c r="A7104" s="2" t="n"/>
    </row>
    <row r="7105">
      <c r="A7105" s="2" t="n"/>
    </row>
    <row r="7106">
      <c r="A7106" s="2" t="n"/>
    </row>
    <row r="7107">
      <c r="A7107" s="2" t="n"/>
    </row>
    <row r="7108">
      <c r="A7108" s="2" t="n"/>
    </row>
    <row r="7109">
      <c r="A7109" s="2" t="n"/>
    </row>
    <row r="7110">
      <c r="A7110" s="2" t="n"/>
    </row>
    <row r="7111">
      <c r="A7111" s="2" t="n"/>
    </row>
    <row r="7112">
      <c r="A7112" s="2" t="n"/>
    </row>
    <row r="7113">
      <c r="A7113" s="2" t="n"/>
    </row>
    <row r="7114">
      <c r="A7114" s="2" t="n"/>
    </row>
    <row r="7115">
      <c r="A7115" s="2" t="n"/>
    </row>
    <row r="7116">
      <c r="A7116" s="2" t="n"/>
    </row>
    <row r="7117">
      <c r="A7117" s="2" t="n"/>
    </row>
    <row r="7118">
      <c r="A7118" s="2" t="n"/>
    </row>
    <row r="7119">
      <c r="A7119" s="2" t="n"/>
    </row>
    <row r="7120">
      <c r="A7120" s="2" t="n"/>
    </row>
    <row r="7121">
      <c r="A7121" s="2" t="n"/>
    </row>
    <row r="7122">
      <c r="A7122" s="2" t="n"/>
    </row>
    <row r="7123">
      <c r="A7123" s="2" t="n"/>
    </row>
    <row r="7124">
      <c r="A7124" s="2" t="n"/>
    </row>
    <row r="7125">
      <c r="A7125" s="2" t="n"/>
    </row>
    <row r="7126">
      <c r="A7126" s="2" t="n"/>
    </row>
    <row r="7127">
      <c r="A7127" s="2" t="n"/>
    </row>
    <row r="7128">
      <c r="A7128" s="2" t="n"/>
    </row>
    <row r="7129">
      <c r="A7129" s="2" t="n"/>
    </row>
    <row r="7130">
      <c r="A7130" s="2" t="n"/>
    </row>
    <row r="7131">
      <c r="A7131" s="2" t="n"/>
    </row>
    <row r="7132">
      <c r="A7132" s="2" t="n"/>
    </row>
    <row r="7133">
      <c r="A7133" s="2" t="n"/>
    </row>
    <row r="7134">
      <c r="A7134" s="2" t="n"/>
    </row>
    <row r="7135">
      <c r="A7135" s="2" t="n"/>
    </row>
    <row r="7136">
      <c r="A7136" s="2" t="n"/>
    </row>
    <row r="7137">
      <c r="A7137" s="2" t="n"/>
    </row>
    <row r="7138">
      <c r="A7138" s="2" t="n"/>
    </row>
    <row r="7139">
      <c r="A7139" s="2" t="n"/>
    </row>
    <row r="7140">
      <c r="A7140" s="2" t="n"/>
    </row>
    <row r="7141">
      <c r="A7141" s="2" t="n"/>
    </row>
    <row r="7142">
      <c r="A7142" s="2" t="n"/>
    </row>
    <row r="7143">
      <c r="A7143" s="2" t="n"/>
    </row>
    <row r="7144">
      <c r="A7144" s="2" t="n"/>
    </row>
    <row r="7145">
      <c r="A7145" s="2" t="n"/>
    </row>
    <row r="7146">
      <c r="A7146" s="2" t="n"/>
    </row>
    <row r="7147">
      <c r="A7147" s="2" t="n"/>
    </row>
    <row r="7148">
      <c r="A7148" s="2" t="n"/>
    </row>
    <row r="7149">
      <c r="A7149" s="2" t="n"/>
    </row>
    <row r="7150">
      <c r="A7150" s="2" t="n"/>
    </row>
    <row r="7151">
      <c r="A7151" s="2" t="n"/>
    </row>
    <row r="7152">
      <c r="A7152" s="2" t="n"/>
    </row>
    <row r="7153">
      <c r="A7153" s="2" t="n"/>
    </row>
    <row r="7154">
      <c r="A7154" s="2" t="n"/>
    </row>
    <row r="7155">
      <c r="A7155" s="2" t="n"/>
    </row>
    <row r="7156">
      <c r="A7156" s="2" t="n"/>
    </row>
    <row r="7157">
      <c r="A7157" s="2" t="n"/>
    </row>
    <row r="7158">
      <c r="A7158" s="2" t="n"/>
    </row>
    <row r="7159">
      <c r="A7159" s="2" t="n"/>
    </row>
    <row r="7160">
      <c r="A7160" s="2" t="n"/>
    </row>
    <row r="7161">
      <c r="A7161" s="2" t="n"/>
    </row>
    <row r="7162">
      <c r="A7162" s="2" t="n"/>
    </row>
    <row r="7163">
      <c r="A7163" s="2" t="n"/>
    </row>
    <row r="7164">
      <c r="A7164" s="2" t="n"/>
    </row>
    <row r="7165">
      <c r="A7165" s="2" t="n"/>
    </row>
    <row r="7166">
      <c r="A7166" s="2" t="n"/>
    </row>
    <row r="7167">
      <c r="A7167" s="2" t="n"/>
    </row>
    <row r="7168">
      <c r="A7168" s="2" t="n"/>
    </row>
    <row r="7169">
      <c r="A7169" s="2" t="n"/>
    </row>
    <row r="7170">
      <c r="A7170" s="2" t="n"/>
    </row>
    <row r="7171">
      <c r="A7171" s="2" t="n"/>
    </row>
    <row r="7172">
      <c r="A7172" s="2" t="n"/>
    </row>
    <row r="7173">
      <c r="A7173" s="2" t="n"/>
    </row>
    <row r="7174">
      <c r="A7174" s="2" t="n"/>
    </row>
    <row r="7175">
      <c r="A7175" s="2" t="n"/>
    </row>
    <row r="7176">
      <c r="A7176" s="2" t="n"/>
    </row>
    <row r="7177">
      <c r="A7177" s="2" t="n"/>
    </row>
    <row r="7178">
      <c r="A7178" s="2" t="n"/>
    </row>
    <row r="7179">
      <c r="A7179" s="2" t="n"/>
    </row>
    <row r="7180">
      <c r="A7180" s="2" t="n"/>
    </row>
    <row r="7181">
      <c r="A7181" s="2" t="n"/>
    </row>
    <row r="7182">
      <c r="A7182" s="2" t="n"/>
    </row>
    <row r="7183">
      <c r="A7183" s="2" t="n"/>
    </row>
    <row r="7184">
      <c r="A7184" s="2" t="n"/>
    </row>
    <row r="7185">
      <c r="A7185" s="2" t="n"/>
    </row>
    <row r="7186">
      <c r="A7186" s="2" t="n"/>
    </row>
    <row r="7187">
      <c r="A7187" s="2" t="n"/>
    </row>
    <row r="7188">
      <c r="A7188" s="2" t="n"/>
    </row>
    <row r="7189">
      <c r="A7189" s="2" t="n"/>
    </row>
    <row r="7190">
      <c r="A7190" s="2" t="n"/>
    </row>
    <row r="7191">
      <c r="A7191" s="2" t="n"/>
    </row>
    <row r="7192">
      <c r="A7192" s="2" t="n"/>
    </row>
    <row r="7193">
      <c r="A7193" s="2" t="n"/>
    </row>
    <row r="7194">
      <c r="A7194" s="2" t="n"/>
    </row>
    <row r="7195">
      <c r="A7195" s="2" t="n"/>
    </row>
    <row r="7196">
      <c r="A7196" s="2" t="n"/>
    </row>
    <row r="7197">
      <c r="A7197" s="2" t="n"/>
    </row>
    <row r="7198">
      <c r="A7198" s="2" t="n"/>
    </row>
    <row r="7199">
      <c r="A7199" s="2" t="n"/>
    </row>
    <row r="7200">
      <c r="A7200" s="2" t="n"/>
    </row>
    <row r="7201">
      <c r="A7201" s="2" t="n"/>
    </row>
    <row r="7202">
      <c r="A7202" s="2" t="n"/>
    </row>
    <row r="7203">
      <c r="A7203" s="2" t="n"/>
    </row>
    <row r="7204">
      <c r="A7204" s="2" t="n"/>
    </row>
    <row r="7205">
      <c r="A7205" s="2" t="n"/>
    </row>
    <row r="7206">
      <c r="A7206" s="2" t="n"/>
    </row>
    <row r="7207">
      <c r="A7207" s="2" t="n"/>
    </row>
    <row r="7208">
      <c r="A7208" s="2" t="n"/>
    </row>
    <row r="7209">
      <c r="A7209" s="2" t="n"/>
    </row>
    <row r="7210">
      <c r="A7210" s="2" t="n"/>
    </row>
    <row r="7211">
      <c r="A7211" s="2" t="n"/>
    </row>
    <row r="7212">
      <c r="A7212" s="2" t="n"/>
    </row>
    <row r="7213">
      <c r="A7213" s="2" t="n"/>
    </row>
    <row r="7214">
      <c r="A7214" s="2" t="n"/>
    </row>
    <row r="7215">
      <c r="A7215" s="2" t="n"/>
    </row>
    <row r="7216">
      <c r="A7216" s="2" t="n"/>
    </row>
    <row r="7217">
      <c r="A7217" s="2" t="n"/>
    </row>
    <row r="7218">
      <c r="A7218" s="2" t="n"/>
    </row>
    <row r="7219">
      <c r="A7219" s="2" t="n"/>
    </row>
    <row r="7220">
      <c r="A7220" s="2" t="n"/>
    </row>
    <row r="7221">
      <c r="A7221" s="2" t="n"/>
    </row>
    <row r="7222">
      <c r="A7222" s="2" t="n"/>
    </row>
    <row r="7223">
      <c r="A7223" s="2" t="n"/>
    </row>
    <row r="7224">
      <c r="A7224" s="2" t="n"/>
    </row>
    <row r="7225">
      <c r="A7225" s="2" t="n"/>
    </row>
    <row r="7226">
      <c r="A7226" s="2" t="n"/>
    </row>
    <row r="7227">
      <c r="A7227" s="2" t="n"/>
    </row>
    <row r="7228">
      <c r="A7228" s="2" t="n"/>
    </row>
    <row r="7229">
      <c r="A7229" s="2" t="n"/>
    </row>
    <row r="7230">
      <c r="A7230" s="2" t="n"/>
    </row>
    <row r="7231">
      <c r="A7231" s="2" t="n"/>
    </row>
    <row r="7232">
      <c r="A7232" s="2" t="n"/>
    </row>
    <row r="7233">
      <c r="A7233" s="2" t="n"/>
    </row>
    <row r="7234">
      <c r="A7234" s="2" t="n"/>
    </row>
    <row r="7235">
      <c r="A7235" s="2" t="n"/>
    </row>
    <row r="7236">
      <c r="A7236" s="2" t="n"/>
    </row>
    <row r="7237">
      <c r="A7237" s="2" t="n"/>
    </row>
    <row r="7238">
      <c r="A7238" s="2" t="n"/>
    </row>
    <row r="7239">
      <c r="A7239" s="2" t="n"/>
    </row>
    <row r="7240">
      <c r="A7240" s="2" t="n"/>
    </row>
    <row r="7241">
      <c r="A7241" s="2" t="n"/>
    </row>
    <row r="7242">
      <c r="A7242" s="2" t="n"/>
    </row>
    <row r="7243">
      <c r="A7243" s="2" t="n"/>
    </row>
    <row r="7244">
      <c r="A7244" s="2" t="n"/>
    </row>
    <row r="7245">
      <c r="A7245" s="2" t="n"/>
    </row>
    <row r="7246">
      <c r="A7246" s="2" t="n"/>
    </row>
    <row r="7247">
      <c r="A7247" s="2" t="n"/>
    </row>
    <row r="7248">
      <c r="A7248" s="2" t="n"/>
    </row>
    <row r="7249">
      <c r="A7249" s="2" t="n"/>
    </row>
    <row r="7250">
      <c r="A7250" s="2" t="n"/>
    </row>
    <row r="7251">
      <c r="A7251" s="2" t="n"/>
    </row>
    <row r="7252">
      <c r="A7252" s="2" t="n"/>
    </row>
    <row r="7253">
      <c r="A7253" s="2" t="n"/>
    </row>
    <row r="7254">
      <c r="A7254" s="2" t="n"/>
    </row>
    <row r="7255">
      <c r="A7255" s="2" t="n"/>
    </row>
    <row r="7256">
      <c r="A7256" s="2" t="n"/>
    </row>
    <row r="7257">
      <c r="A7257" s="2" t="n"/>
    </row>
    <row r="7258">
      <c r="A7258" s="2" t="n"/>
    </row>
    <row r="7259">
      <c r="A7259" s="2" t="n"/>
    </row>
    <row r="7260">
      <c r="A7260" s="2" t="n"/>
    </row>
    <row r="7261">
      <c r="A7261" s="2" t="n"/>
    </row>
    <row r="7262">
      <c r="A7262" s="2" t="n"/>
    </row>
    <row r="7263">
      <c r="A7263" s="2" t="n"/>
    </row>
    <row r="7264">
      <c r="A7264" s="2" t="n"/>
    </row>
    <row r="7265">
      <c r="A7265" s="2" t="n"/>
    </row>
    <row r="7266">
      <c r="A7266" s="2" t="n"/>
    </row>
    <row r="7267">
      <c r="A7267" s="2" t="n"/>
    </row>
    <row r="7268">
      <c r="A7268" s="2" t="n"/>
    </row>
    <row r="7269">
      <c r="A7269" s="2" t="n"/>
    </row>
    <row r="7270">
      <c r="A7270" s="2" t="n"/>
    </row>
    <row r="7271">
      <c r="A7271" s="2" t="n"/>
    </row>
    <row r="7272">
      <c r="A7272" s="2" t="n"/>
    </row>
    <row r="7273">
      <c r="A7273" s="2" t="n"/>
    </row>
    <row r="7274">
      <c r="A7274" s="2" t="n"/>
    </row>
    <row r="7275">
      <c r="A7275" s="2" t="n"/>
    </row>
    <row r="7276">
      <c r="A7276" s="2" t="n"/>
    </row>
    <row r="7277">
      <c r="A7277" s="2" t="n"/>
    </row>
    <row r="7278">
      <c r="A7278" s="2" t="n"/>
    </row>
    <row r="7279">
      <c r="A7279" s="2" t="n"/>
    </row>
    <row r="7280">
      <c r="A7280" s="2" t="n"/>
    </row>
    <row r="7281">
      <c r="A7281" s="2" t="n"/>
    </row>
    <row r="7282">
      <c r="A7282" s="2" t="n"/>
    </row>
    <row r="7283">
      <c r="A7283" s="2" t="n"/>
    </row>
    <row r="7284">
      <c r="A7284" s="2" t="n"/>
    </row>
    <row r="7285">
      <c r="A7285" s="2" t="n"/>
    </row>
    <row r="7286">
      <c r="A7286" s="2" t="n"/>
    </row>
    <row r="7287">
      <c r="A7287" s="2" t="n"/>
    </row>
    <row r="7288">
      <c r="A7288" s="2" t="n"/>
    </row>
    <row r="7289">
      <c r="A7289" s="2" t="n"/>
    </row>
    <row r="7290">
      <c r="A7290" s="2" t="n"/>
    </row>
    <row r="7291">
      <c r="A7291" s="2" t="n"/>
    </row>
    <row r="7292">
      <c r="A7292" s="2" t="n"/>
    </row>
    <row r="7293">
      <c r="A7293" s="2" t="n"/>
    </row>
    <row r="7294">
      <c r="A7294" s="2" t="n"/>
    </row>
    <row r="7295">
      <c r="A7295" s="2" t="n"/>
    </row>
    <row r="7296">
      <c r="A7296" s="2" t="n"/>
    </row>
    <row r="7297">
      <c r="A7297" s="2" t="n"/>
    </row>
    <row r="7298">
      <c r="A7298" s="2" t="n"/>
    </row>
    <row r="7299">
      <c r="A7299" s="2" t="n"/>
    </row>
    <row r="7300">
      <c r="A7300" s="2" t="n"/>
    </row>
    <row r="7301">
      <c r="A7301" s="2" t="n"/>
    </row>
    <row r="7302">
      <c r="A7302" s="2" t="n"/>
    </row>
    <row r="7303">
      <c r="A7303" s="2" t="n"/>
    </row>
    <row r="7304">
      <c r="A7304" s="2" t="n"/>
    </row>
    <row r="7305">
      <c r="A7305" s="2" t="n"/>
    </row>
    <row r="7306">
      <c r="A7306" s="2" t="n"/>
    </row>
    <row r="7307">
      <c r="A7307" s="2" t="n"/>
    </row>
    <row r="7308">
      <c r="A7308" s="2" t="n"/>
    </row>
    <row r="7309">
      <c r="A7309" s="2" t="n"/>
    </row>
    <row r="7310">
      <c r="A7310" s="2" t="n"/>
    </row>
    <row r="7311">
      <c r="A7311" s="2" t="n"/>
    </row>
    <row r="7312">
      <c r="A7312" s="2" t="n"/>
    </row>
    <row r="7313">
      <c r="A7313" s="2" t="n"/>
    </row>
    <row r="7314">
      <c r="A7314" s="2" t="n"/>
    </row>
    <row r="7315">
      <c r="A7315" s="2" t="n"/>
    </row>
    <row r="7316">
      <c r="A7316" s="2" t="n"/>
    </row>
    <row r="7317">
      <c r="A7317" s="2" t="n"/>
    </row>
    <row r="7318">
      <c r="A7318" s="2" t="n"/>
    </row>
    <row r="7319">
      <c r="A7319" s="2" t="n"/>
    </row>
    <row r="7320">
      <c r="A7320" s="2" t="n"/>
    </row>
    <row r="7321">
      <c r="A7321" s="2" t="n"/>
    </row>
    <row r="7322">
      <c r="A7322" s="2" t="n"/>
    </row>
    <row r="7323">
      <c r="A7323" s="2" t="n"/>
    </row>
    <row r="7324">
      <c r="A7324" s="2" t="n"/>
    </row>
    <row r="7325">
      <c r="A7325" s="2" t="n"/>
    </row>
    <row r="7326">
      <c r="A7326" s="2" t="n"/>
    </row>
    <row r="7327">
      <c r="A7327" s="2" t="n"/>
    </row>
    <row r="7328">
      <c r="A7328" s="2" t="n"/>
    </row>
    <row r="7329">
      <c r="A7329" s="2" t="n"/>
    </row>
    <row r="7330">
      <c r="A7330" s="2" t="n"/>
    </row>
    <row r="7331">
      <c r="A7331" s="2" t="n"/>
    </row>
    <row r="7332">
      <c r="A7332" s="2" t="n"/>
    </row>
    <row r="7333">
      <c r="A7333" s="2" t="n"/>
    </row>
    <row r="7334">
      <c r="A7334" s="2" t="n"/>
    </row>
    <row r="7335">
      <c r="A7335" s="2" t="n"/>
    </row>
    <row r="7336">
      <c r="A7336" s="2" t="n"/>
    </row>
    <row r="7337">
      <c r="A7337" s="2" t="n"/>
    </row>
    <row r="7338">
      <c r="A7338" s="2" t="n"/>
    </row>
    <row r="7339">
      <c r="A7339" s="2" t="n"/>
    </row>
    <row r="7340">
      <c r="A7340" s="2" t="n"/>
    </row>
    <row r="7341">
      <c r="A7341" s="2" t="n"/>
    </row>
    <row r="7342">
      <c r="A7342" s="2" t="n"/>
    </row>
    <row r="7343">
      <c r="A7343" s="2" t="n"/>
    </row>
    <row r="7344">
      <c r="A7344" s="2" t="n"/>
    </row>
    <row r="7345">
      <c r="A7345" s="2" t="n"/>
    </row>
    <row r="7346">
      <c r="A7346" s="2" t="n"/>
    </row>
    <row r="7347">
      <c r="A7347" s="2" t="n"/>
    </row>
    <row r="7348">
      <c r="A7348" s="2" t="n"/>
    </row>
    <row r="7349">
      <c r="A7349" s="2" t="n"/>
    </row>
    <row r="7350">
      <c r="A7350" s="2" t="n"/>
    </row>
    <row r="7351">
      <c r="A7351" s="2" t="n"/>
    </row>
    <row r="7352">
      <c r="A7352" s="2" t="n"/>
    </row>
    <row r="7353">
      <c r="A7353" s="2" t="n"/>
    </row>
    <row r="7354">
      <c r="A7354" s="2" t="n"/>
    </row>
    <row r="7355">
      <c r="A7355" s="2" t="n"/>
    </row>
    <row r="7356">
      <c r="A7356" s="2" t="n"/>
    </row>
    <row r="7357">
      <c r="A7357" s="2" t="n"/>
    </row>
    <row r="7358">
      <c r="A7358" s="2" t="n"/>
    </row>
    <row r="7359">
      <c r="A7359" s="2" t="n"/>
    </row>
    <row r="7360">
      <c r="A7360" s="2" t="n"/>
    </row>
    <row r="7361">
      <c r="A7361" s="2" t="n"/>
    </row>
    <row r="7362">
      <c r="A7362" s="2" t="n"/>
    </row>
    <row r="7363">
      <c r="A7363" s="2" t="n"/>
    </row>
    <row r="7364">
      <c r="A7364" s="2" t="n"/>
    </row>
    <row r="7365">
      <c r="A7365" s="2" t="n"/>
    </row>
    <row r="7366">
      <c r="A7366" s="2" t="n"/>
    </row>
    <row r="7367">
      <c r="A7367" s="2" t="n"/>
    </row>
    <row r="7368">
      <c r="A7368" s="2" t="n"/>
    </row>
    <row r="7369">
      <c r="A7369" s="2" t="n"/>
    </row>
    <row r="7370">
      <c r="A7370" s="2" t="n"/>
    </row>
    <row r="7371">
      <c r="A7371" s="2" t="n"/>
    </row>
    <row r="7372">
      <c r="A7372" s="2" t="n"/>
    </row>
    <row r="7373">
      <c r="A7373" s="2" t="n"/>
    </row>
    <row r="7374">
      <c r="A7374" s="2" t="n"/>
    </row>
    <row r="7375">
      <c r="A7375" s="2" t="n"/>
    </row>
    <row r="7376">
      <c r="A7376" s="2" t="n"/>
    </row>
    <row r="7377">
      <c r="A7377" s="2" t="n"/>
    </row>
    <row r="7378">
      <c r="A7378" s="2" t="n"/>
    </row>
    <row r="7379">
      <c r="A7379" s="2" t="n"/>
    </row>
    <row r="7380">
      <c r="A7380" s="2" t="n"/>
    </row>
    <row r="7381">
      <c r="A7381" s="2" t="n"/>
    </row>
    <row r="7382">
      <c r="A7382" s="2" t="n"/>
    </row>
    <row r="7383">
      <c r="A7383" s="2" t="n"/>
    </row>
    <row r="7384">
      <c r="A7384" s="2" t="n"/>
    </row>
    <row r="7385">
      <c r="A7385" s="2" t="n"/>
    </row>
    <row r="7386">
      <c r="A7386" s="2" t="n"/>
    </row>
    <row r="7387">
      <c r="A7387" s="2" t="n"/>
    </row>
    <row r="7388">
      <c r="A7388" s="2" t="n"/>
    </row>
    <row r="7389">
      <c r="A7389" s="2" t="n"/>
    </row>
    <row r="7390">
      <c r="A7390" s="2" t="n"/>
    </row>
    <row r="7391">
      <c r="A7391" s="2" t="n"/>
    </row>
    <row r="7392">
      <c r="A7392" s="2" t="n"/>
    </row>
    <row r="7393">
      <c r="A7393" s="2" t="n"/>
    </row>
    <row r="7394">
      <c r="A7394" s="2" t="n"/>
    </row>
    <row r="7395">
      <c r="A7395" s="2" t="n"/>
    </row>
    <row r="7396">
      <c r="A7396" s="2" t="n"/>
    </row>
    <row r="7397">
      <c r="A7397" s="2" t="n"/>
    </row>
    <row r="7398">
      <c r="A7398" s="2" t="n"/>
    </row>
    <row r="7399">
      <c r="A7399" s="2" t="n"/>
    </row>
    <row r="7400">
      <c r="A7400" s="2" t="n"/>
    </row>
    <row r="7401">
      <c r="A7401" s="2" t="n"/>
    </row>
    <row r="7402">
      <c r="A7402" s="2" t="n"/>
    </row>
    <row r="7403">
      <c r="A7403" s="2" t="n"/>
    </row>
    <row r="7404">
      <c r="A7404" s="2" t="n"/>
    </row>
    <row r="7405">
      <c r="A7405" s="2" t="n"/>
    </row>
    <row r="7406">
      <c r="A7406" s="2" t="n"/>
    </row>
    <row r="7407">
      <c r="A7407" s="2" t="n"/>
    </row>
    <row r="7408">
      <c r="A7408" s="2" t="n"/>
    </row>
    <row r="7409">
      <c r="A7409" s="2" t="n"/>
    </row>
    <row r="7410">
      <c r="A7410" s="2" t="n"/>
    </row>
    <row r="7411">
      <c r="A7411" s="2" t="n"/>
    </row>
    <row r="7412">
      <c r="A7412" s="2" t="n"/>
    </row>
    <row r="7413">
      <c r="A7413" s="2" t="n"/>
    </row>
    <row r="7414">
      <c r="A7414" s="2" t="n"/>
    </row>
    <row r="7415">
      <c r="A7415" s="2" t="n"/>
    </row>
    <row r="7416">
      <c r="A7416" s="2" t="n"/>
    </row>
    <row r="7417">
      <c r="A7417" s="2" t="n"/>
    </row>
    <row r="7418">
      <c r="A7418" s="2" t="n"/>
    </row>
    <row r="7419">
      <c r="A7419" s="2" t="n"/>
    </row>
    <row r="7420">
      <c r="A7420" s="2" t="n"/>
    </row>
    <row r="7421">
      <c r="A7421" s="2" t="n"/>
    </row>
    <row r="7422">
      <c r="A7422" s="2" t="n"/>
    </row>
    <row r="7423">
      <c r="A7423" s="2" t="n"/>
    </row>
    <row r="7424">
      <c r="A7424" s="2" t="n"/>
    </row>
    <row r="7425">
      <c r="A7425" s="2" t="n"/>
    </row>
    <row r="7426">
      <c r="A7426" s="2" t="n"/>
    </row>
    <row r="7427">
      <c r="A7427" s="2" t="n"/>
    </row>
    <row r="7428">
      <c r="A7428" s="2" t="n"/>
    </row>
    <row r="7429">
      <c r="A7429" s="2" t="n"/>
    </row>
    <row r="7430">
      <c r="A7430" s="2" t="n"/>
    </row>
    <row r="7431">
      <c r="A7431" s="2" t="n"/>
    </row>
    <row r="7432">
      <c r="A7432" s="2" t="n"/>
    </row>
    <row r="7433">
      <c r="A7433" s="2" t="n"/>
    </row>
    <row r="7434">
      <c r="A7434" s="2" t="n"/>
    </row>
    <row r="7435">
      <c r="A7435" s="2" t="n"/>
    </row>
    <row r="7436">
      <c r="A7436" s="2" t="n"/>
    </row>
    <row r="7437">
      <c r="A7437" s="2" t="n"/>
    </row>
    <row r="7438">
      <c r="A7438" s="2" t="n"/>
    </row>
    <row r="7439">
      <c r="A7439" s="2" t="n"/>
    </row>
    <row r="7440">
      <c r="A7440" s="2" t="n"/>
    </row>
    <row r="7441">
      <c r="A7441" s="2" t="n"/>
    </row>
    <row r="7442">
      <c r="A7442" s="2" t="n"/>
    </row>
    <row r="7443">
      <c r="A7443" s="2" t="n"/>
    </row>
    <row r="7444">
      <c r="A7444" s="2" t="n"/>
    </row>
    <row r="7445">
      <c r="A7445" s="2" t="n"/>
    </row>
    <row r="7446">
      <c r="A7446" s="2" t="n"/>
    </row>
    <row r="7447">
      <c r="A7447" s="2" t="n"/>
    </row>
    <row r="7448">
      <c r="A7448" s="2" t="n"/>
    </row>
    <row r="7449">
      <c r="A7449" s="2" t="n"/>
    </row>
    <row r="7450">
      <c r="A7450" s="2" t="n"/>
    </row>
    <row r="7451">
      <c r="A7451" s="2" t="n"/>
    </row>
    <row r="7452">
      <c r="A7452" s="2" t="n"/>
    </row>
    <row r="7453">
      <c r="A7453" s="2" t="n"/>
    </row>
    <row r="7454">
      <c r="A7454" s="2" t="n"/>
    </row>
    <row r="7455">
      <c r="A7455" s="2" t="n"/>
    </row>
    <row r="7456">
      <c r="A7456" s="2" t="n"/>
    </row>
    <row r="7457">
      <c r="A7457" s="2" t="n"/>
    </row>
    <row r="7458">
      <c r="A7458" s="2" t="n"/>
    </row>
    <row r="7459">
      <c r="A7459" s="2" t="n"/>
    </row>
    <row r="7460">
      <c r="A7460" s="2" t="n"/>
    </row>
    <row r="7461">
      <c r="A7461" s="2" t="n"/>
    </row>
    <row r="7462">
      <c r="A7462" s="2" t="n"/>
    </row>
    <row r="7463">
      <c r="A7463" s="2" t="n"/>
    </row>
    <row r="7464">
      <c r="A7464" s="2" t="n"/>
    </row>
    <row r="7465">
      <c r="A7465" s="2" t="n"/>
    </row>
    <row r="7466">
      <c r="A7466" s="2" t="n"/>
    </row>
    <row r="7467">
      <c r="A7467" s="2" t="n"/>
    </row>
    <row r="7468">
      <c r="A7468" s="2" t="n"/>
    </row>
    <row r="7469">
      <c r="A7469" s="2" t="n"/>
    </row>
    <row r="7470">
      <c r="A7470" s="2" t="n"/>
    </row>
    <row r="7471">
      <c r="A7471" s="2" t="n"/>
    </row>
    <row r="7472">
      <c r="A7472" s="2" t="n"/>
    </row>
    <row r="7473">
      <c r="A7473" s="2" t="n"/>
    </row>
    <row r="7474">
      <c r="A7474" s="2" t="n"/>
    </row>
    <row r="7475">
      <c r="A7475" s="2" t="n"/>
    </row>
    <row r="7476">
      <c r="A7476" s="2" t="n"/>
    </row>
    <row r="7477">
      <c r="A7477" s="2" t="n"/>
    </row>
    <row r="7478">
      <c r="A7478" s="2" t="n"/>
    </row>
    <row r="7479">
      <c r="A7479" s="2" t="n"/>
    </row>
    <row r="7480">
      <c r="A7480" s="2" t="n"/>
    </row>
    <row r="7481">
      <c r="A7481" s="2" t="n"/>
    </row>
    <row r="7482">
      <c r="A7482" s="2" t="n"/>
    </row>
    <row r="7483">
      <c r="A7483" s="2" t="n"/>
    </row>
    <row r="7484">
      <c r="A7484" s="2" t="n"/>
    </row>
    <row r="7485">
      <c r="A7485" s="2" t="n"/>
    </row>
    <row r="7486">
      <c r="A7486" s="2" t="n"/>
    </row>
    <row r="7487">
      <c r="A7487" s="2" t="n"/>
    </row>
    <row r="7488">
      <c r="A7488" s="2" t="n"/>
    </row>
    <row r="7489">
      <c r="A7489" s="2" t="n"/>
    </row>
    <row r="7490">
      <c r="A7490" s="2" t="n"/>
    </row>
    <row r="7491">
      <c r="A7491" s="2" t="n"/>
    </row>
    <row r="7492">
      <c r="A7492" s="2" t="n"/>
    </row>
    <row r="7493">
      <c r="A7493" s="2" t="n"/>
    </row>
    <row r="7494">
      <c r="A7494" s="2" t="n"/>
    </row>
    <row r="7495">
      <c r="A7495" s="2" t="n"/>
    </row>
    <row r="7496">
      <c r="A7496" s="2" t="n"/>
    </row>
    <row r="7497">
      <c r="A7497" s="2" t="n"/>
    </row>
    <row r="7498">
      <c r="A7498" s="2" t="n"/>
    </row>
    <row r="7499">
      <c r="A7499" s="2" t="n"/>
    </row>
    <row r="7500">
      <c r="A7500" s="2" t="n"/>
    </row>
    <row r="7501">
      <c r="A7501" s="2" t="n"/>
    </row>
    <row r="7502">
      <c r="A7502" s="2" t="n"/>
    </row>
    <row r="7503">
      <c r="A7503" s="2" t="n"/>
    </row>
    <row r="7504">
      <c r="A7504" s="2" t="n"/>
    </row>
    <row r="7505">
      <c r="A7505" s="2" t="n"/>
    </row>
    <row r="7506">
      <c r="A7506" s="2" t="n"/>
    </row>
    <row r="7507">
      <c r="A7507" s="2" t="n"/>
    </row>
    <row r="7508">
      <c r="A7508" s="2" t="n"/>
    </row>
    <row r="7509">
      <c r="A7509" s="2" t="n"/>
    </row>
    <row r="7510">
      <c r="A7510" s="2" t="n"/>
    </row>
    <row r="7511">
      <c r="A7511" s="2" t="n"/>
    </row>
    <row r="7512">
      <c r="A7512" s="2" t="n"/>
    </row>
    <row r="7513">
      <c r="A7513" s="2" t="n"/>
    </row>
    <row r="7514">
      <c r="A7514" s="2" t="n"/>
    </row>
    <row r="7515">
      <c r="A7515" s="2" t="n"/>
    </row>
    <row r="7516">
      <c r="A7516" s="2" t="n"/>
    </row>
    <row r="7517">
      <c r="A7517" s="2" t="n"/>
    </row>
    <row r="7518">
      <c r="A7518" s="2" t="n"/>
    </row>
    <row r="7519">
      <c r="A7519" s="2" t="n"/>
    </row>
    <row r="7520">
      <c r="A7520" s="2" t="n"/>
    </row>
    <row r="7521">
      <c r="A7521" s="2" t="n"/>
    </row>
    <row r="7522">
      <c r="A7522" s="2" t="n"/>
    </row>
    <row r="7523">
      <c r="A7523" s="2" t="n"/>
    </row>
    <row r="7524">
      <c r="A7524" s="2" t="n"/>
    </row>
    <row r="7525">
      <c r="A7525" s="2" t="n"/>
    </row>
    <row r="7526">
      <c r="A7526" s="2" t="n"/>
    </row>
    <row r="7527">
      <c r="A7527" s="2" t="n"/>
    </row>
    <row r="7528">
      <c r="A7528" s="2" t="n"/>
    </row>
    <row r="7529">
      <c r="A7529" s="2" t="n"/>
    </row>
    <row r="7530">
      <c r="A7530" s="2" t="n"/>
    </row>
    <row r="7531">
      <c r="A7531" s="2" t="n"/>
    </row>
    <row r="7532">
      <c r="A7532" s="2" t="n"/>
    </row>
    <row r="7533">
      <c r="A7533" s="2" t="n"/>
    </row>
    <row r="7534">
      <c r="A7534" s="2" t="n"/>
    </row>
    <row r="7535">
      <c r="A7535" s="2" t="n"/>
    </row>
    <row r="7536">
      <c r="A7536" s="2" t="n"/>
    </row>
    <row r="7537">
      <c r="A7537" s="2" t="n"/>
    </row>
    <row r="7538">
      <c r="A7538" s="2" t="n"/>
    </row>
    <row r="7539">
      <c r="A7539" s="2" t="n"/>
    </row>
    <row r="7540">
      <c r="A7540" s="2" t="n"/>
    </row>
    <row r="7541">
      <c r="A7541" s="2" t="n"/>
    </row>
    <row r="7542">
      <c r="A7542" s="2" t="n"/>
    </row>
    <row r="7543">
      <c r="A7543" s="2" t="n"/>
    </row>
    <row r="7544">
      <c r="A7544" s="2" t="n"/>
    </row>
    <row r="7545">
      <c r="A7545" s="2" t="n"/>
    </row>
    <row r="7546">
      <c r="A7546" s="2" t="n"/>
    </row>
    <row r="7547">
      <c r="A7547" s="2" t="n"/>
    </row>
    <row r="7548">
      <c r="A7548" s="2" t="n"/>
    </row>
    <row r="7549">
      <c r="A7549" s="2" t="n"/>
    </row>
    <row r="7550">
      <c r="A7550" s="2" t="n"/>
    </row>
    <row r="7551">
      <c r="A7551" s="2" t="n"/>
    </row>
    <row r="7552">
      <c r="A7552" s="2" t="n"/>
    </row>
    <row r="7553">
      <c r="A7553" s="2" t="n"/>
    </row>
    <row r="7554">
      <c r="A7554" s="2" t="n"/>
    </row>
    <row r="7555">
      <c r="A7555" s="2" t="n"/>
    </row>
    <row r="7556">
      <c r="A7556" s="2" t="n"/>
    </row>
    <row r="7557">
      <c r="A7557" s="2" t="n"/>
    </row>
    <row r="7558">
      <c r="A7558" s="2" t="n"/>
    </row>
    <row r="7559">
      <c r="A7559" s="2" t="n"/>
    </row>
    <row r="7560">
      <c r="A7560" s="2" t="n"/>
    </row>
    <row r="7561">
      <c r="A7561" s="2" t="n"/>
    </row>
    <row r="7562">
      <c r="A7562" s="2" t="n"/>
    </row>
    <row r="7563">
      <c r="A7563" s="2" t="n"/>
    </row>
    <row r="7564">
      <c r="A7564" s="2" t="n"/>
    </row>
    <row r="7565">
      <c r="A7565" s="2" t="n"/>
    </row>
    <row r="7566">
      <c r="A7566" s="2" t="n"/>
    </row>
    <row r="7567">
      <c r="A7567" s="2" t="n"/>
    </row>
    <row r="7568">
      <c r="A7568" s="2" t="n"/>
    </row>
    <row r="7569">
      <c r="A7569" s="2" t="n"/>
    </row>
    <row r="7570">
      <c r="A7570" s="2" t="n"/>
    </row>
    <row r="7571">
      <c r="A7571" s="2" t="n"/>
    </row>
    <row r="7572">
      <c r="A7572" s="2" t="n"/>
    </row>
    <row r="7573">
      <c r="A7573" s="2" t="n"/>
    </row>
    <row r="7574">
      <c r="A7574" s="2" t="n"/>
    </row>
    <row r="7575">
      <c r="A7575" s="2" t="n"/>
    </row>
    <row r="7576">
      <c r="A7576" s="2" t="n"/>
    </row>
    <row r="7577">
      <c r="A7577" s="2" t="n"/>
    </row>
    <row r="7578">
      <c r="A7578" s="2" t="n"/>
    </row>
    <row r="7579">
      <c r="A7579" s="2" t="n"/>
    </row>
    <row r="7580">
      <c r="A7580" s="2" t="n"/>
    </row>
    <row r="7581">
      <c r="A7581" s="2" t="n"/>
    </row>
    <row r="7582">
      <c r="A7582" s="2" t="n"/>
    </row>
    <row r="7583">
      <c r="A7583" s="2" t="n"/>
    </row>
    <row r="7584">
      <c r="A7584" s="2" t="n"/>
    </row>
    <row r="7585">
      <c r="A7585" s="2" t="n"/>
    </row>
    <row r="7586">
      <c r="A7586" s="2" t="n"/>
    </row>
    <row r="7587">
      <c r="A7587" s="2" t="n"/>
    </row>
    <row r="7588">
      <c r="A7588" s="2" t="n"/>
    </row>
    <row r="7589">
      <c r="A7589" s="2" t="n"/>
    </row>
    <row r="7590">
      <c r="A7590" s="2" t="n"/>
    </row>
    <row r="7591">
      <c r="A7591" s="2" t="n"/>
    </row>
    <row r="7592">
      <c r="A7592" s="2" t="n"/>
    </row>
    <row r="7593">
      <c r="A7593" s="2" t="n"/>
    </row>
    <row r="7594">
      <c r="A7594" s="2" t="n"/>
    </row>
    <row r="7595">
      <c r="A7595" s="2" t="n"/>
    </row>
    <row r="7596">
      <c r="A7596" s="2" t="n"/>
    </row>
    <row r="7597">
      <c r="A7597" s="2" t="n"/>
    </row>
    <row r="7598">
      <c r="A7598" s="2" t="n"/>
    </row>
    <row r="7599">
      <c r="A7599" s="2" t="n"/>
    </row>
    <row r="7600">
      <c r="A7600" s="2" t="n"/>
    </row>
    <row r="7601">
      <c r="A7601" s="2" t="n"/>
    </row>
    <row r="7602">
      <c r="A7602" s="2" t="n"/>
    </row>
    <row r="7603">
      <c r="A7603" s="2" t="n"/>
    </row>
    <row r="7604">
      <c r="A7604" s="2" t="n"/>
    </row>
    <row r="7605">
      <c r="A7605" s="2" t="n"/>
    </row>
    <row r="7606">
      <c r="A7606" s="2" t="n"/>
    </row>
    <row r="7607">
      <c r="A7607" s="2" t="n"/>
    </row>
    <row r="7608">
      <c r="A7608" s="2" t="n"/>
    </row>
    <row r="7609">
      <c r="A7609" s="2" t="n"/>
    </row>
    <row r="7610">
      <c r="A7610" s="2" t="n"/>
    </row>
    <row r="7611">
      <c r="A7611" s="2" t="n"/>
    </row>
    <row r="7612">
      <c r="A7612" s="2" t="n"/>
    </row>
    <row r="7613">
      <c r="A7613" s="2" t="n"/>
    </row>
    <row r="7614">
      <c r="A7614" s="2" t="n"/>
    </row>
    <row r="7615">
      <c r="A7615" s="2" t="n"/>
    </row>
    <row r="7616">
      <c r="A7616" s="2" t="n"/>
    </row>
    <row r="7617">
      <c r="A7617" s="2" t="n"/>
    </row>
    <row r="7618">
      <c r="A7618" s="2" t="n"/>
    </row>
    <row r="7619">
      <c r="A7619" s="2" t="n"/>
    </row>
    <row r="7620">
      <c r="A7620" s="2" t="n"/>
    </row>
    <row r="7621">
      <c r="A7621" s="2" t="n"/>
    </row>
    <row r="7622">
      <c r="A7622" s="2" t="n"/>
    </row>
    <row r="7623">
      <c r="A7623" s="2" t="n"/>
    </row>
    <row r="7624">
      <c r="A7624" s="2" t="n"/>
    </row>
    <row r="7625">
      <c r="A7625" s="2" t="n"/>
    </row>
    <row r="7626">
      <c r="A7626" s="2" t="n"/>
    </row>
    <row r="7627">
      <c r="A7627" s="2" t="n"/>
    </row>
    <row r="7628">
      <c r="A7628" s="2" t="n"/>
    </row>
    <row r="7629">
      <c r="A7629" s="2" t="n"/>
    </row>
    <row r="7630">
      <c r="A7630" s="2" t="n"/>
    </row>
    <row r="7631">
      <c r="A7631" s="2" t="n"/>
    </row>
    <row r="7632">
      <c r="A7632" s="2" t="n"/>
    </row>
    <row r="7633">
      <c r="A7633" s="2" t="n"/>
    </row>
    <row r="7634">
      <c r="A7634" s="2" t="n"/>
    </row>
    <row r="7635">
      <c r="A7635" s="2" t="n"/>
    </row>
    <row r="7636">
      <c r="A7636" s="2" t="n"/>
    </row>
    <row r="7637">
      <c r="A7637" s="2" t="n"/>
    </row>
    <row r="7638">
      <c r="A7638" s="2" t="n"/>
    </row>
    <row r="7639">
      <c r="A7639" s="2" t="n"/>
    </row>
    <row r="7640">
      <c r="A7640" s="2" t="n"/>
    </row>
    <row r="7641">
      <c r="A7641" s="2" t="n"/>
    </row>
    <row r="7642">
      <c r="A7642" s="2" t="n"/>
    </row>
    <row r="7643">
      <c r="A7643" s="2" t="n"/>
    </row>
    <row r="7644">
      <c r="A7644" s="2" t="n"/>
    </row>
    <row r="7645">
      <c r="A7645" s="2" t="n"/>
    </row>
    <row r="7646">
      <c r="A7646" s="2" t="n"/>
    </row>
    <row r="7647">
      <c r="A7647" s="2" t="n"/>
    </row>
    <row r="7648">
      <c r="A7648" s="2" t="n"/>
    </row>
    <row r="7649">
      <c r="A7649" s="2" t="n"/>
    </row>
    <row r="7650">
      <c r="A7650" s="2" t="n"/>
    </row>
    <row r="7651">
      <c r="A7651" s="2" t="n"/>
    </row>
    <row r="7652">
      <c r="A7652" s="2" t="n"/>
    </row>
    <row r="7653">
      <c r="A7653" s="2" t="n"/>
    </row>
    <row r="7654">
      <c r="A7654" s="2" t="n"/>
    </row>
    <row r="7655">
      <c r="A7655" s="2" t="n"/>
    </row>
    <row r="7656">
      <c r="A7656" s="2" t="n"/>
    </row>
    <row r="7657">
      <c r="A7657" s="2" t="n"/>
    </row>
    <row r="7658">
      <c r="A7658" s="2" t="n"/>
    </row>
    <row r="7659">
      <c r="A7659" s="2" t="n"/>
    </row>
    <row r="7660">
      <c r="A7660" s="2" t="n"/>
    </row>
    <row r="7661">
      <c r="A7661" s="2" t="n"/>
    </row>
    <row r="7662">
      <c r="A7662" s="2" t="n"/>
    </row>
    <row r="7663">
      <c r="A7663" s="2" t="n"/>
    </row>
    <row r="7664">
      <c r="A7664" s="2" t="n"/>
    </row>
    <row r="7665">
      <c r="A7665" s="2" t="n"/>
    </row>
    <row r="7666">
      <c r="A7666" s="2" t="n"/>
    </row>
    <row r="7667">
      <c r="A7667" s="2" t="n"/>
    </row>
    <row r="7668">
      <c r="A7668" s="2" t="n"/>
    </row>
    <row r="7669">
      <c r="A7669" s="2" t="n"/>
    </row>
    <row r="7670">
      <c r="A7670" s="2" t="n"/>
    </row>
    <row r="7671">
      <c r="A7671" s="2" t="n"/>
    </row>
    <row r="7672">
      <c r="A7672" s="2" t="n"/>
    </row>
    <row r="7673">
      <c r="A7673" s="2" t="n"/>
    </row>
    <row r="7674">
      <c r="A7674" s="2" t="n"/>
    </row>
    <row r="7675">
      <c r="A7675" s="2" t="n"/>
    </row>
    <row r="7676">
      <c r="A7676" s="2" t="n"/>
    </row>
    <row r="7677">
      <c r="A7677" s="2" t="n"/>
    </row>
    <row r="7678">
      <c r="A7678" s="2" t="n"/>
    </row>
    <row r="7679">
      <c r="A7679" s="2" t="n"/>
    </row>
    <row r="7680">
      <c r="A7680" s="2" t="n"/>
    </row>
    <row r="7681">
      <c r="A7681" s="2" t="n"/>
    </row>
    <row r="7682">
      <c r="A7682" s="2" t="n"/>
    </row>
    <row r="7683">
      <c r="A7683" s="2" t="n"/>
    </row>
    <row r="7684">
      <c r="A7684" s="2" t="n"/>
    </row>
    <row r="7685">
      <c r="A7685" s="2" t="n"/>
    </row>
    <row r="7686">
      <c r="A7686" s="2" t="n"/>
    </row>
    <row r="7687">
      <c r="A7687" s="2" t="n"/>
    </row>
    <row r="7688">
      <c r="A7688" s="2" t="n"/>
    </row>
    <row r="7689">
      <c r="A7689" s="2" t="n"/>
    </row>
    <row r="7690">
      <c r="A7690" s="2" t="n"/>
    </row>
    <row r="7691">
      <c r="A7691" s="2" t="n"/>
    </row>
    <row r="7692">
      <c r="A7692" s="2" t="n"/>
    </row>
    <row r="7693">
      <c r="A7693" s="2" t="n"/>
    </row>
    <row r="7694">
      <c r="A7694" s="2" t="n"/>
    </row>
    <row r="7695">
      <c r="A7695" s="2" t="n"/>
    </row>
    <row r="7696">
      <c r="A7696" s="2" t="n"/>
    </row>
    <row r="7697">
      <c r="A7697" s="2" t="n"/>
    </row>
    <row r="7698">
      <c r="A7698" s="2" t="n"/>
    </row>
    <row r="7699">
      <c r="A7699" s="2" t="n"/>
    </row>
    <row r="7700">
      <c r="A7700" s="2" t="n"/>
    </row>
    <row r="7701">
      <c r="A7701" s="2" t="n"/>
    </row>
    <row r="7702">
      <c r="A7702" s="2" t="n"/>
    </row>
    <row r="7703">
      <c r="A7703" s="2" t="n"/>
    </row>
    <row r="7704">
      <c r="A7704" s="2" t="n"/>
    </row>
    <row r="7705">
      <c r="A7705" s="2" t="n"/>
    </row>
    <row r="7706">
      <c r="A7706" s="2" t="n"/>
    </row>
    <row r="7707">
      <c r="A7707" s="2" t="n"/>
    </row>
    <row r="7708">
      <c r="A7708" s="2" t="n"/>
    </row>
    <row r="7709">
      <c r="A7709" s="2" t="n"/>
    </row>
    <row r="7710">
      <c r="A7710" s="2" t="n"/>
    </row>
    <row r="7711">
      <c r="A7711" s="2" t="n"/>
    </row>
    <row r="7712">
      <c r="A7712" s="2" t="n"/>
    </row>
    <row r="7713">
      <c r="A7713" s="2" t="n"/>
    </row>
    <row r="7714">
      <c r="A7714" s="2" t="n"/>
    </row>
    <row r="7715">
      <c r="A7715" s="2" t="n"/>
    </row>
    <row r="7716">
      <c r="A7716" s="2" t="n"/>
    </row>
    <row r="7717">
      <c r="A7717" s="2" t="n"/>
    </row>
    <row r="7718">
      <c r="A7718" s="2" t="n"/>
    </row>
    <row r="7719">
      <c r="A7719" s="2" t="n"/>
    </row>
    <row r="7720">
      <c r="A7720" s="2" t="n"/>
    </row>
    <row r="7721">
      <c r="A7721" s="2" t="n"/>
    </row>
    <row r="7722">
      <c r="A7722" s="2" t="n"/>
    </row>
    <row r="7723">
      <c r="A7723" s="2" t="n"/>
    </row>
    <row r="7724">
      <c r="A7724" s="2" t="n"/>
    </row>
    <row r="7725">
      <c r="A7725" s="2" t="n"/>
    </row>
    <row r="7726">
      <c r="A7726" s="2" t="n"/>
    </row>
    <row r="7727">
      <c r="A7727" s="2" t="n"/>
    </row>
    <row r="7728">
      <c r="A7728" s="2" t="n"/>
    </row>
    <row r="7729">
      <c r="A7729" s="2" t="n"/>
    </row>
    <row r="7730">
      <c r="A7730" s="2" t="n"/>
    </row>
    <row r="7731">
      <c r="A7731" s="2" t="n"/>
    </row>
    <row r="7732">
      <c r="A7732" s="2" t="n"/>
    </row>
    <row r="7733">
      <c r="A7733" s="2" t="n"/>
    </row>
    <row r="7734">
      <c r="A7734" s="2" t="n"/>
    </row>
    <row r="7735">
      <c r="A7735" s="2" t="n"/>
    </row>
    <row r="7736">
      <c r="A7736" s="2" t="n"/>
    </row>
    <row r="7737">
      <c r="A7737" s="2" t="n"/>
    </row>
    <row r="7738">
      <c r="A7738" s="2" t="n"/>
    </row>
    <row r="7739">
      <c r="A7739" s="2" t="n"/>
    </row>
    <row r="7740">
      <c r="A7740" s="2" t="n"/>
    </row>
    <row r="7741">
      <c r="A7741" s="2" t="n"/>
    </row>
    <row r="7742">
      <c r="A7742" s="2" t="n"/>
    </row>
    <row r="7743">
      <c r="A7743" s="2" t="n"/>
    </row>
    <row r="7744">
      <c r="A7744" s="2" t="n"/>
    </row>
    <row r="7745">
      <c r="A7745" s="2" t="n"/>
    </row>
    <row r="7746">
      <c r="A7746" s="2" t="n"/>
    </row>
    <row r="7747">
      <c r="A7747" s="2" t="n"/>
    </row>
    <row r="7748">
      <c r="A7748" s="2" t="n"/>
    </row>
    <row r="7749">
      <c r="A7749" s="2" t="n"/>
    </row>
    <row r="7750">
      <c r="A7750" s="2" t="n"/>
    </row>
    <row r="7751">
      <c r="A7751" s="2" t="n"/>
    </row>
    <row r="7752">
      <c r="A7752" s="2" t="n"/>
    </row>
    <row r="7753">
      <c r="A7753" s="2" t="n"/>
    </row>
    <row r="7754">
      <c r="A7754" s="2" t="n"/>
    </row>
    <row r="7755">
      <c r="A7755" s="2" t="n"/>
    </row>
    <row r="7756">
      <c r="A7756" s="2" t="n"/>
    </row>
    <row r="7757">
      <c r="A7757" s="2" t="n"/>
    </row>
    <row r="7758">
      <c r="A7758" s="2" t="n"/>
    </row>
    <row r="7759">
      <c r="A7759" s="2" t="n"/>
    </row>
    <row r="7760">
      <c r="A7760" s="2" t="n"/>
    </row>
    <row r="7761">
      <c r="A7761" s="2" t="n"/>
    </row>
    <row r="7762">
      <c r="A7762" s="2" t="n"/>
    </row>
    <row r="7763">
      <c r="A7763" s="2" t="n"/>
    </row>
    <row r="7764">
      <c r="A7764" s="2" t="n"/>
    </row>
    <row r="7765">
      <c r="A7765" s="2" t="n"/>
    </row>
    <row r="7766">
      <c r="A7766" s="2" t="n"/>
    </row>
    <row r="7767">
      <c r="A7767" s="2" t="n"/>
    </row>
    <row r="7768">
      <c r="A7768" s="2" t="n"/>
    </row>
    <row r="7769">
      <c r="A7769" s="2" t="n"/>
    </row>
    <row r="7770">
      <c r="A7770" s="2" t="n"/>
    </row>
    <row r="7771">
      <c r="A7771" s="2" t="n"/>
    </row>
    <row r="7772">
      <c r="A7772" s="2" t="n"/>
    </row>
    <row r="7773">
      <c r="A7773" s="2" t="n"/>
    </row>
    <row r="7774">
      <c r="A7774" s="2" t="n"/>
    </row>
    <row r="7775">
      <c r="A7775" s="2" t="n"/>
    </row>
    <row r="7776">
      <c r="A7776" s="2" t="n"/>
    </row>
    <row r="7777">
      <c r="A7777" s="2" t="n"/>
    </row>
    <row r="7778">
      <c r="A7778" s="2" t="n"/>
    </row>
    <row r="7779">
      <c r="A7779" s="2" t="n"/>
    </row>
    <row r="7780">
      <c r="A7780" s="2" t="n"/>
    </row>
    <row r="7781">
      <c r="A7781" s="2" t="n"/>
    </row>
    <row r="7782">
      <c r="A7782" s="2" t="n"/>
    </row>
    <row r="7783">
      <c r="A7783" s="2" t="n"/>
    </row>
    <row r="7784">
      <c r="A7784" s="2" t="n"/>
    </row>
    <row r="7785">
      <c r="A7785" s="2" t="n"/>
    </row>
    <row r="7786">
      <c r="A7786" s="2" t="n"/>
    </row>
    <row r="7787">
      <c r="A7787" s="2" t="n"/>
    </row>
    <row r="7788">
      <c r="A7788" s="2" t="n"/>
    </row>
    <row r="7789">
      <c r="A7789" s="2" t="n"/>
    </row>
    <row r="7790">
      <c r="A7790" s="2" t="n"/>
    </row>
    <row r="7791">
      <c r="A7791" s="2" t="n"/>
    </row>
    <row r="7792">
      <c r="A7792" s="2" t="n"/>
    </row>
    <row r="7793">
      <c r="A7793" s="2" t="n"/>
    </row>
    <row r="7794">
      <c r="A7794" s="2" t="n"/>
    </row>
    <row r="7795">
      <c r="A7795" s="2" t="n"/>
    </row>
    <row r="7796">
      <c r="A7796" s="2" t="n"/>
    </row>
    <row r="7797">
      <c r="A7797" s="2" t="n"/>
    </row>
    <row r="7798">
      <c r="A7798" s="2" t="n"/>
    </row>
    <row r="7799">
      <c r="A7799" s="2" t="n"/>
    </row>
    <row r="7800">
      <c r="A7800" s="2" t="n"/>
    </row>
    <row r="7801">
      <c r="A7801" s="2" t="n"/>
    </row>
    <row r="7802">
      <c r="A7802" s="2" t="n"/>
    </row>
    <row r="7803">
      <c r="A7803" s="2" t="n"/>
    </row>
    <row r="7804">
      <c r="A7804" s="2" t="n"/>
    </row>
    <row r="7805">
      <c r="A7805" s="2" t="n"/>
    </row>
    <row r="7806">
      <c r="A7806" s="2" t="n"/>
    </row>
    <row r="7807">
      <c r="A7807" s="2" t="n"/>
    </row>
    <row r="7808">
      <c r="A7808" s="2" t="n"/>
    </row>
    <row r="7809">
      <c r="A7809" s="2" t="n"/>
    </row>
    <row r="7810">
      <c r="A7810" s="2" t="n"/>
    </row>
    <row r="7811">
      <c r="A7811" s="2" t="n"/>
    </row>
    <row r="7812">
      <c r="A7812" s="2" t="n"/>
    </row>
    <row r="7813">
      <c r="A7813" s="2" t="n"/>
    </row>
    <row r="7814">
      <c r="A7814" s="2" t="n"/>
    </row>
    <row r="7815">
      <c r="A7815" s="2" t="n"/>
    </row>
    <row r="7816">
      <c r="A7816" s="2" t="n"/>
    </row>
    <row r="7817">
      <c r="A7817" s="2" t="n"/>
    </row>
    <row r="7818">
      <c r="A7818" s="2" t="n"/>
    </row>
    <row r="7819">
      <c r="A7819" s="2" t="n"/>
    </row>
    <row r="7820">
      <c r="A7820" s="2" t="n"/>
    </row>
    <row r="7821">
      <c r="A7821" s="2" t="n"/>
    </row>
    <row r="7822">
      <c r="A7822" s="2" t="n"/>
    </row>
    <row r="7823">
      <c r="A7823" s="2" t="n"/>
    </row>
    <row r="7824">
      <c r="A7824" s="2" t="n"/>
    </row>
    <row r="7825">
      <c r="A7825" s="2" t="n"/>
    </row>
    <row r="7826">
      <c r="A7826" s="2" t="n"/>
    </row>
    <row r="7827">
      <c r="A7827" s="2" t="n"/>
    </row>
    <row r="7828">
      <c r="A7828" s="2" t="n"/>
    </row>
    <row r="7829">
      <c r="A7829" s="2" t="n"/>
    </row>
    <row r="7830">
      <c r="A7830" s="2" t="n"/>
    </row>
    <row r="7831">
      <c r="A7831" s="2" t="n"/>
    </row>
    <row r="7832">
      <c r="A7832" s="2" t="n"/>
    </row>
    <row r="7833">
      <c r="A7833" s="2" t="n"/>
    </row>
    <row r="7834">
      <c r="A7834" s="2" t="n"/>
    </row>
    <row r="7835">
      <c r="A7835" s="2" t="n"/>
    </row>
    <row r="7836">
      <c r="A7836" s="2" t="n"/>
    </row>
    <row r="7837">
      <c r="A7837" s="2" t="n"/>
    </row>
    <row r="7838">
      <c r="A7838" s="2" t="n"/>
    </row>
    <row r="7839">
      <c r="A7839" s="2" t="n"/>
    </row>
    <row r="7840">
      <c r="A7840" s="2" t="n"/>
    </row>
    <row r="7841">
      <c r="A7841" s="2" t="n"/>
    </row>
    <row r="7842">
      <c r="A7842" s="2" t="n"/>
    </row>
    <row r="7843">
      <c r="A7843" s="2" t="n"/>
    </row>
    <row r="7844">
      <c r="A7844" s="2" t="n"/>
    </row>
    <row r="7845">
      <c r="A7845" s="2" t="n"/>
    </row>
    <row r="7846">
      <c r="A7846" s="2" t="n"/>
    </row>
    <row r="7847">
      <c r="A7847" s="2" t="n"/>
    </row>
    <row r="7848">
      <c r="A7848" s="2" t="n"/>
    </row>
    <row r="7849">
      <c r="A7849" s="2" t="n"/>
    </row>
    <row r="7850">
      <c r="A7850" s="2" t="n"/>
    </row>
    <row r="7851">
      <c r="A7851" s="2" t="n"/>
    </row>
    <row r="7852">
      <c r="A7852" s="2" t="n"/>
    </row>
    <row r="7853">
      <c r="A7853" s="2" t="n"/>
    </row>
    <row r="7854">
      <c r="A7854" s="2" t="n"/>
    </row>
    <row r="7855">
      <c r="A7855" s="2" t="n"/>
    </row>
    <row r="7856">
      <c r="A7856" s="2" t="n"/>
    </row>
    <row r="7857">
      <c r="A7857" s="2" t="n"/>
    </row>
    <row r="7858">
      <c r="A7858" s="2" t="n"/>
    </row>
    <row r="7859">
      <c r="A7859" s="2" t="n"/>
    </row>
    <row r="7860">
      <c r="A7860" s="2" t="n"/>
    </row>
    <row r="7861">
      <c r="A7861" s="2" t="n"/>
    </row>
    <row r="7862">
      <c r="A7862" s="2" t="n"/>
    </row>
    <row r="7863">
      <c r="A7863" s="2" t="n"/>
    </row>
    <row r="7864">
      <c r="A7864" s="2" t="n"/>
    </row>
    <row r="7865">
      <c r="A7865" s="2" t="n"/>
    </row>
    <row r="7866">
      <c r="A7866" s="2" t="n"/>
    </row>
    <row r="7867">
      <c r="A7867" s="2" t="n"/>
    </row>
    <row r="7868">
      <c r="A7868" s="2" t="n"/>
    </row>
    <row r="7869">
      <c r="A7869" s="2" t="n"/>
    </row>
    <row r="7870">
      <c r="A7870" s="2" t="n"/>
    </row>
    <row r="7871">
      <c r="A7871" s="2" t="n"/>
    </row>
    <row r="7872">
      <c r="A7872" s="2" t="n"/>
    </row>
    <row r="7873">
      <c r="A7873" s="2" t="n"/>
    </row>
    <row r="7874">
      <c r="A7874" s="2" t="n"/>
    </row>
    <row r="7875">
      <c r="A7875" s="2" t="n"/>
    </row>
    <row r="7876">
      <c r="A7876" s="2" t="n"/>
    </row>
    <row r="7877">
      <c r="A7877" s="2" t="n"/>
    </row>
    <row r="7878">
      <c r="A7878" s="2" t="n"/>
    </row>
    <row r="7879">
      <c r="A7879" s="2" t="n"/>
    </row>
    <row r="7880">
      <c r="A7880" s="2" t="n"/>
    </row>
    <row r="7881">
      <c r="A7881" s="2" t="n"/>
    </row>
    <row r="7882">
      <c r="A7882" s="2" t="n"/>
    </row>
    <row r="7883">
      <c r="A7883" s="2" t="n"/>
    </row>
    <row r="7884">
      <c r="A7884" s="2" t="n"/>
    </row>
    <row r="7885">
      <c r="A7885" s="2" t="n"/>
    </row>
    <row r="7886">
      <c r="A7886" s="2" t="n"/>
    </row>
    <row r="7887">
      <c r="A7887" s="2" t="n"/>
    </row>
    <row r="7888">
      <c r="A7888" s="2" t="n"/>
    </row>
    <row r="7889">
      <c r="A7889" s="2" t="n"/>
    </row>
    <row r="7890">
      <c r="A7890" s="2" t="n"/>
    </row>
    <row r="7891">
      <c r="A7891" s="2" t="n"/>
    </row>
    <row r="7892">
      <c r="A7892" s="2" t="n"/>
    </row>
    <row r="7893">
      <c r="A7893" s="2" t="n"/>
    </row>
    <row r="7894">
      <c r="A7894" s="2" t="n"/>
    </row>
    <row r="7895">
      <c r="A7895" s="2" t="n"/>
    </row>
    <row r="7896">
      <c r="A7896" s="2" t="n"/>
    </row>
    <row r="7897">
      <c r="A7897" s="2" t="n"/>
    </row>
    <row r="7898">
      <c r="A7898" s="2" t="n"/>
    </row>
    <row r="7899">
      <c r="A7899" s="2" t="n"/>
    </row>
    <row r="7900">
      <c r="A7900" s="2" t="n"/>
    </row>
    <row r="7901">
      <c r="A7901" s="2" t="n"/>
    </row>
    <row r="7902">
      <c r="A7902" s="2" t="n"/>
    </row>
    <row r="7903">
      <c r="A7903" s="2" t="n"/>
    </row>
    <row r="7904">
      <c r="A7904" s="2" t="n"/>
    </row>
    <row r="7905">
      <c r="A7905" s="2" t="n"/>
    </row>
    <row r="7906">
      <c r="A7906" s="2" t="n"/>
    </row>
    <row r="7907">
      <c r="A7907" s="2" t="n"/>
    </row>
    <row r="7908">
      <c r="A7908" s="2" t="n"/>
    </row>
    <row r="7909">
      <c r="A7909" s="2" t="n"/>
    </row>
    <row r="7910">
      <c r="A7910" s="2" t="n"/>
    </row>
    <row r="7911">
      <c r="A7911" s="2" t="n"/>
    </row>
    <row r="7912">
      <c r="A7912" s="2" t="n"/>
    </row>
    <row r="7913">
      <c r="A7913" s="2" t="n"/>
    </row>
    <row r="7914">
      <c r="A7914" s="2" t="n"/>
    </row>
    <row r="7915">
      <c r="A7915" s="2" t="n"/>
    </row>
    <row r="7916">
      <c r="A7916" s="2" t="n"/>
    </row>
    <row r="7917">
      <c r="A7917" s="2" t="n"/>
    </row>
    <row r="7918">
      <c r="A7918" s="2" t="n"/>
    </row>
    <row r="7919">
      <c r="A7919" s="2" t="n"/>
    </row>
    <row r="7920">
      <c r="A7920" s="2" t="n"/>
    </row>
    <row r="7921">
      <c r="A7921" s="2" t="n"/>
    </row>
    <row r="7922">
      <c r="A7922" s="2" t="n"/>
    </row>
    <row r="7923">
      <c r="A7923" s="2" t="n"/>
    </row>
    <row r="7924">
      <c r="A7924" s="2" t="n"/>
    </row>
    <row r="7925">
      <c r="A7925" s="2" t="n"/>
    </row>
    <row r="7926">
      <c r="A7926" s="2" t="n"/>
    </row>
    <row r="7927">
      <c r="A7927" s="2" t="n"/>
    </row>
    <row r="7928">
      <c r="A7928" s="2" t="n"/>
    </row>
    <row r="7929">
      <c r="A7929" s="2" t="n"/>
    </row>
    <row r="7930">
      <c r="A7930" s="2" t="n"/>
    </row>
    <row r="7931">
      <c r="A7931" s="2" t="n"/>
    </row>
    <row r="7932">
      <c r="A7932" s="2" t="n"/>
    </row>
    <row r="7933">
      <c r="A7933" s="2" t="n"/>
    </row>
    <row r="7934">
      <c r="A7934" s="2" t="n"/>
    </row>
    <row r="7935">
      <c r="A7935" s="2" t="n"/>
    </row>
    <row r="7936">
      <c r="A7936" s="2" t="n"/>
    </row>
    <row r="7937">
      <c r="A7937" s="2" t="n"/>
    </row>
    <row r="7938">
      <c r="A7938" s="2" t="n"/>
    </row>
    <row r="7939">
      <c r="A7939" s="2" t="n"/>
    </row>
    <row r="7940">
      <c r="A7940" s="2" t="n"/>
    </row>
    <row r="7941">
      <c r="A7941" s="2" t="n"/>
    </row>
    <row r="7942">
      <c r="A7942" s="2" t="n"/>
    </row>
    <row r="7943">
      <c r="A7943" s="2" t="n"/>
    </row>
    <row r="7944">
      <c r="A7944" s="2" t="n"/>
    </row>
    <row r="7945">
      <c r="A7945" s="2" t="n"/>
    </row>
    <row r="7946">
      <c r="A7946" s="2" t="n"/>
    </row>
    <row r="7947">
      <c r="A7947" s="2" t="n"/>
    </row>
    <row r="7948">
      <c r="A7948" s="2" t="n"/>
    </row>
    <row r="7949">
      <c r="A7949" s="2" t="n"/>
    </row>
    <row r="7950">
      <c r="A7950" s="2" t="n"/>
    </row>
    <row r="7951">
      <c r="A7951" s="2" t="n"/>
    </row>
    <row r="7952">
      <c r="A7952" s="2" t="n"/>
    </row>
    <row r="7953">
      <c r="A7953" s="2" t="n"/>
    </row>
    <row r="7954">
      <c r="A7954" s="2" t="n"/>
    </row>
    <row r="7955">
      <c r="A7955" s="2" t="n"/>
    </row>
    <row r="7956">
      <c r="A7956" s="2" t="n"/>
    </row>
    <row r="7957">
      <c r="A7957" s="2" t="n"/>
    </row>
    <row r="7958">
      <c r="A7958" s="2" t="n"/>
    </row>
    <row r="7959">
      <c r="A7959" s="2" t="n"/>
    </row>
    <row r="7960">
      <c r="A7960" s="2" t="n"/>
    </row>
    <row r="7961">
      <c r="A7961" s="2" t="n"/>
    </row>
    <row r="7962">
      <c r="A7962" s="2" t="n"/>
    </row>
    <row r="7963">
      <c r="A7963" s="2" t="n"/>
    </row>
    <row r="7964">
      <c r="A7964" s="2" t="n"/>
    </row>
    <row r="7965">
      <c r="A7965" s="2" t="n"/>
    </row>
    <row r="7966">
      <c r="A7966" s="2" t="n"/>
    </row>
    <row r="7967">
      <c r="A7967" s="2" t="n"/>
    </row>
    <row r="7968">
      <c r="A7968" s="2" t="n"/>
    </row>
    <row r="7969">
      <c r="A7969" s="2" t="n"/>
    </row>
    <row r="7970">
      <c r="A7970" s="2" t="n"/>
    </row>
    <row r="7971">
      <c r="A7971" s="2" t="n"/>
    </row>
    <row r="7972">
      <c r="A7972" s="2" t="n"/>
    </row>
    <row r="7973">
      <c r="A7973" s="2" t="n"/>
    </row>
    <row r="7974">
      <c r="A7974" s="2" t="n"/>
    </row>
    <row r="7975">
      <c r="A7975" s="2" t="n"/>
    </row>
    <row r="7976">
      <c r="A7976" s="2" t="n"/>
    </row>
    <row r="7977">
      <c r="A7977" s="2" t="n"/>
    </row>
    <row r="7978">
      <c r="A7978" s="2" t="n"/>
    </row>
    <row r="7979">
      <c r="A7979" s="2" t="n"/>
    </row>
    <row r="7980">
      <c r="A7980" s="2" t="n"/>
    </row>
    <row r="7981">
      <c r="A7981" s="2" t="n"/>
    </row>
    <row r="7982">
      <c r="A7982" s="2" t="n"/>
    </row>
    <row r="7983">
      <c r="A7983" s="2" t="n"/>
    </row>
    <row r="7984">
      <c r="A7984" s="2" t="n"/>
    </row>
    <row r="7985">
      <c r="A7985" s="2" t="n"/>
    </row>
    <row r="7986">
      <c r="A7986" s="2" t="n"/>
    </row>
    <row r="7987">
      <c r="A7987" s="2" t="n"/>
    </row>
    <row r="7988">
      <c r="A7988" s="2" t="n"/>
    </row>
    <row r="7989">
      <c r="A7989" s="2" t="n"/>
    </row>
    <row r="7990">
      <c r="A7990" s="2" t="n"/>
    </row>
    <row r="7991">
      <c r="A7991" s="2" t="n"/>
    </row>
    <row r="7992">
      <c r="A7992" s="2" t="n"/>
    </row>
    <row r="7993">
      <c r="A7993" s="2" t="n"/>
    </row>
    <row r="7994">
      <c r="A7994" s="2" t="n"/>
    </row>
    <row r="7995">
      <c r="A7995" s="2" t="n"/>
    </row>
    <row r="7996">
      <c r="A7996" s="2" t="n"/>
    </row>
    <row r="7997">
      <c r="A7997" s="2" t="n"/>
    </row>
    <row r="7998">
      <c r="A7998" s="2" t="n"/>
    </row>
    <row r="7999">
      <c r="A7999" s="2" t="n"/>
    </row>
    <row r="8000">
      <c r="A8000" s="2" t="n"/>
    </row>
    <row r="8001">
      <c r="A8001" s="2" t="n"/>
    </row>
    <row r="8002">
      <c r="A8002" s="2" t="n"/>
    </row>
    <row r="8003">
      <c r="A8003" s="2" t="n"/>
    </row>
    <row r="8004">
      <c r="A8004" s="2" t="n"/>
    </row>
    <row r="8005">
      <c r="A8005" s="2" t="n"/>
    </row>
    <row r="8006">
      <c r="A8006" s="2" t="n"/>
    </row>
    <row r="8007">
      <c r="A8007" s="2" t="n"/>
    </row>
    <row r="8008">
      <c r="A8008" s="2" t="n"/>
    </row>
    <row r="8009">
      <c r="A8009" s="2" t="n"/>
    </row>
    <row r="8010">
      <c r="A8010" s="2" t="n"/>
    </row>
    <row r="8011">
      <c r="A8011" s="2" t="n"/>
    </row>
    <row r="8012">
      <c r="A8012" s="2" t="n"/>
    </row>
    <row r="8013">
      <c r="A8013" s="2" t="n"/>
    </row>
    <row r="8014">
      <c r="A8014" s="2" t="n"/>
    </row>
    <row r="8015">
      <c r="A8015" s="2" t="n"/>
    </row>
    <row r="8016">
      <c r="A8016" s="2" t="n"/>
    </row>
    <row r="8017">
      <c r="A8017" s="2" t="n"/>
    </row>
    <row r="8018">
      <c r="A8018" s="2" t="n"/>
    </row>
    <row r="8019">
      <c r="A8019" s="2" t="n"/>
    </row>
    <row r="8020">
      <c r="A8020" s="2" t="n"/>
    </row>
    <row r="8021">
      <c r="A8021" s="2" t="n"/>
    </row>
    <row r="8022">
      <c r="A8022" s="2" t="n"/>
    </row>
    <row r="8023">
      <c r="A8023" s="2" t="n"/>
    </row>
    <row r="8024">
      <c r="A8024" s="2" t="n"/>
    </row>
    <row r="8025">
      <c r="A8025" s="2" t="n"/>
    </row>
    <row r="8026">
      <c r="A8026" s="2" t="n"/>
    </row>
    <row r="8027">
      <c r="A8027" s="2" t="n"/>
    </row>
    <row r="8028">
      <c r="A8028" s="2" t="n"/>
    </row>
    <row r="8029">
      <c r="A8029" s="2" t="n"/>
    </row>
    <row r="8030">
      <c r="A8030" s="2" t="n"/>
    </row>
    <row r="8031">
      <c r="A8031" s="2" t="n"/>
    </row>
    <row r="8032">
      <c r="A8032" s="2" t="n"/>
    </row>
    <row r="8033">
      <c r="A8033" s="2" t="n"/>
    </row>
    <row r="8034">
      <c r="A8034" s="2" t="n"/>
    </row>
    <row r="8035">
      <c r="A8035" s="2" t="n"/>
    </row>
    <row r="8036">
      <c r="A8036" s="2" t="n"/>
    </row>
    <row r="8037">
      <c r="A8037" s="2" t="n"/>
    </row>
    <row r="8038">
      <c r="A8038" s="2" t="n"/>
    </row>
    <row r="8039">
      <c r="A8039" s="2" t="n"/>
    </row>
    <row r="8040">
      <c r="A8040" s="2" t="n"/>
    </row>
    <row r="8041">
      <c r="A8041" s="2" t="n"/>
    </row>
    <row r="8042">
      <c r="A8042" s="2" t="n"/>
    </row>
    <row r="8043">
      <c r="A8043" s="2" t="n"/>
    </row>
    <row r="8044">
      <c r="A8044" s="2" t="n"/>
    </row>
    <row r="8045">
      <c r="A8045" s="2" t="n"/>
    </row>
    <row r="8046">
      <c r="A8046" s="2" t="n"/>
    </row>
    <row r="8047">
      <c r="A8047" s="2" t="n"/>
    </row>
    <row r="8048">
      <c r="A8048" s="2" t="n"/>
    </row>
    <row r="8049">
      <c r="A8049" s="2" t="n"/>
    </row>
    <row r="8050">
      <c r="A8050" s="2" t="n"/>
    </row>
    <row r="8051">
      <c r="A8051" s="2" t="n"/>
    </row>
    <row r="8052">
      <c r="A8052" s="2" t="n"/>
    </row>
    <row r="8053">
      <c r="A8053" s="2" t="n"/>
    </row>
    <row r="8054">
      <c r="A8054" s="2" t="n"/>
    </row>
    <row r="8055">
      <c r="A8055" s="2" t="n"/>
    </row>
    <row r="8056">
      <c r="A8056" s="2" t="n"/>
    </row>
    <row r="8057">
      <c r="A8057" s="2" t="n"/>
    </row>
    <row r="8058">
      <c r="A8058" s="2" t="n"/>
    </row>
    <row r="8059">
      <c r="A8059" s="2" t="n"/>
    </row>
    <row r="8060">
      <c r="A8060" s="2" t="n"/>
    </row>
    <row r="8061">
      <c r="A8061" s="2" t="n"/>
    </row>
    <row r="8062">
      <c r="A8062" s="2" t="n"/>
    </row>
    <row r="8063">
      <c r="A8063" s="2" t="n"/>
    </row>
    <row r="8064">
      <c r="A8064" s="2" t="n"/>
    </row>
    <row r="8065">
      <c r="A8065" s="2" t="n"/>
    </row>
    <row r="8066">
      <c r="A8066" s="2" t="n"/>
    </row>
    <row r="8067">
      <c r="A8067" s="2" t="n"/>
    </row>
    <row r="8068">
      <c r="A8068" s="2" t="n"/>
    </row>
    <row r="8069">
      <c r="A8069" s="2" t="n"/>
    </row>
    <row r="8070">
      <c r="A8070" s="2" t="n"/>
    </row>
    <row r="8071">
      <c r="A8071" s="2" t="n"/>
    </row>
    <row r="8072">
      <c r="A8072" s="2" t="n"/>
    </row>
    <row r="8073">
      <c r="A8073" s="2" t="n"/>
    </row>
    <row r="8074">
      <c r="A8074" s="2" t="n"/>
    </row>
    <row r="8075">
      <c r="A8075" s="2" t="n"/>
    </row>
    <row r="8076">
      <c r="A8076" s="2" t="n"/>
    </row>
    <row r="8077">
      <c r="A8077" s="2" t="n"/>
    </row>
    <row r="8078">
      <c r="A8078" s="2" t="n"/>
    </row>
    <row r="8079">
      <c r="A8079" s="2" t="n"/>
    </row>
    <row r="8080">
      <c r="A8080" s="2" t="n"/>
    </row>
    <row r="8081">
      <c r="A8081" s="2" t="n"/>
    </row>
    <row r="8082">
      <c r="A8082" s="2" t="n"/>
    </row>
    <row r="8083">
      <c r="A8083" s="2" t="n"/>
    </row>
    <row r="8084">
      <c r="A8084" s="2" t="n"/>
    </row>
    <row r="8085">
      <c r="A8085" s="2" t="n"/>
    </row>
    <row r="8086">
      <c r="A8086" s="2" t="n"/>
    </row>
    <row r="8087">
      <c r="A8087" s="2" t="n"/>
    </row>
    <row r="8088">
      <c r="A8088" s="2" t="n"/>
    </row>
    <row r="8089">
      <c r="A8089" s="2" t="n"/>
    </row>
    <row r="8090">
      <c r="A8090" s="2" t="n"/>
    </row>
    <row r="8091">
      <c r="A8091" s="2" t="n"/>
    </row>
    <row r="8092">
      <c r="A8092" s="2" t="n"/>
    </row>
    <row r="8093">
      <c r="A8093" s="2" t="n"/>
    </row>
    <row r="8094">
      <c r="A8094" s="2" t="n"/>
    </row>
    <row r="8095">
      <c r="A8095" s="2" t="n"/>
    </row>
    <row r="8096">
      <c r="A8096" s="2" t="n"/>
    </row>
    <row r="8097">
      <c r="A8097" s="2" t="n"/>
    </row>
    <row r="8098">
      <c r="A8098" s="2" t="n"/>
    </row>
    <row r="8099">
      <c r="A8099" s="2" t="n"/>
    </row>
    <row r="8100">
      <c r="A8100" s="2" t="n"/>
    </row>
    <row r="8101">
      <c r="A8101" s="2" t="n"/>
    </row>
    <row r="8102">
      <c r="A8102" s="2" t="n"/>
    </row>
    <row r="8103">
      <c r="A8103" s="2" t="n"/>
    </row>
    <row r="8104">
      <c r="A8104" s="2" t="n"/>
    </row>
    <row r="8105">
      <c r="A8105" s="2" t="n"/>
    </row>
    <row r="8106">
      <c r="A8106" s="2" t="n"/>
    </row>
    <row r="8107">
      <c r="A8107" s="2" t="n"/>
    </row>
    <row r="8108">
      <c r="A8108" s="2" t="n"/>
    </row>
    <row r="8109">
      <c r="A8109" s="2" t="n"/>
    </row>
    <row r="8110">
      <c r="A8110" s="2" t="n"/>
    </row>
    <row r="8111">
      <c r="A8111" s="2" t="n"/>
    </row>
    <row r="8112">
      <c r="A8112" s="2" t="n"/>
    </row>
    <row r="8113">
      <c r="A8113" s="2" t="n"/>
    </row>
    <row r="8114">
      <c r="A8114" s="2" t="n"/>
    </row>
    <row r="8115">
      <c r="A8115" s="2" t="n"/>
    </row>
    <row r="8116">
      <c r="A8116" s="2" t="n"/>
    </row>
    <row r="8117">
      <c r="A8117" s="2" t="n"/>
    </row>
    <row r="8118">
      <c r="A8118" s="2" t="n"/>
    </row>
    <row r="8119">
      <c r="A8119" s="2" t="n"/>
    </row>
    <row r="8120">
      <c r="A8120" s="2" t="n"/>
    </row>
    <row r="8121">
      <c r="A8121" s="2" t="n"/>
    </row>
    <row r="8122">
      <c r="A8122" s="2" t="n"/>
    </row>
    <row r="8123">
      <c r="A8123" s="2" t="n"/>
    </row>
    <row r="8124">
      <c r="A8124" s="2" t="n"/>
    </row>
    <row r="8125">
      <c r="A8125" s="2" t="n"/>
    </row>
    <row r="8126">
      <c r="A8126" s="2" t="n"/>
    </row>
    <row r="8127">
      <c r="A8127" s="2" t="n"/>
    </row>
    <row r="8128">
      <c r="A8128" s="2" t="n"/>
    </row>
    <row r="8129">
      <c r="A8129" s="2" t="n"/>
    </row>
    <row r="8130">
      <c r="A8130" s="2" t="n"/>
    </row>
    <row r="8131">
      <c r="A8131" s="2" t="n"/>
    </row>
    <row r="8132">
      <c r="A8132" s="2" t="n"/>
    </row>
    <row r="8133">
      <c r="A8133" s="2" t="n"/>
    </row>
    <row r="8134">
      <c r="A8134" s="2" t="n"/>
    </row>
    <row r="8135">
      <c r="A8135" s="2" t="n"/>
    </row>
    <row r="8136">
      <c r="A8136" s="2" t="n"/>
    </row>
    <row r="8137">
      <c r="A8137" s="2" t="n"/>
    </row>
    <row r="8138">
      <c r="A8138" s="2" t="n"/>
    </row>
    <row r="8139">
      <c r="A8139" s="2" t="n"/>
    </row>
    <row r="8140">
      <c r="A8140" s="2" t="n"/>
    </row>
    <row r="8141">
      <c r="A8141" s="2" t="n"/>
    </row>
    <row r="8142">
      <c r="A8142" s="2" t="n"/>
    </row>
    <row r="8143">
      <c r="A8143" s="2" t="n"/>
    </row>
    <row r="8144">
      <c r="A8144" s="2" t="n"/>
    </row>
    <row r="8145">
      <c r="A8145" s="2" t="n"/>
    </row>
    <row r="8146">
      <c r="A8146" s="2" t="n"/>
    </row>
    <row r="8147">
      <c r="A8147" s="2" t="n"/>
    </row>
    <row r="8148">
      <c r="A8148" s="2" t="n"/>
    </row>
    <row r="8149">
      <c r="A8149" s="2" t="n"/>
    </row>
    <row r="8150">
      <c r="A8150" s="2" t="n"/>
    </row>
    <row r="8151">
      <c r="A8151" s="2" t="n"/>
    </row>
    <row r="8152">
      <c r="A8152" s="2" t="n"/>
    </row>
    <row r="8153">
      <c r="A8153" s="2" t="n"/>
    </row>
    <row r="8154">
      <c r="A8154" s="2" t="n"/>
    </row>
    <row r="8155">
      <c r="A8155" s="2" t="n"/>
    </row>
    <row r="8156">
      <c r="A8156" s="2" t="n"/>
    </row>
    <row r="8157">
      <c r="A8157" s="2" t="n"/>
    </row>
    <row r="8158">
      <c r="A8158" s="2" t="n"/>
    </row>
    <row r="8159">
      <c r="A8159" s="2" t="n"/>
    </row>
    <row r="8160">
      <c r="A8160" s="2" t="n"/>
    </row>
    <row r="8161">
      <c r="A8161" s="2" t="n"/>
    </row>
    <row r="8162">
      <c r="A8162" s="2" t="n"/>
    </row>
    <row r="8163">
      <c r="A8163" s="2" t="n"/>
    </row>
    <row r="8164">
      <c r="A8164" s="2" t="n"/>
    </row>
    <row r="8165">
      <c r="A8165" s="2" t="n"/>
    </row>
    <row r="8166">
      <c r="A8166" s="2" t="n"/>
    </row>
    <row r="8167">
      <c r="A8167" s="2" t="n"/>
    </row>
    <row r="8168">
      <c r="A8168" s="2" t="n"/>
    </row>
    <row r="8169">
      <c r="A8169" s="2" t="n"/>
    </row>
    <row r="8170">
      <c r="A8170" s="2" t="n"/>
    </row>
    <row r="8171">
      <c r="A8171" s="2" t="n"/>
    </row>
    <row r="8172">
      <c r="A8172" s="2" t="n"/>
    </row>
    <row r="8173">
      <c r="A8173" s="2" t="n"/>
    </row>
    <row r="8174">
      <c r="A8174" s="2" t="n"/>
    </row>
    <row r="8175">
      <c r="A8175" s="2" t="n"/>
    </row>
    <row r="8176">
      <c r="A8176" s="2" t="n"/>
    </row>
    <row r="8177">
      <c r="A8177" s="2" t="n"/>
    </row>
    <row r="8178">
      <c r="A8178" s="2" t="n"/>
    </row>
    <row r="8179">
      <c r="A8179" s="2" t="n"/>
    </row>
    <row r="8180">
      <c r="A8180" s="2" t="n"/>
    </row>
    <row r="8181">
      <c r="A8181" s="2" t="n"/>
    </row>
    <row r="8182">
      <c r="A8182" s="2" t="n"/>
    </row>
    <row r="8183">
      <c r="A8183" s="2" t="n"/>
    </row>
    <row r="8184">
      <c r="A8184" s="2" t="n"/>
    </row>
    <row r="8185">
      <c r="A8185" s="2" t="n"/>
    </row>
    <row r="8186">
      <c r="A8186" s="2" t="n"/>
    </row>
    <row r="8187">
      <c r="A8187" s="2" t="n"/>
    </row>
    <row r="8188">
      <c r="A8188" s="2" t="n"/>
    </row>
    <row r="8189">
      <c r="A8189" s="2" t="n"/>
    </row>
    <row r="8190">
      <c r="A8190" s="2" t="n"/>
    </row>
    <row r="8191">
      <c r="A8191" s="2" t="n"/>
    </row>
    <row r="8192">
      <c r="A8192" s="2" t="n"/>
    </row>
    <row r="8193">
      <c r="A8193" s="2" t="n"/>
    </row>
    <row r="8194">
      <c r="A8194" s="2" t="n"/>
    </row>
    <row r="8195">
      <c r="A8195" s="2" t="n"/>
    </row>
    <row r="8196">
      <c r="A8196" s="2" t="n"/>
    </row>
    <row r="8197">
      <c r="A8197" s="2" t="n"/>
    </row>
    <row r="8198">
      <c r="A8198" s="2" t="n"/>
    </row>
    <row r="8199">
      <c r="A8199" s="2" t="n"/>
    </row>
    <row r="8200">
      <c r="A8200" s="2" t="n"/>
    </row>
    <row r="8201">
      <c r="A8201" s="2" t="n"/>
    </row>
    <row r="8202">
      <c r="A8202" s="2" t="n"/>
    </row>
    <row r="8203">
      <c r="A8203" s="2" t="n"/>
    </row>
    <row r="8204">
      <c r="A8204" s="2" t="n"/>
    </row>
    <row r="8205">
      <c r="A8205" s="2" t="n"/>
    </row>
    <row r="8206">
      <c r="A8206" s="2" t="n"/>
    </row>
    <row r="8207">
      <c r="A8207" s="2" t="n"/>
    </row>
    <row r="8208">
      <c r="A8208" s="2" t="n"/>
    </row>
    <row r="8209">
      <c r="A8209" s="2" t="n"/>
    </row>
    <row r="8210">
      <c r="A8210" s="2" t="n"/>
    </row>
    <row r="8211">
      <c r="A8211" s="2" t="n"/>
    </row>
    <row r="8212">
      <c r="A8212" s="2" t="n"/>
    </row>
    <row r="8213">
      <c r="A8213" s="2" t="n"/>
    </row>
    <row r="8214">
      <c r="A8214" s="2" t="n"/>
    </row>
    <row r="8215">
      <c r="A8215" s="2" t="n"/>
    </row>
    <row r="8216">
      <c r="A8216" s="2" t="n"/>
    </row>
    <row r="8217">
      <c r="A8217" s="2" t="n"/>
    </row>
    <row r="8218">
      <c r="A8218" s="2" t="n"/>
    </row>
    <row r="8219">
      <c r="A8219" s="2" t="n"/>
    </row>
    <row r="8220">
      <c r="A8220" s="2" t="n"/>
    </row>
    <row r="8221">
      <c r="A8221" s="2" t="n"/>
    </row>
    <row r="8222">
      <c r="A8222" s="2" t="n"/>
    </row>
    <row r="8223">
      <c r="A8223" s="2" t="n"/>
    </row>
    <row r="8224">
      <c r="A8224" s="2" t="n"/>
    </row>
    <row r="8225">
      <c r="A8225" s="2" t="n"/>
    </row>
    <row r="8226">
      <c r="A8226" s="2" t="n"/>
    </row>
    <row r="8227">
      <c r="A8227" s="2" t="n"/>
    </row>
    <row r="8228">
      <c r="A8228" s="2" t="n"/>
    </row>
    <row r="8229">
      <c r="A8229" s="2" t="n"/>
    </row>
    <row r="8230">
      <c r="A8230" s="2" t="n"/>
    </row>
    <row r="8231">
      <c r="A8231" s="2" t="n"/>
    </row>
    <row r="8232">
      <c r="A8232" s="2" t="n"/>
    </row>
    <row r="8233">
      <c r="A8233" s="2" t="n"/>
    </row>
    <row r="8234">
      <c r="A8234" s="2" t="n"/>
    </row>
    <row r="8235">
      <c r="A8235" s="2" t="n"/>
    </row>
    <row r="8236">
      <c r="A8236" s="2" t="n"/>
    </row>
    <row r="8237">
      <c r="A8237" s="2" t="n"/>
    </row>
    <row r="8238">
      <c r="A8238" s="2" t="n"/>
    </row>
    <row r="8239">
      <c r="A8239" s="2" t="n"/>
    </row>
    <row r="8240">
      <c r="A8240" s="2" t="n"/>
    </row>
    <row r="8241">
      <c r="A8241" s="2" t="n"/>
    </row>
    <row r="8242">
      <c r="A8242" s="2" t="n"/>
    </row>
    <row r="8243">
      <c r="A8243" s="2" t="n"/>
    </row>
    <row r="8244">
      <c r="A8244" s="2" t="n"/>
    </row>
    <row r="8245">
      <c r="A8245" s="2" t="n"/>
    </row>
    <row r="8246">
      <c r="A8246" s="2" t="n"/>
    </row>
    <row r="8247">
      <c r="A8247" s="2" t="n"/>
    </row>
    <row r="8248">
      <c r="A8248" s="2" t="n"/>
    </row>
    <row r="8249">
      <c r="A8249" s="2" t="n"/>
    </row>
    <row r="8250">
      <c r="A8250" s="2" t="n"/>
    </row>
    <row r="8251">
      <c r="A8251" s="2" t="n"/>
    </row>
    <row r="8252">
      <c r="A8252" s="2" t="n"/>
    </row>
    <row r="8253">
      <c r="A8253" s="2" t="n"/>
    </row>
    <row r="8254">
      <c r="A8254" s="2" t="n"/>
    </row>
    <row r="8255">
      <c r="A8255" s="2" t="n"/>
    </row>
    <row r="8256">
      <c r="A8256" s="2" t="n"/>
    </row>
    <row r="8257">
      <c r="A8257" s="2" t="n"/>
    </row>
    <row r="8258">
      <c r="A8258" s="2" t="n"/>
    </row>
    <row r="8259">
      <c r="A8259" s="2" t="n"/>
    </row>
    <row r="8260">
      <c r="A8260" s="2" t="n"/>
    </row>
    <row r="8261">
      <c r="A8261" s="2" t="n"/>
    </row>
    <row r="8262">
      <c r="A8262" s="2" t="n"/>
    </row>
    <row r="8263">
      <c r="A8263" s="2" t="n"/>
    </row>
    <row r="8264">
      <c r="A8264" s="2" t="n"/>
    </row>
    <row r="8265">
      <c r="A8265" s="2" t="n"/>
    </row>
    <row r="8266">
      <c r="A8266" s="2" t="n"/>
    </row>
    <row r="8267">
      <c r="A8267" s="2" t="n"/>
    </row>
    <row r="8268">
      <c r="A8268" s="2" t="n"/>
    </row>
    <row r="8269">
      <c r="A8269" s="2" t="n"/>
    </row>
    <row r="8270">
      <c r="A8270" s="2" t="n"/>
    </row>
    <row r="8271">
      <c r="A8271" s="2" t="n"/>
    </row>
    <row r="8272">
      <c r="A8272" s="2" t="n"/>
    </row>
    <row r="8273">
      <c r="A8273" s="2" t="n"/>
    </row>
    <row r="8274">
      <c r="A8274" s="2" t="n"/>
    </row>
    <row r="8275">
      <c r="A8275" s="2" t="n"/>
    </row>
    <row r="8276">
      <c r="A8276" s="2" t="n"/>
    </row>
    <row r="8277">
      <c r="A8277" s="2" t="n"/>
    </row>
    <row r="8278">
      <c r="A8278" s="2" t="n"/>
    </row>
    <row r="8279">
      <c r="A8279" s="2" t="n"/>
    </row>
    <row r="8280">
      <c r="A8280" s="2" t="n"/>
    </row>
    <row r="8281">
      <c r="A8281" s="2" t="n"/>
    </row>
    <row r="8282">
      <c r="A8282" s="2" t="n"/>
    </row>
    <row r="8283">
      <c r="A8283" s="2" t="n"/>
    </row>
    <row r="8284">
      <c r="A8284" s="2" t="n"/>
    </row>
    <row r="8285">
      <c r="A8285" s="2" t="n"/>
    </row>
    <row r="8286">
      <c r="A8286" s="2" t="n"/>
    </row>
    <row r="8287">
      <c r="A8287" s="2" t="n"/>
    </row>
    <row r="8288">
      <c r="A8288" s="2" t="n"/>
    </row>
    <row r="8289">
      <c r="A8289" s="2" t="n"/>
    </row>
    <row r="8290">
      <c r="A8290" s="2" t="n"/>
    </row>
    <row r="8291">
      <c r="A8291" s="2" t="n"/>
    </row>
    <row r="8292">
      <c r="A8292" s="2" t="n"/>
    </row>
    <row r="8293">
      <c r="A8293" s="2" t="n"/>
    </row>
    <row r="8294">
      <c r="A8294" s="2" t="n"/>
    </row>
    <row r="8295">
      <c r="A8295" s="2" t="n"/>
    </row>
    <row r="8296">
      <c r="A8296" s="2" t="n"/>
    </row>
    <row r="8297">
      <c r="A8297" s="2" t="n"/>
    </row>
    <row r="8298">
      <c r="A8298" s="2" t="n"/>
    </row>
    <row r="8299">
      <c r="A8299" s="2" t="n"/>
    </row>
    <row r="8300">
      <c r="A8300" s="2" t="n"/>
    </row>
    <row r="8301">
      <c r="A8301" s="2" t="n"/>
    </row>
    <row r="8302">
      <c r="A8302" s="2" t="n"/>
    </row>
    <row r="8303">
      <c r="A8303" s="2" t="n"/>
    </row>
    <row r="8304">
      <c r="A8304" s="2" t="n"/>
    </row>
    <row r="8305">
      <c r="A8305" s="2" t="n"/>
    </row>
    <row r="8306">
      <c r="A8306" s="2" t="n"/>
    </row>
    <row r="8307">
      <c r="A8307" s="2" t="n"/>
    </row>
    <row r="8308">
      <c r="A8308" s="2" t="n"/>
    </row>
    <row r="8309">
      <c r="A8309" s="2" t="n"/>
    </row>
    <row r="8310">
      <c r="A8310" s="2" t="n"/>
    </row>
    <row r="8311">
      <c r="A8311" s="2" t="n"/>
    </row>
    <row r="8312">
      <c r="A8312" s="2" t="n"/>
    </row>
    <row r="8313">
      <c r="A8313" s="2" t="n"/>
    </row>
    <row r="8314">
      <c r="A8314" s="2" t="n"/>
    </row>
    <row r="8315">
      <c r="A8315" s="2" t="n"/>
    </row>
    <row r="8316">
      <c r="A8316" s="2" t="n"/>
    </row>
    <row r="8317">
      <c r="A8317" s="2" t="n"/>
    </row>
    <row r="8318">
      <c r="A8318" s="2" t="n"/>
    </row>
    <row r="8319">
      <c r="A8319" s="2" t="n"/>
    </row>
    <row r="8320">
      <c r="A8320" s="2" t="n"/>
    </row>
    <row r="8321">
      <c r="A8321" s="2" t="n"/>
    </row>
    <row r="8322">
      <c r="A8322" s="2" t="n"/>
    </row>
    <row r="8323">
      <c r="A8323" s="2" t="n"/>
    </row>
    <row r="8324">
      <c r="A8324" s="2" t="n"/>
    </row>
    <row r="8325">
      <c r="A8325" s="2" t="n"/>
    </row>
    <row r="8326">
      <c r="A8326" s="2" t="n"/>
    </row>
    <row r="8327">
      <c r="A8327" s="2" t="n"/>
    </row>
    <row r="8328">
      <c r="A8328" s="2" t="n"/>
    </row>
    <row r="8329">
      <c r="A8329" s="2" t="n"/>
    </row>
    <row r="8330">
      <c r="A8330" s="2" t="n"/>
    </row>
    <row r="8331">
      <c r="A8331" s="2" t="n"/>
    </row>
    <row r="8332">
      <c r="A8332" s="2" t="n"/>
    </row>
    <row r="8333">
      <c r="A8333" s="2" t="n"/>
    </row>
    <row r="8334">
      <c r="A8334" s="2" t="n"/>
    </row>
    <row r="8335">
      <c r="A8335" s="2" t="n"/>
    </row>
    <row r="8336">
      <c r="A8336" s="2" t="n"/>
    </row>
    <row r="8337">
      <c r="A8337" s="2" t="n"/>
    </row>
    <row r="8338">
      <c r="A8338" s="2" t="n"/>
    </row>
    <row r="8339">
      <c r="A8339" s="2" t="n"/>
    </row>
    <row r="8340">
      <c r="A8340" s="2" t="n"/>
    </row>
    <row r="8341">
      <c r="A8341" s="2" t="n"/>
    </row>
    <row r="8342">
      <c r="A8342" s="2" t="n"/>
    </row>
    <row r="8343">
      <c r="A8343" s="2" t="n"/>
    </row>
    <row r="8344">
      <c r="A8344" s="2" t="n"/>
    </row>
    <row r="8345">
      <c r="A8345" s="2" t="n"/>
    </row>
    <row r="8346">
      <c r="A8346" s="2" t="n"/>
    </row>
    <row r="8347">
      <c r="A8347" s="2" t="n"/>
    </row>
    <row r="8348">
      <c r="A8348" s="2" t="n"/>
    </row>
    <row r="8349">
      <c r="A8349" s="2" t="n"/>
    </row>
    <row r="8350">
      <c r="A8350" s="2" t="n"/>
    </row>
    <row r="8351">
      <c r="A8351" s="2" t="n"/>
    </row>
    <row r="8352">
      <c r="A8352" s="2" t="n"/>
    </row>
    <row r="8353">
      <c r="A8353" s="2" t="n"/>
    </row>
    <row r="8354">
      <c r="A8354" s="2" t="n"/>
    </row>
    <row r="8355">
      <c r="A8355" s="2" t="n"/>
    </row>
    <row r="8356">
      <c r="A8356" s="2" t="n"/>
    </row>
    <row r="8357">
      <c r="A8357" s="2" t="n"/>
    </row>
    <row r="8358">
      <c r="A8358" s="2" t="n"/>
    </row>
    <row r="8359">
      <c r="A8359" s="2" t="n"/>
    </row>
    <row r="8360">
      <c r="A8360" s="2" t="n"/>
    </row>
    <row r="8361">
      <c r="A8361" s="2" t="n"/>
    </row>
    <row r="8362">
      <c r="A8362" s="2" t="n"/>
    </row>
    <row r="8363">
      <c r="A8363" s="2" t="n"/>
    </row>
    <row r="8364">
      <c r="A8364" s="2" t="n"/>
    </row>
    <row r="8365">
      <c r="A8365" s="2" t="n"/>
    </row>
    <row r="8366">
      <c r="A8366" s="2" t="n"/>
    </row>
    <row r="8367">
      <c r="A8367" s="2" t="n"/>
    </row>
    <row r="8368">
      <c r="A8368" s="2" t="n"/>
    </row>
    <row r="8369">
      <c r="A8369" s="2" t="n"/>
    </row>
    <row r="8370">
      <c r="A8370" s="2" t="n"/>
    </row>
    <row r="8371">
      <c r="A8371" s="2" t="n"/>
    </row>
    <row r="8372">
      <c r="A8372" s="2" t="n"/>
    </row>
    <row r="8373">
      <c r="A8373" s="2" t="n"/>
    </row>
    <row r="8374">
      <c r="A8374" s="2" t="n"/>
    </row>
    <row r="8375">
      <c r="A8375" s="2" t="n"/>
    </row>
    <row r="8376">
      <c r="A8376" s="2" t="n"/>
    </row>
    <row r="8377">
      <c r="A8377" s="2" t="n"/>
    </row>
    <row r="8378">
      <c r="A8378" s="2" t="n"/>
    </row>
    <row r="8379">
      <c r="A8379" s="2" t="n"/>
    </row>
    <row r="8380">
      <c r="A8380" s="2" t="n"/>
    </row>
    <row r="8381">
      <c r="A8381" s="2" t="n"/>
    </row>
    <row r="8382">
      <c r="A8382" s="2" t="n"/>
    </row>
    <row r="8383">
      <c r="A8383" s="2" t="n"/>
    </row>
    <row r="8384">
      <c r="A8384" s="2" t="n"/>
    </row>
    <row r="8385">
      <c r="A8385" s="2" t="n"/>
    </row>
    <row r="8386">
      <c r="A8386" s="2" t="n"/>
    </row>
    <row r="8387">
      <c r="A8387" s="2" t="n"/>
    </row>
    <row r="8388">
      <c r="A8388" s="2" t="n"/>
    </row>
    <row r="8389">
      <c r="A8389" s="2" t="n"/>
    </row>
    <row r="8390">
      <c r="A8390" s="2" t="n"/>
    </row>
    <row r="8391">
      <c r="A8391" s="2" t="n"/>
    </row>
    <row r="8392">
      <c r="A8392" s="2" t="n"/>
    </row>
    <row r="8393">
      <c r="A8393" s="2" t="n"/>
    </row>
    <row r="8394">
      <c r="A8394" s="2" t="n"/>
    </row>
    <row r="8395">
      <c r="A8395" s="2" t="n"/>
    </row>
    <row r="8396">
      <c r="A8396" s="2" t="n"/>
    </row>
    <row r="8397">
      <c r="A8397" s="2" t="n"/>
    </row>
    <row r="8398">
      <c r="A8398" s="2" t="n"/>
    </row>
    <row r="8399">
      <c r="A8399" s="2" t="n"/>
    </row>
    <row r="8400">
      <c r="A8400" s="2" t="n"/>
    </row>
    <row r="8401">
      <c r="A8401" s="2" t="n"/>
    </row>
    <row r="8402">
      <c r="A8402" s="2" t="n"/>
    </row>
    <row r="8403">
      <c r="A8403" s="2" t="n"/>
    </row>
    <row r="8404">
      <c r="A8404" s="2" t="n"/>
    </row>
    <row r="8405">
      <c r="A8405" s="2" t="n"/>
    </row>
    <row r="8406">
      <c r="A8406" s="2" t="n"/>
    </row>
    <row r="8407">
      <c r="A8407" s="2" t="n"/>
    </row>
    <row r="8408">
      <c r="A8408" s="2" t="n"/>
    </row>
    <row r="8409">
      <c r="A8409" s="2" t="n"/>
    </row>
    <row r="8410">
      <c r="A8410" s="2" t="n"/>
    </row>
    <row r="8411">
      <c r="A8411" s="2" t="n"/>
    </row>
    <row r="8412">
      <c r="A8412" s="2" t="n"/>
    </row>
    <row r="8413">
      <c r="A8413" s="2" t="n"/>
    </row>
    <row r="8414">
      <c r="A8414" s="2" t="n"/>
    </row>
    <row r="8415">
      <c r="A8415" s="2" t="n"/>
    </row>
    <row r="8416">
      <c r="A8416" s="2" t="n"/>
    </row>
    <row r="8417">
      <c r="A8417" s="2" t="n"/>
    </row>
    <row r="8418">
      <c r="A8418" s="2" t="n"/>
    </row>
    <row r="8419">
      <c r="A8419" s="2" t="n"/>
    </row>
    <row r="8420">
      <c r="A8420" s="2" t="n"/>
    </row>
    <row r="8421">
      <c r="A8421" s="2" t="n"/>
    </row>
    <row r="8422">
      <c r="A8422" s="2" t="n"/>
    </row>
    <row r="8423">
      <c r="A8423" s="2" t="n"/>
    </row>
    <row r="8424">
      <c r="A8424" s="2" t="n"/>
    </row>
    <row r="8425">
      <c r="A8425" s="2" t="n"/>
    </row>
    <row r="8426">
      <c r="A8426" s="2" t="n"/>
    </row>
    <row r="8427">
      <c r="A8427" s="2" t="n"/>
    </row>
    <row r="8428">
      <c r="A8428" s="2" t="n"/>
    </row>
    <row r="8429">
      <c r="A8429" s="2" t="n"/>
    </row>
    <row r="8430">
      <c r="A8430" s="2" t="n"/>
    </row>
    <row r="8431">
      <c r="A8431" s="2" t="n"/>
    </row>
    <row r="8432">
      <c r="A8432" s="2" t="n"/>
    </row>
    <row r="8433">
      <c r="A8433" s="2" t="n"/>
    </row>
    <row r="8434">
      <c r="A8434" s="2" t="n"/>
    </row>
    <row r="8435">
      <c r="A8435" s="2" t="n"/>
    </row>
    <row r="8436">
      <c r="A8436" s="2" t="n"/>
    </row>
    <row r="8437">
      <c r="A8437" s="2" t="n"/>
    </row>
    <row r="8438">
      <c r="A8438" s="2" t="n"/>
    </row>
    <row r="8439">
      <c r="A8439" s="2" t="n"/>
    </row>
    <row r="8440">
      <c r="A8440" s="2" t="n"/>
    </row>
    <row r="8441">
      <c r="A8441" s="2" t="n"/>
    </row>
    <row r="8442">
      <c r="A8442" s="2" t="n"/>
    </row>
    <row r="8443">
      <c r="A8443" s="2" t="n"/>
    </row>
    <row r="8444">
      <c r="A8444" s="2" t="n"/>
    </row>
    <row r="8445">
      <c r="A8445" s="2" t="n"/>
    </row>
    <row r="8446">
      <c r="A8446" s="2" t="n"/>
    </row>
    <row r="8447">
      <c r="A8447" s="2" t="n"/>
    </row>
    <row r="8448">
      <c r="A8448" s="2" t="n"/>
    </row>
    <row r="8449">
      <c r="A8449" s="2" t="n"/>
    </row>
    <row r="8450">
      <c r="A8450" s="2" t="n"/>
    </row>
    <row r="8451">
      <c r="A8451" s="2" t="n"/>
    </row>
    <row r="8452">
      <c r="A8452" s="2" t="n"/>
    </row>
    <row r="8453">
      <c r="A8453" s="2" t="n"/>
    </row>
    <row r="8454">
      <c r="A8454" s="2" t="n"/>
    </row>
    <row r="8455">
      <c r="A8455" s="2" t="n"/>
    </row>
    <row r="8456">
      <c r="A8456" s="2" t="n"/>
    </row>
    <row r="8457">
      <c r="A8457" s="2" t="n"/>
    </row>
    <row r="8458">
      <c r="A8458" s="2" t="n"/>
    </row>
    <row r="8459">
      <c r="A8459" s="2" t="n"/>
    </row>
    <row r="8460">
      <c r="A8460" s="2" t="n"/>
    </row>
    <row r="8461">
      <c r="A8461" s="2" t="n"/>
    </row>
    <row r="8462">
      <c r="A8462" s="2" t="n"/>
    </row>
    <row r="8463">
      <c r="A8463" s="2" t="n"/>
    </row>
    <row r="8464">
      <c r="A8464" s="2" t="n"/>
    </row>
    <row r="8465">
      <c r="A8465" s="2" t="n"/>
    </row>
    <row r="8466">
      <c r="A8466" s="2" t="n"/>
    </row>
    <row r="8467">
      <c r="A8467" s="2" t="n"/>
    </row>
    <row r="8468">
      <c r="A8468" s="2" t="n"/>
    </row>
    <row r="8469">
      <c r="A8469" s="2" t="n"/>
    </row>
    <row r="8470">
      <c r="A8470" s="2" t="n"/>
    </row>
    <row r="8471">
      <c r="A8471" s="2" t="n"/>
    </row>
    <row r="8472">
      <c r="A8472" s="2" t="n"/>
    </row>
    <row r="8473">
      <c r="A8473" s="2" t="n"/>
    </row>
    <row r="8474">
      <c r="A8474" s="2" t="n"/>
    </row>
    <row r="8475">
      <c r="A8475" s="2" t="n"/>
    </row>
    <row r="8476">
      <c r="A8476" s="2" t="n"/>
    </row>
    <row r="8477">
      <c r="A8477" s="2" t="n"/>
    </row>
    <row r="8478">
      <c r="A8478" s="2" t="n"/>
    </row>
    <row r="8479">
      <c r="A8479" s="2" t="n"/>
    </row>
    <row r="8480">
      <c r="A8480" s="2" t="n"/>
    </row>
    <row r="8481">
      <c r="A8481" s="2" t="n"/>
    </row>
    <row r="8482">
      <c r="A8482" s="2" t="n"/>
    </row>
    <row r="8483">
      <c r="A8483" s="2" t="n"/>
    </row>
    <row r="8484">
      <c r="A8484" s="2" t="n"/>
    </row>
    <row r="8485">
      <c r="A8485" s="2" t="n"/>
    </row>
    <row r="8486">
      <c r="A8486" s="2" t="n"/>
    </row>
    <row r="8487">
      <c r="A8487" s="2" t="n"/>
    </row>
    <row r="8488">
      <c r="A8488" s="2" t="n"/>
    </row>
    <row r="8489">
      <c r="A8489" s="2" t="n"/>
    </row>
    <row r="8490">
      <c r="A8490" s="2" t="n"/>
    </row>
    <row r="8491">
      <c r="A8491" s="2" t="n"/>
    </row>
    <row r="8492">
      <c r="A8492" s="2" t="n"/>
    </row>
    <row r="8493">
      <c r="A8493" s="2" t="n"/>
    </row>
    <row r="8494">
      <c r="A8494" s="2" t="n"/>
    </row>
    <row r="8495">
      <c r="A8495" s="2" t="n"/>
    </row>
    <row r="8496">
      <c r="A8496" s="2" t="n"/>
    </row>
    <row r="8497">
      <c r="A8497" s="2" t="n"/>
    </row>
    <row r="8498">
      <c r="A8498" s="2" t="n"/>
    </row>
    <row r="8499">
      <c r="A8499" s="2" t="n"/>
    </row>
    <row r="8500">
      <c r="A8500" s="2" t="n"/>
    </row>
    <row r="8501">
      <c r="A8501" s="2" t="n"/>
    </row>
    <row r="8502">
      <c r="A8502" s="2" t="n"/>
    </row>
    <row r="8503">
      <c r="A8503" s="2" t="n"/>
    </row>
    <row r="8504">
      <c r="A8504" s="2" t="n"/>
    </row>
    <row r="8505">
      <c r="A8505" s="2" t="n"/>
    </row>
    <row r="8506">
      <c r="A8506" s="2" t="n"/>
    </row>
    <row r="8507">
      <c r="A8507" s="2" t="n"/>
    </row>
    <row r="8508">
      <c r="A8508" s="2" t="n"/>
    </row>
    <row r="8509">
      <c r="A8509" s="2" t="n"/>
    </row>
    <row r="8510">
      <c r="A8510" s="2" t="n"/>
    </row>
    <row r="8511">
      <c r="A8511" s="2" t="n"/>
    </row>
    <row r="8512">
      <c r="A8512" s="2" t="n"/>
    </row>
    <row r="8513">
      <c r="A8513" s="2" t="n"/>
    </row>
    <row r="8514">
      <c r="A8514" s="2" t="n"/>
    </row>
    <row r="8515">
      <c r="A8515" s="2" t="n"/>
    </row>
    <row r="8516">
      <c r="A8516" s="2" t="n"/>
    </row>
    <row r="8517">
      <c r="A8517" s="2" t="n"/>
    </row>
    <row r="8518">
      <c r="A8518" s="2" t="n"/>
    </row>
    <row r="8519">
      <c r="A8519" s="2" t="n"/>
    </row>
    <row r="8520">
      <c r="A8520" s="2" t="n"/>
    </row>
    <row r="8521">
      <c r="A8521" s="2" t="n"/>
    </row>
    <row r="8522">
      <c r="A8522" s="2" t="n"/>
    </row>
    <row r="8523">
      <c r="A8523" s="2" t="n"/>
    </row>
    <row r="8524">
      <c r="A8524" s="2" t="n"/>
    </row>
    <row r="8525">
      <c r="A8525" s="2" t="n"/>
    </row>
    <row r="8526">
      <c r="A8526" s="2" t="n"/>
    </row>
    <row r="8527">
      <c r="A8527" s="2" t="n"/>
    </row>
    <row r="8528">
      <c r="A8528" s="2" t="n"/>
    </row>
    <row r="8529">
      <c r="A8529" s="2" t="n"/>
    </row>
    <row r="8530">
      <c r="A8530" s="2" t="n"/>
    </row>
    <row r="8531">
      <c r="A8531" s="2" t="n"/>
    </row>
    <row r="8532">
      <c r="A8532" s="2" t="n"/>
    </row>
    <row r="8533">
      <c r="A8533" s="2" t="n"/>
    </row>
    <row r="8534">
      <c r="A8534" s="2" t="n"/>
    </row>
    <row r="8535">
      <c r="A8535" s="2" t="n"/>
    </row>
    <row r="8536">
      <c r="A8536" s="2" t="n"/>
    </row>
    <row r="8537">
      <c r="A8537" s="2" t="n"/>
    </row>
    <row r="8538">
      <c r="A8538" s="2" t="n"/>
    </row>
    <row r="8539">
      <c r="A8539" s="2" t="n"/>
    </row>
    <row r="8540">
      <c r="A8540" s="2" t="n"/>
    </row>
    <row r="8541">
      <c r="A8541" s="2" t="n"/>
    </row>
    <row r="8542">
      <c r="A8542" s="2" t="n"/>
    </row>
    <row r="8543">
      <c r="A8543" s="2" t="n"/>
    </row>
    <row r="8544">
      <c r="A8544" s="2" t="n"/>
    </row>
    <row r="8545">
      <c r="A8545" s="2" t="n"/>
    </row>
    <row r="8546">
      <c r="A8546" s="2" t="n"/>
    </row>
    <row r="8547">
      <c r="A8547" s="2" t="n"/>
    </row>
    <row r="8548">
      <c r="A8548" s="2" t="n"/>
    </row>
    <row r="8549">
      <c r="A8549" s="2" t="n"/>
    </row>
    <row r="8550">
      <c r="A8550" s="2" t="n"/>
    </row>
    <row r="8551">
      <c r="A8551" s="2" t="n"/>
    </row>
    <row r="8552">
      <c r="A8552" s="2" t="n"/>
    </row>
    <row r="8553">
      <c r="A8553" s="2" t="n"/>
    </row>
    <row r="8554">
      <c r="A8554" s="2" t="n"/>
    </row>
    <row r="8555">
      <c r="A8555" s="2" t="n"/>
    </row>
    <row r="8556">
      <c r="A8556" s="2" t="n"/>
    </row>
    <row r="8557">
      <c r="A8557" s="2" t="n"/>
    </row>
    <row r="8558">
      <c r="A8558" s="2" t="n"/>
    </row>
    <row r="8559">
      <c r="A8559" s="2" t="n"/>
    </row>
    <row r="8560">
      <c r="A8560" s="2" t="n"/>
    </row>
    <row r="8561">
      <c r="A8561" s="2" t="n"/>
    </row>
    <row r="8562">
      <c r="A8562" s="2" t="n"/>
    </row>
    <row r="8563">
      <c r="A8563" s="2" t="n"/>
    </row>
    <row r="8564">
      <c r="A8564" s="2" t="n"/>
    </row>
    <row r="8565">
      <c r="A8565" s="2" t="n"/>
    </row>
    <row r="8566">
      <c r="A8566" s="2" t="n"/>
    </row>
    <row r="8567">
      <c r="A8567" s="2" t="n"/>
    </row>
    <row r="8568">
      <c r="A8568" s="2" t="n"/>
    </row>
    <row r="8569">
      <c r="A8569" s="2" t="n"/>
    </row>
    <row r="8570">
      <c r="A8570" s="2" t="n"/>
    </row>
    <row r="8571">
      <c r="A8571" s="2" t="n"/>
    </row>
    <row r="8572">
      <c r="A8572" s="2" t="n"/>
    </row>
    <row r="8573">
      <c r="A8573" s="2" t="n"/>
    </row>
    <row r="8574">
      <c r="A8574" s="2" t="n"/>
    </row>
    <row r="8575">
      <c r="A8575" s="2" t="n"/>
    </row>
    <row r="8576">
      <c r="A8576" s="2" t="n"/>
    </row>
    <row r="8577">
      <c r="A8577" s="2" t="n"/>
    </row>
    <row r="8578">
      <c r="A8578" s="2" t="n"/>
    </row>
    <row r="8579">
      <c r="A8579" s="2" t="n"/>
    </row>
    <row r="8580">
      <c r="A8580" s="2" t="n"/>
    </row>
    <row r="8581">
      <c r="A8581" s="2" t="n"/>
    </row>
    <row r="8582">
      <c r="A8582" s="2" t="n"/>
    </row>
    <row r="8583">
      <c r="A8583" s="2" t="n"/>
    </row>
    <row r="8584">
      <c r="A8584" s="2" t="n"/>
    </row>
    <row r="8585">
      <c r="A8585" s="2" t="n"/>
    </row>
    <row r="8586">
      <c r="A8586" s="2" t="n"/>
    </row>
    <row r="8587">
      <c r="A8587" s="2" t="n"/>
    </row>
    <row r="8588">
      <c r="A8588" s="2" t="n"/>
    </row>
    <row r="8589">
      <c r="A8589" s="2" t="n"/>
    </row>
    <row r="8590">
      <c r="A8590" s="2" t="n"/>
    </row>
    <row r="8591">
      <c r="A8591" s="2" t="n"/>
    </row>
    <row r="8592">
      <c r="A8592" s="2" t="n"/>
    </row>
    <row r="8593">
      <c r="A8593" s="2" t="n"/>
    </row>
    <row r="8594">
      <c r="A8594" s="2" t="n"/>
    </row>
    <row r="8595">
      <c r="A8595" s="2" t="n"/>
    </row>
    <row r="8596">
      <c r="A8596" s="2" t="n"/>
    </row>
    <row r="8597">
      <c r="A8597" s="2" t="n"/>
    </row>
    <row r="8598">
      <c r="A8598" s="2" t="n"/>
    </row>
    <row r="8599">
      <c r="A8599" s="2" t="n"/>
    </row>
    <row r="8600">
      <c r="A8600" s="2" t="n"/>
    </row>
    <row r="8601">
      <c r="A8601" s="2" t="n"/>
    </row>
    <row r="8602">
      <c r="A8602" s="2" t="n"/>
    </row>
    <row r="8603">
      <c r="A8603" s="2" t="n"/>
    </row>
    <row r="8604">
      <c r="A8604" s="2" t="n"/>
    </row>
    <row r="8605">
      <c r="A8605" s="2" t="n"/>
    </row>
    <row r="8606">
      <c r="A8606" s="2" t="n"/>
    </row>
    <row r="8607">
      <c r="A8607" s="2" t="n"/>
    </row>
    <row r="8608">
      <c r="A8608" s="2" t="n"/>
    </row>
    <row r="8609">
      <c r="A8609" s="2" t="n"/>
    </row>
    <row r="8610">
      <c r="A8610" s="2" t="n"/>
    </row>
    <row r="8611">
      <c r="A8611" s="2" t="n"/>
    </row>
    <row r="8612">
      <c r="A8612" s="2" t="n"/>
    </row>
    <row r="8613">
      <c r="A8613" s="2" t="n"/>
    </row>
    <row r="8614">
      <c r="A8614" s="2" t="n"/>
    </row>
    <row r="8615">
      <c r="A8615" s="2" t="n"/>
    </row>
    <row r="8616">
      <c r="A8616" s="2" t="n"/>
    </row>
    <row r="8617">
      <c r="A8617" s="2" t="n"/>
    </row>
    <row r="8618">
      <c r="A8618" s="2" t="n"/>
    </row>
    <row r="8619">
      <c r="A8619" s="2" t="n"/>
    </row>
    <row r="8620">
      <c r="A8620" s="2" t="n"/>
    </row>
    <row r="8621">
      <c r="A8621" s="2" t="n"/>
    </row>
    <row r="8622">
      <c r="A8622" s="2" t="n"/>
    </row>
    <row r="8623">
      <c r="A8623" s="2" t="n"/>
    </row>
    <row r="8624">
      <c r="A8624" s="2" t="n"/>
    </row>
    <row r="8625">
      <c r="A8625" s="2" t="n"/>
    </row>
    <row r="8626">
      <c r="A8626" s="2" t="n"/>
    </row>
    <row r="8627">
      <c r="A8627" s="2" t="n"/>
    </row>
    <row r="8628">
      <c r="A8628" s="2" t="n"/>
    </row>
    <row r="8629">
      <c r="A8629" s="2" t="n"/>
    </row>
    <row r="8630">
      <c r="A8630" s="2" t="n"/>
    </row>
    <row r="8631">
      <c r="A8631" s="2" t="n"/>
    </row>
    <row r="8632">
      <c r="A8632" s="2" t="n"/>
    </row>
    <row r="8633">
      <c r="A8633" s="2" t="n"/>
    </row>
    <row r="8634">
      <c r="A8634" s="2" t="n"/>
    </row>
    <row r="8635">
      <c r="A8635" s="2" t="n"/>
    </row>
    <row r="8636">
      <c r="A8636" s="2" t="n"/>
    </row>
    <row r="8637">
      <c r="A8637" s="2" t="n"/>
    </row>
    <row r="8638">
      <c r="A8638" s="2" t="n"/>
    </row>
    <row r="8639">
      <c r="A8639" s="2" t="n"/>
    </row>
    <row r="8640">
      <c r="A8640" s="2" t="n"/>
    </row>
    <row r="8641">
      <c r="A8641" s="2" t="n"/>
    </row>
    <row r="8642">
      <c r="A8642" s="2" t="n"/>
    </row>
    <row r="8643">
      <c r="A8643" s="2" t="n"/>
    </row>
    <row r="8644">
      <c r="A8644" s="2" t="n"/>
    </row>
    <row r="8645">
      <c r="A8645" s="2" t="n"/>
    </row>
    <row r="8646">
      <c r="A8646" s="2" t="n"/>
    </row>
    <row r="8647">
      <c r="A8647" s="2" t="n"/>
    </row>
    <row r="8648">
      <c r="A8648" s="2" t="n"/>
    </row>
    <row r="8649">
      <c r="A8649" s="2" t="n"/>
    </row>
    <row r="8650">
      <c r="A8650" s="2" t="n"/>
    </row>
    <row r="8651">
      <c r="A8651" s="2" t="n"/>
    </row>
    <row r="8652">
      <c r="A8652" s="2" t="n"/>
    </row>
    <row r="8653">
      <c r="A8653" s="2" t="n"/>
    </row>
    <row r="8654">
      <c r="A8654" s="2" t="n"/>
    </row>
    <row r="8655">
      <c r="A8655" s="2" t="n"/>
    </row>
    <row r="8656">
      <c r="A8656" s="2" t="n"/>
    </row>
    <row r="8657">
      <c r="A8657" s="2" t="n"/>
    </row>
    <row r="8658">
      <c r="A8658" s="2" t="n"/>
    </row>
    <row r="8659">
      <c r="A8659" s="2" t="n"/>
    </row>
    <row r="8660">
      <c r="A8660" s="2" t="n"/>
    </row>
    <row r="8661">
      <c r="A8661" s="2" t="n"/>
    </row>
    <row r="8662">
      <c r="A8662" s="2" t="n"/>
    </row>
    <row r="8663">
      <c r="A8663" s="2" t="n"/>
    </row>
    <row r="8664">
      <c r="A8664" s="2" t="n"/>
    </row>
    <row r="8665">
      <c r="A8665" s="2" t="n"/>
    </row>
    <row r="8666">
      <c r="A8666" s="2" t="n"/>
    </row>
    <row r="8667">
      <c r="A8667" s="2" t="n"/>
    </row>
    <row r="8668">
      <c r="A8668" s="2" t="n"/>
    </row>
    <row r="8669">
      <c r="A8669" s="2" t="n"/>
    </row>
    <row r="8670">
      <c r="A8670" s="2" t="n"/>
    </row>
    <row r="8671">
      <c r="A8671" s="2" t="n"/>
    </row>
    <row r="8672">
      <c r="A8672" s="2" t="n"/>
    </row>
    <row r="8673">
      <c r="A8673" s="2" t="n"/>
    </row>
    <row r="8674">
      <c r="A8674" s="2" t="n"/>
    </row>
    <row r="8675">
      <c r="A8675" s="2" t="n"/>
    </row>
    <row r="8676">
      <c r="A8676" s="2" t="n"/>
    </row>
    <row r="8677">
      <c r="A8677" s="2" t="n"/>
    </row>
    <row r="8678">
      <c r="A8678" s="2" t="n"/>
    </row>
    <row r="8679">
      <c r="A8679" s="2" t="n"/>
    </row>
    <row r="8680">
      <c r="A8680" s="2" t="n"/>
    </row>
    <row r="8681">
      <c r="A8681" s="2" t="n"/>
    </row>
    <row r="8682">
      <c r="A8682" s="2" t="n"/>
    </row>
    <row r="8683">
      <c r="A8683" s="2" t="n"/>
    </row>
    <row r="8684">
      <c r="A8684" s="2" t="n"/>
    </row>
    <row r="8685">
      <c r="A8685" s="2" t="n"/>
    </row>
    <row r="8686">
      <c r="A8686" s="2" t="n"/>
    </row>
    <row r="8687">
      <c r="A8687" s="2" t="n"/>
    </row>
    <row r="8688">
      <c r="A8688" s="2" t="n"/>
    </row>
    <row r="8689">
      <c r="A8689" s="2" t="n"/>
    </row>
    <row r="8690">
      <c r="A8690" s="2" t="n"/>
    </row>
    <row r="8691">
      <c r="A8691" s="2" t="n"/>
    </row>
    <row r="8692">
      <c r="A8692" s="2" t="n"/>
    </row>
    <row r="8693">
      <c r="A8693" s="2" t="n"/>
    </row>
    <row r="8694">
      <c r="A8694" s="2" t="n"/>
    </row>
    <row r="8695">
      <c r="A8695" s="2" t="n"/>
    </row>
    <row r="8696">
      <c r="A8696" s="2" t="n"/>
    </row>
    <row r="8697">
      <c r="A8697" s="2" t="n"/>
    </row>
    <row r="8698">
      <c r="A8698" s="2" t="n"/>
    </row>
    <row r="8699">
      <c r="A8699" s="2" t="n"/>
    </row>
    <row r="8700">
      <c r="A8700" s="2" t="n"/>
    </row>
    <row r="8701">
      <c r="A8701" s="2" t="n"/>
    </row>
    <row r="8702">
      <c r="A8702" s="2" t="n"/>
    </row>
    <row r="8703">
      <c r="A8703" s="2" t="n"/>
    </row>
    <row r="8704">
      <c r="A8704" s="2" t="n"/>
    </row>
    <row r="8705">
      <c r="A8705" s="2" t="n"/>
    </row>
    <row r="8706">
      <c r="A8706" s="2" t="n"/>
    </row>
    <row r="8707">
      <c r="A8707" s="2" t="n"/>
    </row>
    <row r="8708">
      <c r="A8708" s="2" t="n"/>
    </row>
    <row r="8709">
      <c r="A8709" s="2" t="n"/>
    </row>
    <row r="8710">
      <c r="A8710" s="2" t="n"/>
    </row>
    <row r="8711">
      <c r="A8711" s="2" t="n"/>
    </row>
    <row r="8712">
      <c r="A8712" s="2" t="n"/>
    </row>
    <row r="8713">
      <c r="A8713" s="2" t="n"/>
    </row>
    <row r="8714">
      <c r="A8714" s="2" t="n"/>
    </row>
    <row r="8715">
      <c r="A8715" s="2" t="n"/>
    </row>
    <row r="8716">
      <c r="A8716" s="2" t="n"/>
    </row>
    <row r="8717">
      <c r="A8717" s="2" t="n"/>
    </row>
    <row r="8718">
      <c r="A8718" s="2" t="n"/>
    </row>
    <row r="8719">
      <c r="A8719" s="2" t="n"/>
    </row>
    <row r="8720">
      <c r="A8720" s="2" t="n"/>
    </row>
    <row r="8721">
      <c r="A8721" s="2" t="n"/>
    </row>
    <row r="8722">
      <c r="A8722" s="2" t="n"/>
    </row>
    <row r="8723">
      <c r="A8723" s="2" t="n"/>
    </row>
    <row r="8724">
      <c r="A8724" s="2" t="n"/>
    </row>
    <row r="8725">
      <c r="A8725" s="2" t="n"/>
    </row>
    <row r="8726">
      <c r="A8726" s="2" t="n"/>
    </row>
    <row r="8727">
      <c r="A8727" s="2" t="n"/>
    </row>
    <row r="8728">
      <c r="A8728" s="2" t="n"/>
    </row>
    <row r="8729">
      <c r="A8729" s="2" t="n"/>
    </row>
    <row r="8730">
      <c r="A8730" s="2" t="n"/>
    </row>
    <row r="8731">
      <c r="A8731" s="2" t="n"/>
    </row>
    <row r="8732">
      <c r="A8732" s="2" t="n"/>
    </row>
    <row r="8733">
      <c r="A8733" s="2" t="n"/>
    </row>
    <row r="8734">
      <c r="A8734" s="2" t="n"/>
    </row>
    <row r="8735">
      <c r="A8735" s="2" t="n"/>
    </row>
    <row r="8736">
      <c r="A8736" s="2" t="n"/>
    </row>
    <row r="8737">
      <c r="A8737" s="2" t="n"/>
    </row>
    <row r="8738">
      <c r="A8738" s="2" t="n"/>
    </row>
    <row r="8739">
      <c r="A8739" s="2" t="n"/>
    </row>
    <row r="8740">
      <c r="A8740" s="2" t="n"/>
    </row>
    <row r="8741">
      <c r="A8741" s="2" t="n"/>
    </row>
    <row r="8742">
      <c r="A8742" s="2" t="n"/>
    </row>
    <row r="8743">
      <c r="A8743" s="2" t="n"/>
    </row>
    <row r="8744">
      <c r="A8744" s="2" t="n"/>
    </row>
    <row r="8745">
      <c r="A8745" s="2" t="n"/>
    </row>
    <row r="8746">
      <c r="A8746" s="2" t="n"/>
    </row>
    <row r="8747">
      <c r="A8747" s="2" t="n"/>
    </row>
    <row r="8748">
      <c r="A8748" s="2" t="n"/>
    </row>
    <row r="8749">
      <c r="A8749" s="2" t="n"/>
    </row>
    <row r="8750">
      <c r="A8750" s="2" t="n"/>
    </row>
    <row r="8751">
      <c r="A8751" s="2" t="n"/>
    </row>
    <row r="8752">
      <c r="A8752" s="2" t="n"/>
    </row>
    <row r="8753">
      <c r="A8753" s="2" t="n"/>
    </row>
    <row r="8754">
      <c r="A8754" s="2" t="n"/>
    </row>
    <row r="8755">
      <c r="A8755" s="2" t="n"/>
    </row>
    <row r="8756">
      <c r="A8756" s="2" t="n"/>
    </row>
    <row r="8757">
      <c r="A8757" s="2" t="n"/>
    </row>
    <row r="8758">
      <c r="A8758" s="2" t="n"/>
    </row>
    <row r="8759">
      <c r="A8759" s="2" t="n"/>
    </row>
    <row r="8760">
      <c r="A8760" s="2" t="n"/>
    </row>
    <row r="8761">
      <c r="A8761" s="2" t="n"/>
    </row>
    <row r="8762">
      <c r="A8762" s="2" t="n"/>
    </row>
    <row r="8763">
      <c r="A8763" s="2" t="n"/>
    </row>
    <row r="8764">
      <c r="A8764" s="2" t="n"/>
    </row>
    <row r="8765">
      <c r="A8765" s="2" t="n"/>
    </row>
    <row r="8766">
      <c r="A8766" s="2" t="n"/>
    </row>
    <row r="8767">
      <c r="A8767" s="2" t="n"/>
    </row>
    <row r="8768">
      <c r="A8768" s="2" t="n"/>
    </row>
    <row r="8769">
      <c r="A8769" s="2" t="n"/>
    </row>
    <row r="8770">
      <c r="A8770" s="2" t="n"/>
    </row>
    <row r="8771">
      <c r="A8771" s="2" t="n"/>
    </row>
    <row r="8772">
      <c r="A8772" s="2" t="n"/>
    </row>
    <row r="8773">
      <c r="A8773" s="2" t="n"/>
    </row>
    <row r="8774">
      <c r="A8774" s="2" t="n"/>
    </row>
    <row r="8775">
      <c r="A8775" s="2" t="n"/>
    </row>
    <row r="8776">
      <c r="A8776" s="2" t="n"/>
    </row>
    <row r="8777">
      <c r="A8777" s="2" t="n"/>
    </row>
    <row r="8778">
      <c r="A8778" s="2" t="n"/>
    </row>
    <row r="8779">
      <c r="A8779" s="2" t="n"/>
    </row>
    <row r="8780">
      <c r="A8780" s="2" t="n"/>
    </row>
    <row r="8781">
      <c r="A8781" s="2" t="n"/>
    </row>
    <row r="8782">
      <c r="A8782" s="2" t="n"/>
    </row>
    <row r="8783">
      <c r="A8783" s="2" t="n"/>
    </row>
    <row r="8784">
      <c r="A8784" s="2" t="n"/>
    </row>
    <row r="8785">
      <c r="A8785" s="2" t="n"/>
    </row>
    <row r="8786">
      <c r="A8786" s="2" t="n"/>
    </row>
    <row r="8787">
      <c r="A8787" s="2" t="n"/>
    </row>
    <row r="8788">
      <c r="A8788" s="2" t="n"/>
    </row>
    <row r="8789">
      <c r="A8789" s="2" t="n"/>
    </row>
    <row r="8790">
      <c r="A8790" s="2" t="n"/>
    </row>
    <row r="8791">
      <c r="A8791" s="2" t="n"/>
    </row>
    <row r="8792">
      <c r="A8792" s="2" t="n"/>
    </row>
    <row r="8793">
      <c r="A8793" s="2" t="n"/>
    </row>
    <row r="8794">
      <c r="A8794" s="2" t="n"/>
    </row>
    <row r="8795">
      <c r="A8795" s="2" t="n"/>
    </row>
    <row r="8796">
      <c r="A8796" s="2" t="n"/>
    </row>
    <row r="8797">
      <c r="A8797" s="2" t="n"/>
    </row>
    <row r="8798">
      <c r="A8798" s="2" t="n"/>
    </row>
    <row r="8799">
      <c r="A8799" s="2" t="n"/>
    </row>
    <row r="8800">
      <c r="A8800" s="2" t="n"/>
    </row>
    <row r="8801">
      <c r="A8801" s="2" t="n"/>
    </row>
    <row r="8802">
      <c r="A8802" s="2" t="n"/>
    </row>
    <row r="8803">
      <c r="A8803" s="2" t="n"/>
    </row>
    <row r="8804">
      <c r="A8804" s="2" t="n"/>
    </row>
    <row r="8805">
      <c r="A8805" s="2" t="n"/>
    </row>
    <row r="8806">
      <c r="A8806" s="2" t="n"/>
    </row>
    <row r="8807">
      <c r="A8807" s="2" t="n"/>
    </row>
    <row r="8808">
      <c r="A8808" s="2" t="n"/>
    </row>
    <row r="8809">
      <c r="A8809" s="2" t="n"/>
    </row>
    <row r="8810">
      <c r="A8810" s="2" t="n"/>
    </row>
    <row r="8811">
      <c r="A8811" s="2" t="n"/>
    </row>
    <row r="8812">
      <c r="A8812" s="2" t="n"/>
    </row>
    <row r="8813">
      <c r="A8813" s="2" t="n"/>
    </row>
    <row r="8814">
      <c r="A8814" s="2" t="n"/>
    </row>
    <row r="8815">
      <c r="A8815" s="2" t="n"/>
    </row>
    <row r="8816">
      <c r="A8816" s="2" t="n"/>
    </row>
    <row r="8817">
      <c r="A8817" s="2" t="n"/>
    </row>
    <row r="8818">
      <c r="A8818" s="2" t="n"/>
    </row>
    <row r="8819">
      <c r="A8819" s="2" t="n"/>
    </row>
    <row r="8820">
      <c r="A8820" s="2" t="n"/>
    </row>
    <row r="8821">
      <c r="A8821" s="2" t="n"/>
    </row>
    <row r="8822">
      <c r="A8822" s="2" t="n"/>
    </row>
    <row r="8823">
      <c r="A8823" s="2" t="n"/>
    </row>
    <row r="8824">
      <c r="A8824" s="2" t="n"/>
    </row>
    <row r="8825">
      <c r="A8825" s="2" t="n"/>
    </row>
    <row r="8826">
      <c r="A8826" s="2" t="n"/>
    </row>
    <row r="8827">
      <c r="A8827" s="2" t="n"/>
    </row>
    <row r="8828">
      <c r="A8828" s="2" t="n"/>
    </row>
    <row r="8829">
      <c r="A8829" s="2" t="n"/>
    </row>
    <row r="8830">
      <c r="A8830" s="2" t="n"/>
    </row>
    <row r="8831">
      <c r="A8831" s="2" t="n"/>
    </row>
    <row r="8832">
      <c r="A8832" s="2" t="n"/>
    </row>
    <row r="8833">
      <c r="A8833" s="2" t="n"/>
    </row>
    <row r="8834">
      <c r="A8834" s="2" t="n"/>
    </row>
    <row r="8835">
      <c r="A8835" s="2" t="n"/>
    </row>
    <row r="8836">
      <c r="A8836" s="2" t="n"/>
    </row>
    <row r="8837">
      <c r="A8837" s="2" t="n"/>
    </row>
    <row r="8838">
      <c r="A8838" s="2" t="n"/>
    </row>
    <row r="8839">
      <c r="A8839" s="2" t="n"/>
    </row>
    <row r="8840">
      <c r="A8840" s="2" t="n"/>
    </row>
    <row r="8841">
      <c r="A8841" s="2" t="n"/>
    </row>
    <row r="8842">
      <c r="A8842" s="2" t="n"/>
    </row>
    <row r="8843">
      <c r="A8843" s="2" t="n"/>
    </row>
    <row r="8844">
      <c r="A8844" s="2" t="n"/>
    </row>
    <row r="8845">
      <c r="A8845" s="2" t="n"/>
    </row>
    <row r="8846">
      <c r="A8846" s="2" t="n"/>
    </row>
    <row r="8847">
      <c r="A8847" s="2" t="n"/>
    </row>
    <row r="8848">
      <c r="A8848" s="2" t="n"/>
    </row>
    <row r="8849">
      <c r="A8849" s="2" t="n"/>
    </row>
    <row r="8850">
      <c r="A8850" s="2" t="n"/>
    </row>
    <row r="8851">
      <c r="A8851" s="2" t="n"/>
    </row>
    <row r="8852">
      <c r="A8852" s="2" t="n"/>
    </row>
    <row r="8853">
      <c r="A8853" s="2" t="n"/>
    </row>
    <row r="8854">
      <c r="A8854" s="2" t="n"/>
    </row>
    <row r="8855">
      <c r="A8855" s="2" t="n"/>
    </row>
    <row r="8856">
      <c r="A8856" s="2" t="n"/>
    </row>
    <row r="8857">
      <c r="A8857" s="2" t="n"/>
    </row>
    <row r="8858">
      <c r="A8858" s="2" t="n"/>
    </row>
    <row r="8859">
      <c r="A8859" s="2" t="n"/>
    </row>
    <row r="8860">
      <c r="A8860" s="2" t="n"/>
    </row>
    <row r="8861">
      <c r="A8861" s="2" t="n"/>
    </row>
    <row r="8862">
      <c r="A8862" s="2" t="n"/>
    </row>
    <row r="8863">
      <c r="A8863" s="2" t="n"/>
    </row>
    <row r="8864">
      <c r="A8864" s="2" t="n"/>
    </row>
    <row r="8865">
      <c r="A8865" s="2" t="n"/>
    </row>
    <row r="8866">
      <c r="A8866" s="2" t="n"/>
    </row>
    <row r="8867">
      <c r="A8867" s="2" t="n"/>
    </row>
    <row r="8868">
      <c r="A8868" s="2" t="n"/>
    </row>
    <row r="8869">
      <c r="A8869" s="2" t="n"/>
    </row>
    <row r="8870">
      <c r="A8870" s="2" t="n"/>
    </row>
    <row r="8871">
      <c r="A8871" s="2" t="n"/>
    </row>
    <row r="8872">
      <c r="A8872" s="2" t="n"/>
    </row>
    <row r="8873">
      <c r="A8873" s="2" t="n"/>
    </row>
    <row r="8874">
      <c r="A8874" s="2" t="n"/>
    </row>
    <row r="8875">
      <c r="A8875" s="2" t="n"/>
    </row>
    <row r="8876">
      <c r="A8876" s="2" t="n"/>
    </row>
    <row r="8877">
      <c r="A8877" s="2" t="n"/>
    </row>
    <row r="8878">
      <c r="A8878" s="2" t="n"/>
    </row>
    <row r="8879">
      <c r="A8879" s="2" t="n"/>
    </row>
    <row r="8880">
      <c r="A8880" s="2" t="n"/>
    </row>
    <row r="8881">
      <c r="A8881" s="2" t="n"/>
    </row>
    <row r="8882">
      <c r="A8882" s="2" t="n"/>
    </row>
    <row r="8883">
      <c r="A8883" s="2" t="n"/>
    </row>
    <row r="8884">
      <c r="A8884" s="2" t="n"/>
    </row>
    <row r="8885">
      <c r="A8885" s="2" t="n"/>
    </row>
    <row r="8886">
      <c r="A8886" s="2" t="n"/>
    </row>
    <row r="8887">
      <c r="A8887" s="2" t="n"/>
    </row>
    <row r="8888">
      <c r="A8888" s="2" t="n"/>
    </row>
    <row r="8889">
      <c r="A8889" s="2" t="n"/>
    </row>
    <row r="8890">
      <c r="A8890" s="2" t="n"/>
    </row>
    <row r="8891">
      <c r="A8891" s="2" t="n"/>
    </row>
    <row r="8892">
      <c r="A8892" s="2" t="n"/>
    </row>
    <row r="8893">
      <c r="A8893" s="2" t="n"/>
    </row>
    <row r="8894">
      <c r="A8894" s="2" t="n"/>
    </row>
    <row r="8895">
      <c r="A8895" s="2" t="n"/>
    </row>
    <row r="8896">
      <c r="A8896" s="2" t="n"/>
    </row>
    <row r="8897">
      <c r="A8897" s="2" t="n"/>
    </row>
    <row r="8898">
      <c r="A8898" s="2" t="n"/>
    </row>
    <row r="8899">
      <c r="A8899" s="2" t="n"/>
    </row>
    <row r="8900">
      <c r="A8900" s="2" t="n"/>
    </row>
    <row r="8901">
      <c r="A8901" s="2" t="n"/>
    </row>
    <row r="8902">
      <c r="A8902" s="2" t="n"/>
    </row>
    <row r="8903">
      <c r="A8903" s="2" t="n"/>
    </row>
    <row r="8904">
      <c r="A8904" s="2" t="n"/>
    </row>
    <row r="8905">
      <c r="A8905" s="2" t="n"/>
    </row>
    <row r="8906">
      <c r="A8906" s="2" t="n"/>
    </row>
    <row r="8907">
      <c r="A8907" s="2" t="n"/>
    </row>
    <row r="8908">
      <c r="A8908" s="2" t="n"/>
    </row>
    <row r="8909">
      <c r="A8909" s="2" t="n"/>
    </row>
    <row r="8910">
      <c r="A8910" s="2" t="n"/>
    </row>
    <row r="8911">
      <c r="A8911" s="2" t="n"/>
    </row>
    <row r="8912">
      <c r="A8912" s="2" t="n"/>
    </row>
    <row r="8913">
      <c r="A8913" s="2" t="n"/>
    </row>
    <row r="8914">
      <c r="A8914" s="2" t="n"/>
    </row>
    <row r="8915">
      <c r="A8915" s="2" t="n"/>
    </row>
    <row r="8916">
      <c r="A8916" s="2" t="n"/>
    </row>
    <row r="8917">
      <c r="A8917" s="2" t="n"/>
    </row>
    <row r="8918">
      <c r="A8918" s="2" t="n"/>
    </row>
    <row r="8919">
      <c r="A8919" s="2" t="n"/>
    </row>
    <row r="8920">
      <c r="A8920" s="2" t="n"/>
    </row>
    <row r="8921">
      <c r="A8921" s="2" t="n"/>
    </row>
    <row r="8922">
      <c r="A8922" s="2" t="n"/>
    </row>
    <row r="8923">
      <c r="A8923" s="2" t="n"/>
    </row>
    <row r="8924">
      <c r="A8924" s="2" t="n"/>
    </row>
    <row r="8925">
      <c r="A8925" s="2" t="n"/>
    </row>
    <row r="8926">
      <c r="A8926" s="2" t="n"/>
    </row>
    <row r="8927">
      <c r="A8927" s="2" t="n"/>
    </row>
    <row r="8928">
      <c r="A8928" s="2" t="n"/>
    </row>
    <row r="8929">
      <c r="A8929" s="2" t="n"/>
    </row>
    <row r="8930">
      <c r="A8930" s="2" t="n"/>
    </row>
    <row r="8931">
      <c r="A8931" s="2" t="n"/>
    </row>
    <row r="8932">
      <c r="A8932" s="2" t="n"/>
    </row>
    <row r="8933">
      <c r="A8933" s="2" t="n"/>
    </row>
    <row r="8934">
      <c r="A8934" s="2" t="n"/>
    </row>
    <row r="8935">
      <c r="A8935" s="2" t="n"/>
    </row>
    <row r="8936">
      <c r="A8936" s="2" t="n"/>
    </row>
    <row r="8937">
      <c r="A8937" s="2" t="n"/>
    </row>
    <row r="8938">
      <c r="A8938" s="2" t="n"/>
    </row>
    <row r="8939">
      <c r="A8939" s="2" t="n"/>
    </row>
    <row r="8940">
      <c r="A8940" s="2" t="n"/>
    </row>
    <row r="8941">
      <c r="A8941" s="2" t="n"/>
    </row>
    <row r="8942">
      <c r="A8942" s="2" t="n"/>
    </row>
    <row r="8943">
      <c r="A8943" s="2" t="n"/>
    </row>
    <row r="8944">
      <c r="A8944" s="2" t="n"/>
    </row>
    <row r="8945">
      <c r="A8945" s="2" t="n"/>
    </row>
    <row r="8946">
      <c r="A8946" s="2" t="n"/>
    </row>
    <row r="8947">
      <c r="A8947" s="2" t="n"/>
    </row>
    <row r="8948">
      <c r="A8948" s="2" t="n"/>
    </row>
    <row r="8949">
      <c r="A8949" s="2" t="n"/>
    </row>
    <row r="8950">
      <c r="A8950" s="2" t="n"/>
    </row>
    <row r="8951">
      <c r="A8951" s="2" t="n"/>
    </row>
    <row r="8952">
      <c r="A8952" s="2" t="n"/>
    </row>
    <row r="8953">
      <c r="A8953" s="2" t="n"/>
    </row>
    <row r="8954">
      <c r="A8954" s="2" t="n"/>
    </row>
    <row r="8955">
      <c r="A8955" s="2" t="n"/>
    </row>
    <row r="8956">
      <c r="A8956" s="2" t="n"/>
    </row>
    <row r="8957">
      <c r="A8957" s="2" t="n"/>
    </row>
    <row r="8958">
      <c r="A8958" s="2" t="n"/>
    </row>
    <row r="8959">
      <c r="A8959" s="2" t="n"/>
    </row>
    <row r="8960">
      <c r="A8960" s="2" t="n"/>
    </row>
    <row r="8961">
      <c r="A8961" s="2" t="n"/>
    </row>
    <row r="8962">
      <c r="A8962" s="2" t="n"/>
    </row>
    <row r="8963">
      <c r="A8963" s="2" t="n"/>
    </row>
    <row r="8964">
      <c r="A8964" s="2" t="n"/>
    </row>
    <row r="8965">
      <c r="A8965" s="2" t="n"/>
    </row>
    <row r="8966">
      <c r="A8966" s="2" t="n"/>
    </row>
    <row r="8967">
      <c r="A8967" s="2" t="n"/>
    </row>
    <row r="8968">
      <c r="A8968" s="2" t="n"/>
    </row>
    <row r="8969">
      <c r="A8969" s="2" t="n"/>
    </row>
    <row r="8970">
      <c r="A8970" s="2" t="n"/>
    </row>
    <row r="8971">
      <c r="A8971" s="2" t="n"/>
    </row>
    <row r="8972">
      <c r="A8972" s="2" t="n"/>
    </row>
    <row r="8973">
      <c r="A8973" s="2" t="n"/>
    </row>
    <row r="8974">
      <c r="A8974" s="2" t="n"/>
    </row>
    <row r="8975">
      <c r="A8975" s="2" t="n"/>
    </row>
    <row r="8976">
      <c r="A8976" s="2" t="n"/>
    </row>
    <row r="8977">
      <c r="A8977" s="2" t="n"/>
    </row>
    <row r="8978">
      <c r="A8978" s="2" t="n"/>
    </row>
    <row r="8979">
      <c r="A8979" s="2" t="n"/>
    </row>
    <row r="8980">
      <c r="A8980" s="2" t="n"/>
    </row>
    <row r="8981">
      <c r="A8981" s="2" t="n"/>
    </row>
    <row r="8982">
      <c r="A8982" s="2" t="n"/>
    </row>
    <row r="8983">
      <c r="A8983" s="2" t="n"/>
    </row>
    <row r="8984">
      <c r="A8984" s="2" t="n"/>
    </row>
    <row r="8985">
      <c r="A8985" s="2" t="n"/>
    </row>
    <row r="8986">
      <c r="A8986" s="2" t="n"/>
    </row>
    <row r="8987">
      <c r="A8987" s="2" t="n"/>
    </row>
    <row r="8988">
      <c r="A8988" s="2" t="n"/>
    </row>
    <row r="8989">
      <c r="A8989" s="2" t="n"/>
    </row>
    <row r="8990">
      <c r="A8990" s="2" t="n"/>
    </row>
    <row r="8991">
      <c r="A8991" s="2" t="n"/>
    </row>
    <row r="8992">
      <c r="A8992" s="2" t="n"/>
    </row>
    <row r="8993">
      <c r="A8993" s="2" t="n"/>
    </row>
    <row r="8994">
      <c r="A8994" s="2" t="n"/>
    </row>
    <row r="8995">
      <c r="A8995" s="2" t="n"/>
    </row>
    <row r="8996">
      <c r="A8996" s="2" t="n"/>
    </row>
    <row r="8997">
      <c r="A8997" s="2" t="n"/>
    </row>
    <row r="8998">
      <c r="A8998" s="2" t="n"/>
    </row>
    <row r="8999">
      <c r="A8999" s="2" t="n"/>
    </row>
    <row r="9000">
      <c r="A9000" s="2" t="n"/>
    </row>
    <row r="9001">
      <c r="A9001" s="2" t="n"/>
    </row>
    <row r="9002">
      <c r="A9002" s="2" t="n"/>
    </row>
    <row r="9003">
      <c r="A9003" s="2" t="n"/>
    </row>
    <row r="9004">
      <c r="A9004" s="2" t="n"/>
    </row>
    <row r="9005">
      <c r="A9005" s="2" t="n"/>
    </row>
    <row r="9006">
      <c r="A9006" s="2" t="n"/>
    </row>
    <row r="9007">
      <c r="A9007" s="2" t="n"/>
    </row>
    <row r="9008">
      <c r="A9008" s="2" t="n"/>
    </row>
    <row r="9009">
      <c r="A9009" s="2" t="n"/>
    </row>
    <row r="9010">
      <c r="A9010" s="2" t="n"/>
    </row>
    <row r="9011">
      <c r="A9011" s="2" t="n"/>
    </row>
    <row r="9012">
      <c r="A9012" s="2" t="n"/>
    </row>
    <row r="9013">
      <c r="A9013" s="2" t="n"/>
    </row>
    <row r="9014">
      <c r="A9014" s="2" t="n"/>
    </row>
    <row r="9015">
      <c r="A9015" s="2" t="n"/>
    </row>
    <row r="9016">
      <c r="A9016" s="2" t="n"/>
    </row>
    <row r="9017">
      <c r="A9017" s="2" t="n"/>
    </row>
    <row r="9018">
      <c r="A9018" s="2" t="n"/>
    </row>
    <row r="9019">
      <c r="A9019" s="2" t="n"/>
    </row>
    <row r="9020">
      <c r="A9020" s="2" t="n"/>
    </row>
    <row r="9021">
      <c r="A9021" s="2" t="n"/>
    </row>
    <row r="9022">
      <c r="A9022" s="2" t="n"/>
    </row>
    <row r="9023">
      <c r="A9023" s="2" t="n"/>
    </row>
    <row r="9024">
      <c r="A9024" s="2" t="n"/>
    </row>
    <row r="9025">
      <c r="A9025" s="2" t="n"/>
    </row>
    <row r="9026">
      <c r="A9026" s="2" t="n"/>
    </row>
    <row r="9027">
      <c r="A9027" s="2" t="n"/>
    </row>
    <row r="9028">
      <c r="A9028" s="2" t="n"/>
    </row>
    <row r="9029">
      <c r="A9029" s="2" t="n"/>
    </row>
    <row r="9030">
      <c r="A9030" s="2" t="n"/>
    </row>
    <row r="9031">
      <c r="A9031" s="2" t="n"/>
    </row>
    <row r="9032">
      <c r="A9032" s="2" t="n"/>
    </row>
    <row r="9033">
      <c r="A9033" s="2" t="n"/>
    </row>
    <row r="9034">
      <c r="A9034" s="2" t="n"/>
    </row>
    <row r="9035">
      <c r="A9035" s="2" t="n"/>
    </row>
    <row r="9036">
      <c r="A9036" s="2" t="n"/>
    </row>
    <row r="9037">
      <c r="A9037" s="2" t="n"/>
    </row>
    <row r="9038">
      <c r="A9038" s="2" t="n"/>
    </row>
    <row r="9039">
      <c r="A9039" s="2" t="n"/>
    </row>
    <row r="9040">
      <c r="A9040" s="2" t="n"/>
    </row>
    <row r="9041">
      <c r="A9041" s="2" t="n"/>
    </row>
    <row r="9042">
      <c r="A9042" s="2" t="n"/>
    </row>
    <row r="9043">
      <c r="A9043" s="2" t="n"/>
    </row>
    <row r="9044">
      <c r="A9044" s="2" t="n"/>
    </row>
    <row r="9045">
      <c r="A9045" s="2" t="n"/>
    </row>
    <row r="9046">
      <c r="A9046" s="2" t="n"/>
    </row>
    <row r="9047">
      <c r="A9047" s="2" t="n"/>
    </row>
    <row r="9048">
      <c r="A9048" s="2" t="n"/>
    </row>
    <row r="9049">
      <c r="A9049" s="2" t="n"/>
    </row>
    <row r="9050">
      <c r="A9050" s="2" t="n"/>
    </row>
    <row r="9051">
      <c r="A9051" s="2" t="n"/>
    </row>
    <row r="9052">
      <c r="A9052" s="2" t="n"/>
    </row>
    <row r="9053">
      <c r="A9053" s="2" t="n"/>
    </row>
    <row r="9054">
      <c r="A9054" s="2" t="n"/>
    </row>
    <row r="9055">
      <c r="A9055" s="2" t="n"/>
    </row>
    <row r="9056">
      <c r="A9056" s="2" t="n"/>
    </row>
    <row r="9057">
      <c r="A9057" s="2" t="n"/>
    </row>
    <row r="9058">
      <c r="A9058" s="2" t="n"/>
    </row>
    <row r="9059">
      <c r="A9059" s="2" t="n"/>
    </row>
    <row r="9060">
      <c r="A9060" s="2" t="n"/>
    </row>
    <row r="9061">
      <c r="A9061" s="2" t="n"/>
    </row>
    <row r="9062">
      <c r="A9062" s="2" t="n"/>
    </row>
    <row r="9063">
      <c r="A9063" s="2" t="n"/>
    </row>
    <row r="9064">
      <c r="A9064" s="2" t="n"/>
    </row>
    <row r="9065">
      <c r="A9065" s="2" t="n"/>
    </row>
    <row r="9066">
      <c r="A9066" s="2" t="n"/>
    </row>
    <row r="9067">
      <c r="A9067" s="2" t="n"/>
    </row>
    <row r="9068">
      <c r="A9068" s="2" t="n"/>
    </row>
    <row r="9069">
      <c r="A9069" s="2" t="n"/>
    </row>
    <row r="9070">
      <c r="A9070" s="2" t="n"/>
    </row>
    <row r="9071">
      <c r="A9071" s="2" t="n"/>
    </row>
    <row r="9072">
      <c r="A9072" s="2" t="n"/>
    </row>
    <row r="9073">
      <c r="A9073" s="2" t="n"/>
    </row>
    <row r="9074">
      <c r="A9074" s="2" t="n"/>
    </row>
    <row r="9075">
      <c r="A9075" s="2" t="n"/>
    </row>
    <row r="9076">
      <c r="A9076" s="2" t="n"/>
    </row>
    <row r="9077">
      <c r="A9077" s="2" t="n"/>
    </row>
    <row r="9078">
      <c r="A9078" s="2" t="n"/>
    </row>
    <row r="9079">
      <c r="A9079" s="2" t="n"/>
    </row>
    <row r="9080">
      <c r="A9080" s="2" t="n"/>
    </row>
    <row r="9081">
      <c r="A9081" s="2" t="n"/>
    </row>
    <row r="9082">
      <c r="A9082" s="2" t="n"/>
    </row>
    <row r="9083">
      <c r="A9083" s="2" t="n"/>
    </row>
    <row r="9084">
      <c r="A9084" s="2" t="n"/>
    </row>
    <row r="9085">
      <c r="A9085" s="2" t="n"/>
    </row>
    <row r="9086">
      <c r="A9086" s="2" t="n"/>
    </row>
    <row r="9087">
      <c r="A9087" s="2" t="n"/>
    </row>
    <row r="9088">
      <c r="A9088" s="2" t="n"/>
    </row>
    <row r="9089">
      <c r="A9089" s="2" t="n"/>
    </row>
    <row r="9090">
      <c r="A9090" s="2" t="n"/>
    </row>
    <row r="9091">
      <c r="A9091" s="2" t="n"/>
    </row>
    <row r="9092">
      <c r="A9092" s="2" t="n"/>
    </row>
    <row r="9093">
      <c r="A9093" s="2" t="n"/>
    </row>
    <row r="9094">
      <c r="A9094" s="2" t="n"/>
    </row>
    <row r="9095">
      <c r="A9095" s="2" t="n"/>
    </row>
    <row r="9096">
      <c r="A9096" s="2" t="n"/>
    </row>
    <row r="9097">
      <c r="A9097" s="2" t="n"/>
    </row>
    <row r="9098">
      <c r="A9098" s="2" t="n"/>
    </row>
    <row r="9099">
      <c r="A9099" s="2" t="n"/>
    </row>
    <row r="9100">
      <c r="A9100" s="2" t="n"/>
    </row>
    <row r="9101">
      <c r="A9101" s="2" t="n"/>
    </row>
    <row r="9102">
      <c r="A9102" s="2" t="n"/>
    </row>
    <row r="9103">
      <c r="A9103" s="2" t="n"/>
    </row>
    <row r="9104">
      <c r="A9104" s="2" t="n"/>
    </row>
    <row r="9105">
      <c r="A9105" s="2" t="n"/>
    </row>
    <row r="9106">
      <c r="A9106" s="2" t="n"/>
    </row>
    <row r="9107">
      <c r="A9107" s="2" t="n"/>
    </row>
    <row r="9108">
      <c r="A9108" s="2" t="n"/>
    </row>
    <row r="9109">
      <c r="A9109" s="2" t="n"/>
    </row>
    <row r="9110">
      <c r="A9110" s="2" t="n"/>
    </row>
    <row r="9111">
      <c r="A9111" s="2" t="n"/>
    </row>
    <row r="9112">
      <c r="A9112" s="2" t="n"/>
    </row>
    <row r="9113">
      <c r="A9113" s="2" t="n"/>
    </row>
    <row r="9114">
      <c r="A9114" s="2" t="n"/>
    </row>
    <row r="9115">
      <c r="A9115" s="2" t="n"/>
    </row>
    <row r="9116">
      <c r="A9116" s="2" t="n"/>
    </row>
    <row r="9117">
      <c r="A9117" s="2" t="n"/>
    </row>
    <row r="9118">
      <c r="A9118" s="2" t="n"/>
    </row>
    <row r="9119">
      <c r="A9119" s="2" t="n"/>
    </row>
    <row r="9120">
      <c r="A9120" s="2" t="n"/>
    </row>
    <row r="9121">
      <c r="A9121" s="2" t="n"/>
    </row>
    <row r="9122">
      <c r="A9122" s="2" t="n"/>
    </row>
    <row r="9123">
      <c r="A9123" s="2" t="n"/>
    </row>
    <row r="9124">
      <c r="A9124" s="2" t="n"/>
    </row>
    <row r="9125">
      <c r="A9125" s="2" t="n"/>
    </row>
    <row r="9126">
      <c r="A9126" s="2" t="n"/>
    </row>
    <row r="9127">
      <c r="A9127" s="2" t="n"/>
    </row>
    <row r="9128">
      <c r="A9128" s="2" t="n"/>
    </row>
    <row r="9129">
      <c r="A9129" s="2" t="n"/>
    </row>
    <row r="9130">
      <c r="A9130" s="2" t="n"/>
    </row>
    <row r="9131">
      <c r="A9131" s="2" t="n"/>
    </row>
    <row r="9132">
      <c r="A9132" s="2" t="n"/>
    </row>
    <row r="9133">
      <c r="A9133" s="2" t="n"/>
    </row>
    <row r="9134">
      <c r="A9134" s="2" t="n"/>
    </row>
    <row r="9135">
      <c r="A9135" s="2" t="n"/>
    </row>
    <row r="9136">
      <c r="A9136" s="2" t="n"/>
    </row>
    <row r="9137">
      <c r="A9137" s="2" t="n"/>
    </row>
    <row r="9138">
      <c r="A9138" s="2" t="n"/>
    </row>
    <row r="9139">
      <c r="A9139" s="2" t="n"/>
    </row>
    <row r="9140">
      <c r="A9140" s="2" t="n"/>
    </row>
    <row r="9141">
      <c r="A9141" s="2" t="n"/>
    </row>
    <row r="9142">
      <c r="A9142" s="2" t="n"/>
    </row>
    <row r="9143">
      <c r="A9143" s="2" t="n"/>
    </row>
    <row r="9144">
      <c r="A9144" s="2" t="n"/>
    </row>
    <row r="9145">
      <c r="A9145" s="2" t="n"/>
    </row>
    <row r="9146">
      <c r="A9146" s="2" t="n"/>
    </row>
    <row r="9147">
      <c r="A9147" s="2" t="n"/>
    </row>
    <row r="9148">
      <c r="A9148" s="2" t="n"/>
    </row>
    <row r="9149">
      <c r="A9149" s="2" t="n"/>
    </row>
    <row r="9150">
      <c r="A9150" s="2" t="n"/>
    </row>
    <row r="9151">
      <c r="A9151" s="2" t="n"/>
    </row>
    <row r="9152">
      <c r="A9152" s="2" t="n"/>
    </row>
    <row r="9153">
      <c r="A9153" s="2" t="n"/>
    </row>
    <row r="9154">
      <c r="A9154" s="2" t="n"/>
    </row>
    <row r="9155">
      <c r="A9155" s="2" t="n"/>
    </row>
    <row r="9156">
      <c r="A9156" s="2" t="n"/>
    </row>
    <row r="9157">
      <c r="A9157" s="2" t="n"/>
    </row>
    <row r="9158">
      <c r="A9158" s="2" t="n"/>
    </row>
    <row r="9159">
      <c r="A9159" s="2" t="n"/>
    </row>
    <row r="9160">
      <c r="A9160" s="2" t="n"/>
    </row>
    <row r="9161">
      <c r="A9161" s="2" t="n"/>
    </row>
    <row r="9162">
      <c r="A9162" s="2" t="n"/>
    </row>
    <row r="9163">
      <c r="A9163" s="2" t="n"/>
    </row>
    <row r="9164">
      <c r="A9164" s="2" t="n"/>
    </row>
    <row r="9165">
      <c r="A9165" s="2" t="n"/>
    </row>
    <row r="9166">
      <c r="A9166" s="2" t="n"/>
    </row>
    <row r="9167">
      <c r="A9167" s="2" t="n"/>
    </row>
    <row r="9168">
      <c r="A9168" s="2" t="n"/>
    </row>
    <row r="9169">
      <c r="A9169" s="2" t="n"/>
    </row>
    <row r="9170">
      <c r="A9170" s="2" t="n"/>
    </row>
    <row r="9171">
      <c r="A9171" s="2" t="n"/>
    </row>
    <row r="9172">
      <c r="A9172" s="2" t="n"/>
    </row>
    <row r="9173">
      <c r="A9173" s="2" t="n"/>
    </row>
    <row r="9174">
      <c r="A9174" s="2" t="n"/>
    </row>
    <row r="9175">
      <c r="A9175" s="2" t="n"/>
    </row>
    <row r="9176">
      <c r="A9176" s="2" t="n"/>
    </row>
    <row r="9177">
      <c r="A9177" s="2" t="n"/>
    </row>
    <row r="9178">
      <c r="A9178" s="2" t="n"/>
    </row>
    <row r="9179">
      <c r="A9179" s="2" t="n"/>
    </row>
    <row r="9180">
      <c r="A9180" s="2" t="n"/>
    </row>
    <row r="9181">
      <c r="A9181" s="2" t="n"/>
    </row>
    <row r="9182">
      <c r="A9182" s="2" t="n"/>
    </row>
    <row r="9183">
      <c r="A9183" s="2" t="n"/>
    </row>
    <row r="9184">
      <c r="A9184" s="2" t="n"/>
    </row>
    <row r="9185">
      <c r="A9185" s="2" t="n"/>
    </row>
    <row r="9186">
      <c r="A9186" s="2" t="n"/>
    </row>
    <row r="9187">
      <c r="A9187" s="2" t="n"/>
    </row>
    <row r="9188">
      <c r="A9188" s="2" t="n"/>
    </row>
    <row r="9189">
      <c r="A9189" s="2" t="n"/>
    </row>
    <row r="9190">
      <c r="A9190" s="2" t="n"/>
    </row>
    <row r="9191">
      <c r="A9191" s="2" t="n"/>
    </row>
    <row r="9192">
      <c r="A9192" s="2" t="n"/>
    </row>
    <row r="9193">
      <c r="A9193" s="2" t="n"/>
    </row>
    <row r="9194">
      <c r="A9194" s="2" t="n"/>
    </row>
    <row r="9195">
      <c r="A9195" s="2" t="n"/>
    </row>
    <row r="9196">
      <c r="A9196" s="2" t="n"/>
    </row>
    <row r="9197">
      <c r="A9197" s="2" t="n"/>
    </row>
    <row r="9198">
      <c r="A9198" s="2" t="n"/>
    </row>
    <row r="9199">
      <c r="A9199" s="2" t="n"/>
    </row>
    <row r="9200">
      <c r="A9200" s="2" t="n"/>
    </row>
    <row r="9201">
      <c r="A9201" s="2" t="n"/>
    </row>
    <row r="9202">
      <c r="A9202" s="2" t="n"/>
    </row>
    <row r="9203">
      <c r="A9203" s="2" t="n"/>
    </row>
    <row r="9204">
      <c r="A9204" s="2" t="n"/>
    </row>
    <row r="9205">
      <c r="A9205" s="2" t="n"/>
    </row>
    <row r="9206">
      <c r="A9206" s="2" t="n"/>
    </row>
    <row r="9207">
      <c r="A9207" s="2" t="n"/>
    </row>
    <row r="9208">
      <c r="A9208" s="2" t="n"/>
    </row>
    <row r="9209">
      <c r="A9209" s="2" t="n"/>
    </row>
    <row r="9210">
      <c r="A9210" s="2" t="n"/>
    </row>
    <row r="9211">
      <c r="A9211" s="2" t="n"/>
    </row>
    <row r="9212">
      <c r="A9212" s="2" t="n"/>
    </row>
    <row r="9213">
      <c r="A9213" s="2" t="n"/>
    </row>
    <row r="9214">
      <c r="A9214" s="2" t="n"/>
    </row>
    <row r="9215">
      <c r="A9215" s="2" t="n"/>
    </row>
    <row r="9216">
      <c r="A9216" s="2" t="n"/>
    </row>
    <row r="9217">
      <c r="A9217" s="2" t="n"/>
    </row>
    <row r="9218">
      <c r="A9218" s="2" t="n"/>
    </row>
    <row r="9219">
      <c r="A9219" s="2" t="n"/>
    </row>
    <row r="9220">
      <c r="A9220" s="2" t="n"/>
    </row>
    <row r="9221">
      <c r="A9221" s="2" t="n"/>
    </row>
    <row r="9222">
      <c r="A9222" s="2" t="n"/>
    </row>
    <row r="9223">
      <c r="A9223" s="2" t="n"/>
    </row>
    <row r="9224">
      <c r="A9224" s="2" t="n"/>
    </row>
    <row r="9225">
      <c r="A9225" s="2" t="n"/>
    </row>
    <row r="9226">
      <c r="A9226" s="2" t="n"/>
    </row>
    <row r="9227">
      <c r="A9227" s="2" t="n"/>
    </row>
    <row r="9228">
      <c r="A9228" s="2" t="n"/>
    </row>
    <row r="9229">
      <c r="A9229" s="2" t="n"/>
    </row>
    <row r="9230">
      <c r="A9230" s="2" t="n"/>
    </row>
    <row r="9231">
      <c r="A9231" s="2" t="n"/>
    </row>
    <row r="9232">
      <c r="A9232" s="2" t="n"/>
    </row>
    <row r="9233">
      <c r="A9233" s="2" t="n"/>
    </row>
    <row r="9234">
      <c r="A9234" s="2" t="n"/>
    </row>
    <row r="9235">
      <c r="A9235" s="2" t="n"/>
    </row>
    <row r="9236">
      <c r="A9236" s="2" t="n"/>
    </row>
    <row r="9237">
      <c r="A9237" s="2" t="n"/>
    </row>
    <row r="9238">
      <c r="A9238" s="2" t="n"/>
    </row>
    <row r="9239">
      <c r="A9239" s="2" t="n"/>
    </row>
    <row r="9240">
      <c r="A9240" s="2" t="n"/>
    </row>
    <row r="9241">
      <c r="A9241" s="2" t="n"/>
    </row>
    <row r="9242">
      <c r="A9242" s="2" t="n"/>
    </row>
    <row r="9243">
      <c r="A9243" s="2" t="n"/>
    </row>
    <row r="9244">
      <c r="A9244" s="2" t="n"/>
    </row>
    <row r="9245">
      <c r="A9245" s="2" t="n"/>
    </row>
    <row r="9246">
      <c r="A9246" s="2" t="n"/>
    </row>
    <row r="9247">
      <c r="A9247" s="2" t="n"/>
    </row>
    <row r="9248">
      <c r="A9248" s="2" t="n"/>
    </row>
    <row r="9249">
      <c r="A9249" s="2" t="n"/>
    </row>
    <row r="9250">
      <c r="A9250" s="2" t="n"/>
    </row>
    <row r="9251">
      <c r="A9251" s="2" t="n"/>
    </row>
    <row r="9252">
      <c r="A9252" s="2" t="n"/>
    </row>
    <row r="9253">
      <c r="A9253" s="2" t="n"/>
    </row>
    <row r="9254">
      <c r="A9254" s="2" t="n"/>
    </row>
    <row r="9255">
      <c r="A9255" s="2" t="n"/>
    </row>
    <row r="9256">
      <c r="A9256" s="2" t="n"/>
    </row>
    <row r="9257">
      <c r="A9257" s="2" t="n"/>
    </row>
    <row r="9258">
      <c r="A9258" s="2" t="n"/>
    </row>
    <row r="9259">
      <c r="A9259" s="2" t="n"/>
    </row>
    <row r="9260">
      <c r="A9260" s="2" t="n"/>
    </row>
    <row r="9261">
      <c r="A9261" s="2" t="n"/>
    </row>
    <row r="9262">
      <c r="A9262" s="2" t="n"/>
    </row>
    <row r="9263">
      <c r="A9263" s="2" t="n"/>
    </row>
    <row r="9264">
      <c r="A9264" s="2" t="n"/>
    </row>
    <row r="9265">
      <c r="A9265" s="2" t="n"/>
    </row>
    <row r="9266">
      <c r="A9266" s="2" t="n"/>
    </row>
    <row r="9267">
      <c r="A9267" s="2" t="n"/>
    </row>
    <row r="9268">
      <c r="A9268" s="2" t="n"/>
    </row>
    <row r="9269">
      <c r="A9269" s="2" t="n"/>
    </row>
    <row r="9270">
      <c r="A9270" s="2" t="n"/>
    </row>
    <row r="9271">
      <c r="A9271" s="2" t="n"/>
    </row>
    <row r="9272">
      <c r="A9272" s="2" t="n"/>
    </row>
    <row r="9273">
      <c r="A9273" s="2" t="n"/>
    </row>
    <row r="9274">
      <c r="A9274" s="2" t="n"/>
    </row>
    <row r="9275">
      <c r="A9275" s="2" t="n"/>
    </row>
    <row r="9276">
      <c r="A9276" s="2" t="n"/>
    </row>
    <row r="9277">
      <c r="A9277" s="2" t="n"/>
    </row>
    <row r="9278">
      <c r="A9278" s="2" t="n"/>
    </row>
    <row r="9279">
      <c r="A9279" s="2" t="n"/>
    </row>
    <row r="9280">
      <c r="A9280" s="2" t="n"/>
    </row>
    <row r="9281">
      <c r="A9281" s="2" t="n"/>
    </row>
    <row r="9282">
      <c r="A9282" s="2" t="n"/>
    </row>
    <row r="9283">
      <c r="A9283" s="2" t="n"/>
    </row>
    <row r="9284">
      <c r="A9284" s="2" t="n"/>
    </row>
    <row r="9285">
      <c r="A9285" s="2" t="n"/>
    </row>
    <row r="9286">
      <c r="A9286" s="2" t="n"/>
    </row>
    <row r="9287">
      <c r="A9287" s="2" t="n"/>
    </row>
    <row r="9288">
      <c r="A9288" s="2" t="n"/>
    </row>
    <row r="9289">
      <c r="A9289" s="2" t="n"/>
    </row>
    <row r="9290">
      <c r="A9290" s="2" t="n"/>
    </row>
    <row r="9291">
      <c r="A9291" s="2" t="n"/>
    </row>
    <row r="9292">
      <c r="A9292" s="2" t="n"/>
    </row>
    <row r="9293">
      <c r="A9293" s="2" t="n"/>
    </row>
    <row r="9294">
      <c r="A9294" s="2" t="n"/>
    </row>
    <row r="9295">
      <c r="A9295" s="2" t="n"/>
    </row>
    <row r="9296">
      <c r="A9296" s="2" t="n"/>
    </row>
    <row r="9297">
      <c r="A9297" s="2" t="n"/>
    </row>
    <row r="9298">
      <c r="A9298" s="2" t="n"/>
    </row>
    <row r="9299">
      <c r="A9299" s="2" t="n"/>
    </row>
    <row r="9300">
      <c r="A9300" s="2" t="n"/>
    </row>
    <row r="9301">
      <c r="A9301" s="2" t="n"/>
    </row>
    <row r="9302">
      <c r="A9302" s="2" t="n"/>
    </row>
    <row r="9303">
      <c r="A9303" s="2" t="n"/>
    </row>
    <row r="9304">
      <c r="A9304" s="2" t="n"/>
    </row>
    <row r="9305">
      <c r="A9305" s="2" t="n"/>
    </row>
    <row r="9306">
      <c r="A9306" s="2" t="n"/>
    </row>
    <row r="9307">
      <c r="A9307" s="2" t="n"/>
    </row>
    <row r="9308">
      <c r="A9308" s="2" t="n"/>
    </row>
    <row r="9309">
      <c r="A9309" s="2" t="n"/>
    </row>
    <row r="9310">
      <c r="A9310" s="2" t="n"/>
    </row>
    <row r="9311">
      <c r="A9311" s="2" t="n"/>
    </row>
    <row r="9312">
      <c r="A9312" s="2" t="n"/>
    </row>
    <row r="9313">
      <c r="A9313" s="2" t="n"/>
    </row>
    <row r="9314">
      <c r="A9314" s="2" t="n"/>
    </row>
    <row r="9315">
      <c r="A9315" s="2" t="n"/>
    </row>
    <row r="9316">
      <c r="A9316" s="2" t="n"/>
    </row>
    <row r="9317">
      <c r="A9317" s="2" t="n"/>
    </row>
    <row r="9318">
      <c r="A9318" s="2" t="n"/>
    </row>
    <row r="9319">
      <c r="A9319" s="2" t="n"/>
    </row>
    <row r="9320">
      <c r="A9320" s="2" t="n"/>
    </row>
    <row r="9321">
      <c r="A9321" s="2" t="n"/>
    </row>
    <row r="9322">
      <c r="A9322" s="2" t="n"/>
    </row>
    <row r="9323">
      <c r="A9323" s="2" t="n"/>
    </row>
    <row r="9324">
      <c r="A9324" s="2" t="n"/>
    </row>
    <row r="9325">
      <c r="A9325" s="2" t="n"/>
    </row>
    <row r="9326">
      <c r="A9326" s="2" t="n"/>
    </row>
    <row r="9327">
      <c r="A9327" s="2" t="n"/>
    </row>
    <row r="9328">
      <c r="A9328" s="2" t="n"/>
    </row>
    <row r="9329">
      <c r="A9329" s="2" t="n"/>
    </row>
    <row r="9330">
      <c r="A9330" s="2" t="n"/>
    </row>
    <row r="9331">
      <c r="A9331" s="2" t="n"/>
    </row>
    <row r="9332">
      <c r="A9332" s="2" t="n"/>
    </row>
    <row r="9333">
      <c r="A9333" s="2" t="n"/>
    </row>
    <row r="9334">
      <c r="A9334" s="2" t="n"/>
    </row>
    <row r="9335">
      <c r="A9335" s="2" t="n"/>
    </row>
    <row r="9336">
      <c r="A9336" s="2" t="n"/>
    </row>
    <row r="9337">
      <c r="A9337" s="2" t="n"/>
    </row>
    <row r="9338">
      <c r="A9338" s="2" t="n"/>
    </row>
    <row r="9339">
      <c r="A9339" s="2" t="n"/>
    </row>
    <row r="9340">
      <c r="A9340" s="2" t="n"/>
    </row>
    <row r="9341">
      <c r="A9341" s="2" t="n"/>
    </row>
    <row r="9342">
      <c r="A9342" s="2" t="n"/>
    </row>
    <row r="9343">
      <c r="A9343" s="2" t="n"/>
    </row>
    <row r="9344">
      <c r="A9344" s="2" t="n"/>
    </row>
    <row r="9345">
      <c r="A9345" s="2" t="n"/>
    </row>
    <row r="9346">
      <c r="A9346" s="2" t="n"/>
    </row>
    <row r="9347">
      <c r="A9347" s="2" t="n"/>
    </row>
    <row r="9348">
      <c r="A9348" s="2" t="n"/>
    </row>
    <row r="9349">
      <c r="A9349" s="2" t="n"/>
    </row>
    <row r="9350">
      <c r="A9350" s="2" t="n"/>
    </row>
    <row r="9351">
      <c r="A9351" s="2" t="n"/>
    </row>
    <row r="9352">
      <c r="A9352" s="2" t="n"/>
    </row>
    <row r="9353">
      <c r="A9353" s="2" t="n"/>
    </row>
    <row r="9354">
      <c r="A9354" s="2" t="n"/>
    </row>
    <row r="9355">
      <c r="A9355" s="2" t="n"/>
    </row>
    <row r="9356">
      <c r="A9356" s="2" t="n"/>
    </row>
    <row r="9357">
      <c r="A9357" s="2" t="n"/>
    </row>
    <row r="9358">
      <c r="A9358" s="2" t="n"/>
    </row>
    <row r="9359">
      <c r="A9359" s="2" t="n"/>
    </row>
    <row r="9360">
      <c r="A9360" s="2" t="n"/>
    </row>
    <row r="9361">
      <c r="A9361" s="2" t="n"/>
    </row>
    <row r="9362">
      <c r="A9362" s="2" t="n"/>
    </row>
    <row r="9363">
      <c r="A9363" s="2" t="n"/>
    </row>
    <row r="9364">
      <c r="A9364" s="2" t="n"/>
    </row>
    <row r="9365">
      <c r="A9365" s="2" t="n"/>
    </row>
    <row r="9366">
      <c r="A9366" s="2" t="n"/>
    </row>
    <row r="9367">
      <c r="A9367" s="2" t="n"/>
    </row>
    <row r="9368">
      <c r="A9368" s="2" t="n"/>
    </row>
    <row r="9369">
      <c r="A9369" s="2" t="n"/>
    </row>
    <row r="9370">
      <c r="A9370" s="2" t="n"/>
    </row>
    <row r="9371">
      <c r="A9371" s="2" t="n"/>
    </row>
    <row r="9372">
      <c r="A9372" s="2" t="n"/>
    </row>
    <row r="9373">
      <c r="A9373" s="2" t="n"/>
    </row>
    <row r="9374">
      <c r="A9374" s="2" t="n"/>
    </row>
    <row r="9375">
      <c r="A9375" s="2" t="n"/>
    </row>
    <row r="9376">
      <c r="A9376" s="2" t="n"/>
    </row>
    <row r="9377">
      <c r="A9377" s="2" t="n"/>
    </row>
    <row r="9378">
      <c r="A9378" s="2" t="n"/>
    </row>
    <row r="9379">
      <c r="A9379" s="2" t="n"/>
    </row>
    <row r="9380">
      <c r="A9380" s="2" t="n"/>
    </row>
    <row r="9381">
      <c r="A9381" s="2" t="n"/>
    </row>
    <row r="9382">
      <c r="A9382" s="2" t="n"/>
    </row>
    <row r="9383">
      <c r="A9383" s="2" t="n"/>
    </row>
    <row r="9384">
      <c r="A9384" s="2" t="n"/>
    </row>
    <row r="9385">
      <c r="A9385" s="2" t="n"/>
    </row>
    <row r="9386">
      <c r="A9386" s="2" t="n"/>
    </row>
    <row r="9387">
      <c r="A9387" s="2" t="n"/>
    </row>
    <row r="9388">
      <c r="A9388" s="2" t="n"/>
    </row>
    <row r="9389">
      <c r="A9389" s="2" t="n"/>
    </row>
    <row r="9390">
      <c r="A9390" s="2" t="n"/>
    </row>
    <row r="9391">
      <c r="A9391" s="2" t="n"/>
    </row>
    <row r="9392">
      <c r="A9392" s="2" t="n"/>
    </row>
    <row r="9393">
      <c r="A9393" s="2" t="n"/>
    </row>
    <row r="9394">
      <c r="A9394" s="2" t="n"/>
    </row>
    <row r="9395">
      <c r="A9395" s="2" t="n"/>
    </row>
    <row r="9396">
      <c r="A9396" s="2" t="n"/>
    </row>
    <row r="9397">
      <c r="A9397" s="2" t="n"/>
    </row>
    <row r="9398">
      <c r="A9398" s="2" t="n"/>
    </row>
    <row r="9399">
      <c r="A9399" s="2" t="n"/>
    </row>
    <row r="9400">
      <c r="A9400" s="2" t="n"/>
    </row>
    <row r="9401">
      <c r="A9401" s="2" t="n"/>
    </row>
    <row r="9402">
      <c r="A9402" s="2" t="n"/>
    </row>
    <row r="9403">
      <c r="A9403" s="2" t="n"/>
    </row>
    <row r="9404">
      <c r="A9404" s="2" t="n"/>
    </row>
    <row r="9405">
      <c r="A9405" s="2" t="n"/>
    </row>
    <row r="9406">
      <c r="A9406" s="2" t="n"/>
    </row>
    <row r="9407">
      <c r="A9407" s="2" t="n"/>
    </row>
    <row r="9408">
      <c r="A9408" s="2" t="n"/>
    </row>
    <row r="9409">
      <c r="A9409" s="2" t="n"/>
    </row>
    <row r="9410">
      <c r="A9410" s="2" t="n"/>
    </row>
    <row r="9411">
      <c r="A9411" s="2" t="n"/>
    </row>
    <row r="9412">
      <c r="A9412" s="2" t="n"/>
    </row>
    <row r="9413">
      <c r="A9413" s="2" t="n"/>
    </row>
    <row r="9414">
      <c r="A9414" s="2" t="n"/>
    </row>
    <row r="9415">
      <c r="A9415" s="2" t="n"/>
    </row>
    <row r="9416">
      <c r="A9416" s="2" t="n"/>
    </row>
    <row r="9417">
      <c r="A9417" s="2" t="n"/>
    </row>
    <row r="9418">
      <c r="A9418" s="2" t="n"/>
    </row>
    <row r="9419">
      <c r="A9419" s="2" t="n"/>
    </row>
    <row r="9420">
      <c r="A9420" s="2" t="n"/>
    </row>
    <row r="9421">
      <c r="A9421" s="2" t="n"/>
    </row>
    <row r="9422">
      <c r="A9422" s="2" t="n"/>
    </row>
    <row r="9423">
      <c r="A9423" s="2" t="n"/>
    </row>
    <row r="9424">
      <c r="A9424" s="2" t="n"/>
    </row>
    <row r="9425">
      <c r="A9425" s="2" t="n"/>
    </row>
    <row r="9426">
      <c r="A9426" s="2" t="n"/>
    </row>
    <row r="9427">
      <c r="A9427" s="2" t="n"/>
    </row>
    <row r="9428">
      <c r="A9428" s="2" t="n"/>
    </row>
    <row r="9429">
      <c r="A9429" s="2" t="n"/>
    </row>
    <row r="9430">
      <c r="A9430" s="2" t="n"/>
    </row>
    <row r="9431">
      <c r="A9431" s="2" t="n"/>
    </row>
    <row r="9432">
      <c r="A9432" s="2" t="n"/>
    </row>
    <row r="9433">
      <c r="A9433" s="2" t="n"/>
    </row>
    <row r="9434">
      <c r="A9434" s="2" t="n"/>
    </row>
    <row r="9435">
      <c r="A9435" s="2" t="n"/>
    </row>
    <row r="9436">
      <c r="A9436" s="2" t="n"/>
    </row>
    <row r="9437">
      <c r="A9437" s="2" t="n"/>
    </row>
    <row r="9438">
      <c r="A9438" s="2" t="n"/>
    </row>
    <row r="9439">
      <c r="A9439" s="2" t="n"/>
    </row>
    <row r="9440">
      <c r="A9440" s="2" t="n"/>
    </row>
    <row r="9441">
      <c r="A9441" s="2" t="n"/>
    </row>
    <row r="9442">
      <c r="A9442" s="2" t="n"/>
    </row>
    <row r="9443">
      <c r="A9443" s="2" t="n"/>
    </row>
    <row r="9444">
      <c r="A9444" s="2" t="n"/>
    </row>
    <row r="9445">
      <c r="A9445" s="2" t="n"/>
    </row>
    <row r="9446">
      <c r="A9446" s="2" t="n"/>
    </row>
    <row r="9447">
      <c r="A9447" s="2" t="n"/>
    </row>
    <row r="9448">
      <c r="A9448" s="2" t="n"/>
    </row>
    <row r="9449">
      <c r="A9449" s="2" t="n"/>
    </row>
    <row r="9450">
      <c r="A9450" s="2" t="n"/>
    </row>
    <row r="9451">
      <c r="A9451" s="2" t="n"/>
    </row>
    <row r="9452">
      <c r="A9452" s="2" t="n"/>
    </row>
    <row r="9453">
      <c r="A9453" s="2" t="n"/>
    </row>
    <row r="9454">
      <c r="A9454" s="2" t="n"/>
    </row>
    <row r="9455">
      <c r="A9455" s="2" t="n"/>
    </row>
    <row r="9456">
      <c r="A9456" s="2" t="n"/>
    </row>
    <row r="9457">
      <c r="A9457" s="2" t="n"/>
    </row>
    <row r="9458">
      <c r="A9458" s="2" t="n"/>
    </row>
    <row r="9459">
      <c r="A9459" s="2" t="n"/>
    </row>
    <row r="9460">
      <c r="A9460" s="2" t="n"/>
    </row>
    <row r="9461">
      <c r="A9461" s="2" t="n"/>
    </row>
    <row r="9462">
      <c r="A9462" s="2" t="n"/>
    </row>
    <row r="9463">
      <c r="A9463" s="2" t="n"/>
    </row>
    <row r="9464">
      <c r="A9464" s="2" t="n"/>
    </row>
    <row r="9465">
      <c r="A9465" s="2" t="n"/>
    </row>
    <row r="9466">
      <c r="A9466" s="2" t="n"/>
    </row>
    <row r="9467">
      <c r="A9467" s="2" t="n"/>
    </row>
    <row r="9468">
      <c r="A9468" s="2" t="n"/>
    </row>
    <row r="9469">
      <c r="A9469" s="2" t="n"/>
    </row>
    <row r="9470">
      <c r="A9470" s="2" t="n"/>
    </row>
    <row r="9471">
      <c r="A9471" s="2" t="n"/>
    </row>
    <row r="9472">
      <c r="A9472" s="2" t="n"/>
    </row>
    <row r="9473">
      <c r="A9473" s="2" t="n"/>
    </row>
    <row r="9474">
      <c r="A9474" s="2" t="n"/>
    </row>
    <row r="9475">
      <c r="A9475" s="2" t="n"/>
    </row>
    <row r="9476">
      <c r="A9476" s="2" t="n"/>
    </row>
    <row r="9477">
      <c r="A9477" s="2" t="n"/>
    </row>
    <row r="9478">
      <c r="A9478" s="2" t="n"/>
    </row>
    <row r="9479">
      <c r="A9479" s="2" t="n"/>
    </row>
    <row r="9480">
      <c r="A9480" s="2" t="n"/>
    </row>
    <row r="9481">
      <c r="A9481" s="2" t="n"/>
    </row>
    <row r="9482">
      <c r="A9482" s="2" t="n"/>
    </row>
    <row r="9483">
      <c r="A9483" s="2" t="n"/>
    </row>
    <row r="9484">
      <c r="A9484" s="2" t="n"/>
    </row>
    <row r="9485">
      <c r="A9485" s="2" t="n"/>
    </row>
    <row r="9486">
      <c r="A9486" s="2" t="n"/>
    </row>
    <row r="9487">
      <c r="A9487" s="2" t="n"/>
    </row>
    <row r="9488">
      <c r="A9488" s="2" t="n"/>
    </row>
    <row r="9489">
      <c r="A9489" s="2" t="n"/>
    </row>
    <row r="9490">
      <c r="A9490" s="2" t="n"/>
    </row>
    <row r="9491">
      <c r="A9491" s="2" t="n"/>
    </row>
    <row r="9492">
      <c r="A9492" s="2" t="n"/>
    </row>
    <row r="9493">
      <c r="A9493" s="2" t="n"/>
    </row>
    <row r="9494">
      <c r="A9494" s="2" t="n"/>
    </row>
    <row r="9495">
      <c r="A9495" s="2" t="n"/>
    </row>
    <row r="9496">
      <c r="A9496" s="2" t="n"/>
    </row>
    <row r="9497">
      <c r="A9497" s="2" t="n"/>
    </row>
    <row r="9498">
      <c r="A9498" s="2" t="n"/>
    </row>
    <row r="9499">
      <c r="A9499" s="2" t="n"/>
    </row>
    <row r="9500">
      <c r="A9500" s="2" t="n"/>
    </row>
    <row r="9501">
      <c r="A9501" s="2" t="n"/>
    </row>
    <row r="9502">
      <c r="A9502" s="2" t="n"/>
    </row>
    <row r="9503">
      <c r="A9503" s="2" t="n"/>
    </row>
    <row r="9504">
      <c r="A9504" s="2" t="n"/>
    </row>
    <row r="9505">
      <c r="A9505" s="2" t="n"/>
    </row>
    <row r="9506">
      <c r="A9506" s="2" t="n"/>
    </row>
    <row r="9507">
      <c r="A9507" s="2" t="n"/>
    </row>
    <row r="9508">
      <c r="A9508" s="2" t="n"/>
    </row>
    <row r="9509">
      <c r="A9509" s="2" t="n"/>
    </row>
    <row r="9510">
      <c r="A9510" s="2" t="n"/>
    </row>
    <row r="9511">
      <c r="A9511" s="2" t="n"/>
    </row>
    <row r="9512">
      <c r="A9512" s="2" t="n"/>
    </row>
    <row r="9513">
      <c r="A9513" s="2" t="n"/>
    </row>
    <row r="9514">
      <c r="A9514" s="2" t="n"/>
    </row>
    <row r="9515">
      <c r="A9515" s="2" t="n"/>
    </row>
    <row r="9516">
      <c r="A9516" s="2" t="n"/>
    </row>
    <row r="9517">
      <c r="A9517" s="2" t="n"/>
    </row>
    <row r="9518">
      <c r="A9518" s="2" t="n"/>
    </row>
    <row r="9519">
      <c r="A9519" s="2" t="n"/>
    </row>
    <row r="9520">
      <c r="A9520" s="2" t="n"/>
    </row>
    <row r="9521">
      <c r="A9521" s="2" t="n"/>
    </row>
    <row r="9522">
      <c r="A9522" s="2" t="n"/>
    </row>
    <row r="9523">
      <c r="A9523" s="2" t="n"/>
    </row>
    <row r="9524">
      <c r="A9524" s="2" t="n"/>
    </row>
    <row r="9525">
      <c r="A9525" s="2" t="n"/>
    </row>
    <row r="9526">
      <c r="A9526" s="2" t="n"/>
    </row>
    <row r="9527">
      <c r="A9527" s="2" t="n"/>
    </row>
    <row r="9528">
      <c r="A9528" s="2" t="n"/>
    </row>
    <row r="9529">
      <c r="A9529" s="2" t="n"/>
    </row>
    <row r="9530">
      <c r="A9530" s="2" t="n"/>
    </row>
    <row r="9531">
      <c r="A9531" s="2" t="n"/>
    </row>
    <row r="9532">
      <c r="A9532" s="2" t="n"/>
    </row>
    <row r="9533">
      <c r="A9533" s="2" t="n"/>
    </row>
    <row r="9534">
      <c r="A9534" s="2" t="n"/>
    </row>
    <row r="9535">
      <c r="A9535" s="2" t="n"/>
    </row>
    <row r="9536">
      <c r="A9536" s="2" t="n"/>
    </row>
    <row r="9537">
      <c r="A9537" s="2" t="n"/>
    </row>
    <row r="9538">
      <c r="A9538" s="2" t="n"/>
    </row>
    <row r="9539">
      <c r="A9539" s="2" t="n"/>
    </row>
    <row r="9540">
      <c r="A9540" s="2" t="n"/>
    </row>
    <row r="9541">
      <c r="A9541" s="2" t="n"/>
    </row>
    <row r="9542">
      <c r="A9542" s="2" t="n"/>
    </row>
    <row r="9543">
      <c r="A9543" s="2" t="n"/>
    </row>
    <row r="9544">
      <c r="A9544" s="2" t="n"/>
    </row>
    <row r="9545">
      <c r="A9545" s="2" t="n"/>
    </row>
    <row r="9546">
      <c r="A9546" s="2" t="n"/>
    </row>
    <row r="9547">
      <c r="A9547" s="2" t="n"/>
    </row>
    <row r="9548">
      <c r="A9548" s="2" t="n"/>
    </row>
    <row r="9549">
      <c r="A9549" s="2" t="n"/>
    </row>
    <row r="9550">
      <c r="A9550" s="2" t="n"/>
    </row>
    <row r="9551">
      <c r="A9551" s="2" t="n"/>
    </row>
    <row r="9552">
      <c r="A9552" s="2" t="n"/>
    </row>
    <row r="9553">
      <c r="A9553" s="2" t="n"/>
    </row>
    <row r="9554">
      <c r="A9554" s="2" t="n"/>
    </row>
    <row r="9555">
      <c r="A9555" s="2" t="n"/>
    </row>
    <row r="9556">
      <c r="A9556" s="2" t="n"/>
    </row>
    <row r="9557">
      <c r="A9557" s="2" t="n"/>
    </row>
    <row r="9558">
      <c r="A9558" s="2" t="n"/>
    </row>
    <row r="9559">
      <c r="A9559" s="2" t="n"/>
    </row>
    <row r="9560">
      <c r="A9560" s="2" t="n"/>
    </row>
    <row r="9561">
      <c r="A9561" s="2" t="n"/>
    </row>
    <row r="9562">
      <c r="A9562" s="2" t="n"/>
    </row>
    <row r="9563">
      <c r="A9563" s="2" t="n"/>
    </row>
    <row r="9564">
      <c r="A9564" s="2" t="n"/>
    </row>
    <row r="9565">
      <c r="A9565" s="2" t="n"/>
    </row>
    <row r="9566">
      <c r="A9566" s="2" t="n"/>
    </row>
    <row r="9567">
      <c r="A9567" s="2" t="n"/>
    </row>
    <row r="9568">
      <c r="A9568" s="2" t="n"/>
    </row>
    <row r="9569">
      <c r="A9569" s="2" t="n"/>
    </row>
    <row r="9570">
      <c r="A9570" s="2" t="n"/>
    </row>
    <row r="9571">
      <c r="A9571" s="2" t="n"/>
    </row>
    <row r="9572">
      <c r="A9572" s="2" t="n"/>
    </row>
    <row r="9573">
      <c r="A9573" s="2" t="n"/>
    </row>
    <row r="9574">
      <c r="A9574" s="2" t="n"/>
    </row>
    <row r="9575">
      <c r="A9575" s="2" t="n"/>
    </row>
    <row r="9576">
      <c r="A9576" s="2" t="n"/>
    </row>
    <row r="9577">
      <c r="A9577" s="2" t="n"/>
    </row>
    <row r="9578">
      <c r="A9578" s="2" t="n"/>
    </row>
    <row r="9579">
      <c r="A9579" s="2" t="n"/>
    </row>
    <row r="9580">
      <c r="A9580" s="2" t="n"/>
    </row>
    <row r="9581">
      <c r="A9581" s="2" t="n"/>
    </row>
    <row r="9582">
      <c r="A9582" s="2" t="n"/>
    </row>
    <row r="9583">
      <c r="A9583" s="2" t="n"/>
    </row>
    <row r="9584">
      <c r="A9584" s="2" t="n"/>
    </row>
    <row r="9585">
      <c r="A9585" s="2" t="n"/>
    </row>
    <row r="9586">
      <c r="A9586" s="2" t="n"/>
    </row>
    <row r="9587">
      <c r="A9587" s="2" t="n"/>
    </row>
    <row r="9588">
      <c r="A9588" s="2" t="n"/>
    </row>
    <row r="9589">
      <c r="A9589" s="2" t="n"/>
    </row>
    <row r="9590">
      <c r="A9590" s="2" t="n"/>
    </row>
    <row r="9591">
      <c r="A9591" s="2" t="n"/>
    </row>
    <row r="9592">
      <c r="A9592" s="2" t="n"/>
    </row>
    <row r="9593">
      <c r="A9593" s="2" t="n"/>
    </row>
    <row r="9594">
      <c r="A9594" s="2" t="n"/>
    </row>
    <row r="9595">
      <c r="A9595" s="2" t="n"/>
    </row>
    <row r="9596">
      <c r="A9596" s="2" t="n"/>
    </row>
    <row r="9597">
      <c r="A9597" s="2" t="n"/>
    </row>
    <row r="9598">
      <c r="A9598" s="2" t="n"/>
    </row>
    <row r="9599">
      <c r="A9599" s="2" t="n"/>
    </row>
    <row r="9600">
      <c r="A9600" s="2" t="n"/>
    </row>
    <row r="9601">
      <c r="A9601" s="2" t="n"/>
    </row>
    <row r="9602">
      <c r="A9602" s="2" t="n"/>
    </row>
    <row r="9603">
      <c r="A9603" s="2" t="n"/>
    </row>
    <row r="9604">
      <c r="A9604" s="2" t="n"/>
    </row>
    <row r="9605">
      <c r="A9605" s="2" t="n"/>
    </row>
    <row r="9606">
      <c r="A9606" s="2" t="n"/>
    </row>
    <row r="9607">
      <c r="A9607" s="2" t="n"/>
    </row>
    <row r="9608">
      <c r="A9608" s="2" t="n"/>
    </row>
    <row r="9609">
      <c r="A9609" s="2" t="n"/>
    </row>
    <row r="9610">
      <c r="A9610" s="2" t="n"/>
    </row>
    <row r="9611">
      <c r="A9611" s="2" t="n"/>
    </row>
    <row r="9612">
      <c r="A9612" s="2" t="n"/>
    </row>
    <row r="9613">
      <c r="A9613" s="2" t="n"/>
    </row>
    <row r="9614">
      <c r="A9614" s="2" t="n"/>
    </row>
    <row r="9615">
      <c r="A9615" s="2" t="n"/>
    </row>
    <row r="9616">
      <c r="A9616" s="2" t="n"/>
    </row>
    <row r="9617">
      <c r="A9617" s="2" t="n"/>
    </row>
    <row r="9618">
      <c r="A9618" s="2" t="n"/>
    </row>
    <row r="9619">
      <c r="A9619" s="2" t="n"/>
    </row>
    <row r="9620">
      <c r="A9620" s="2" t="n"/>
    </row>
    <row r="9621">
      <c r="A9621" s="2" t="n"/>
    </row>
    <row r="9622">
      <c r="A9622" s="2" t="n"/>
    </row>
    <row r="9623">
      <c r="A9623" s="2" t="n"/>
    </row>
    <row r="9624">
      <c r="A9624" s="2" t="n"/>
    </row>
    <row r="9625">
      <c r="A9625" s="2" t="n"/>
    </row>
    <row r="9626">
      <c r="A9626" s="2" t="n"/>
    </row>
    <row r="9627">
      <c r="A9627" s="2" t="n"/>
    </row>
    <row r="9628">
      <c r="A9628" s="2" t="n"/>
    </row>
    <row r="9629">
      <c r="A9629" s="2" t="n"/>
    </row>
    <row r="9630">
      <c r="A9630" s="2" t="n"/>
    </row>
    <row r="9631">
      <c r="A9631" s="2" t="n"/>
    </row>
    <row r="9632">
      <c r="A9632" s="2" t="n"/>
    </row>
    <row r="9633">
      <c r="A9633" s="2" t="n"/>
    </row>
    <row r="9634">
      <c r="A9634" s="2" t="n"/>
    </row>
    <row r="9635">
      <c r="A9635" s="2" t="n"/>
    </row>
    <row r="9636">
      <c r="A9636" s="2" t="n"/>
    </row>
    <row r="9637">
      <c r="A9637" s="2" t="n"/>
    </row>
    <row r="9638">
      <c r="A9638" s="2" t="n"/>
    </row>
    <row r="9639">
      <c r="A9639" s="2" t="n"/>
    </row>
    <row r="9640">
      <c r="A9640" s="2" t="n"/>
    </row>
    <row r="9641">
      <c r="A9641" s="2" t="n"/>
    </row>
    <row r="9642">
      <c r="A9642" s="2" t="n"/>
    </row>
    <row r="9643">
      <c r="A9643" s="2" t="n"/>
    </row>
    <row r="9644">
      <c r="A9644" s="2" t="n"/>
    </row>
    <row r="9645">
      <c r="A9645" s="2" t="n"/>
    </row>
    <row r="9646">
      <c r="A9646" s="2" t="n"/>
    </row>
    <row r="9647">
      <c r="A9647" s="2" t="n"/>
    </row>
    <row r="9648">
      <c r="A9648" s="2" t="n"/>
    </row>
    <row r="9649">
      <c r="A9649" s="2" t="n"/>
    </row>
    <row r="9650">
      <c r="A9650" s="2" t="n"/>
    </row>
    <row r="9651">
      <c r="A9651" s="2" t="n"/>
    </row>
    <row r="9652">
      <c r="A9652" s="2" t="n"/>
    </row>
    <row r="9653">
      <c r="A9653" s="2" t="n"/>
    </row>
    <row r="9654">
      <c r="A9654" s="2" t="n"/>
    </row>
    <row r="9655">
      <c r="A9655" s="2" t="n"/>
    </row>
    <row r="9656">
      <c r="A9656" s="2" t="n"/>
    </row>
    <row r="9657">
      <c r="A9657" s="2" t="n"/>
    </row>
    <row r="9658">
      <c r="A9658" s="2" t="n"/>
    </row>
    <row r="9659">
      <c r="A9659" s="2" t="n"/>
    </row>
    <row r="9660">
      <c r="A9660" s="2" t="n"/>
    </row>
    <row r="9661">
      <c r="A9661" s="2" t="n"/>
    </row>
    <row r="9662">
      <c r="A9662" s="2" t="n"/>
    </row>
    <row r="9663">
      <c r="A9663" s="2" t="n"/>
    </row>
    <row r="9664">
      <c r="A9664" s="2" t="n"/>
    </row>
    <row r="9665">
      <c r="A9665" s="2" t="n"/>
    </row>
    <row r="9666">
      <c r="A9666" s="2" t="n"/>
    </row>
    <row r="9667">
      <c r="A9667" s="2" t="n"/>
    </row>
    <row r="9668">
      <c r="A9668" s="2" t="n"/>
    </row>
    <row r="9669">
      <c r="A9669" s="2" t="n"/>
    </row>
    <row r="9670">
      <c r="A9670" s="2" t="n"/>
    </row>
    <row r="9671">
      <c r="A9671" s="2" t="n"/>
    </row>
    <row r="9672">
      <c r="A9672" s="2" t="n"/>
    </row>
    <row r="9673">
      <c r="A9673" s="2" t="n"/>
    </row>
    <row r="9674">
      <c r="A9674" s="2" t="n"/>
    </row>
    <row r="9675">
      <c r="A9675" s="2" t="n"/>
    </row>
    <row r="9676">
      <c r="A9676" s="2" t="n"/>
    </row>
    <row r="9677">
      <c r="A9677" s="2" t="n"/>
    </row>
    <row r="9678">
      <c r="A9678" s="2" t="n"/>
    </row>
    <row r="9679">
      <c r="A9679" s="2" t="n"/>
    </row>
    <row r="9680">
      <c r="A9680" s="2" t="n"/>
    </row>
    <row r="9681">
      <c r="A9681" s="2" t="n"/>
    </row>
    <row r="9682">
      <c r="A9682" s="2" t="n"/>
    </row>
    <row r="9683">
      <c r="A9683" s="2" t="n"/>
    </row>
    <row r="9684">
      <c r="A9684" s="2" t="n"/>
    </row>
    <row r="9685">
      <c r="A9685" s="2" t="n"/>
    </row>
    <row r="9686">
      <c r="A9686" s="2" t="n"/>
    </row>
    <row r="9687">
      <c r="A9687" s="2" t="n"/>
    </row>
    <row r="9688">
      <c r="A9688" s="2" t="n"/>
    </row>
    <row r="9689">
      <c r="A9689" s="2" t="n"/>
    </row>
    <row r="9690">
      <c r="A9690" s="2" t="n"/>
    </row>
    <row r="9691">
      <c r="A9691" s="2" t="n"/>
    </row>
    <row r="9692">
      <c r="A9692" s="2" t="n"/>
    </row>
    <row r="9693">
      <c r="A9693" s="2" t="n"/>
    </row>
    <row r="9694">
      <c r="A9694" s="2" t="n"/>
    </row>
    <row r="9695">
      <c r="A9695" s="2" t="n"/>
    </row>
    <row r="9696">
      <c r="A9696" s="2" t="n"/>
    </row>
    <row r="9697">
      <c r="A9697" s="2" t="n"/>
    </row>
    <row r="9698">
      <c r="A9698" s="2" t="n"/>
    </row>
    <row r="9699">
      <c r="A9699" s="2" t="n"/>
    </row>
    <row r="9700">
      <c r="A9700" s="2" t="n"/>
    </row>
    <row r="9701">
      <c r="A9701" s="2" t="n"/>
    </row>
    <row r="9702">
      <c r="A9702" s="2" t="n"/>
    </row>
    <row r="9703">
      <c r="A9703" s="2" t="n"/>
    </row>
    <row r="9704">
      <c r="A9704" s="2" t="n"/>
    </row>
    <row r="9705">
      <c r="A9705" s="2" t="n"/>
    </row>
    <row r="9706">
      <c r="A9706" s="2" t="n"/>
    </row>
    <row r="9707">
      <c r="A9707" s="2" t="n"/>
    </row>
    <row r="9708">
      <c r="A9708" s="2" t="n"/>
    </row>
    <row r="9709">
      <c r="A9709" s="2" t="n"/>
    </row>
    <row r="9710">
      <c r="A9710" s="2" t="n"/>
    </row>
    <row r="9711">
      <c r="A9711" s="2" t="n"/>
    </row>
    <row r="9712">
      <c r="A9712" s="2" t="n"/>
    </row>
    <row r="9713">
      <c r="A9713" s="2" t="n"/>
    </row>
    <row r="9714">
      <c r="A9714" s="2" t="n"/>
    </row>
    <row r="9715">
      <c r="A9715" s="2" t="n"/>
    </row>
    <row r="9716">
      <c r="A9716" s="2" t="n"/>
    </row>
    <row r="9717">
      <c r="A9717" s="2" t="n"/>
    </row>
    <row r="9718">
      <c r="A9718" s="2" t="n"/>
    </row>
    <row r="9719">
      <c r="A9719" s="2" t="n"/>
    </row>
    <row r="9720">
      <c r="A9720" s="2" t="n"/>
    </row>
    <row r="9721">
      <c r="A9721" s="2" t="n"/>
    </row>
    <row r="9722">
      <c r="A9722" s="2" t="n"/>
    </row>
    <row r="9723">
      <c r="A9723" s="2" t="n"/>
    </row>
    <row r="9724">
      <c r="A9724" s="2" t="n"/>
    </row>
    <row r="9725">
      <c r="A9725" s="2" t="n"/>
    </row>
    <row r="9726">
      <c r="A9726" s="2" t="n"/>
    </row>
    <row r="9727">
      <c r="A9727" s="2" t="n"/>
    </row>
    <row r="9728">
      <c r="A9728" s="2" t="n"/>
    </row>
    <row r="9729">
      <c r="A9729" s="2" t="n"/>
    </row>
    <row r="9730">
      <c r="A9730" s="2" t="n"/>
    </row>
    <row r="9731">
      <c r="A9731" s="2" t="n"/>
    </row>
    <row r="9732">
      <c r="A9732" s="2" t="n"/>
    </row>
    <row r="9733">
      <c r="A9733" s="2" t="n"/>
    </row>
    <row r="9734">
      <c r="A9734" s="2" t="n"/>
    </row>
    <row r="9735">
      <c r="A9735" s="2" t="n"/>
    </row>
    <row r="9736">
      <c r="A9736" s="2" t="n"/>
    </row>
    <row r="9737">
      <c r="A9737" s="2" t="n"/>
    </row>
    <row r="9738">
      <c r="A9738" s="2" t="n"/>
    </row>
    <row r="9739">
      <c r="A9739" s="2" t="n"/>
    </row>
    <row r="9740">
      <c r="A9740" s="2" t="n"/>
    </row>
    <row r="9741">
      <c r="A9741" s="2" t="n"/>
    </row>
    <row r="9742">
      <c r="A9742" s="2" t="n"/>
    </row>
    <row r="9743">
      <c r="A9743" s="2" t="n"/>
    </row>
    <row r="9744">
      <c r="A9744" s="2" t="n"/>
    </row>
    <row r="9745">
      <c r="A9745" s="2" t="n"/>
    </row>
    <row r="9746">
      <c r="A9746" s="2" t="n"/>
    </row>
    <row r="9747">
      <c r="A9747" s="2" t="n"/>
    </row>
    <row r="9748">
      <c r="A9748" s="2" t="n"/>
    </row>
    <row r="9749">
      <c r="A9749" s="2" t="n"/>
    </row>
    <row r="9750">
      <c r="A9750" s="2" t="n"/>
    </row>
    <row r="9751">
      <c r="A9751" s="2" t="n"/>
    </row>
    <row r="9752">
      <c r="A9752" s="2" t="n"/>
    </row>
    <row r="9753">
      <c r="A9753" s="2" t="n"/>
    </row>
    <row r="9754">
      <c r="A9754" s="2" t="n"/>
    </row>
    <row r="9755">
      <c r="A9755" s="2" t="n"/>
    </row>
    <row r="9756">
      <c r="A9756" s="2" t="n"/>
    </row>
    <row r="9757">
      <c r="A9757" s="2" t="n"/>
    </row>
    <row r="9758">
      <c r="A9758" s="2" t="n"/>
    </row>
    <row r="9759">
      <c r="A9759" s="2" t="n"/>
    </row>
    <row r="9760">
      <c r="A9760" s="2" t="n"/>
    </row>
    <row r="9761">
      <c r="A9761" s="2" t="n"/>
    </row>
    <row r="9762">
      <c r="A9762" s="2" t="n"/>
    </row>
    <row r="9763">
      <c r="A9763" s="2" t="n"/>
    </row>
    <row r="9764">
      <c r="A9764" s="2" t="n"/>
    </row>
    <row r="9765">
      <c r="A9765" s="2" t="n"/>
    </row>
    <row r="9766">
      <c r="A9766" s="2" t="n"/>
    </row>
    <row r="9767">
      <c r="A9767" s="2" t="n"/>
    </row>
    <row r="9768">
      <c r="A9768" s="2" t="n"/>
    </row>
    <row r="9769">
      <c r="A9769" s="2" t="n"/>
    </row>
    <row r="9770">
      <c r="A9770" s="2" t="n"/>
    </row>
    <row r="9771">
      <c r="A9771" s="2" t="n"/>
    </row>
    <row r="9772">
      <c r="A9772" s="2" t="n"/>
    </row>
    <row r="9773">
      <c r="A9773" s="2" t="n"/>
    </row>
    <row r="9774">
      <c r="A9774" s="2" t="n"/>
    </row>
    <row r="9775">
      <c r="A9775" s="2" t="n"/>
    </row>
    <row r="9776">
      <c r="A9776" s="2" t="n"/>
    </row>
    <row r="9777">
      <c r="A9777" s="2" t="n"/>
    </row>
    <row r="9778">
      <c r="A9778" s="2" t="n"/>
    </row>
    <row r="9779">
      <c r="A9779" s="2" t="n"/>
    </row>
    <row r="9780">
      <c r="A9780" s="2" t="n"/>
    </row>
    <row r="9781">
      <c r="A9781" s="2" t="n"/>
    </row>
    <row r="9782">
      <c r="A9782" s="2" t="n"/>
    </row>
    <row r="9783">
      <c r="A9783" s="2" t="n"/>
    </row>
    <row r="9784">
      <c r="A9784" s="2" t="n"/>
    </row>
    <row r="9785">
      <c r="A9785" s="2" t="n"/>
    </row>
    <row r="9786">
      <c r="A9786" s="2" t="n"/>
    </row>
    <row r="9787">
      <c r="A9787" s="2" t="n"/>
    </row>
    <row r="9788">
      <c r="A9788" s="2" t="n"/>
    </row>
    <row r="9789">
      <c r="A9789" s="2" t="n"/>
    </row>
    <row r="9790">
      <c r="A9790" s="2" t="n"/>
    </row>
    <row r="9791">
      <c r="A9791" s="2" t="n"/>
    </row>
    <row r="9792">
      <c r="A9792" s="2" t="n"/>
    </row>
    <row r="9793">
      <c r="A9793" s="2" t="n"/>
    </row>
    <row r="9794">
      <c r="A9794" s="2" t="n"/>
    </row>
    <row r="9795">
      <c r="A9795" s="2" t="n"/>
    </row>
    <row r="9796">
      <c r="A9796" s="2" t="n"/>
    </row>
    <row r="9797">
      <c r="A9797" s="2" t="n"/>
    </row>
    <row r="9798">
      <c r="A9798" s="2" t="n"/>
    </row>
    <row r="9799">
      <c r="A9799" s="2" t="n"/>
    </row>
    <row r="9800">
      <c r="A9800" s="2" t="n"/>
    </row>
    <row r="9801">
      <c r="A9801" s="2" t="n"/>
    </row>
    <row r="9802">
      <c r="A9802" s="2" t="n"/>
    </row>
    <row r="9803">
      <c r="A9803" s="2" t="n"/>
    </row>
    <row r="9804">
      <c r="A9804" s="2" t="n"/>
    </row>
    <row r="9805">
      <c r="A9805" s="2" t="n"/>
    </row>
    <row r="9806">
      <c r="A9806" s="2" t="n"/>
    </row>
    <row r="9807">
      <c r="A9807" s="2" t="n"/>
    </row>
    <row r="9808">
      <c r="A9808" s="2" t="n"/>
    </row>
    <row r="9809">
      <c r="A9809" s="2" t="n"/>
    </row>
    <row r="9810">
      <c r="A9810" s="2" t="n"/>
    </row>
    <row r="9811">
      <c r="A9811" s="2" t="n"/>
    </row>
    <row r="9812">
      <c r="A9812" s="2" t="n"/>
    </row>
    <row r="9813">
      <c r="A9813" s="2" t="n"/>
    </row>
    <row r="9814">
      <c r="A9814" s="2" t="n"/>
    </row>
    <row r="9815">
      <c r="A9815" s="2" t="n"/>
    </row>
    <row r="9816">
      <c r="A9816" s="2" t="n"/>
    </row>
    <row r="9817">
      <c r="A9817" s="2" t="n"/>
    </row>
    <row r="9818">
      <c r="A9818" s="2" t="n"/>
    </row>
    <row r="9819">
      <c r="A9819" s="2" t="n"/>
    </row>
    <row r="9820">
      <c r="A9820" s="2" t="n"/>
    </row>
    <row r="9821">
      <c r="A9821" s="2" t="n"/>
    </row>
    <row r="9822">
      <c r="A9822" s="2" t="n"/>
    </row>
    <row r="9823">
      <c r="A9823" s="2" t="n"/>
    </row>
    <row r="9824">
      <c r="A9824" s="2" t="n"/>
    </row>
    <row r="9825">
      <c r="A9825" s="2" t="n"/>
    </row>
    <row r="9826">
      <c r="A9826" s="2" t="n"/>
    </row>
    <row r="9827">
      <c r="A9827" s="2" t="n"/>
    </row>
    <row r="9828">
      <c r="A9828" s="2" t="n"/>
    </row>
    <row r="9829">
      <c r="A9829" s="2" t="n"/>
    </row>
    <row r="9830">
      <c r="A9830" s="2" t="n"/>
    </row>
    <row r="9831">
      <c r="A9831" s="2" t="n"/>
    </row>
    <row r="9832">
      <c r="A9832" s="2" t="n"/>
    </row>
    <row r="9833">
      <c r="A9833" s="2" t="n"/>
    </row>
    <row r="9834">
      <c r="A9834" s="2" t="n"/>
    </row>
    <row r="9835">
      <c r="A9835" s="2" t="n"/>
    </row>
    <row r="9836">
      <c r="A9836" s="2" t="n"/>
    </row>
    <row r="9837">
      <c r="A9837" s="2" t="n"/>
    </row>
    <row r="9838">
      <c r="A9838" s="2" t="n"/>
    </row>
    <row r="9839">
      <c r="A9839" s="2" t="n"/>
    </row>
    <row r="9840">
      <c r="A9840" s="2" t="n"/>
    </row>
    <row r="9841">
      <c r="A9841" s="2" t="n"/>
    </row>
    <row r="9842">
      <c r="A9842" s="2" t="n"/>
    </row>
    <row r="9843">
      <c r="A9843" s="2" t="n"/>
    </row>
    <row r="9844">
      <c r="A9844" s="2" t="n"/>
    </row>
    <row r="9845">
      <c r="A9845" s="2" t="n"/>
    </row>
    <row r="9846">
      <c r="A9846" s="2" t="n"/>
    </row>
    <row r="9847">
      <c r="A9847" s="2" t="n"/>
    </row>
    <row r="9848">
      <c r="A9848" s="2" t="n"/>
    </row>
    <row r="9849">
      <c r="A9849" s="2" t="n"/>
    </row>
    <row r="9850">
      <c r="A9850" s="2" t="n"/>
    </row>
    <row r="9851">
      <c r="A9851" s="2" t="n"/>
    </row>
    <row r="9852">
      <c r="A9852" s="2" t="n"/>
    </row>
    <row r="9853">
      <c r="A9853" s="2" t="n"/>
    </row>
    <row r="9854">
      <c r="A9854" s="2" t="n"/>
    </row>
    <row r="9855">
      <c r="A9855" s="2" t="n"/>
    </row>
    <row r="9856">
      <c r="A9856" s="2" t="n"/>
    </row>
    <row r="9857">
      <c r="A9857" s="2" t="n"/>
    </row>
    <row r="9858">
      <c r="A9858" s="2" t="n"/>
    </row>
    <row r="9859">
      <c r="A9859" s="2" t="n"/>
    </row>
    <row r="9860">
      <c r="A9860" s="2" t="n"/>
    </row>
    <row r="9861">
      <c r="A9861" s="2" t="n"/>
    </row>
    <row r="9862">
      <c r="A9862" s="2" t="n"/>
    </row>
    <row r="9863">
      <c r="A9863" s="2" t="n"/>
    </row>
    <row r="9864">
      <c r="A9864" s="2" t="n"/>
    </row>
    <row r="9865">
      <c r="A9865" s="2" t="n"/>
    </row>
    <row r="9866">
      <c r="A9866" s="2" t="n"/>
    </row>
    <row r="9867">
      <c r="A9867" s="2" t="n"/>
    </row>
    <row r="9868">
      <c r="A9868" s="2" t="n"/>
    </row>
    <row r="9869">
      <c r="A9869" s="2" t="n"/>
    </row>
    <row r="9870">
      <c r="A9870" s="2" t="n"/>
    </row>
    <row r="9871">
      <c r="A9871" s="2" t="n"/>
    </row>
    <row r="9872">
      <c r="A9872" s="2" t="n"/>
    </row>
    <row r="9873">
      <c r="A9873" s="2" t="n"/>
    </row>
    <row r="9874">
      <c r="A9874" s="2" t="n"/>
    </row>
    <row r="9875">
      <c r="A9875" s="2" t="n"/>
    </row>
    <row r="9876">
      <c r="A9876" s="2" t="n"/>
    </row>
    <row r="9877">
      <c r="A9877" s="2" t="n"/>
    </row>
    <row r="9878">
      <c r="A9878" s="2" t="n"/>
    </row>
    <row r="9879">
      <c r="A9879" s="2" t="n"/>
    </row>
    <row r="9880">
      <c r="A9880" s="2" t="n"/>
    </row>
    <row r="9881">
      <c r="A9881" s="2" t="n"/>
    </row>
    <row r="9882">
      <c r="A9882" s="2" t="n"/>
    </row>
    <row r="9883">
      <c r="A9883" s="2" t="n"/>
    </row>
    <row r="9884">
      <c r="A9884" s="2" t="n"/>
    </row>
    <row r="9885">
      <c r="A9885" s="2" t="n"/>
    </row>
    <row r="9886">
      <c r="A9886" s="2" t="n"/>
    </row>
    <row r="9887">
      <c r="A9887" s="2" t="n"/>
    </row>
    <row r="9888">
      <c r="A9888" s="2" t="n"/>
    </row>
    <row r="9889">
      <c r="A9889" s="2" t="n"/>
    </row>
    <row r="9890">
      <c r="A9890" s="2" t="n"/>
    </row>
    <row r="9891">
      <c r="A9891" s="2" t="n"/>
    </row>
    <row r="9892">
      <c r="A9892" s="2" t="n"/>
    </row>
    <row r="9893">
      <c r="A9893" s="2" t="n"/>
    </row>
    <row r="9894">
      <c r="A9894" s="2" t="n"/>
    </row>
    <row r="9895">
      <c r="A9895" s="2" t="n"/>
    </row>
    <row r="9896">
      <c r="A9896" s="2" t="n"/>
    </row>
    <row r="9897">
      <c r="A9897" s="2" t="n"/>
    </row>
    <row r="9898">
      <c r="A9898" s="2" t="n"/>
    </row>
    <row r="9899">
      <c r="A9899" s="2" t="n"/>
    </row>
    <row r="9900">
      <c r="A9900" s="2" t="n"/>
    </row>
    <row r="9901">
      <c r="A9901" s="2" t="n"/>
    </row>
    <row r="9902">
      <c r="A9902" s="2" t="n"/>
    </row>
    <row r="9903">
      <c r="A9903" s="2" t="n"/>
    </row>
    <row r="9904">
      <c r="A9904" s="2" t="n"/>
    </row>
    <row r="9905">
      <c r="A9905" s="2" t="n"/>
    </row>
    <row r="9906">
      <c r="A9906" s="2" t="n"/>
    </row>
    <row r="9907">
      <c r="A9907" s="2" t="n"/>
    </row>
    <row r="9908">
      <c r="A9908" s="2" t="n"/>
    </row>
    <row r="9909">
      <c r="A9909" s="2" t="n"/>
    </row>
    <row r="9910">
      <c r="A9910" s="2" t="n"/>
    </row>
    <row r="9911">
      <c r="A9911" s="2" t="n"/>
    </row>
    <row r="9912">
      <c r="A9912" s="2" t="n"/>
    </row>
    <row r="9913">
      <c r="A9913" s="2" t="n"/>
    </row>
    <row r="9914">
      <c r="A9914" s="2" t="n"/>
    </row>
    <row r="9915">
      <c r="A9915" s="2" t="n"/>
    </row>
    <row r="9916">
      <c r="A9916" s="2" t="n"/>
    </row>
    <row r="9917">
      <c r="A9917" s="2" t="n"/>
    </row>
    <row r="9918">
      <c r="A9918" s="2" t="n"/>
    </row>
    <row r="9919">
      <c r="A9919" s="2" t="n"/>
    </row>
    <row r="9920">
      <c r="A9920" s="2" t="n"/>
    </row>
    <row r="9921">
      <c r="A9921" s="2" t="n"/>
    </row>
    <row r="9922">
      <c r="A9922" s="2" t="n"/>
    </row>
    <row r="9923">
      <c r="A9923" s="2" t="n"/>
    </row>
    <row r="9924">
      <c r="A9924" s="2" t="n"/>
    </row>
    <row r="9925">
      <c r="A9925" s="2" t="n"/>
    </row>
    <row r="9926">
      <c r="A9926" s="2" t="n"/>
    </row>
    <row r="9927">
      <c r="A9927" s="2" t="n"/>
    </row>
    <row r="9928">
      <c r="A9928" s="2" t="n"/>
    </row>
    <row r="9929">
      <c r="A9929" s="2" t="n"/>
    </row>
    <row r="9930">
      <c r="A9930" s="2" t="n"/>
    </row>
    <row r="9931">
      <c r="A9931" s="2" t="n"/>
    </row>
    <row r="9932">
      <c r="A9932" s="2" t="n"/>
    </row>
    <row r="9933">
      <c r="A9933" s="2" t="n"/>
    </row>
    <row r="9934">
      <c r="A9934" s="2" t="n"/>
    </row>
    <row r="9935">
      <c r="A9935" s="2" t="n"/>
    </row>
    <row r="9936">
      <c r="A9936" s="2" t="n"/>
    </row>
    <row r="9937">
      <c r="A9937" s="2" t="n"/>
    </row>
    <row r="9938">
      <c r="A9938" s="2" t="n"/>
    </row>
    <row r="9939">
      <c r="A9939" s="2" t="n"/>
    </row>
    <row r="9940">
      <c r="A9940" s="2" t="n"/>
    </row>
    <row r="9941">
      <c r="A9941" s="2" t="n"/>
    </row>
    <row r="9942">
      <c r="A9942" s="2" t="n"/>
    </row>
    <row r="9943">
      <c r="A9943" s="2" t="n"/>
    </row>
    <row r="9944">
      <c r="A9944" s="2" t="n"/>
    </row>
    <row r="9945">
      <c r="A9945" s="2" t="n"/>
    </row>
    <row r="9946">
      <c r="A9946" s="2" t="n"/>
    </row>
    <row r="9947">
      <c r="A9947" s="2" t="n"/>
    </row>
    <row r="9948">
      <c r="A9948" s="2" t="n"/>
    </row>
    <row r="9949">
      <c r="A9949" s="2" t="n"/>
    </row>
    <row r="9950">
      <c r="A9950" s="2" t="n"/>
    </row>
    <row r="9951">
      <c r="A9951" s="2" t="n"/>
    </row>
    <row r="9952">
      <c r="A9952" s="2" t="n"/>
    </row>
    <row r="9953">
      <c r="A9953" s="2" t="n"/>
    </row>
    <row r="9954">
      <c r="A9954" s="2" t="n"/>
    </row>
    <row r="9955">
      <c r="A9955" s="2" t="n"/>
    </row>
    <row r="9956">
      <c r="A9956" s="2" t="n"/>
    </row>
    <row r="9957">
      <c r="A9957" s="2" t="n"/>
    </row>
    <row r="9958">
      <c r="A9958" s="2" t="n"/>
    </row>
    <row r="9959">
      <c r="A9959" s="2" t="n"/>
    </row>
    <row r="9960">
      <c r="A9960" s="2" t="n"/>
    </row>
    <row r="9961">
      <c r="A9961" s="2" t="n"/>
    </row>
    <row r="9962">
      <c r="A9962" s="2" t="n"/>
    </row>
    <row r="9963">
      <c r="A9963" s="2" t="n"/>
    </row>
    <row r="9964">
      <c r="A9964" s="2" t="n"/>
    </row>
    <row r="9965">
      <c r="A9965" s="2" t="n"/>
    </row>
    <row r="9966">
      <c r="A9966" s="2" t="n"/>
    </row>
    <row r="9967">
      <c r="A9967" s="2" t="n"/>
    </row>
    <row r="9968">
      <c r="A9968" s="2" t="n"/>
    </row>
    <row r="9969">
      <c r="A9969" s="2" t="n"/>
    </row>
    <row r="9970">
      <c r="A9970" s="2" t="n"/>
    </row>
    <row r="9971">
      <c r="A9971" s="2" t="n"/>
    </row>
    <row r="9972">
      <c r="A9972" s="2" t="n"/>
    </row>
    <row r="9973">
      <c r="A9973" s="2" t="n"/>
    </row>
    <row r="9974">
      <c r="A9974" s="2" t="n"/>
    </row>
    <row r="9975">
      <c r="A9975" s="2" t="n"/>
    </row>
    <row r="9976">
      <c r="A9976" s="2" t="n"/>
    </row>
    <row r="9977">
      <c r="A9977" s="2" t="n"/>
    </row>
    <row r="9978">
      <c r="A9978" s="2" t="n"/>
    </row>
    <row r="9979">
      <c r="A9979" s="2" t="n"/>
    </row>
    <row r="9980">
      <c r="A9980" s="2" t="n"/>
    </row>
    <row r="9981">
      <c r="A9981" s="2" t="n"/>
    </row>
    <row r="9982">
      <c r="A9982" s="2" t="n"/>
    </row>
    <row r="9983">
      <c r="A9983" s="2" t="n"/>
    </row>
    <row r="9984">
      <c r="A9984" s="2" t="n"/>
    </row>
    <row r="9985">
      <c r="A9985" s="2" t="n"/>
    </row>
    <row r="9986">
      <c r="A9986" s="2" t="n"/>
    </row>
    <row r="9987">
      <c r="A9987" s="2" t="n"/>
    </row>
    <row r="9988">
      <c r="A9988" s="2" t="n"/>
    </row>
    <row r="9989">
      <c r="A9989" s="2" t="n"/>
    </row>
    <row r="9990">
      <c r="A9990" s="2" t="n"/>
    </row>
    <row r="9991">
      <c r="A9991" s="2" t="n"/>
    </row>
    <row r="9992">
      <c r="A9992" s="2" t="n"/>
    </row>
    <row r="9993">
      <c r="A9993" s="2" t="n"/>
    </row>
    <row r="9994">
      <c r="A9994" s="2" t="n"/>
    </row>
    <row r="9995">
      <c r="A9995" s="2" t="n"/>
    </row>
    <row r="9996">
      <c r="A9996" s="2" t="n"/>
    </row>
    <row r="9997">
      <c r="A9997" s="2" t="n"/>
    </row>
    <row r="9998">
      <c r="A9998" s="2" t="n"/>
    </row>
    <row r="9999">
      <c r="A9999" s="2" t="n"/>
    </row>
    <row r="10000">
      <c r="A10000" s="2" t="n"/>
    </row>
    <row r="10001">
      <c r="A10001" s="2" t="n"/>
    </row>
    <row r="10002">
      <c r="A10002" s="2" t="n"/>
    </row>
    <row r="10003">
      <c r="A10003" s="2" t="n"/>
    </row>
    <row r="10004">
      <c r="A10004" s="2" t="n"/>
    </row>
    <row r="10005">
      <c r="A10005" s="2" t="n"/>
    </row>
    <row r="10006">
      <c r="A10006" s="2" t="n"/>
    </row>
    <row r="10007">
      <c r="A10007" s="2" t="n"/>
    </row>
    <row r="10008">
      <c r="A10008" s="2" t="n"/>
    </row>
    <row r="10009">
      <c r="A10009" s="2" t="n"/>
    </row>
    <row r="10010">
      <c r="A10010" s="2" t="n"/>
    </row>
    <row r="10011">
      <c r="A10011" s="2" t="n"/>
    </row>
    <row r="10012">
      <c r="A10012" s="2" t="n"/>
    </row>
    <row r="10013">
      <c r="A10013" s="2" t="n"/>
    </row>
    <row r="10014">
      <c r="A10014" s="2" t="n"/>
    </row>
    <row r="10015">
      <c r="A10015" s="2" t="n"/>
    </row>
    <row r="10016">
      <c r="A10016" s="2" t="n"/>
    </row>
    <row r="10017">
      <c r="A10017" s="2" t="n"/>
    </row>
    <row r="10018">
      <c r="A10018" s="2" t="n"/>
    </row>
    <row r="10019">
      <c r="A10019" s="2" t="n"/>
    </row>
    <row r="10020">
      <c r="A10020" s="2" t="n"/>
    </row>
    <row r="10021">
      <c r="A10021" s="2" t="n"/>
    </row>
    <row r="10022">
      <c r="A10022" s="2" t="n"/>
    </row>
    <row r="10023">
      <c r="A10023" s="2" t="n"/>
    </row>
    <row r="10024">
      <c r="A10024" s="2" t="n"/>
    </row>
    <row r="10025">
      <c r="A10025" s="2" t="n"/>
    </row>
    <row r="10026">
      <c r="A10026" s="2" t="n"/>
    </row>
    <row r="10027">
      <c r="A10027" s="2" t="n"/>
    </row>
    <row r="10028">
      <c r="A10028" s="2" t="n"/>
    </row>
    <row r="10029">
      <c r="A10029" s="2" t="n"/>
    </row>
    <row r="10030">
      <c r="A10030" s="2" t="n"/>
    </row>
    <row r="10031">
      <c r="A10031" s="2" t="n"/>
    </row>
    <row r="10032">
      <c r="A10032" s="2" t="n"/>
    </row>
    <row r="10033">
      <c r="A10033" s="2" t="n"/>
    </row>
    <row r="10034">
      <c r="A10034" s="2" t="n"/>
    </row>
    <row r="10035">
      <c r="A10035" s="2" t="n"/>
    </row>
    <row r="10036">
      <c r="A10036" s="2" t="n"/>
    </row>
    <row r="10037">
      <c r="A10037" s="2" t="n"/>
    </row>
    <row r="10038">
      <c r="A10038" s="2" t="n"/>
    </row>
    <row r="10039">
      <c r="A10039" s="2" t="n"/>
    </row>
    <row r="10040">
      <c r="A10040" s="2" t="n"/>
    </row>
    <row r="10041">
      <c r="A10041" s="2" t="n"/>
    </row>
    <row r="10042">
      <c r="A10042" s="2" t="n"/>
    </row>
    <row r="10043">
      <c r="A10043" s="2" t="n"/>
    </row>
    <row r="10044">
      <c r="A10044" s="2" t="n"/>
    </row>
    <row r="10045">
      <c r="A10045" s="2" t="n"/>
    </row>
    <row r="10046">
      <c r="A10046" s="2" t="n"/>
    </row>
    <row r="10047">
      <c r="A10047" s="2" t="n"/>
    </row>
    <row r="10048">
      <c r="A10048" s="2" t="n"/>
    </row>
    <row r="10049">
      <c r="A10049" s="2" t="n"/>
    </row>
    <row r="10050">
      <c r="A10050" s="2" t="n"/>
    </row>
    <row r="10051">
      <c r="A10051" s="2" t="n"/>
    </row>
    <row r="10052">
      <c r="A10052" s="2" t="n"/>
    </row>
    <row r="10053">
      <c r="A10053" s="2" t="n"/>
    </row>
    <row r="10054">
      <c r="A10054" s="2" t="n"/>
    </row>
    <row r="10055">
      <c r="A10055" s="2" t="n"/>
    </row>
    <row r="10056">
      <c r="A10056" s="2" t="n"/>
    </row>
    <row r="10057">
      <c r="A10057" s="2" t="n"/>
    </row>
    <row r="10058">
      <c r="A10058" s="2" t="n"/>
    </row>
    <row r="10059">
      <c r="A10059" s="2" t="n"/>
    </row>
    <row r="10060">
      <c r="A10060" s="2" t="n"/>
    </row>
    <row r="10061">
      <c r="A10061" s="2" t="n"/>
    </row>
    <row r="10062">
      <c r="A10062" s="2" t="n"/>
    </row>
    <row r="10063">
      <c r="A10063" s="2" t="n"/>
    </row>
    <row r="10064">
      <c r="A10064" s="2" t="n"/>
    </row>
    <row r="10065">
      <c r="A10065" s="2" t="n"/>
    </row>
    <row r="10066">
      <c r="A10066" s="2" t="n"/>
    </row>
    <row r="10067">
      <c r="A10067" s="2" t="n"/>
    </row>
    <row r="10068">
      <c r="A10068" s="2" t="n"/>
    </row>
    <row r="10069">
      <c r="A10069" s="2" t="n"/>
    </row>
    <row r="10070">
      <c r="A10070" s="2" t="n"/>
    </row>
    <row r="10071">
      <c r="A10071" s="2" t="n"/>
    </row>
    <row r="10072">
      <c r="A10072" s="2" t="n"/>
    </row>
    <row r="10073">
      <c r="A10073" s="2" t="n"/>
    </row>
    <row r="10074">
      <c r="A10074" s="2" t="n"/>
    </row>
    <row r="10075">
      <c r="A10075" s="2" t="n"/>
    </row>
    <row r="10076">
      <c r="A10076" s="2" t="n"/>
    </row>
    <row r="10077">
      <c r="A10077" s="2" t="n"/>
    </row>
    <row r="10078">
      <c r="A10078" s="2" t="n"/>
    </row>
    <row r="10079">
      <c r="A10079" s="2" t="n"/>
    </row>
    <row r="10080">
      <c r="A10080" s="2" t="n"/>
    </row>
    <row r="10081">
      <c r="A10081" s="2" t="n"/>
    </row>
    <row r="10082">
      <c r="A10082" s="2" t="n"/>
    </row>
    <row r="10083">
      <c r="A10083" s="2" t="n"/>
    </row>
    <row r="10084">
      <c r="A10084" s="2" t="n"/>
    </row>
    <row r="10085">
      <c r="A10085" s="2" t="n"/>
    </row>
    <row r="10086">
      <c r="A10086" s="2" t="n"/>
    </row>
    <row r="10087">
      <c r="A10087" s="2" t="n"/>
    </row>
    <row r="10088">
      <c r="A10088" s="2" t="n"/>
    </row>
    <row r="10089">
      <c r="A10089" s="2" t="n"/>
    </row>
    <row r="10090">
      <c r="A10090" s="2" t="n"/>
    </row>
    <row r="10091">
      <c r="A10091" s="2" t="n"/>
    </row>
    <row r="10092">
      <c r="A10092" s="2" t="n"/>
    </row>
    <row r="10093">
      <c r="A10093" s="2" t="n"/>
    </row>
    <row r="10094">
      <c r="A10094" s="2" t="n"/>
    </row>
    <row r="10095">
      <c r="A10095" s="2" t="n"/>
    </row>
    <row r="10096">
      <c r="A10096" s="2" t="n"/>
    </row>
    <row r="10097">
      <c r="A10097" s="2" t="n"/>
    </row>
    <row r="10098">
      <c r="A10098" s="2" t="n"/>
    </row>
    <row r="10099">
      <c r="A10099" s="2" t="n"/>
    </row>
    <row r="10100">
      <c r="A10100" s="2" t="n"/>
    </row>
    <row r="10101">
      <c r="A10101" s="2" t="n"/>
    </row>
    <row r="10102">
      <c r="A10102" s="2" t="n"/>
    </row>
    <row r="10103">
      <c r="A10103" s="2" t="n"/>
    </row>
    <row r="10104">
      <c r="A10104" s="2" t="n"/>
    </row>
    <row r="10105">
      <c r="A10105" s="2" t="n"/>
    </row>
    <row r="10106">
      <c r="A10106" s="2" t="n"/>
    </row>
    <row r="10107">
      <c r="A10107" s="2" t="n"/>
    </row>
    <row r="10108">
      <c r="A10108" s="2" t="n"/>
    </row>
    <row r="10109">
      <c r="A10109" s="2" t="n"/>
    </row>
    <row r="10110">
      <c r="A10110" s="2" t="n"/>
    </row>
    <row r="10111">
      <c r="A10111" s="2" t="n"/>
    </row>
    <row r="10112">
      <c r="A10112" s="2" t="n"/>
    </row>
    <row r="10113">
      <c r="A10113" s="2" t="n"/>
    </row>
    <row r="10114">
      <c r="A10114" s="2" t="n"/>
    </row>
    <row r="10115">
      <c r="A10115" s="2" t="n"/>
    </row>
    <row r="10116">
      <c r="A10116" s="2" t="n"/>
    </row>
    <row r="10117">
      <c r="A10117" s="2" t="n"/>
    </row>
    <row r="10118">
      <c r="A10118" s="2" t="n"/>
    </row>
    <row r="10119">
      <c r="A10119" s="2" t="n"/>
    </row>
    <row r="10120">
      <c r="A10120" s="2" t="n"/>
    </row>
    <row r="10121">
      <c r="A10121" s="2" t="n"/>
    </row>
    <row r="10122">
      <c r="A10122" s="2" t="n"/>
    </row>
    <row r="10123">
      <c r="A10123" s="2" t="n"/>
    </row>
    <row r="10124">
      <c r="A10124" s="2" t="n"/>
    </row>
    <row r="10125">
      <c r="A10125" s="2" t="n"/>
    </row>
    <row r="10126">
      <c r="A10126" s="2" t="n"/>
    </row>
    <row r="10127">
      <c r="A10127" s="2" t="n"/>
    </row>
    <row r="10128">
      <c r="A10128" s="2" t="n"/>
    </row>
    <row r="10129">
      <c r="A10129" s="2" t="n"/>
    </row>
    <row r="10130">
      <c r="A10130" s="2" t="n"/>
    </row>
    <row r="10131">
      <c r="A10131" s="2" t="n"/>
    </row>
    <row r="10132">
      <c r="A10132" s="2" t="n"/>
    </row>
    <row r="10133">
      <c r="A10133" s="2" t="n"/>
    </row>
    <row r="10134">
      <c r="A10134" s="2" t="n"/>
    </row>
    <row r="10135">
      <c r="A10135" s="2" t="n"/>
    </row>
    <row r="10136">
      <c r="A10136" s="2" t="n"/>
    </row>
    <row r="10137">
      <c r="A10137" s="2" t="n"/>
    </row>
    <row r="10138">
      <c r="A10138" s="2" t="n"/>
    </row>
    <row r="10139">
      <c r="A10139" s="2" t="n"/>
    </row>
    <row r="10140">
      <c r="A10140" s="2" t="n"/>
    </row>
    <row r="10141">
      <c r="A10141" s="2" t="n"/>
    </row>
    <row r="10142">
      <c r="A10142" s="2" t="n"/>
    </row>
    <row r="10143">
      <c r="A10143" s="2" t="n"/>
    </row>
    <row r="10144">
      <c r="A10144" s="2" t="n"/>
    </row>
    <row r="10145">
      <c r="A10145" s="2" t="n"/>
    </row>
    <row r="10146">
      <c r="A10146" s="2" t="n"/>
    </row>
    <row r="10147">
      <c r="A10147" s="2" t="n"/>
    </row>
    <row r="10148">
      <c r="A10148" s="2" t="n"/>
    </row>
    <row r="10149">
      <c r="A10149" s="2" t="n"/>
    </row>
    <row r="10150">
      <c r="A10150" s="2" t="n"/>
    </row>
    <row r="10151">
      <c r="A10151" s="2" t="n"/>
    </row>
    <row r="10152">
      <c r="A10152" s="2" t="n"/>
    </row>
    <row r="10153">
      <c r="A10153" s="2" t="n"/>
    </row>
    <row r="10154">
      <c r="A10154" s="2" t="n"/>
    </row>
    <row r="10155">
      <c r="A10155" s="2" t="n"/>
    </row>
    <row r="10156">
      <c r="A10156" s="2" t="n"/>
    </row>
    <row r="10157">
      <c r="A10157" s="2" t="n"/>
    </row>
    <row r="10158">
      <c r="A10158" s="2" t="n"/>
    </row>
    <row r="10159">
      <c r="A10159" s="2" t="n"/>
    </row>
    <row r="10160">
      <c r="A10160" s="2" t="n"/>
    </row>
    <row r="10161">
      <c r="A10161" s="2" t="n"/>
    </row>
    <row r="10162">
      <c r="A10162" s="2" t="n"/>
    </row>
    <row r="10163">
      <c r="A10163" s="2" t="n"/>
    </row>
    <row r="10164">
      <c r="A10164" s="2" t="n"/>
    </row>
    <row r="10165">
      <c r="A10165" s="2" t="n"/>
    </row>
    <row r="10166">
      <c r="A10166" s="2" t="n"/>
    </row>
    <row r="10167">
      <c r="A10167" s="2" t="n"/>
    </row>
    <row r="10168">
      <c r="A10168" s="2" t="n"/>
    </row>
    <row r="10169">
      <c r="A10169" s="2" t="n"/>
    </row>
    <row r="10170">
      <c r="A10170" s="2" t="n"/>
    </row>
    <row r="10171">
      <c r="A10171" s="2" t="n"/>
    </row>
    <row r="10172">
      <c r="A10172" s="2" t="n"/>
    </row>
    <row r="10173">
      <c r="A10173" s="2" t="n"/>
    </row>
    <row r="10174">
      <c r="A10174" s="2" t="n"/>
    </row>
    <row r="10175">
      <c r="A10175" s="2" t="n"/>
    </row>
    <row r="10176">
      <c r="A10176" s="2" t="n"/>
    </row>
    <row r="10177">
      <c r="A10177" s="2" t="n"/>
    </row>
    <row r="10178">
      <c r="A10178" s="2" t="n"/>
    </row>
    <row r="10179">
      <c r="A10179" s="2" t="n"/>
    </row>
    <row r="10180">
      <c r="A10180" s="2" t="n"/>
    </row>
    <row r="10181">
      <c r="A10181" s="2" t="n"/>
    </row>
    <row r="10182">
      <c r="A10182" s="2" t="n"/>
    </row>
    <row r="10183">
      <c r="A10183" s="2" t="n"/>
    </row>
    <row r="10184">
      <c r="A10184" s="2" t="n"/>
    </row>
    <row r="10185">
      <c r="A10185" s="2" t="n"/>
    </row>
    <row r="10186">
      <c r="A10186" s="2" t="n"/>
    </row>
    <row r="10187">
      <c r="A10187" s="2" t="n"/>
    </row>
    <row r="10188">
      <c r="A10188" s="2" t="n"/>
    </row>
    <row r="10189">
      <c r="A10189" s="2" t="n"/>
    </row>
    <row r="10190">
      <c r="A10190" s="2" t="n"/>
    </row>
    <row r="10191">
      <c r="A10191" s="2" t="n"/>
    </row>
    <row r="10192">
      <c r="A10192" s="2" t="n"/>
    </row>
    <row r="10193">
      <c r="A10193" s="2" t="n"/>
    </row>
    <row r="10194">
      <c r="A10194" s="2" t="n"/>
    </row>
    <row r="10195">
      <c r="A10195" s="2" t="n"/>
    </row>
    <row r="10196">
      <c r="A10196" s="2" t="n"/>
    </row>
    <row r="10197">
      <c r="A10197" s="2" t="n"/>
    </row>
    <row r="10198">
      <c r="A10198" s="2" t="n"/>
    </row>
    <row r="10199">
      <c r="A10199" s="2" t="n"/>
    </row>
    <row r="10200">
      <c r="A10200" s="2" t="n"/>
    </row>
    <row r="10201">
      <c r="A10201" s="2" t="n"/>
    </row>
    <row r="10202">
      <c r="A10202" s="2" t="n"/>
    </row>
    <row r="10203">
      <c r="A10203" s="2" t="n"/>
    </row>
    <row r="10204">
      <c r="A10204" s="2" t="n"/>
    </row>
    <row r="10205">
      <c r="A10205" s="2" t="n"/>
    </row>
    <row r="10206">
      <c r="A10206" s="2" t="n"/>
    </row>
    <row r="10207">
      <c r="A10207" s="2" t="n"/>
    </row>
    <row r="10208">
      <c r="A10208" s="2" t="n"/>
    </row>
    <row r="10209">
      <c r="A10209" s="2" t="n"/>
    </row>
    <row r="10210">
      <c r="A10210" s="2" t="n"/>
    </row>
    <row r="10211">
      <c r="A10211" s="2" t="n"/>
    </row>
    <row r="10212">
      <c r="A10212" s="2" t="n"/>
    </row>
    <row r="10213">
      <c r="A10213" s="2" t="n"/>
    </row>
    <row r="10214">
      <c r="A10214" s="2" t="n"/>
    </row>
    <row r="10215">
      <c r="A10215" s="2" t="n"/>
    </row>
    <row r="10216">
      <c r="A10216" s="2" t="n"/>
    </row>
    <row r="10217">
      <c r="A10217" s="2" t="n"/>
    </row>
    <row r="10218">
      <c r="A10218" s="2" t="n"/>
    </row>
    <row r="10219">
      <c r="A10219" s="2" t="n"/>
    </row>
    <row r="10220">
      <c r="A10220" s="2" t="n"/>
    </row>
    <row r="10221">
      <c r="A10221" s="2" t="n"/>
    </row>
    <row r="10222">
      <c r="A10222" s="2" t="n"/>
    </row>
    <row r="10223">
      <c r="A10223" s="2" t="n"/>
    </row>
    <row r="10224">
      <c r="A10224" s="2" t="n"/>
    </row>
    <row r="10225">
      <c r="A10225" s="2" t="n"/>
    </row>
    <row r="10226">
      <c r="A10226" s="2" t="n"/>
    </row>
    <row r="10227">
      <c r="A10227" s="2" t="n"/>
    </row>
    <row r="10228">
      <c r="A10228" s="2" t="n"/>
    </row>
    <row r="10229">
      <c r="A10229" s="2" t="n"/>
    </row>
    <row r="10230">
      <c r="A10230" s="2" t="n"/>
    </row>
    <row r="10231">
      <c r="A10231" s="2" t="n"/>
    </row>
    <row r="10232">
      <c r="A10232" s="2" t="n"/>
    </row>
    <row r="10233">
      <c r="A10233" s="2" t="n"/>
    </row>
    <row r="10234">
      <c r="A10234" s="2" t="n"/>
    </row>
    <row r="10235">
      <c r="A10235" s="2" t="n"/>
    </row>
    <row r="10236">
      <c r="A10236" s="2" t="n"/>
    </row>
    <row r="10237">
      <c r="A10237" s="2" t="n"/>
    </row>
    <row r="10238">
      <c r="A10238" s="2" t="n"/>
    </row>
    <row r="10239">
      <c r="A10239" s="2" t="n"/>
    </row>
    <row r="10240">
      <c r="A10240" s="2" t="n"/>
    </row>
    <row r="10241">
      <c r="A10241" s="2" t="n"/>
    </row>
    <row r="10242">
      <c r="A10242" s="2" t="n"/>
    </row>
    <row r="10243">
      <c r="A10243" s="2" t="n"/>
    </row>
    <row r="10244">
      <c r="A10244" s="2" t="n"/>
    </row>
    <row r="10245">
      <c r="A10245" s="2" t="n"/>
    </row>
    <row r="10246">
      <c r="A10246" s="2" t="n"/>
    </row>
    <row r="10247">
      <c r="A10247" s="2" t="n"/>
    </row>
    <row r="10248">
      <c r="A10248" s="2" t="n"/>
    </row>
    <row r="10249">
      <c r="A10249" s="2" t="n"/>
    </row>
    <row r="10250">
      <c r="A10250" s="2" t="n"/>
    </row>
    <row r="10251">
      <c r="A10251" s="2" t="n"/>
    </row>
    <row r="10252">
      <c r="A10252" s="2" t="n"/>
    </row>
    <row r="10253">
      <c r="A10253" s="2" t="n"/>
    </row>
    <row r="10254">
      <c r="A10254" s="2" t="n"/>
    </row>
    <row r="10255">
      <c r="A10255" s="2" t="n"/>
    </row>
    <row r="10256">
      <c r="A10256" s="2" t="n"/>
    </row>
    <row r="10257">
      <c r="A10257" s="2" t="n"/>
    </row>
    <row r="10258">
      <c r="A10258" s="2" t="n"/>
    </row>
    <row r="10259">
      <c r="A10259" s="2" t="n"/>
    </row>
    <row r="10260">
      <c r="A10260" s="2" t="n"/>
    </row>
    <row r="10261">
      <c r="A10261" s="2" t="n"/>
    </row>
    <row r="10262">
      <c r="A10262" s="2" t="n"/>
    </row>
    <row r="10263">
      <c r="A10263" s="2" t="n"/>
    </row>
    <row r="10264">
      <c r="A10264" s="2" t="n"/>
    </row>
    <row r="10265">
      <c r="A10265" s="2" t="n"/>
    </row>
    <row r="10266">
      <c r="A10266" s="2" t="n"/>
    </row>
    <row r="10267">
      <c r="A10267" s="2" t="n"/>
    </row>
    <row r="10268">
      <c r="A10268" s="2" t="n"/>
    </row>
    <row r="10269">
      <c r="A10269" s="2" t="n"/>
    </row>
    <row r="10270">
      <c r="A10270" s="2" t="n"/>
    </row>
    <row r="10271">
      <c r="A10271" s="2" t="n"/>
    </row>
    <row r="10272">
      <c r="A10272" s="2" t="n"/>
    </row>
    <row r="10273">
      <c r="A10273" s="2" t="n"/>
    </row>
    <row r="10274">
      <c r="A10274" s="2" t="n"/>
    </row>
    <row r="10275">
      <c r="A10275" s="2" t="n"/>
    </row>
    <row r="10276">
      <c r="A10276" s="2" t="n"/>
    </row>
    <row r="10277">
      <c r="A10277" s="2" t="n"/>
    </row>
    <row r="10278">
      <c r="A10278" s="2" t="n"/>
    </row>
    <row r="10279">
      <c r="A10279" s="2" t="n"/>
    </row>
    <row r="10280">
      <c r="A10280" s="2" t="n"/>
    </row>
    <row r="10281">
      <c r="A10281" s="2" t="n"/>
    </row>
    <row r="10282">
      <c r="A10282" s="2" t="n"/>
    </row>
    <row r="10283">
      <c r="A10283" s="2" t="n"/>
    </row>
    <row r="10284">
      <c r="A10284" s="2" t="n"/>
    </row>
    <row r="10285">
      <c r="A10285" s="2" t="n"/>
    </row>
    <row r="10286">
      <c r="A10286" s="2" t="n"/>
    </row>
    <row r="10287">
      <c r="A10287" s="2" t="n"/>
    </row>
    <row r="10288">
      <c r="A10288" s="2" t="n"/>
    </row>
    <row r="10289">
      <c r="A10289" s="2" t="n"/>
    </row>
    <row r="10290">
      <c r="A10290" s="2" t="n"/>
    </row>
    <row r="10291">
      <c r="A10291" s="2" t="n"/>
    </row>
    <row r="10292">
      <c r="A10292" s="2" t="n"/>
    </row>
    <row r="10293">
      <c r="A10293" s="2" t="n"/>
    </row>
    <row r="10294">
      <c r="A10294" s="2" t="n"/>
    </row>
    <row r="10295">
      <c r="A10295" s="2" t="n"/>
    </row>
    <row r="10296">
      <c r="A10296" s="2" t="n"/>
    </row>
    <row r="10297">
      <c r="A10297" s="2" t="n"/>
    </row>
    <row r="10298">
      <c r="A10298" s="2" t="n"/>
    </row>
    <row r="10299">
      <c r="A10299" s="2" t="n"/>
    </row>
    <row r="10300">
      <c r="A10300" s="2" t="n"/>
    </row>
    <row r="10301">
      <c r="A10301" s="2" t="n"/>
    </row>
    <row r="10302">
      <c r="A10302" s="2" t="n"/>
    </row>
    <row r="10303">
      <c r="A10303" s="2" t="n"/>
    </row>
    <row r="10304">
      <c r="A10304" s="2" t="n"/>
    </row>
    <row r="10305">
      <c r="A10305" s="2" t="n"/>
    </row>
    <row r="10306">
      <c r="A10306" s="2" t="n"/>
    </row>
    <row r="10307">
      <c r="A10307" s="2" t="n"/>
    </row>
    <row r="10308">
      <c r="A10308" s="2" t="n"/>
    </row>
    <row r="10309">
      <c r="A10309" s="2" t="n"/>
    </row>
    <row r="10310">
      <c r="A10310" s="2" t="n"/>
    </row>
    <row r="10311">
      <c r="A10311" s="2" t="n"/>
    </row>
    <row r="10312">
      <c r="A10312" s="2" t="n"/>
    </row>
    <row r="10313">
      <c r="A10313" s="2" t="n"/>
    </row>
    <row r="10314">
      <c r="A10314" s="2" t="n"/>
    </row>
    <row r="10315">
      <c r="A10315" s="2" t="n"/>
    </row>
    <row r="10316">
      <c r="A10316" s="2" t="n"/>
    </row>
    <row r="10317">
      <c r="A10317" s="2" t="n"/>
    </row>
    <row r="10318">
      <c r="A10318" s="2" t="n"/>
    </row>
    <row r="10319">
      <c r="A10319" s="2" t="n"/>
    </row>
    <row r="10320">
      <c r="A10320" s="2" t="n"/>
    </row>
    <row r="10321">
      <c r="A10321" s="2" t="n"/>
    </row>
    <row r="10322">
      <c r="A10322" s="2" t="n"/>
    </row>
    <row r="10323">
      <c r="A10323" s="2" t="n"/>
    </row>
    <row r="10324">
      <c r="A10324" s="2" t="n"/>
    </row>
    <row r="10325">
      <c r="A10325" s="2" t="n"/>
    </row>
    <row r="10326">
      <c r="A10326" s="2" t="n"/>
    </row>
    <row r="10327">
      <c r="A10327" s="2" t="n"/>
    </row>
    <row r="10328">
      <c r="A10328" s="2" t="n"/>
    </row>
    <row r="10329">
      <c r="A10329" s="2" t="n"/>
    </row>
    <row r="10330">
      <c r="A10330" s="2" t="n"/>
    </row>
    <row r="10331">
      <c r="A10331" s="2" t="n"/>
    </row>
    <row r="10332">
      <c r="A10332" s="2" t="n"/>
    </row>
    <row r="10333">
      <c r="A10333" s="2" t="n"/>
    </row>
    <row r="10334">
      <c r="A10334" s="2" t="n"/>
    </row>
    <row r="10335">
      <c r="A10335" s="2" t="n"/>
    </row>
    <row r="10336">
      <c r="A10336" s="2" t="n"/>
    </row>
    <row r="10337">
      <c r="A10337" s="2" t="n"/>
    </row>
    <row r="10338">
      <c r="A10338" s="2" t="n"/>
    </row>
    <row r="10339">
      <c r="A10339" s="2" t="n"/>
    </row>
    <row r="10340">
      <c r="A10340" s="2" t="n"/>
    </row>
    <row r="10341">
      <c r="A10341" s="2" t="n"/>
    </row>
    <row r="10342">
      <c r="A10342" s="2" t="n"/>
    </row>
    <row r="10343">
      <c r="A10343" s="2" t="n"/>
    </row>
    <row r="10344">
      <c r="A10344" s="2" t="n"/>
    </row>
    <row r="10345">
      <c r="A10345" s="2" t="n"/>
    </row>
    <row r="10346">
      <c r="A10346" s="2" t="n"/>
    </row>
    <row r="10347">
      <c r="A10347" s="2" t="n"/>
    </row>
    <row r="10348">
      <c r="A10348" s="2" t="n"/>
    </row>
    <row r="10349">
      <c r="A10349" s="2" t="n"/>
    </row>
    <row r="10350">
      <c r="A10350" s="2" t="n"/>
    </row>
    <row r="10351">
      <c r="A10351" s="2" t="n"/>
    </row>
    <row r="10352">
      <c r="A10352" s="2" t="n"/>
    </row>
    <row r="10353">
      <c r="A10353" s="2" t="n"/>
    </row>
    <row r="10354">
      <c r="A10354" s="2" t="n"/>
    </row>
    <row r="10355">
      <c r="A10355" s="2" t="n"/>
    </row>
    <row r="10356">
      <c r="A10356" s="2" t="n"/>
    </row>
    <row r="10357">
      <c r="A10357" s="2" t="n"/>
    </row>
    <row r="10358">
      <c r="A10358" s="2" t="n"/>
    </row>
    <row r="10359">
      <c r="A10359" s="2" t="n"/>
    </row>
    <row r="10360">
      <c r="A10360" s="2" t="n"/>
    </row>
    <row r="10361">
      <c r="A10361" s="2" t="n"/>
    </row>
    <row r="10362">
      <c r="A10362" s="2" t="n"/>
    </row>
    <row r="10363">
      <c r="A10363" s="2" t="n"/>
    </row>
    <row r="10364">
      <c r="A10364" s="2" t="n"/>
    </row>
    <row r="10365">
      <c r="A10365" s="2" t="n"/>
    </row>
    <row r="10366">
      <c r="A10366" s="2" t="n"/>
    </row>
    <row r="10367">
      <c r="A10367" s="2" t="n"/>
    </row>
    <row r="10368">
      <c r="A10368" s="2" t="n"/>
    </row>
    <row r="10369">
      <c r="A10369" s="2" t="n"/>
    </row>
    <row r="10370">
      <c r="A10370" s="2" t="n"/>
    </row>
    <row r="10371">
      <c r="A10371" s="2" t="n"/>
    </row>
    <row r="10372">
      <c r="A10372" s="2" t="n"/>
    </row>
    <row r="10373">
      <c r="A10373" s="2" t="n"/>
    </row>
    <row r="10374">
      <c r="A10374" s="2" t="n"/>
    </row>
    <row r="10375">
      <c r="A10375" s="2" t="n"/>
    </row>
    <row r="10376">
      <c r="A10376" s="2" t="n"/>
    </row>
    <row r="10377">
      <c r="A10377" s="2" t="n"/>
    </row>
    <row r="10378">
      <c r="A10378" s="2" t="n"/>
    </row>
    <row r="10379">
      <c r="A10379" s="2" t="n"/>
    </row>
    <row r="10380">
      <c r="A10380" s="2" t="n"/>
    </row>
    <row r="10381">
      <c r="A10381" s="2" t="n"/>
    </row>
    <row r="10382">
      <c r="A10382" s="2" t="n"/>
    </row>
    <row r="10383">
      <c r="A10383" s="2" t="n"/>
    </row>
    <row r="10384">
      <c r="A10384" s="2" t="n"/>
    </row>
    <row r="10385">
      <c r="A10385" s="2" t="n"/>
    </row>
    <row r="10386">
      <c r="A10386" s="2" t="n"/>
    </row>
    <row r="10387">
      <c r="A10387" s="2" t="n"/>
    </row>
    <row r="10388">
      <c r="A10388" s="2" t="n"/>
    </row>
    <row r="10389">
      <c r="A10389" s="2" t="n"/>
    </row>
    <row r="10390">
      <c r="A10390" s="2" t="n"/>
    </row>
    <row r="10391">
      <c r="A10391" s="2" t="n"/>
    </row>
    <row r="10392">
      <c r="A10392" s="2" t="n"/>
    </row>
    <row r="10393">
      <c r="A10393" s="2" t="n"/>
    </row>
    <row r="10394">
      <c r="A10394" s="2" t="n"/>
    </row>
    <row r="10395">
      <c r="A10395" s="2" t="n"/>
    </row>
    <row r="10396">
      <c r="A10396" s="2" t="n"/>
    </row>
    <row r="10397">
      <c r="A10397" s="2" t="n"/>
    </row>
    <row r="10398">
      <c r="A10398" s="2" t="n"/>
    </row>
    <row r="10399">
      <c r="A10399" s="2" t="n"/>
    </row>
    <row r="10400">
      <c r="A10400" s="2" t="n"/>
    </row>
    <row r="10401">
      <c r="A10401" s="2" t="n"/>
    </row>
    <row r="10402">
      <c r="A10402" s="2" t="n"/>
    </row>
    <row r="10403">
      <c r="A10403" s="2" t="n"/>
    </row>
    <row r="10404">
      <c r="A10404" s="2" t="n"/>
    </row>
    <row r="10405">
      <c r="A10405" s="2" t="n"/>
    </row>
    <row r="10406">
      <c r="A10406" s="2" t="n"/>
    </row>
    <row r="10407">
      <c r="A10407" s="2" t="n"/>
    </row>
    <row r="10408">
      <c r="A10408" s="2" t="n"/>
    </row>
    <row r="10409">
      <c r="A10409" s="2" t="n"/>
    </row>
    <row r="10410">
      <c r="A10410" s="2" t="n"/>
    </row>
    <row r="10411">
      <c r="A10411" s="2" t="n"/>
    </row>
    <row r="10412">
      <c r="A10412" s="2" t="n"/>
    </row>
    <row r="10413">
      <c r="A10413" s="2" t="n"/>
    </row>
    <row r="10414">
      <c r="A10414" s="2" t="n"/>
    </row>
    <row r="10415">
      <c r="A10415" s="2" t="n"/>
    </row>
    <row r="10416">
      <c r="A10416" s="2" t="n"/>
    </row>
    <row r="10417">
      <c r="A10417" s="2" t="n"/>
    </row>
    <row r="10418">
      <c r="A10418" s="2" t="n"/>
    </row>
    <row r="10419">
      <c r="A10419" s="2" t="n"/>
    </row>
    <row r="10420">
      <c r="A10420" s="2" t="n"/>
    </row>
    <row r="10421">
      <c r="A10421" s="2" t="n"/>
    </row>
    <row r="10422">
      <c r="A10422" s="2" t="n"/>
    </row>
    <row r="10423">
      <c r="A10423" s="2" t="n"/>
    </row>
    <row r="10424">
      <c r="A10424" s="2" t="n"/>
    </row>
    <row r="10425">
      <c r="A10425" s="2" t="n"/>
    </row>
    <row r="10426">
      <c r="A10426" s="2" t="n"/>
    </row>
    <row r="10427">
      <c r="A10427" s="2" t="n"/>
    </row>
    <row r="10428">
      <c r="A10428" s="2" t="n"/>
    </row>
    <row r="10429">
      <c r="A10429" s="2" t="n"/>
    </row>
    <row r="10430">
      <c r="A10430" s="2" t="n"/>
    </row>
    <row r="10431">
      <c r="A10431" s="2" t="n"/>
    </row>
    <row r="10432">
      <c r="A10432" s="2" t="n"/>
    </row>
    <row r="10433">
      <c r="A10433" s="2" t="n"/>
    </row>
    <row r="10434">
      <c r="A10434" s="2" t="n"/>
    </row>
    <row r="10435">
      <c r="A10435" s="2" t="n"/>
    </row>
    <row r="10436">
      <c r="A10436" s="2" t="n"/>
    </row>
    <row r="10437">
      <c r="A10437" s="2" t="n"/>
    </row>
    <row r="10438">
      <c r="A10438" s="2" t="n"/>
    </row>
    <row r="10439">
      <c r="A10439" s="2" t="n"/>
    </row>
    <row r="10440">
      <c r="A10440" s="2" t="n"/>
    </row>
    <row r="10441">
      <c r="A10441" s="2" t="n"/>
    </row>
    <row r="10442">
      <c r="A10442" s="2" t="n"/>
    </row>
    <row r="10443">
      <c r="A10443" s="2" t="n"/>
    </row>
    <row r="10444">
      <c r="A10444" s="2" t="n"/>
    </row>
    <row r="10445">
      <c r="A10445" s="2" t="n"/>
    </row>
    <row r="10446">
      <c r="A10446" s="2" t="n"/>
    </row>
    <row r="10447">
      <c r="A10447" s="2" t="n"/>
    </row>
    <row r="10448">
      <c r="A10448" s="2" t="n"/>
    </row>
    <row r="10449">
      <c r="A10449" s="2" t="n"/>
    </row>
    <row r="10450">
      <c r="A10450" s="2" t="n"/>
    </row>
    <row r="10451">
      <c r="A10451" s="2" t="n"/>
    </row>
    <row r="10452">
      <c r="A10452" s="2" t="n"/>
    </row>
    <row r="10453">
      <c r="A10453" s="2" t="n"/>
    </row>
    <row r="10454">
      <c r="A10454" s="2" t="n"/>
    </row>
    <row r="10455">
      <c r="A10455" s="2" t="n"/>
    </row>
    <row r="10456">
      <c r="A10456" s="2" t="n"/>
    </row>
    <row r="10457">
      <c r="A10457" s="2" t="n"/>
    </row>
    <row r="10458">
      <c r="A10458" s="2" t="n"/>
    </row>
    <row r="10459">
      <c r="A10459" s="2" t="n"/>
    </row>
    <row r="10460">
      <c r="A10460" s="2" t="n"/>
    </row>
    <row r="10461">
      <c r="A10461" s="2" t="n"/>
    </row>
    <row r="10462">
      <c r="A10462" s="2" t="n"/>
    </row>
    <row r="10463">
      <c r="A10463" s="2" t="n"/>
    </row>
    <row r="10464">
      <c r="A10464" s="2" t="n"/>
    </row>
    <row r="10465">
      <c r="A10465" s="2" t="n"/>
    </row>
    <row r="10466">
      <c r="A10466" s="2" t="n"/>
    </row>
    <row r="10467">
      <c r="A10467" s="2" t="n"/>
    </row>
    <row r="10468">
      <c r="A10468" s="2" t="n"/>
    </row>
    <row r="10469">
      <c r="A10469" s="2" t="n"/>
    </row>
    <row r="10470">
      <c r="A10470" s="2" t="n"/>
    </row>
    <row r="10471">
      <c r="A10471" s="2" t="n"/>
    </row>
    <row r="10472">
      <c r="A10472" s="2" t="n"/>
    </row>
    <row r="10473">
      <c r="A10473" s="2" t="n"/>
    </row>
    <row r="10474">
      <c r="A10474" s="2" t="n"/>
    </row>
    <row r="10475">
      <c r="A10475" s="2" t="n"/>
    </row>
    <row r="10476">
      <c r="A10476" s="2" t="n"/>
    </row>
    <row r="10477">
      <c r="A10477" s="2" t="n"/>
    </row>
    <row r="10478">
      <c r="A10478" s="2" t="n"/>
    </row>
    <row r="10479">
      <c r="A10479" s="2" t="n"/>
    </row>
    <row r="10480">
      <c r="A10480" s="2" t="n"/>
    </row>
    <row r="10481">
      <c r="A10481" s="2" t="n"/>
    </row>
    <row r="10482">
      <c r="A10482" s="2" t="n"/>
    </row>
    <row r="10483">
      <c r="A10483" s="2" t="n"/>
    </row>
    <row r="10484">
      <c r="A10484" s="2" t="n"/>
    </row>
    <row r="10485">
      <c r="A10485" s="2" t="n"/>
    </row>
    <row r="10486">
      <c r="A10486" s="2" t="n"/>
    </row>
    <row r="10487">
      <c r="A10487" s="2" t="n"/>
    </row>
    <row r="10488">
      <c r="A10488" s="2" t="n"/>
    </row>
    <row r="10489">
      <c r="A10489" s="2" t="n"/>
    </row>
    <row r="10490">
      <c r="A10490" s="2" t="n"/>
    </row>
    <row r="10491">
      <c r="A10491" s="2" t="n"/>
    </row>
    <row r="10492">
      <c r="A10492" s="2" t="n"/>
    </row>
    <row r="10493">
      <c r="A10493" s="2" t="n"/>
    </row>
    <row r="10494">
      <c r="A10494" s="2" t="n"/>
    </row>
    <row r="10495">
      <c r="A10495" s="2" t="n"/>
    </row>
    <row r="10496">
      <c r="A10496" s="2" t="n"/>
    </row>
    <row r="10497">
      <c r="A10497" s="2" t="n"/>
    </row>
    <row r="10498">
      <c r="A10498" s="2" t="n"/>
    </row>
    <row r="10499">
      <c r="A10499" s="2" t="n"/>
    </row>
    <row r="10500">
      <c r="A10500" s="2" t="n"/>
    </row>
    <row r="10501">
      <c r="A10501" s="2" t="n"/>
    </row>
    <row r="10502">
      <c r="A10502" s="2" t="n"/>
    </row>
    <row r="10503">
      <c r="A10503" s="2" t="n"/>
    </row>
    <row r="10504">
      <c r="A10504" s="2" t="n"/>
    </row>
    <row r="10505">
      <c r="A10505" s="2" t="n"/>
    </row>
    <row r="10506">
      <c r="A10506" s="2" t="n"/>
    </row>
    <row r="10507">
      <c r="A10507" s="2" t="n"/>
    </row>
    <row r="10508">
      <c r="A10508" s="2" t="n"/>
    </row>
    <row r="10509">
      <c r="A10509" s="2" t="n"/>
    </row>
    <row r="10510">
      <c r="A10510" s="2" t="n"/>
    </row>
    <row r="10511">
      <c r="A10511" s="2" t="n"/>
    </row>
    <row r="10512">
      <c r="A10512" s="2" t="n"/>
    </row>
    <row r="10513">
      <c r="A10513" s="2" t="n"/>
    </row>
    <row r="10514">
      <c r="A10514" s="2" t="n"/>
    </row>
    <row r="10515">
      <c r="A10515" s="2" t="n"/>
    </row>
    <row r="10516">
      <c r="A10516" s="2" t="n"/>
    </row>
    <row r="10517">
      <c r="A10517" s="2" t="n"/>
    </row>
    <row r="10518">
      <c r="A10518" s="2" t="n"/>
    </row>
    <row r="10519">
      <c r="A10519" s="2" t="n"/>
    </row>
    <row r="10520">
      <c r="A10520" s="2" t="n"/>
    </row>
    <row r="10521">
      <c r="A10521" s="2" t="n"/>
    </row>
    <row r="10522">
      <c r="A10522" s="2" t="n"/>
    </row>
    <row r="10523">
      <c r="A10523" s="2" t="n"/>
    </row>
    <row r="10524">
      <c r="A10524" s="2" t="n"/>
    </row>
    <row r="10525">
      <c r="A10525" s="2" t="n"/>
    </row>
    <row r="10526">
      <c r="A10526" s="2" t="n"/>
    </row>
    <row r="10527">
      <c r="A10527" s="2" t="n"/>
    </row>
    <row r="10528">
      <c r="A10528" s="2" t="n"/>
    </row>
    <row r="10529">
      <c r="A10529" s="2" t="n"/>
    </row>
    <row r="10530">
      <c r="A10530" s="2" t="n"/>
    </row>
    <row r="10531">
      <c r="A10531" s="2" t="n"/>
    </row>
    <row r="10532">
      <c r="A10532" s="2" t="n"/>
    </row>
    <row r="10533">
      <c r="A10533" s="2" t="n"/>
    </row>
    <row r="10534">
      <c r="A10534" s="2" t="n"/>
    </row>
    <row r="10535">
      <c r="A10535" s="2" t="n"/>
    </row>
    <row r="10536">
      <c r="A10536" s="2" t="n"/>
    </row>
    <row r="10537">
      <c r="A10537" s="2" t="n"/>
    </row>
    <row r="10538">
      <c r="A10538" s="2" t="n"/>
    </row>
    <row r="10539">
      <c r="A10539" s="2" t="n"/>
    </row>
    <row r="10540">
      <c r="A10540" s="2" t="n"/>
    </row>
    <row r="10541">
      <c r="A10541" s="2" t="n"/>
    </row>
    <row r="10542">
      <c r="A10542" s="2" t="n"/>
    </row>
    <row r="10543">
      <c r="A10543" s="2" t="n"/>
    </row>
    <row r="10544">
      <c r="A10544" s="2" t="n"/>
    </row>
    <row r="10545">
      <c r="A10545" s="2" t="n"/>
    </row>
    <row r="10546">
      <c r="A10546" s="2" t="n"/>
    </row>
    <row r="10547">
      <c r="A10547" s="2" t="n"/>
    </row>
    <row r="10548">
      <c r="A10548" s="2" t="n"/>
    </row>
    <row r="10549">
      <c r="A10549" s="2" t="n"/>
    </row>
    <row r="10550">
      <c r="A10550" s="2" t="n"/>
    </row>
    <row r="10551">
      <c r="A10551" s="2" t="n"/>
    </row>
    <row r="10552">
      <c r="A10552" s="2" t="n"/>
    </row>
    <row r="10553">
      <c r="A10553" s="2" t="n"/>
    </row>
    <row r="10554">
      <c r="A10554" s="2" t="n"/>
    </row>
    <row r="10555">
      <c r="A10555" s="2" t="n"/>
    </row>
    <row r="10556">
      <c r="A10556" s="2" t="n"/>
    </row>
    <row r="10557">
      <c r="A10557" s="2" t="n"/>
    </row>
    <row r="10558">
      <c r="A10558" s="2" t="n"/>
    </row>
    <row r="10559">
      <c r="A10559" s="2" t="n"/>
    </row>
    <row r="10560">
      <c r="A10560" s="2" t="n"/>
    </row>
    <row r="10561">
      <c r="A10561" s="2" t="n"/>
    </row>
    <row r="10562">
      <c r="A10562" s="2" t="n"/>
    </row>
    <row r="10563">
      <c r="A10563" s="2" t="n"/>
    </row>
    <row r="10564">
      <c r="A10564" s="2" t="n"/>
    </row>
    <row r="10565">
      <c r="A10565" s="2" t="n"/>
    </row>
    <row r="10566">
      <c r="A10566" s="2" t="n"/>
    </row>
    <row r="10567">
      <c r="A10567" s="2" t="n"/>
    </row>
    <row r="10568">
      <c r="A10568" s="2" t="n"/>
    </row>
    <row r="10569">
      <c r="A10569" s="2" t="n"/>
    </row>
    <row r="10570">
      <c r="A10570" s="2" t="n"/>
    </row>
    <row r="10571">
      <c r="A10571" s="2" t="n"/>
    </row>
    <row r="10572">
      <c r="A10572" s="2" t="n"/>
    </row>
    <row r="10573">
      <c r="A10573" s="2" t="n"/>
    </row>
    <row r="10574">
      <c r="A10574" s="2" t="n"/>
    </row>
    <row r="10575">
      <c r="A10575" s="2" t="n"/>
    </row>
    <row r="10576">
      <c r="A10576" s="2" t="n"/>
    </row>
    <row r="10577">
      <c r="A10577" s="2" t="n"/>
    </row>
    <row r="10578">
      <c r="A10578" s="2" t="n"/>
    </row>
    <row r="10579">
      <c r="A10579" s="2" t="n"/>
    </row>
    <row r="10580">
      <c r="A10580" s="2" t="n"/>
    </row>
    <row r="10581">
      <c r="A10581" s="2" t="n"/>
    </row>
    <row r="10582">
      <c r="A10582" s="2" t="n"/>
    </row>
    <row r="10583">
      <c r="A10583" s="2" t="n"/>
    </row>
    <row r="10584">
      <c r="A10584" s="2" t="n"/>
    </row>
    <row r="10585">
      <c r="A10585" s="2" t="n"/>
    </row>
    <row r="10586">
      <c r="A10586" s="2" t="n"/>
    </row>
    <row r="10587">
      <c r="A10587" s="2" t="n"/>
    </row>
    <row r="10588">
      <c r="A10588" s="2" t="n"/>
    </row>
    <row r="10589">
      <c r="A10589" s="2" t="n"/>
    </row>
    <row r="10590">
      <c r="A10590" s="2" t="n"/>
    </row>
    <row r="10591">
      <c r="A10591" s="2" t="n"/>
    </row>
    <row r="10592">
      <c r="A10592" s="2" t="n"/>
    </row>
    <row r="10593">
      <c r="A10593" s="2" t="n"/>
    </row>
    <row r="10594">
      <c r="A10594" s="2" t="n"/>
    </row>
    <row r="10595">
      <c r="A10595" s="2" t="n"/>
    </row>
    <row r="10596">
      <c r="A10596" s="2" t="n"/>
    </row>
    <row r="10597">
      <c r="A10597" s="2" t="n"/>
    </row>
    <row r="10598">
      <c r="A10598" s="2" t="n"/>
    </row>
    <row r="10599">
      <c r="A10599" s="2" t="n"/>
    </row>
    <row r="10600">
      <c r="A10600" s="2" t="n"/>
    </row>
    <row r="10601">
      <c r="A10601" s="2" t="n"/>
    </row>
    <row r="10602">
      <c r="A10602" s="2" t="n"/>
    </row>
    <row r="10603">
      <c r="A10603" s="2" t="n"/>
    </row>
    <row r="10604">
      <c r="A10604" s="2" t="n"/>
    </row>
    <row r="10605">
      <c r="A10605" s="2" t="n"/>
    </row>
    <row r="10606">
      <c r="A10606" s="2" t="n"/>
    </row>
    <row r="10607">
      <c r="A10607" s="2" t="n"/>
    </row>
    <row r="10608">
      <c r="A10608" s="2" t="n"/>
    </row>
    <row r="10609">
      <c r="A10609" s="2" t="n"/>
    </row>
    <row r="10610">
      <c r="A10610" s="2" t="n"/>
    </row>
    <row r="10611">
      <c r="A10611" s="2" t="n"/>
    </row>
    <row r="10612">
      <c r="A10612" s="2" t="n"/>
    </row>
    <row r="10613">
      <c r="A10613" s="2" t="n"/>
    </row>
    <row r="10614">
      <c r="A10614" s="2" t="n"/>
    </row>
    <row r="10615">
      <c r="A10615" s="2" t="n"/>
    </row>
    <row r="10616">
      <c r="A10616" s="2" t="n"/>
    </row>
    <row r="10617">
      <c r="A10617" s="2" t="n"/>
    </row>
    <row r="10618">
      <c r="A10618" s="2" t="n"/>
    </row>
    <row r="10619">
      <c r="A10619" s="2" t="n"/>
    </row>
    <row r="10620">
      <c r="A10620" s="2" t="n"/>
    </row>
    <row r="10621">
      <c r="A10621" s="2" t="n"/>
    </row>
    <row r="10622">
      <c r="A10622" s="2" t="n"/>
    </row>
    <row r="10623">
      <c r="A10623" s="2" t="n"/>
    </row>
    <row r="10624">
      <c r="A10624" s="2" t="n"/>
    </row>
    <row r="10625">
      <c r="A10625" s="2" t="n"/>
    </row>
    <row r="10626">
      <c r="A10626" s="2" t="n"/>
    </row>
    <row r="10627">
      <c r="A10627" s="2" t="n"/>
    </row>
    <row r="10628">
      <c r="A10628" s="2" t="n"/>
    </row>
    <row r="10629">
      <c r="A10629" s="2" t="n"/>
    </row>
    <row r="10630">
      <c r="A10630" s="2" t="n"/>
    </row>
    <row r="10631">
      <c r="A10631" s="2" t="n"/>
    </row>
    <row r="10632">
      <c r="A10632" s="2" t="n"/>
    </row>
    <row r="10633">
      <c r="A10633" s="2" t="n"/>
    </row>
    <row r="10634">
      <c r="A10634" s="2" t="n"/>
    </row>
    <row r="10635">
      <c r="A10635" s="2" t="n"/>
    </row>
    <row r="10636">
      <c r="A10636" s="2" t="n"/>
    </row>
    <row r="10637">
      <c r="A10637" s="2" t="n"/>
    </row>
    <row r="10638">
      <c r="A10638" s="2" t="n"/>
    </row>
    <row r="10639">
      <c r="A10639" s="2" t="n"/>
    </row>
    <row r="10640">
      <c r="A10640" s="2" t="n"/>
    </row>
    <row r="10641">
      <c r="A10641" s="2" t="n"/>
    </row>
    <row r="10642">
      <c r="A10642" s="2" t="n"/>
    </row>
    <row r="10643">
      <c r="A10643" s="2" t="n"/>
    </row>
    <row r="10644">
      <c r="A10644" s="2" t="n"/>
    </row>
    <row r="10645">
      <c r="A10645" s="2" t="n"/>
    </row>
    <row r="10646">
      <c r="A10646" s="2" t="n"/>
    </row>
    <row r="10647">
      <c r="A10647" s="2" t="n"/>
    </row>
    <row r="10648">
      <c r="A10648" s="2" t="n"/>
    </row>
    <row r="10649">
      <c r="A10649" s="2" t="n"/>
    </row>
    <row r="10650">
      <c r="A10650" s="2" t="n"/>
    </row>
    <row r="10651">
      <c r="A10651" s="2" t="n"/>
    </row>
    <row r="10652">
      <c r="A10652" s="2" t="n"/>
    </row>
    <row r="10653">
      <c r="A10653" s="2" t="n"/>
    </row>
    <row r="10654">
      <c r="A10654" s="2" t="n"/>
    </row>
    <row r="10655">
      <c r="A10655" s="2" t="n"/>
    </row>
    <row r="10656">
      <c r="A10656" s="2" t="n"/>
    </row>
    <row r="10657">
      <c r="A10657" s="2" t="n"/>
    </row>
    <row r="10658">
      <c r="A10658" s="2" t="n"/>
    </row>
    <row r="10659">
      <c r="A10659" s="2" t="n"/>
    </row>
    <row r="10660">
      <c r="A10660" s="2" t="n"/>
    </row>
    <row r="10661">
      <c r="A10661" s="2" t="n"/>
    </row>
    <row r="10662">
      <c r="A10662" s="2" t="n"/>
    </row>
    <row r="10663">
      <c r="A10663" s="2" t="n"/>
    </row>
    <row r="10664">
      <c r="A10664" s="2" t="n"/>
    </row>
    <row r="10665">
      <c r="A10665" s="2" t="n"/>
    </row>
    <row r="10666">
      <c r="A10666" s="2" t="n"/>
    </row>
    <row r="10667">
      <c r="A10667" s="2" t="n"/>
    </row>
    <row r="10668">
      <c r="A10668" s="2" t="n"/>
    </row>
    <row r="10669">
      <c r="A10669" s="2" t="n"/>
    </row>
    <row r="10670">
      <c r="A10670" s="2" t="n"/>
    </row>
    <row r="10671">
      <c r="A10671" s="2" t="n"/>
    </row>
    <row r="10672">
      <c r="A10672" s="2" t="n"/>
    </row>
    <row r="10673">
      <c r="A10673" s="2" t="n"/>
    </row>
    <row r="10674">
      <c r="A10674" s="2" t="n"/>
    </row>
    <row r="10675">
      <c r="A10675" s="2" t="n"/>
    </row>
    <row r="10676">
      <c r="A10676" s="2" t="n"/>
    </row>
    <row r="10677">
      <c r="A10677" s="2" t="n"/>
    </row>
    <row r="10678">
      <c r="A10678" s="2" t="n"/>
    </row>
    <row r="10679">
      <c r="A10679" s="2" t="n"/>
    </row>
    <row r="10680">
      <c r="A10680" s="2" t="n"/>
    </row>
    <row r="10681">
      <c r="A10681" s="2" t="n"/>
    </row>
    <row r="10682">
      <c r="A10682" s="2" t="n"/>
    </row>
    <row r="10683">
      <c r="A10683" s="2" t="n"/>
    </row>
    <row r="10684">
      <c r="A10684" s="2" t="n"/>
    </row>
    <row r="10685">
      <c r="A10685" s="2" t="n"/>
    </row>
    <row r="10686">
      <c r="A10686" s="2" t="n"/>
    </row>
    <row r="10687">
      <c r="A10687" s="2" t="n"/>
    </row>
    <row r="10688">
      <c r="A10688" s="2" t="n"/>
    </row>
    <row r="10689">
      <c r="A10689" s="2" t="n"/>
    </row>
    <row r="10690">
      <c r="A10690" s="2" t="n"/>
    </row>
    <row r="10691">
      <c r="A10691" s="2" t="n"/>
    </row>
    <row r="10692">
      <c r="A10692" s="2" t="n"/>
    </row>
    <row r="10693">
      <c r="A10693" s="2" t="n"/>
    </row>
    <row r="10694">
      <c r="A10694" s="2" t="n"/>
    </row>
    <row r="10695">
      <c r="A10695" s="2" t="n"/>
    </row>
    <row r="10696">
      <c r="A10696" s="2" t="n"/>
    </row>
    <row r="10697">
      <c r="A10697" s="2" t="n"/>
    </row>
    <row r="10698">
      <c r="A10698" s="2" t="n"/>
    </row>
    <row r="10699">
      <c r="A10699" s="2" t="n"/>
    </row>
    <row r="10700">
      <c r="A10700" s="2" t="n"/>
    </row>
    <row r="10701">
      <c r="A10701" s="2" t="n"/>
    </row>
    <row r="10702">
      <c r="A10702" s="2" t="n"/>
    </row>
    <row r="10703">
      <c r="A10703" s="2" t="n"/>
    </row>
    <row r="10704">
      <c r="A10704" s="2" t="n"/>
    </row>
    <row r="10705">
      <c r="A10705" s="2" t="n"/>
    </row>
    <row r="10706">
      <c r="A10706" s="2" t="n"/>
    </row>
    <row r="10707">
      <c r="A10707" s="2" t="n"/>
    </row>
    <row r="10708">
      <c r="A10708" s="2" t="n"/>
    </row>
    <row r="10709">
      <c r="A10709" s="2" t="n"/>
    </row>
    <row r="10710">
      <c r="A10710" s="2" t="n"/>
    </row>
    <row r="10711">
      <c r="A10711" s="2" t="n"/>
    </row>
    <row r="10712">
      <c r="A10712" s="2" t="n"/>
    </row>
    <row r="10713">
      <c r="A10713" s="2" t="n"/>
    </row>
    <row r="10714">
      <c r="A10714" s="2" t="n"/>
    </row>
    <row r="10715">
      <c r="A10715" s="2" t="n"/>
    </row>
    <row r="10716">
      <c r="A10716" s="2" t="n"/>
    </row>
    <row r="10717">
      <c r="A10717" s="2" t="n"/>
    </row>
    <row r="10718">
      <c r="A10718" s="2" t="n"/>
    </row>
    <row r="10719">
      <c r="A10719" s="2" t="n"/>
    </row>
    <row r="10720">
      <c r="A10720" s="2" t="n"/>
    </row>
    <row r="10721">
      <c r="A10721" s="2" t="n"/>
    </row>
    <row r="10722">
      <c r="A10722" s="2" t="n"/>
    </row>
    <row r="10723">
      <c r="A10723" s="2" t="n"/>
    </row>
    <row r="10724">
      <c r="A10724" s="2" t="n"/>
    </row>
    <row r="10725">
      <c r="A10725" s="2" t="n"/>
    </row>
    <row r="10726">
      <c r="A10726" s="2" t="n"/>
    </row>
    <row r="10727">
      <c r="A10727" s="2" t="n"/>
    </row>
    <row r="10728">
      <c r="A10728" s="2" t="n"/>
    </row>
    <row r="10729">
      <c r="A10729" s="2" t="n"/>
    </row>
    <row r="10730">
      <c r="A10730" s="2" t="n"/>
    </row>
    <row r="10731">
      <c r="A10731" s="2" t="n"/>
    </row>
    <row r="10732">
      <c r="A10732" s="2" t="n"/>
    </row>
    <row r="10733">
      <c r="A10733" s="2" t="n"/>
    </row>
    <row r="10734">
      <c r="A10734" s="2" t="n"/>
    </row>
    <row r="10735">
      <c r="A10735" s="2" t="n"/>
    </row>
    <row r="10736">
      <c r="A10736" s="2" t="n"/>
    </row>
    <row r="10737">
      <c r="A10737" s="2" t="n"/>
    </row>
    <row r="10738">
      <c r="A10738" s="2" t="n"/>
    </row>
    <row r="10739">
      <c r="A10739" s="2" t="n"/>
    </row>
    <row r="10740">
      <c r="A10740" s="2" t="n"/>
    </row>
    <row r="10741">
      <c r="A10741" s="2" t="n"/>
    </row>
    <row r="10742">
      <c r="A10742" s="2" t="n"/>
    </row>
    <row r="10743">
      <c r="A10743" s="2" t="n"/>
    </row>
    <row r="10744">
      <c r="A10744" s="2" t="n"/>
    </row>
    <row r="10745">
      <c r="A10745" s="2" t="n"/>
    </row>
    <row r="10746">
      <c r="A10746" s="2" t="n"/>
    </row>
    <row r="10747">
      <c r="A10747" s="2" t="n"/>
    </row>
    <row r="10748">
      <c r="A10748" s="2" t="n"/>
    </row>
    <row r="10749">
      <c r="A10749" s="2" t="n"/>
    </row>
    <row r="10750">
      <c r="A10750" s="2" t="n"/>
    </row>
    <row r="10751">
      <c r="A10751" s="2" t="n"/>
    </row>
    <row r="10752">
      <c r="A10752" s="2" t="n"/>
    </row>
    <row r="10753">
      <c r="A10753" s="2" t="n"/>
    </row>
    <row r="10754">
      <c r="A10754" s="2" t="n"/>
    </row>
    <row r="10755">
      <c r="A10755" s="2" t="n"/>
    </row>
    <row r="10756">
      <c r="A10756" s="2" t="n"/>
    </row>
    <row r="10757">
      <c r="A10757" s="2" t="n"/>
    </row>
    <row r="10758">
      <c r="A10758" s="2" t="n"/>
    </row>
    <row r="10759">
      <c r="A10759" s="2" t="n"/>
    </row>
    <row r="10760">
      <c r="A10760" s="2" t="n"/>
    </row>
    <row r="10761">
      <c r="A10761" s="2" t="n"/>
    </row>
    <row r="10762">
      <c r="A10762" s="2" t="n"/>
    </row>
    <row r="10763">
      <c r="A10763" s="2" t="n"/>
    </row>
    <row r="10764">
      <c r="A10764" s="2" t="n"/>
    </row>
    <row r="10765">
      <c r="A10765" s="2" t="n"/>
    </row>
    <row r="10766">
      <c r="A10766" s="2" t="n"/>
    </row>
    <row r="10767">
      <c r="A10767" s="2" t="n"/>
    </row>
    <row r="10768">
      <c r="A10768" s="2" t="n"/>
    </row>
    <row r="10769">
      <c r="A10769" s="2" t="n"/>
    </row>
    <row r="10770">
      <c r="A10770" s="2" t="n"/>
    </row>
    <row r="10771">
      <c r="A10771" s="2" t="n"/>
    </row>
    <row r="10772">
      <c r="A10772" s="2" t="n"/>
    </row>
    <row r="10773">
      <c r="A10773" s="2" t="n"/>
    </row>
    <row r="10774">
      <c r="A10774" s="2" t="n"/>
    </row>
    <row r="10775">
      <c r="A10775" s="2" t="n"/>
    </row>
    <row r="10776">
      <c r="A10776" s="2" t="n"/>
    </row>
    <row r="10777">
      <c r="A10777" s="2" t="n"/>
    </row>
    <row r="10778">
      <c r="A10778" s="2" t="n"/>
    </row>
    <row r="10779">
      <c r="A10779" s="2" t="n"/>
    </row>
    <row r="10780">
      <c r="A10780" s="2" t="n"/>
    </row>
    <row r="10781">
      <c r="A10781" s="2" t="n"/>
    </row>
    <row r="10782">
      <c r="A10782" s="2" t="n"/>
    </row>
    <row r="10783">
      <c r="A10783" s="2" t="n"/>
    </row>
    <row r="10784">
      <c r="A10784" s="2" t="n"/>
    </row>
    <row r="10785">
      <c r="A10785" s="2" t="n"/>
    </row>
    <row r="10786">
      <c r="A10786" s="2" t="n"/>
    </row>
    <row r="10787">
      <c r="A10787" s="2" t="n"/>
    </row>
    <row r="10788">
      <c r="A10788" s="2" t="n"/>
    </row>
    <row r="10789">
      <c r="A10789" s="2" t="n"/>
    </row>
    <row r="10790">
      <c r="A10790" s="2" t="n"/>
    </row>
    <row r="10791">
      <c r="A10791" s="2" t="n"/>
    </row>
    <row r="10792">
      <c r="A10792" s="2" t="n"/>
    </row>
    <row r="10793">
      <c r="A10793" s="2" t="n"/>
    </row>
    <row r="10794">
      <c r="A10794" s="2" t="n"/>
    </row>
    <row r="10795">
      <c r="A10795" s="2" t="n"/>
    </row>
    <row r="10796">
      <c r="A10796" s="2" t="n"/>
    </row>
    <row r="10797">
      <c r="A10797" s="2" t="n"/>
    </row>
    <row r="10798">
      <c r="A10798" s="2" t="n"/>
    </row>
    <row r="10799">
      <c r="A10799" s="2" t="n"/>
    </row>
    <row r="10800">
      <c r="A10800" s="2" t="n"/>
    </row>
    <row r="10801">
      <c r="A10801" s="2" t="n"/>
    </row>
    <row r="10802">
      <c r="A10802" s="2" t="n"/>
    </row>
    <row r="10803">
      <c r="A10803" s="2" t="n"/>
    </row>
    <row r="10804">
      <c r="A10804" s="2" t="n"/>
    </row>
    <row r="10805">
      <c r="A10805" s="2" t="n"/>
    </row>
    <row r="10806">
      <c r="A10806" s="2" t="n"/>
    </row>
    <row r="10807">
      <c r="A10807" s="2" t="n"/>
    </row>
    <row r="10808">
      <c r="A10808" s="2" t="n"/>
    </row>
    <row r="10809">
      <c r="A10809" s="2" t="n"/>
    </row>
    <row r="10810">
      <c r="A10810" s="2" t="n"/>
    </row>
    <row r="10811">
      <c r="A10811" s="2" t="n"/>
    </row>
    <row r="10812">
      <c r="A10812" s="2" t="n"/>
    </row>
    <row r="10813">
      <c r="A10813" s="2" t="n"/>
    </row>
    <row r="10814">
      <c r="A10814" s="2" t="n"/>
    </row>
    <row r="10815">
      <c r="A10815" s="2" t="n"/>
    </row>
    <row r="10816">
      <c r="A10816" s="2" t="n"/>
    </row>
    <row r="10817">
      <c r="A10817" s="2" t="n"/>
    </row>
    <row r="10818">
      <c r="A10818" s="2" t="n"/>
    </row>
    <row r="10819">
      <c r="A10819" s="2" t="n"/>
    </row>
    <row r="10820">
      <c r="A10820" s="2" t="n"/>
    </row>
    <row r="10821">
      <c r="A10821" s="2" t="n"/>
    </row>
    <row r="10822">
      <c r="A10822" s="2" t="n"/>
    </row>
    <row r="10823">
      <c r="A10823" s="2" t="n"/>
    </row>
    <row r="10824">
      <c r="A10824" s="2" t="n"/>
    </row>
    <row r="10825">
      <c r="A10825" s="2" t="n"/>
    </row>
    <row r="10826">
      <c r="A10826" s="2" t="n"/>
    </row>
    <row r="10827">
      <c r="A10827" s="2" t="n"/>
    </row>
    <row r="10828">
      <c r="A10828" s="2" t="n"/>
    </row>
    <row r="10829">
      <c r="A10829" s="2" t="n"/>
    </row>
    <row r="10830">
      <c r="A10830" s="2" t="n"/>
    </row>
    <row r="10831">
      <c r="A10831" s="2" t="n"/>
    </row>
    <row r="10832">
      <c r="A10832" s="2" t="n"/>
    </row>
    <row r="10833">
      <c r="A10833" s="2" t="n"/>
    </row>
    <row r="10834">
      <c r="A10834" s="2" t="n"/>
    </row>
    <row r="10835">
      <c r="A10835" s="2" t="n"/>
    </row>
    <row r="10836">
      <c r="A10836" s="2" t="n"/>
    </row>
    <row r="10837">
      <c r="A10837" s="2" t="n"/>
    </row>
    <row r="10838">
      <c r="A10838" s="2" t="n"/>
    </row>
    <row r="10839">
      <c r="A10839" s="2" t="n"/>
    </row>
    <row r="10840">
      <c r="A10840" s="2" t="n"/>
    </row>
    <row r="10841">
      <c r="A10841" s="2" t="n"/>
    </row>
    <row r="10842">
      <c r="A10842" s="2" t="n"/>
    </row>
    <row r="10843">
      <c r="A10843" s="2" t="n"/>
    </row>
    <row r="10844">
      <c r="A10844" s="2" t="n"/>
    </row>
    <row r="10845">
      <c r="A10845" s="2" t="n"/>
    </row>
    <row r="10846">
      <c r="A10846" s="2" t="n"/>
    </row>
    <row r="10847">
      <c r="A10847" s="2" t="n"/>
    </row>
    <row r="10848">
      <c r="A10848" s="2" t="n"/>
    </row>
    <row r="10849">
      <c r="A10849" s="2" t="n"/>
    </row>
    <row r="10850">
      <c r="A10850" s="2" t="n"/>
    </row>
    <row r="10851">
      <c r="A10851" s="2" t="n"/>
    </row>
    <row r="10852">
      <c r="A10852" s="2" t="n"/>
    </row>
    <row r="10853">
      <c r="A10853" s="2" t="n"/>
    </row>
    <row r="10854">
      <c r="A10854" s="2" t="n"/>
    </row>
    <row r="10855">
      <c r="A10855" s="2" t="n"/>
    </row>
    <row r="10856">
      <c r="A10856" s="2" t="n"/>
    </row>
    <row r="10857">
      <c r="A10857" s="2" t="n"/>
    </row>
    <row r="10858">
      <c r="A10858" s="2" t="n"/>
    </row>
    <row r="10859">
      <c r="A10859" s="2" t="n"/>
    </row>
    <row r="10860">
      <c r="A10860" s="2" t="n"/>
    </row>
    <row r="10861">
      <c r="A10861" s="2" t="n"/>
    </row>
    <row r="10862">
      <c r="A10862" s="2" t="n"/>
    </row>
    <row r="10863">
      <c r="A10863" s="2" t="n"/>
    </row>
    <row r="10864">
      <c r="A10864" s="2" t="n"/>
    </row>
    <row r="10865">
      <c r="A10865" s="2" t="n"/>
    </row>
    <row r="10866">
      <c r="A10866" s="2" t="n"/>
    </row>
    <row r="10867">
      <c r="A10867" s="2" t="n"/>
    </row>
    <row r="10868">
      <c r="A10868" s="2" t="n"/>
    </row>
    <row r="10869">
      <c r="A10869" s="2" t="n"/>
    </row>
    <row r="10870">
      <c r="A10870" s="2" t="n"/>
    </row>
    <row r="10871">
      <c r="A10871" s="2" t="n"/>
    </row>
    <row r="10872">
      <c r="A10872" s="2" t="n"/>
    </row>
    <row r="10873">
      <c r="A10873" s="2" t="n"/>
    </row>
    <row r="10874">
      <c r="A10874" s="2" t="n"/>
    </row>
    <row r="10875">
      <c r="A10875" s="2" t="n"/>
    </row>
    <row r="10876">
      <c r="A10876" s="2" t="n"/>
    </row>
    <row r="10877">
      <c r="A10877" s="2" t="n"/>
    </row>
    <row r="10878">
      <c r="A10878" s="2" t="n"/>
    </row>
    <row r="10879">
      <c r="A10879" s="2" t="n"/>
    </row>
    <row r="10880">
      <c r="A10880" s="2" t="n"/>
    </row>
    <row r="10881">
      <c r="A10881" s="2" t="n"/>
    </row>
    <row r="10882">
      <c r="A10882" s="2" t="n"/>
    </row>
    <row r="10883">
      <c r="A10883" s="2" t="n"/>
    </row>
    <row r="10884">
      <c r="A10884" s="2" t="n"/>
    </row>
    <row r="10885">
      <c r="A10885" s="2" t="n"/>
    </row>
    <row r="10886">
      <c r="A10886" s="2" t="n"/>
    </row>
    <row r="10887">
      <c r="A10887" s="2" t="n"/>
    </row>
    <row r="10888">
      <c r="A10888" s="2" t="n"/>
    </row>
    <row r="10889">
      <c r="A10889" s="2" t="n"/>
    </row>
    <row r="10890">
      <c r="A10890" s="2" t="n"/>
    </row>
    <row r="10891">
      <c r="A10891" s="2" t="n"/>
    </row>
    <row r="10892">
      <c r="A10892" s="2" t="n"/>
    </row>
    <row r="10893">
      <c r="A10893" s="2" t="n"/>
    </row>
    <row r="10894">
      <c r="A10894" s="2" t="n"/>
    </row>
    <row r="10895">
      <c r="A10895" s="2" t="n"/>
    </row>
    <row r="10896">
      <c r="A10896" s="2" t="n"/>
    </row>
    <row r="10897">
      <c r="A10897" s="2" t="n"/>
    </row>
    <row r="10898">
      <c r="A10898" s="2" t="n"/>
    </row>
    <row r="10899">
      <c r="A10899" s="2" t="n"/>
    </row>
    <row r="10900">
      <c r="A10900" s="2" t="n"/>
    </row>
    <row r="10901">
      <c r="A10901" s="2" t="n"/>
    </row>
    <row r="10902">
      <c r="A10902" s="2" t="n"/>
    </row>
    <row r="10903">
      <c r="A10903" s="2" t="n"/>
    </row>
    <row r="10904">
      <c r="A10904" s="2" t="n"/>
    </row>
    <row r="10905">
      <c r="A10905" s="2" t="n"/>
    </row>
    <row r="10906">
      <c r="A10906" s="2" t="n"/>
    </row>
    <row r="10907">
      <c r="A10907" s="2" t="n"/>
    </row>
    <row r="10908">
      <c r="A10908" s="2" t="n"/>
    </row>
    <row r="10909">
      <c r="A10909" s="2" t="n"/>
    </row>
    <row r="10910">
      <c r="A10910" s="2" t="n"/>
    </row>
    <row r="10911">
      <c r="A10911" s="2" t="n"/>
    </row>
    <row r="10912">
      <c r="A10912" s="2" t="n"/>
    </row>
    <row r="10913">
      <c r="A10913" s="2" t="n"/>
    </row>
    <row r="10914">
      <c r="A10914" s="2" t="n"/>
    </row>
    <row r="10915">
      <c r="A10915" s="2" t="n"/>
    </row>
    <row r="10916">
      <c r="A10916" s="2" t="n"/>
    </row>
    <row r="10917">
      <c r="A10917" s="2" t="n"/>
    </row>
    <row r="10918">
      <c r="A10918" s="2" t="n"/>
    </row>
    <row r="10919">
      <c r="A10919" s="2" t="n"/>
    </row>
    <row r="10920">
      <c r="A10920" s="2" t="n"/>
    </row>
    <row r="10921">
      <c r="A10921" s="2" t="n"/>
    </row>
    <row r="10922">
      <c r="A10922" s="2" t="n"/>
    </row>
    <row r="10923">
      <c r="A10923" s="2" t="n"/>
    </row>
    <row r="10924">
      <c r="A10924" s="2" t="n"/>
    </row>
    <row r="10925">
      <c r="A10925" s="2" t="n"/>
    </row>
    <row r="10926">
      <c r="A10926" s="2" t="n"/>
    </row>
    <row r="10927">
      <c r="A10927" s="2" t="n"/>
    </row>
    <row r="10928">
      <c r="A10928" s="2" t="n"/>
    </row>
    <row r="10929">
      <c r="A10929" s="2" t="n"/>
    </row>
    <row r="10930">
      <c r="A10930" s="2" t="n"/>
    </row>
    <row r="10931">
      <c r="A10931" s="2" t="n"/>
    </row>
    <row r="10932">
      <c r="A10932" s="2" t="n"/>
    </row>
    <row r="10933">
      <c r="A10933" s="2" t="n"/>
    </row>
    <row r="10934">
      <c r="A10934" s="2" t="n"/>
    </row>
    <row r="10935">
      <c r="A10935" s="2" t="n"/>
    </row>
    <row r="10936">
      <c r="A10936" s="2" t="n"/>
    </row>
    <row r="10937">
      <c r="A10937" s="2" t="n"/>
    </row>
    <row r="10938">
      <c r="A10938" s="2" t="n"/>
    </row>
    <row r="10939">
      <c r="A10939" s="2" t="n"/>
    </row>
    <row r="10940">
      <c r="A10940" s="2" t="n"/>
    </row>
    <row r="10941">
      <c r="A10941" s="2" t="n"/>
    </row>
    <row r="10942">
      <c r="A10942" s="2" t="n"/>
    </row>
    <row r="10943">
      <c r="A10943" s="2" t="n"/>
    </row>
    <row r="10944">
      <c r="A10944" s="2" t="n"/>
    </row>
    <row r="10945">
      <c r="A10945" s="2" t="n"/>
    </row>
    <row r="10946">
      <c r="A10946" s="2" t="n"/>
    </row>
    <row r="10947">
      <c r="A10947" s="2" t="n"/>
    </row>
    <row r="10948">
      <c r="A10948" s="2" t="n"/>
    </row>
    <row r="10949">
      <c r="A10949" s="2" t="n"/>
    </row>
    <row r="10950">
      <c r="A10950" s="2" t="n"/>
    </row>
    <row r="10951">
      <c r="A10951" s="2" t="n"/>
    </row>
    <row r="10952">
      <c r="A10952" s="2" t="n"/>
    </row>
    <row r="10953">
      <c r="A10953" s="2" t="n"/>
    </row>
    <row r="10954">
      <c r="A10954" s="2" t="n"/>
    </row>
    <row r="10955">
      <c r="A10955" s="2" t="n"/>
    </row>
    <row r="10956">
      <c r="A10956" s="2" t="n"/>
    </row>
    <row r="10957">
      <c r="A10957" s="2" t="n"/>
    </row>
    <row r="10958">
      <c r="A10958" s="2" t="n"/>
    </row>
    <row r="10959">
      <c r="A10959" s="2" t="n"/>
    </row>
    <row r="10960">
      <c r="A10960" s="2" t="n"/>
    </row>
    <row r="10961">
      <c r="A10961" s="2" t="n"/>
    </row>
    <row r="10962">
      <c r="A10962" s="2" t="n"/>
    </row>
    <row r="10963">
      <c r="A10963" s="2" t="n"/>
    </row>
    <row r="10964">
      <c r="A10964" s="2" t="n"/>
    </row>
    <row r="10965">
      <c r="A10965" s="2" t="n"/>
    </row>
    <row r="10966">
      <c r="A10966" s="2" t="n"/>
    </row>
    <row r="10967">
      <c r="A10967" s="2" t="n"/>
    </row>
    <row r="10968">
      <c r="A10968" s="2" t="n"/>
    </row>
    <row r="10969">
      <c r="A10969" s="2" t="n"/>
    </row>
    <row r="10970">
      <c r="A10970" s="2" t="n"/>
    </row>
    <row r="10971">
      <c r="A10971" s="2" t="n"/>
    </row>
    <row r="10972">
      <c r="A10972" s="2" t="n"/>
    </row>
    <row r="10973">
      <c r="A10973" s="2" t="n"/>
    </row>
    <row r="10974">
      <c r="A10974" s="2" t="n"/>
    </row>
    <row r="10975">
      <c r="A10975" s="2" t="n"/>
    </row>
    <row r="10976">
      <c r="A10976" s="2" t="n"/>
    </row>
    <row r="10977">
      <c r="A10977" s="2" t="n"/>
    </row>
    <row r="10978">
      <c r="A10978" s="2" t="n"/>
    </row>
    <row r="10979">
      <c r="A10979" s="2" t="n"/>
    </row>
    <row r="10980">
      <c r="A10980" s="2" t="n"/>
    </row>
    <row r="10981">
      <c r="A10981" s="2" t="n"/>
    </row>
    <row r="10982">
      <c r="A10982" s="2" t="n"/>
    </row>
    <row r="10983">
      <c r="A10983" s="2" t="n"/>
    </row>
    <row r="10984">
      <c r="A10984" s="2" t="n"/>
    </row>
    <row r="10985">
      <c r="A10985" s="2" t="n"/>
    </row>
    <row r="10986">
      <c r="A10986" s="2" t="n"/>
    </row>
    <row r="10987">
      <c r="A10987" s="2" t="n"/>
    </row>
    <row r="10988">
      <c r="A10988" s="2" t="n"/>
    </row>
    <row r="10989">
      <c r="A10989" s="2" t="n"/>
    </row>
    <row r="10990">
      <c r="A10990" s="2" t="n"/>
    </row>
    <row r="10991">
      <c r="A10991" s="2" t="n"/>
    </row>
    <row r="10992">
      <c r="A10992" s="2" t="n"/>
    </row>
    <row r="10993">
      <c r="A10993" s="2" t="n"/>
    </row>
    <row r="10994">
      <c r="A10994" s="2" t="n"/>
    </row>
    <row r="10995">
      <c r="A10995" s="2" t="n"/>
    </row>
    <row r="10996">
      <c r="A10996" s="2" t="n"/>
    </row>
    <row r="10997">
      <c r="A10997" s="2" t="n"/>
    </row>
    <row r="10998">
      <c r="A10998" s="2" t="n"/>
    </row>
    <row r="10999">
      <c r="A10999" s="2" t="n"/>
    </row>
    <row r="11000">
      <c r="A11000" s="2" t="n"/>
    </row>
    <row r="11001">
      <c r="A11001" s="2" t="n"/>
    </row>
    <row r="11002">
      <c r="A11002" s="2" t="n"/>
    </row>
    <row r="11003">
      <c r="A11003" s="2" t="n"/>
    </row>
    <row r="11004">
      <c r="A11004" s="2" t="n"/>
    </row>
    <row r="11005">
      <c r="A11005" s="2" t="n"/>
    </row>
    <row r="11006">
      <c r="A11006" s="2" t="n"/>
    </row>
    <row r="11007">
      <c r="A11007" s="2" t="n"/>
    </row>
    <row r="11008">
      <c r="A11008" s="2" t="n"/>
    </row>
    <row r="11009">
      <c r="A11009" s="2" t="n"/>
    </row>
    <row r="11010">
      <c r="A11010" s="2" t="n"/>
    </row>
    <row r="11011">
      <c r="A11011" s="2" t="n"/>
    </row>
    <row r="11012">
      <c r="A11012" s="2" t="n"/>
    </row>
    <row r="11013">
      <c r="A11013" s="2" t="n"/>
    </row>
    <row r="11014">
      <c r="A11014" s="2" t="n"/>
    </row>
    <row r="11015">
      <c r="A11015" s="2" t="n"/>
    </row>
    <row r="11016">
      <c r="A11016" s="2" t="n"/>
    </row>
    <row r="11017">
      <c r="A11017" s="2" t="n"/>
    </row>
    <row r="11018">
      <c r="A11018" s="2" t="n"/>
    </row>
    <row r="11019">
      <c r="A11019" s="2" t="n"/>
    </row>
    <row r="11020">
      <c r="A11020" s="2" t="n"/>
    </row>
    <row r="11021">
      <c r="A11021" s="2" t="n"/>
    </row>
    <row r="11022">
      <c r="A11022" s="2" t="n"/>
    </row>
    <row r="11023">
      <c r="A11023" s="2" t="n"/>
    </row>
    <row r="11024">
      <c r="A11024" s="2" t="n"/>
    </row>
    <row r="11025">
      <c r="A11025" s="2" t="n"/>
    </row>
    <row r="11026">
      <c r="A11026" s="2" t="n"/>
    </row>
    <row r="11027">
      <c r="A11027" s="2" t="n"/>
    </row>
    <row r="11028">
      <c r="A11028" s="2" t="n"/>
    </row>
    <row r="11029">
      <c r="A11029" s="2" t="n"/>
    </row>
    <row r="11030">
      <c r="A11030" s="2" t="n"/>
    </row>
    <row r="11031">
      <c r="A11031" s="2" t="n"/>
    </row>
    <row r="11032">
      <c r="A11032" s="2" t="n"/>
    </row>
    <row r="11033">
      <c r="A11033" s="2" t="n"/>
    </row>
    <row r="11034">
      <c r="A11034" s="2" t="n"/>
    </row>
    <row r="11035">
      <c r="A11035" s="2" t="n"/>
    </row>
    <row r="11036">
      <c r="A11036" s="2" t="n"/>
    </row>
    <row r="11037">
      <c r="A11037" s="2" t="n"/>
    </row>
    <row r="11038">
      <c r="A11038" s="2" t="n"/>
    </row>
    <row r="11039">
      <c r="A11039" s="2" t="n"/>
    </row>
    <row r="11040">
      <c r="A11040" s="2" t="n"/>
    </row>
    <row r="11041">
      <c r="A11041" s="2" t="n"/>
    </row>
    <row r="11042">
      <c r="A11042" s="2" t="n"/>
    </row>
    <row r="11043">
      <c r="A11043" s="2" t="n"/>
    </row>
    <row r="11044">
      <c r="A11044" s="2" t="n"/>
    </row>
    <row r="11045">
      <c r="A11045" s="2" t="n"/>
    </row>
    <row r="11046">
      <c r="A11046" s="2" t="n"/>
    </row>
    <row r="11047">
      <c r="A11047" s="2" t="n"/>
    </row>
    <row r="11048">
      <c r="A11048" s="2" t="n"/>
    </row>
    <row r="11049">
      <c r="A11049" s="2" t="n"/>
    </row>
    <row r="11050">
      <c r="A11050" s="2" t="n"/>
    </row>
    <row r="11051">
      <c r="A11051" s="2" t="n"/>
    </row>
    <row r="11052">
      <c r="A11052" s="2" t="n"/>
    </row>
    <row r="11053">
      <c r="A11053" s="2" t="n"/>
    </row>
    <row r="11054">
      <c r="A11054" s="2" t="n"/>
    </row>
    <row r="11055">
      <c r="A11055" s="2" t="n"/>
    </row>
    <row r="11056">
      <c r="A11056" s="2" t="n"/>
    </row>
    <row r="11057">
      <c r="A11057" s="2" t="n"/>
    </row>
    <row r="11058">
      <c r="A11058" s="2" t="n"/>
    </row>
    <row r="11059">
      <c r="A11059" s="2" t="n"/>
    </row>
    <row r="11060">
      <c r="A11060" s="2" t="n"/>
    </row>
    <row r="11061">
      <c r="A11061" s="2" t="n"/>
    </row>
    <row r="11062">
      <c r="A11062" s="2" t="n"/>
    </row>
    <row r="11063">
      <c r="A11063" s="2" t="n"/>
    </row>
    <row r="11064">
      <c r="A11064" s="2" t="n"/>
    </row>
    <row r="11065">
      <c r="A11065" s="2" t="n"/>
    </row>
    <row r="11066">
      <c r="A11066" s="2" t="n"/>
    </row>
    <row r="11067">
      <c r="A11067" s="2" t="n"/>
    </row>
    <row r="11068">
      <c r="A11068" s="2" t="n"/>
    </row>
    <row r="11069">
      <c r="A11069" s="2" t="n"/>
    </row>
    <row r="11070">
      <c r="A11070" s="2" t="n"/>
    </row>
    <row r="11071">
      <c r="A11071" s="2" t="n"/>
    </row>
    <row r="11072">
      <c r="A11072" s="2" t="n"/>
    </row>
    <row r="11073">
      <c r="A11073" s="2" t="n"/>
    </row>
    <row r="11074">
      <c r="A11074" s="2" t="n"/>
    </row>
    <row r="11075">
      <c r="A11075" s="2" t="n"/>
    </row>
    <row r="11076">
      <c r="A11076" s="2" t="n"/>
    </row>
    <row r="11077">
      <c r="A11077" s="2" t="n"/>
    </row>
    <row r="11078">
      <c r="A11078" s="2" t="n"/>
    </row>
    <row r="11079">
      <c r="A11079" s="2" t="n"/>
    </row>
    <row r="11080">
      <c r="A11080" s="2" t="n"/>
    </row>
    <row r="11081">
      <c r="A11081" s="2" t="n"/>
    </row>
    <row r="11082">
      <c r="A11082" s="2" t="n"/>
    </row>
    <row r="11083">
      <c r="A11083" s="2" t="n"/>
    </row>
    <row r="11084">
      <c r="A11084" s="2" t="n"/>
    </row>
    <row r="11085">
      <c r="A11085" s="2" t="n"/>
    </row>
    <row r="11086">
      <c r="A11086" s="2" t="n"/>
    </row>
    <row r="11087">
      <c r="A11087" s="2" t="n"/>
    </row>
    <row r="11088">
      <c r="A11088" s="2" t="n"/>
    </row>
    <row r="11089">
      <c r="A11089" s="2" t="n"/>
    </row>
    <row r="11090">
      <c r="A11090" s="2" t="n"/>
    </row>
    <row r="11091">
      <c r="A11091" s="2" t="n"/>
    </row>
    <row r="11092">
      <c r="A11092" s="2" t="n"/>
    </row>
    <row r="11093">
      <c r="A11093" s="2" t="n"/>
    </row>
    <row r="11094">
      <c r="A11094" s="2" t="n"/>
    </row>
    <row r="11095">
      <c r="A11095" s="2" t="n"/>
    </row>
    <row r="11096">
      <c r="A11096" s="2" t="n"/>
    </row>
    <row r="11097">
      <c r="A11097" s="2" t="n"/>
    </row>
    <row r="11098">
      <c r="A11098" s="2" t="n"/>
    </row>
    <row r="11099">
      <c r="A11099" s="2" t="n"/>
    </row>
    <row r="11100">
      <c r="A11100" s="2" t="n"/>
    </row>
    <row r="11101">
      <c r="A11101" s="2" t="n"/>
    </row>
    <row r="11102">
      <c r="A11102" s="2" t="n"/>
    </row>
    <row r="11103">
      <c r="A11103" s="2" t="n"/>
    </row>
    <row r="11104">
      <c r="A11104" s="2" t="n"/>
    </row>
    <row r="11105">
      <c r="A11105" s="2" t="n"/>
    </row>
    <row r="11106">
      <c r="A11106" s="2" t="n"/>
    </row>
    <row r="11107">
      <c r="A11107" s="2" t="n"/>
    </row>
    <row r="11108">
      <c r="A11108" s="2" t="n"/>
    </row>
    <row r="11109">
      <c r="A11109" s="2" t="n"/>
    </row>
    <row r="11110">
      <c r="A11110" s="2" t="n"/>
    </row>
    <row r="11111">
      <c r="A11111" s="2" t="n"/>
    </row>
    <row r="11112">
      <c r="A11112" s="2" t="n"/>
    </row>
    <row r="11113">
      <c r="A11113" s="2" t="n"/>
    </row>
    <row r="11114">
      <c r="A11114" s="2" t="n"/>
    </row>
    <row r="11115">
      <c r="A11115" s="2" t="n"/>
    </row>
    <row r="11116">
      <c r="A11116" s="2" t="n"/>
    </row>
    <row r="11117">
      <c r="A11117" s="2" t="n"/>
    </row>
    <row r="11118">
      <c r="A11118" s="2" t="n"/>
    </row>
    <row r="11119">
      <c r="A11119" s="2" t="n"/>
    </row>
    <row r="11120">
      <c r="A11120" s="2" t="n"/>
    </row>
    <row r="11121">
      <c r="A11121" s="2" t="n"/>
    </row>
    <row r="11122">
      <c r="A11122" s="2" t="n"/>
    </row>
    <row r="11123">
      <c r="A11123" s="2" t="n"/>
    </row>
    <row r="11124">
      <c r="A11124" s="2" t="n"/>
    </row>
    <row r="11125">
      <c r="A11125" s="2" t="n"/>
    </row>
    <row r="11126">
      <c r="A11126" s="2" t="n"/>
    </row>
    <row r="11127">
      <c r="A11127" s="2" t="n"/>
    </row>
    <row r="11128">
      <c r="A11128" s="2" t="n"/>
    </row>
    <row r="11129">
      <c r="A11129" s="2" t="n"/>
    </row>
    <row r="11130">
      <c r="A11130" s="2" t="n"/>
    </row>
    <row r="11131">
      <c r="A11131" s="2" t="n"/>
    </row>
    <row r="11132">
      <c r="A11132" s="2" t="n"/>
    </row>
    <row r="11133">
      <c r="A11133" s="2" t="n"/>
    </row>
    <row r="11134">
      <c r="A11134" s="2" t="n"/>
    </row>
    <row r="11135">
      <c r="A11135" s="2" t="n"/>
    </row>
    <row r="11136">
      <c r="A11136" s="2" t="n"/>
    </row>
    <row r="11137">
      <c r="A11137" s="2" t="n"/>
    </row>
    <row r="11138">
      <c r="A11138" s="2" t="n"/>
    </row>
    <row r="11139">
      <c r="A11139" s="2" t="n"/>
    </row>
    <row r="11140">
      <c r="A11140" s="2" t="n"/>
    </row>
    <row r="11141">
      <c r="A11141" s="2" t="n"/>
    </row>
    <row r="11142">
      <c r="A11142" s="2" t="n"/>
    </row>
    <row r="11143">
      <c r="A11143" s="2" t="n"/>
    </row>
    <row r="11144">
      <c r="A11144" s="2" t="n"/>
    </row>
    <row r="11145">
      <c r="A11145" s="2" t="n"/>
    </row>
    <row r="11146">
      <c r="A11146" s="2" t="n"/>
    </row>
    <row r="11147">
      <c r="A11147" s="2" t="n"/>
    </row>
    <row r="11148">
      <c r="A11148" s="2" t="n"/>
    </row>
    <row r="11149">
      <c r="A11149" s="2" t="n"/>
    </row>
    <row r="11150">
      <c r="A11150" s="2" t="n"/>
    </row>
    <row r="11151">
      <c r="A11151" s="2" t="n"/>
    </row>
    <row r="11152">
      <c r="A11152" s="2" t="n"/>
    </row>
    <row r="11153">
      <c r="A11153" s="2" t="n"/>
    </row>
    <row r="11154">
      <c r="A11154" s="2" t="n"/>
    </row>
    <row r="11155">
      <c r="A11155" s="2" t="n"/>
    </row>
    <row r="11156">
      <c r="A11156" s="2" t="n"/>
    </row>
    <row r="11157">
      <c r="A11157" s="2" t="n"/>
    </row>
    <row r="11158">
      <c r="A11158" s="2" t="n"/>
    </row>
    <row r="11159">
      <c r="A11159" s="2" t="n"/>
    </row>
    <row r="11160">
      <c r="A11160" s="2" t="n"/>
    </row>
    <row r="11161">
      <c r="A11161" s="2" t="n"/>
    </row>
    <row r="11162">
      <c r="A11162" s="2" t="n"/>
    </row>
    <row r="11163">
      <c r="A11163" s="2" t="n"/>
    </row>
    <row r="11164">
      <c r="A11164" s="2" t="n"/>
    </row>
    <row r="11165">
      <c r="A11165" s="2" t="n"/>
    </row>
    <row r="11166">
      <c r="A11166" s="2" t="n"/>
    </row>
    <row r="11167">
      <c r="A11167" s="2" t="n"/>
    </row>
    <row r="11168">
      <c r="A11168" s="2" t="n"/>
    </row>
    <row r="11169">
      <c r="A11169" s="2" t="n"/>
    </row>
    <row r="11170">
      <c r="A11170" s="2" t="n"/>
    </row>
    <row r="11171">
      <c r="A11171" s="2" t="n"/>
    </row>
    <row r="11172">
      <c r="A11172" s="2" t="n"/>
    </row>
    <row r="11173">
      <c r="A11173" s="2" t="n"/>
    </row>
    <row r="11174">
      <c r="A11174" s="2" t="n"/>
    </row>
    <row r="11175">
      <c r="A11175" s="2" t="n"/>
    </row>
    <row r="11176">
      <c r="A11176" s="2" t="n"/>
    </row>
    <row r="11177">
      <c r="A11177" s="2" t="n"/>
    </row>
    <row r="11178">
      <c r="A11178" s="2" t="n"/>
    </row>
    <row r="11179">
      <c r="A11179" s="2" t="n"/>
    </row>
    <row r="11180">
      <c r="A11180" s="2" t="n"/>
    </row>
    <row r="11181">
      <c r="A11181" s="2" t="n"/>
    </row>
    <row r="11182">
      <c r="A11182" s="2" t="n"/>
    </row>
    <row r="11183">
      <c r="A11183" s="2" t="n"/>
    </row>
    <row r="11184">
      <c r="A11184" s="2" t="n"/>
    </row>
    <row r="11185">
      <c r="A11185" s="2" t="n"/>
    </row>
    <row r="11186">
      <c r="A11186" s="2" t="n"/>
    </row>
    <row r="11187">
      <c r="A11187" s="2" t="n"/>
    </row>
    <row r="11188">
      <c r="A11188" s="2" t="n"/>
    </row>
    <row r="11189">
      <c r="A11189" s="2" t="n"/>
    </row>
    <row r="11190">
      <c r="A11190" s="2" t="n"/>
    </row>
    <row r="11191">
      <c r="A11191" s="2" t="n"/>
    </row>
    <row r="11192">
      <c r="A11192" s="2" t="n"/>
    </row>
    <row r="11193">
      <c r="A11193" s="2" t="n"/>
    </row>
    <row r="11194">
      <c r="A11194" s="2" t="n"/>
    </row>
    <row r="11195">
      <c r="A11195" s="2" t="n"/>
    </row>
    <row r="11196">
      <c r="A11196" s="2" t="n"/>
    </row>
    <row r="11197">
      <c r="A11197" s="2" t="n"/>
    </row>
    <row r="11198">
      <c r="A11198" s="2" t="n"/>
    </row>
    <row r="11199">
      <c r="A11199" s="2" t="n"/>
    </row>
    <row r="11200">
      <c r="A11200" s="2" t="n"/>
    </row>
    <row r="11201">
      <c r="A11201" s="2" t="n"/>
    </row>
    <row r="11202">
      <c r="A11202" s="2" t="n"/>
    </row>
    <row r="11203">
      <c r="A11203" s="2" t="n"/>
    </row>
    <row r="11204">
      <c r="A11204" s="2" t="n"/>
    </row>
    <row r="11205">
      <c r="A11205" s="2" t="n"/>
    </row>
    <row r="11206">
      <c r="A11206" s="2" t="n"/>
    </row>
    <row r="11207">
      <c r="A11207" s="2" t="n"/>
    </row>
    <row r="11208">
      <c r="A11208" s="2" t="n"/>
    </row>
    <row r="11209">
      <c r="A11209" s="2" t="n"/>
    </row>
    <row r="11210">
      <c r="A11210" s="2" t="n"/>
    </row>
    <row r="11211">
      <c r="A11211" s="2" t="n"/>
    </row>
    <row r="11212">
      <c r="A11212" s="2" t="n"/>
    </row>
    <row r="11213">
      <c r="A11213" s="2" t="n"/>
    </row>
    <row r="11214">
      <c r="A11214" s="2" t="n"/>
    </row>
    <row r="11215">
      <c r="A11215" s="2" t="n"/>
    </row>
    <row r="11216">
      <c r="A11216" s="2" t="n"/>
    </row>
    <row r="11217">
      <c r="A11217" s="2" t="n"/>
    </row>
    <row r="11218">
      <c r="A11218" s="2" t="n"/>
    </row>
    <row r="11219">
      <c r="A11219" s="2" t="n"/>
    </row>
    <row r="11220">
      <c r="A11220" s="2" t="n"/>
    </row>
    <row r="11221">
      <c r="A11221" s="2" t="n"/>
    </row>
    <row r="11222">
      <c r="A11222" s="2" t="n"/>
    </row>
    <row r="11223">
      <c r="A11223" s="2" t="n"/>
    </row>
    <row r="11224">
      <c r="A11224" s="2" t="n"/>
    </row>
    <row r="11225">
      <c r="A11225" s="2" t="n"/>
    </row>
    <row r="11226">
      <c r="A11226" s="2" t="n"/>
    </row>
    <row r="11227">
      <c r="A11227" s="2" t="n"/>
    </row>
    <row r="11228">
      <c r="A11228" s="2" t="n"/>
    </row>
    <row r="11229">
      <c r="A11229" s="2" t="n"/>
    </row>
    <row r="11230">
      <c r="A11230" s="2" t="n"/>
    </row>
    <row r="11231">
      <c r="A11231" s="2" t="n"/>
    </row>
    <row r="11232">
      <c r="A11232" s="2" t="n"/>
    </row>
    <row r="11233">
      <c r="A11233" s="2" t="n"/>
    </row>
    <row r="11234">
      <c r="A11234" s="2" t="n"/>
    </row>
    <row r="11235">
      <c r="A11235" s="2" t="n"/>
    </row>
    <row r="11236">
      <c r="A11236" s="2" t="n"/>
    </row>
    <row r="11237">
      <c r="A11237" s="2" t="n"/>
    </row>
    <row r="11238">
      <c r="A11238" s="2" t="n"/>
    </row>
    <row r="11239">
      <c r="A11239" s="2" t="n"/>
    </row>
    <row r="11240">
      <c r="A11240" s="2" t="n"/>
    </row>
    <row r="11241">
      <c r="A11241" s="2" t="n"/>
    </row>
    <row r="11242">
      <c r="A11242" s="2" t="n"/>
    </row>
    <row r="11243">
      <c r="A11243" s="2" t="n"/>
    </row>
    <row r="11244">
      <c r="A11244" s="2" t="n"/>
    </row>
    <row r="11245">
      <c r="A11245" s="2" t="n"/>
    </row>
    <row r="11246">
      <c r="A11246" s="2" t="n"/>
    </row>
    <row r="11247">
      <c r="A11247" s="2" t="n"/>
    </row>
    <row r="11248">
      <c r="A11248" s="2" t="n"/>
    </row>
    <row r="11249">
      <c r="A11249" s="2" t="n"/>
    </row>
    <row r="11250">
      <c r="A11250" s="2" t="n"/>
    </row>
    <row r="11251">
      <c r="A11251" s="2" t="n"/>
    </row>
    <row r="11252">
      <c r="A11252" s="2" t="n"/>
    </row>
    <row r="11253">
      <c r="A11253" s="2" t="n"/>
    </row>
    <row r="11254">
      <c r="A11254" s="2" t="n"/>
    </row>
    <row r="11255">
      <c r="A11255" s="2" t="n"/>
    </row>
    <row r="11256">
      <c r="A11256" s="2" t="n"/>
    </row>
    <row r="11257">
      <c r="A11257" s="2" t="n"/>
    </row>
    <row r="11258">
      <c r="A11258" s="2" t="n"/>
    </row>
    <row r="11259">
      <c r="A11259" s="2" t="n"/>
    </row>
    <row r="11260">
      <c r="A11260" s="2" t="n"/>
    </row>
    <row r="11261">
      <c r="A11261" s="2" t="n"/>
    </row>
    <row r="11262">
      <c r="A11262" s="2" t="n"/>
    </row>
    <row r="11263">
      <c r="A11263" s="2" t="n"/>
    </row>
    <row r="11264">
      <c r="A11264" s="2" t="n"/>
    </row>
    <row r="11265">
      <c r="A11265" s="2" t="n"/>
    </row>
    <row r="11266">
      <c r="A11266" s="2" t="n"/>
    </row>
    <row r="11267">
      <c r="A11267" s="2" t="n"/>
    </row>
    <row r="11268">
      <c r="A11268" s="2" t="n"/>
    </row>
    <row r="11269">
      <c r="A11269" s="2" t="n"/>
    </row>
    <row r="11270">
      <c r="A11270" s="2" t="n"/>
    </row>
    <row r="11271">
      <c r="A11271" s="2" t="n"/>
    </row>
    <row r="11272">
      <c r="A11272" s="2" t="n"/>
    </row>
    <row r="11273">
      <c r="A11273" s="2" t="n"/>
    </row>
    <row r="11274">
      <c r="A11274" s="2" t="n"/>
    </row>
    <row r="11275">
      <c r="A11275" s="2" t="n"/>
    </row>
    <row r="11276">
      <c r="A11276" s="2" t="n"/>
    </row>
    <row r="11277">
      <c r="A11277" s="2" t="n"/>
    </row>
    <row r="11278">
      <c r="A11278" s="2" t="n"/>
    </row>
    <row r="11279">
      <c r="A11279" s="2" t="n"/>
    </row>
    <row r="11280">
      <c r="A11280" s="2" t="n"/>
    </row>
    <row r="11281">
      <c r="A11281" s="2" t="n"/>
    </row>
    <row r="11282">
      <c r="A11282" s="2" t="n"/>
    </row>
    <row r="11283">
      <c r="A11283" s="2" t="n"/>
    </row>
    <row r="11284">
      <c r="A11284" s="2" t="n"/>
    </row>
    <row r="11285">
      <c r="A11285" s="2" t="n"/>
    </row>
    <row r="11286">
      <c r="A11286" s="2" t="n"/>
    </row>
    <row r="11287">
      <c r="A11287" s="2" t="n"/>
    </row>
    <row r="11288">
      <c r="A11288" s="2" t="n"/>
    </row>
    <row r="11289">
      <c r="A11289" s="2" t="n"/>
    </row>
    <row r="11290">
      <c r="A11290" s="2" t="n"/>
    </row>
    <row r="11291">
      <c r="A11291" s="2" t="n"/>
    </row>
    <row r="11292">
      <c r="A11292" s="2" t="n"/>
    </row>
    <row r="11293">
      <c r="A11293" s="2" t="n"/>
    </row>
    <row r="11294">
      <c r="A11294" s="2" t="n"/>
    </row>
    <row r="11295">
      <c r="A11295" s="2" t="n"/>
    </row>
    <row r="11296">
      <c r="A11296" s="2" t="n"/>
    </row>
    <row r="11297">
      <c r="A11297" s="2" t="n"/>
    </row>
    <row r="11298">
      <c r="A11298" s="2" t="n"/>
    </row>
    <row r="11299">
      <c r="A11299" s="2" t="n"/>
    </row>
    <row r="11300">
      <c r="A11300" s="2" t="n"/>
    </row>
    <row r="11301">
      <c r="A11301" s="2" t="n"/>
    </row>
    <row r="11302">
      <c r="A11302" s="2" t="n"/>
    </row>
    <row r="11303">
      <c r="A11303" s="2" t="n"/>
    </row>
    <row r="11304">
      <c r="A11304" s="2" t="n"/>
    </row>
    <row r="11305">
      <c r="A11305" s="2" t="n"/>
    </row>
    <row r="11306">
      <c r="A11306" s="2" t="n"/>
    </row>
    <row r="11307">
      <c r="A11307" s="2" t="n"/>
    </row>
    <row r="11308">
      <c r="A11308" s="2" t="n"/>
    </row>
    <row r="11309">
      <c r="A11309" s="2" t="n"/>
    </row>
    <row r="11310">
      <c r="A11310" s="2" t="n"/>
    </row>
    <row r="11311">
      <c r="A11311" s="2" t="n"/>
    </row>
    <row r="11312">
      <c r="A11312" s="2" t="n"/>
    </row>
    <row r="11313">
      <c r="A11313" s="2" t="n"/>
    </row>
    <row r="11314">
      <c r="A11314" s="2" t="n"/>
    </row>
    <row r="11315">
      <c r="A11315" s="2" t="n"/>
    </row>
    <row r="11316">
      <c r="A11316" s="2" t="n"/>
    </row>
    <row r="11317">
      <c r="A11317" s="2" t="n"/>
    </row>
    <row r="11318">
      <c r="A11318" s="2" t="n"/>
    </row>
    <row r="11319">
      <c r="A11319" s="2" t="n"/>
    </row>
    <row r="11320">
      <c r="A11320" s="2" t="n"/>
    </row>
    <row r="11321">
      <c r="A11321" s="2" t="n"/>
    </row>
    <row r="11322">
      <c r="A11322" s="2" t="n"/>
    </row>
    <row r="11323">
      <c r="A11323" s="2" t="n"/>
    </row>
    <row r="11324">
      <c r="A11324" s="2" t="n"/>
    </row>
    <row r="11325">
      <c r="A11325" s="2" t="n"/>
    </row>
    <row r="11326">
      <c r="A11326" s="2" t="n"/>
    </row>
    <row r="11327">
      <c r="A11327" s="2" t="n"/>
    </row>
    <row r="11328">
      <c r="A11328" s="2" t="n"/>
    </row>
    <row r="11329">
      <c r="A11329" s="2" t="n"/>
    </row>
    <row r="11330">
      <c r="A11330" s="2" t="n"/>
    </row>
    <row r="11331">
      <c r="A11331" s="2" t="n"/>
    </row>
    <row r="11332">
      <c r="A11332" s="2" t="n"/>
    </row>
    <row r="11333">
      <c r="A11333" s="2" t="n"/>
    </row>
    <row r="11334">
      <c r="A11334" s="2" t="n"/>
    </row>
    <row r="11335">
      <c r="A11335" s="2" t="n"/>
    </row>
    <row r="11336">
      <c r="A11336" s="2" t="n"/>
    </row>
    <row r="11337">
      <c r="A11337" s="2" t="n"/>
    </row>
    <row r="11338">
      <c r="A11338" s="2" t="n"/>
    </row>
    <row r="11339">
      <c r="A11339" s="2" t="n"/>
    </row>
    <row r="11340">
      <c r="A11340" s="2" t="n"/>
    </row>
    <row r="11341">
      <c r="A11341" s="2" t="n"/>
    </row>
    <row r="11342">
      <c r="A11342" s="2" t="n"/>
    </row>
    <row r="11343">
      <c r="A11343" s="2" t="n"/>
    </row>
    <row r="11344">
      <c r="A11344" s="2" t="n"/>
    </row>
    <row r="11345">
      <c r="A11345" s="2" t="n"/>
    </row>
    <row r="11346">
      <c r="A11346" s="2" t="n"/>
    </row>
    <row r="11347">
      <c r="A11347" s="2" t="n"/>
    </row>
    <row r="11348">
      <c r="A11348" s="2" t="n"/>
    </row>
    <row r="11349">
      <c r="A11349" s="2" t="n"/>
    </row>
    <row r="11350">
      <c r="A11350" s="2" t="n"/>
    </row>
    <row r="11351">
      <c r="A11351" s="2" t="n"/>
    </row>
    <row r="11352">
      <c r="A11352" s="2" t="n"/>
    </row>
    <row r="11353">
      <c r="A11353" s="2" t="n"/>
    </row>
    <row r="11354">
      <c r="A11354" s="2" t="n"/>
    </row>
    <row r="11355">
      <c r="A11355" s="2" t="n"/>
    </row>
    <row r="11356">
      <c r="A11356" s="2" t="n"/>
    </row>
    <row r="11357">
      <c r="A11357" s="2" t="n"/>
    </row>
    <row r="11358">
      <c r="A11358" s="2" t="n"/>
    </row>
    <row r="11359">
      <c r="A11359" s="2" t="n"/>
    </row>
    <row r="11360">
      <c r="A11360" s="2" t="n"/>
    </row>
    <row r="11361">
      <c r="A11361" s="2" t="n"/>
    </row>
    <row r="11362">
      <c r="A11362" s="2" t="n"/>
    </row>
    <row r="11363">
      <c r="A11363" s="2" t="n"/>
    </row>
    <row r="11364">
      <c r="A11364" s="2" t="n"/>
    </row>
    <row r="11365">
      <c r="A11365" s="2" t="n"/>
    </row>
    <row r="11366">
      <c r="A11366" s="2" t="n"/>
    </row>
    <row r="11367">
      <c r="A11367" s="2" t="n"/>
    </row>
    <row r="11368">
      <c r="A11368" s="2" t="n"/>
    </row>
    <row r="11369">
      <c r="A11369" s="2" t="n"/>
    </row>
    <row r="11370">
      <c r="A11370" s="2" t="n"/>
    </row>
    <row r="11371">
      <c r="A11371" s="2" t="n"/>
    </row>
    <row r="11372">
      <c r="A11372" s="2" t="n"/>
    </row>
    <row r="11373">
      <c r="A11373" s="2" t="n"/>
    </row>
    <row r="11374">
      <c r="A11374" s="2" t="n"/>
    </row>
    <row r="11375">
      <c r="A11375" s="2" t="n"/>
    </row>
    <row r="11376">
      <c r="A11376" s="2" t="n"/>
    </row>
    <row r="11377">
      <c r="A11377" s="2" t="n"/>
    </row>
    <row r="11378">
      <c r="A11378" s="2" t="n"/>
    </row>
    <row r="11379">
      <c r="A11379" s="2" t="n"/>
    </row>
    <row r="11380">
      <c r="A11380" s="2" t="n"/>
    </row>
    <row r="11381">
      <c r="A11381" s="2" t="n"/>
    </row>
    <row r="11382">
      <c r="A11382" s="2" t="n"/>
    </row>
    <row r="11383">
      <c r="A11383" s="2" t="n"/>
    </row>
    <row r="11384">
      <c r="A11384" s="2" t="n"/>
    </row>
    <row r="11385">
      <c r="A11385" s="2" t="n"/>
    </row>
    <row r="11386">
      <c r="A11386" s="2" t="n"/>
    </row>
    <row r="11387">
      <c r="A11387" s="2" t="n"/>
    </row>
    <row r="11388">
      <c r="A11388" s="2" t="n"/>
    </row>
    <row r="11389">
      <c r="A11389" s="2" t="n"/>
    </row>
    <row r="11390">
      <c r="A11390" s="2" t="n"/>
    </row>
    <row r="11391">
      <c r="A11391" s="2" t="n"/>
    </row>
    <row r="11392">
      <c r="A11392" s="2" t="n"/>
    </row>
    <row r="11393">
      <c r="A11393" s="2" t="n"/>
    </row>
    <row r="11394">
      <c r="A11394" s="2" t="n"/>
    </row>
    <row r="11395">
      <c r="A11395" s="2" t="n"/>
    </row>
    <row r="11396">
      <c r="A11396" s="2" t="n"/>
    </row>
    <row r="11397">
      <c r="A11397" s="2" t="n"/>
    </row>
    <row r="11398">
      <c r="A11398" s="2" t="n"/>
    </row>
    <row r="11399">
      <c r="A11399" s="2" t="n"/>
    </row>
    <row r="11400">
      <c r="A11400" s="2" t="n"/>
    </row>
    <row r="11401">
      <c r="A11401" s="2" t="n"/>
    </row>
    <row r="11402">
      <c r="A11402" s="2" t="n"/>
    </row>
    <row r="11403">
      <c r="A11403" s="2" t="n"/>
    </row>
    <row r="11404">
      <c r="A11404" s="2" t="n"/>
    </row>
    <row r="11405">
      <c r="A11405" s="2" t="n"/>
    </row>
    <row r="11406">
      <c r="A11406" s="2" t="n"/>
    </row>
    <row r="11407">
      <c r="A11407" s="2" t="n"/>
    </row>
    <row r="11408">
      <c r="A11408" s="2" t="n"/>
    </row>
    <row r="11409">
      <c r="A11409" s="2" t="n"/>
    </row>
    <row r="11410">
      <c r="A11410" s="2" t="n"/>
    </row>
    <row r="11411">
      <c r="A11411" s="2" t="n"/>
    </row>
    <row r="11412">
      <c r="A11412" s="2" t="n"/>
    </row>
    <row r="11413">
      <c r="A11413" s="2" t="n"/>
    </row>
    <row r="11414">
      <c r="A11414" s="2" t="n"/>
    </row>
    <row r="11415">
      <c r="A11415" s="2" t="n"/>
    </row>
    <row r="11416">
      <c r="A11416" s="2" t="n"/>
    </row>
    <row r="11417">
      <c r="A11417" s="2" t="n"/>
    </row>
    <row r="11418">
      <c r="A11418" s="2" t="n"/>
    </row>
    <row r="11419">
      <c r="A11419" s="2" t="n"/>
    </row>
    <row r="11420">
      <c r="A11420" s="2" t="n"/>
    </row>
    <row r="11421">
      <c r="A11421" s="2" t="n"/>
    </row>
    <row r="11422">
      <c r="A11422" s="2" t="n"/>
    </row>
    <row r="11423">
      <c r="A11423" s="2" t="n"/>
    </row>
    <row r="11424">
      <c r="A11424" s="2" t="n"/>
    </row>
    <row r="11425">
      <c r="A11425" s="2" t="n"/>
    </row>
    <row r="11426">
      <c r="A11426" s="2" t="n"/>
    </row>
    <row r="11427">
      <c r="A11427" s="2" t="n"/>
    </row>
    <row r="11428">
      <c r="A11428" s="2" t="n"/>
    </row>
    <row r="11429">
      <c r="A11429" s="2" t="n"/>
    </row>
    <row r="11430">
      <c r="A11430" s="2" t="n"/>
    </row>
    <row r="11431">
      <c r="A11431" s="2" t="n"/>
    </row>
    <row r="11432">
      <c r="A11432" s="2" t="n"/>
    </row>
    <row r="11433">
      <c r="A11433" s="2" t="n"/>
    </row>
    <row r="11434">
      <c r="A11434" s="2" t="n"/>
    </row>
    <row r="11435">
      <c r="A11435" s="2" t="n"/>
    </row>
    <row r="11436">
      <c r="A11436" s="2" t="n"/>
    </row>
    <row r="11437">
      <c r="A11437" s="2" t="n"/>
    </row>
    <row r="11438">
      <c r="A11438" s="2" t="n"/>
    </row>
    <row r="11439">
      <c r="A11439" s="2" t="n"/>
    </row>
    <row r="11440">
      <c r="A11440" s="2" t="n"/>
    </row>
    <row r="11441">
      <c r="A11441" s="2" t="n"/>
    </row>
    <row r="11442">
      <c r="A11442" s="2" t="n"/>
    </row>
    <row r="11443">
      <c r="A11443" s="2" t="n"/>
    </row>
    <row r="11444">
      <c r="A11444" s="2" t="n"/>
    </row>
    <row r="11445">
      <c r="A11445" s="2" t="n"/>
    </row>
    <row r="11446">
      <c r="A11446" s="2" t="n"/>
    </row>
    <row r="11447">
      <c r="A11447" s="2" t="n"/>
    </row>
    <row r="11448">
      <c r="A11448" s="2" t="n"/>
    </row>
    <row r="11449">
      <c r="A11449" s="2" t="n"/>
    </row>
    <row r="11450">
      <c r="A11450" s="2" t="n"/>
    </row>
    <row r="11451">
      <c r="A11451" s="2" t="n"/>
    </row>
    <row r="11452">
      <c r="A11452" s="2" t="n"/>
    </row>
    <row r="11453">
      <c r="A11453" s="2" t="n"/>
    </row>
    <row r="11454">
      <c r="A11454" s="2" t="n"/>
    </row>
    <row r="11455">
      <c r="A11455" s="2" t="n"/>
    </row>
    <row r="11456">
      <c r="A11456" s="2" t="n"/>
    </row>
    <row r="11457">
      <c r="A11457" s="2" t="n"/>
    </row>
    <row r="11458">
      <c r="A11458" s="2" t="n"/>
    </row>
    <row r="11459">
      <c r="A11459" s="2" t="n"/>
    </row>
    <row r="11460">
      <c r="A11460" s="2" t="n"/>
    </row>
    <row r="11461">
      <c r="A11461" s="2" t="n"/>
    </row>
    <row r="11462">
      <c r="A11462" s="2" t="n"/>
    </row>
    <row r="11463">
      <c r="A11463" s="2" t="n"/>
    </row>
    <row r="11464">
      <c r="A11464" s="2" t="n"/>
    </row>
    <row r="11465">
      <c r="A11465" s="2" t="n"/>
    </row>
    <row r="11466">
      <c r="A11466" s="2" t="n"/>
    </row>
    <row r="11467">
      <c r="A11467" s="2" t="n"/>
    </row>
    <row r="11468">
      <c r="A11468" s="2" t="n"/>
    </row>
    <row r="11469">
      <c r="A11469" s="2" t="n"/>
    </row>
    <row r="11470">
      <c r="A11470" s="2" t="n"/>
    </row>
    <row r="11471">
      <c r="A11471" s="2" t="n"/>
    </row>
    <row r="11472">
      <c r="A11472" s="2" t="n"/>
    </row>
    <row r="11473">
      <c r="A11473" s="2" t="n"/>
    </row>
    <row r="11474">
      <c r="A11474" s="2" t="n"/>
    </row>
    <row r="11475">
      <c r="A11475" s="2" t="n"/>
    </row>
    <row r="11476">
      <c r="A11476" s="2" t="n"/>
    </row>
    <row r="11477">
      <c r="A11477" s="2" t="n"/>
    </row>
    <row r="11478">
      <c r="A11478" s="2" t="n"/>
    </row>
    <row r="11479">
      <c r="A11479" s="2" t="n"/>
    </row>
    <row r="11480">
      <c r="A11480" s="2" t="n"/>
    </row>
    <row r="11481">
      <c r="A11481" s="2" t="n"/>
    </row>
    <row r="11482">
      <c r="A11482" s="2" t="n"/>
    </row>
    <row r="11483">
      <c r="A11483" s="2" t="n"/>
    </row>
    <row r="11484">
      <c r="A11484" s="2" t="n"/>
    </row>
    <row r="11485">
      <c r="A11485" s="2" t="n"/>
    </row>
    <row r="11486">
      <c r="A11486" s="2" t="n"/>
    </row>
    <row r="11487">
      <c r="A11487" s="2" t="n"/>
    </row>
    <row r="11488">
      <c r="A11488" s="2" t="n"/>
    </row>
    <row r="11489">
      <c r="A11489" s="2" t="n"/>
    </row>
    <row r="11490">
      <c r="A11490" s="2" t="n"/>
    </row>
    <row r="11491">
      <c r="A11491" s="2" t="n"/>
    </row>
    <row r="11492">
      <c r="A11492" s="2" t="n"/>
    </row>
    <row r="11493">
      <c r="A11493" s="2" t="n"/>
    </row>
    <row r="11494">
      <c r="A11494" s="2" t="n"/>
    </row>
    <row r="11495">
      <c r="A11495" s="2" t="n"/>
    </row>
    <row r="11496">
      <c r="A11496" s="2" t="n"/>
    </row>
    <row r="11497">
      <c r="A11497" s="2" t="n"/>
    </row>
    <row r="11498">
      <c r="A11498" s="2" t="n"/>
    </row>
    <row r="11499">
      <c r="A11499" s="2" t="n"/>
    </row>
    <row r="11500">
      <c r="A11500" s="2" t="n"/>
    </row>
    <row r="11501">
      <c r="A11501" s="2" t="n"/>
    </row>
    <row r="11502">
      <c r="A11502" s="2" t="n"/>
    </row>
    <row r="11503">
      <c r="A11503" s="2" t="n"/>
    </row>
    <row r="11504">
      <c r="A11504" s="2" t="n"/>
    </row>
    <row r="11505">
      <c r="A11505" s="2" t="n"/>
    </row>
    <row r="11506">
      <c r="A11506" s="2" t="n"/>
    </row>
    <row r="11507">
      <c r="A11507" s="2" t="n"/>
    </row>
    <row r="11508">
      <c r="A11508" s="2" t="n"/>
    </row>
    <row r="11509">
      <c r="A11509" s="2" t="n"/>
    </row>
    <row r="11510">
      <c r="A11510" s="2" t="n"/>
    </row>
    <row r="11511">
      <c r="A11511" s="2" t="n"/>
    </row>
    <row r="11512">
      <c r="A11512" s="2" t="n"/>
    </row>
    <row r="11513">
      <c r="A11513" s="2" t="n"/>
    </row>
    <row r="11514">
      <c r="A11514" s="2" t="n"/>
    </row>
    <row r="11515">
      <c r="A11515" s="2" t="n"/>
    </row>
    <row r="11516">
      <c r="A11516" s="2" t="n"/>
    </row>
    <row r="11517">
      <c r="A11517" s="2" t="n"/>
    </row>
    <row r="11518">
      <c r="A11518" s="2" t="n"/>
    </row>
    <row r="11519">
      <c r="A11519" s="2" t="n"/>
    </row>
    <row r="11520">
      <c r="A11520" s="2" t="n"/>
    </row>
    <row r="11521">
      <c r="A11521" s="2" t="n"/>
    </row>
    <row r="11522">
      <c r="A11522" s="2" t="n"/>
    </row>
    <row r="11523">
      <c r="A11523" s="2" t="n"/>
    </row>
    <row r="11524">
      <c r="A11524" s="2" t="n"/>
    </row>
    <row r="11525">
      <c r="A11525" s="2" t="n"/>
    </row>
    <row r="11526">
      <c r="A11526" s="2" t="n"/>
    </row>
    <row r="11527">
      <c r="A11527" s="2" t="n"/>
    </row>
    <row r="11528">
      <c r="A11528" s="2" t="n"/>
    </row>
    <row r="11529">
      <c r="A11529" s="2" t="n"/>
    </row>
    <row r="11530">
      <c r="A11530" s="2" t="n"/>
    </row>
    <row r="11531">
      <c r="A11531" s="2" t="n"/>
    </row>
    <row r="11532">
      <c r="A11532" s="2" t="n"/>
    </row>
    <row r="11533">
      <c r="A11533" s="2" t="n"/>
    </row>
    <row r="11534">
      <c r="A11534" s="2" t="n"/>
    </row>
    <row r="11535">
      <c r="A11535" s="2" t="n"/>
    </row>
    <row r="11536">
      <c r="A11536" s="2" t="n"/>
    </row>
    <row r="11537">
      <c r="A11537" s="2" t="n"/>
    </row>
    <row r="11538">
      <c r="A11538" s="2" t="n"/>
    </row>
    <row r="11539">
      <c r="A11539" s="2" t="n"/>
    </row>
    <row r="11540">
      <c r="A11540" s="2" t="n"/>
    </row>
    <row r="11541">
      <c r="A11541" s="2" t="n"/>
    </row>
    <row r="11542">
      <c r="A11542" s="2" t="n"/>
    </row>
    <row r="11543">
      <c r="A11543" s="2" t="n"/>
    </row>
    <row r="11544">
      <c r="A11544" s="2" t="n"/>
    </row>
    <row r="11545">
      <c r="A11545" s="2" t="n"/>
    </row>
    <row r="11546">
      <c r="A11546" s="2" t="n"/>
    </row>
    <row r="11547">
      <c r="A11547" s="2" t="n"/>
    </row>
    <row r="11548">
      <c r="A11548" s="2" t="n"/>
    </row>
    <row r="11549">
      <c r="A11549" s="2" t="n"/>
    </row>
    <row r="11550">
      <c r="A11550" s="2" t="n"/>
    </row>
    <row r="11551">
      <c r="A11551" s="2" t="n"/>
    </row>
    <row r="11552">
      <c r="A11552" s="2" t="n"/>
    </row>
    <row r="11553">
      <c r="A11553" s="2" t="n"/>
    </row>
    <row r="11554">
      <c r="A11554" s="2" t="n"/>
    </row>
    <row r="11555">
      <c r="A11555" s="2" t="n"/>
    </row>
    <row r="11556">
      <c r="A11556" s="2" t="n"/>
    </row>
    <row r="11557">
      <c r="A11557" s="2" t="n"/>
    </row>
    <row r="11558">
      <c r="A11558" s="2" t="n"/>
    </row>
    <row r="11559">
      <c r="A11559" s="2" t="n"/>
    </row>
    <row r="11560">
      <c r="A11560" s="2" t="n"/>
    </row>
    <row r="11561">
      <c r="A11561" s="2" t="n"/>
    </row>
    <row r="11562">
      <c r="A11562" s="2" t="n"/>
    </row>
    <row r="11563">
      <c r="A11563" s="2" t="n"/>
    </row>
    <row r="11564">
      <c r="A11564" s="2" t="n"/>
    </row>
    <row r="11565">
      <c r="A11565" s="2" t="n"/>
    </row>
    <row r="11566">
      <c r="A11566" s="2" t="n"/>
    </row>
    <row r="11567">
      <c r="A11567" s="2" t="n"/>
    </row>
    <row r="11568">
      <c r="A11568" s="2" t="n"/>
    </row>
    <row r="11569">
      <c r="A11569" s="2" t="n"/>
    </row>
    <row r="11570">
      <c r="A11570" s="2" t="n"/>
    </row>
    <row r="11571">
      <c r="A11571" s="2" t="n"/>
    </row>
    <row r="11572">
      <c r="A11572" s="2" t="n"/>
    </row>
    <row r="11573">
      <c r="A11573" s="2" t="n"/>
    </row>
    <row r="11574">
      <c r="A11574" s="2" t="n"/>
    </row>
    <row r="11575">
      <c r="A11575" s="2" t="n"/>
    </row>
    <row r="11576">
      <c r="A11576" s="2" t="n"/>
    </row>
    <row r="11577">
      <c r="A11577" s="2" t="n"/>
    </row>
    <row r="11578">
      <c r="A11578" s="2" t="n"/>
    </row>
    <row r="11579">
      <c r="A11579" s="2" t="n"/>
    </row>
    <row r="11580">
      <c r="A11580" s="2" t="n"/>
    </row>
    <row r="11581">
      <c r="A11581" s="2" t="n"/>
    </row>
    <row r="11582">
      <c r="A11582" s="2" t="n"/>
    </row>
    <row r="11583">
      <c r="A11583" s="2" t="n"/>
    </row>
    <row r="11584">
      <c r="A11584" s="2" t="n"/>
    </row>
    <row r="11585">
      <c r="A11585" s="2" t="n"/>
    </row>
    <row r="11586">
      <c r="A11586" s="2" t="n"/>
    </row>
    <row r="11587">
      <c r="A11587" s="2" t="n"/>
    </row>
    <row r="11588">
      <c r="A11588" s="2" t="n"/>
    </row>
    <row r="11589">
      <c r="A11589" s="2" t="n"/>
    </row>
    <row r="11590">
      <c r="A11590" s="2" t="n"/>
    </row>
    <row r="11591">
      <c r="A11591" s="2" t="n"/>
    </row>
    <row r="11592">
      <c r="A11592" s="2" t="n"/>
    </row>
    <row r="11593">
      <c r="A11593" s="2" t="n"/>
    </row>
    <row r="11594">
      <c r="A11594" s="2" t="n"/>
    </row>
    <row r="11595">
      <c r="A11595" s="2" t="n"/>
    </row>
    <row r="11596">
      <c r="A11596" s="2" t="n"/>
    </row>
    <row r="11597">
      <c r="A11597" s="2" t="n"/>
    </row>
    <row r="11598">
      <c r="A11598" s="2" t="n"/>
    </row>
    <row r="11599">
      <c r="A11599" s="2" t="n"/>
    </row>
    <row r="11600">
      <c r="A11600" s="2" t="n"/>
    </row>
    <row r="11601">
      <c r="A11601" s="2" t="n"/>
    </row>
    <row r="11602">
      <c r="A11602" s="2" t="n"/>
    </row>
    <row r="11603">
      <c r="A11603" s="2" t="n"/>
    </row>
    <row r="11604">
      <c r="A11604" s="2" t="n"/>
    </row>
    <row r="11605">
      <c r="A11605" s="2" t="n"/>
    </row>
    <row r="11606">
      <c r="A11606" s="2" t="n"/>
    </row>
    <row r="11607">
      <c r="A11607" s="2" t="n"/>
    </row>
    <row r="11608">
      <c r="A11608" s="2" t="n"/>
    </row>
    <row r="11609">
      <c r="A11609" s="2" t="n"/>
    </row>
    <row r="11610">
      <c r="A11610" s="2" t="n"/>
    </row>
    <row r="11611">
      <c r="A11611" s="2" t="n"/>
    </row>
    <row r="11612">
      <c r="A11612" s="2" t="n"/>
    </row>
    <row r="11613">
      <c r="A11613" s="2" t="n"/>
    </row>
    <row r="11614">
      <c r="A11614" s="2" t="n"/>
    </row>
    <row r="11615">
      <c r="A11615" s="2" t="n"/>
    </row>
    <row r="11616">
      <c r="A11616" s="2" t="n"/>
    </row>
    <row r="11617">
      <c r="A11617" s="2" t="n"/>
    </row>
    <row r="11618">
      <c r="A11618" s="2" t="n"/>
    </row>
    <row r="11619">
      <c r="A11619" s="2" t="n"/>
    </row>
    <row r="11620">
      <c r="A11620" s="2" t="n"/>
    </row>
    <row r="11621">
      <c r="A11621" s="2" t="n"/>
    </row>
    <row r="11622">
      <c r="A11622" s="2" t="n"/>
    </row>
    <row r="11623">
      <c r="A11623" s="2" t="n"/>
    </row>
    <row r="11624">
      <c r="A11624" s="2" t="n"/>
    </row>
    <row r="11625">
      <c r="A11625" s="2" t="n"/>
    </row>
    <row r="11626">
      <c r="A11626" s="2" t="n"/>
    </row>
    <row r="11627">
      <c r="A11627" s="2" t="n"/>
    </row>
    <row r="11628">
      <c r="A11628" s="2" t="n"/>
    </row>
    <row r="11629">
      <c r="A11629" s="2" t="n"/>
    </row>
    <row r="11630">
      <c r="A11630" s="2" t="n"/>
    </row>
    <row r="11631">
      <c r="A11631" s="2" t="n"/>
    </row>
    <row r="11632">
      <c r="A11632" s="2" t="n"/>
    </row>
    <row r="11633">
      <c r="A11633" s="2" t="n"/>
    </row>
    <row r="11634">
      <c r="A11634" s="2" t="n"/>
    </row>
    <row r="11635">
      <c r="A11635" s="2" t="n"/>
    </row>
    <row r="11636">
      <c r="A11636" s="2" t="n"/>
    </row>
    <row r="11637">
      <c r="A11637" s="2" t="n"/>
    </row>
    <row r="11638">
      <c r="A11638" s="2" t="n"/>
    </row>
    <row r="11639">
      <c r="A11639" s="2" t="n"/>
    </row>
    <row r="11640">
      <c r="A11640" s="2" t="n"/>
    </row>
    <row r="11641">
      <c r="A11641" s="2" t="n"/>
    </row>
    <row r="11642">
      <c r="A11642" s="2" t="n"/>
    </row>
    <row r="11643">
      <c r="A11643" s="2" t="n"/>
    </row>
    <row r="11644">
      <c r="A11644" s="2" t="n"/>
    </row>
    <row r="11645">
      <c r="A11645" s="2" t="n"/>
    </row>
    <row r="11646">
      <c r="A11646" s="2" t="n"/>
    </row>
    <row r="11647">
      <c r="A11647" s="2" t="n"/>
    </row>
    <row r="11648">
      <c r="A11648" s="2" t="n"/>
    </row>
    <row r="11649">
      <c r="A11649" s="2" t="n"/>
    </row>
    <row r="11650">
      <c r="A11650" s="2" t="n"/>
    </row>
    <row r="11651">
      <c r="A11651" s="2" t="n"/>
    </row>
    <row r="11652">
      <c r="A11652" s="2" t="n"/>
    </row>
    <row r="11653">
      <c r="A11653" s="2" t="n"/>
    </row>
    <row r="11654">
      <c r="A11654" s="2" t="n"/>
    </row>
    <row r="11655">
      <c r="A11655" s="2" t="n"/>
    </row>
    <row r="11656">
      <c r="A11656" s="2" t="n"/>
    </row>
    <row r="11657">
      <c r="A11657" s="2" t="n"/>
    </row>
    <row r="11658">
      <c r="A11658" s="2" t="n"/>
    </row>
    <row r="11659">
      <c r="A11659" s="2" t="n"/>
    </row>
    <row r="11660">
      <c r="A11660" s="2" t="n"/>
    </row>
    <row r="11661">
      <c r="A11661" s="2" t="n"/>
    </row>
    <row r="11662">
      <c r="A11662" s="2" t="n"/>
    </row>
    <row r="11663">
      <c r="A11663" s="2" t="n"/>
    </row>
    <row r="11664">
      <c r="A11664" s="2" t="n"/>
    </row>
    <row r="11665">
      <c r="A11665" s="2" t="n"/>
    </row>
    <row r="11666">
      <c r="A11666" s="2" t="n"/>
    </row>
    <row r="11667">
      <c r="A11667" s="2" t="n"/>
    </row>
    <row r="11668">
      <c r="A11668" s="2" t="n"/>
    </row>
    <row r="11669">
      <c r="A11669" s="2" t="n"/>
    </row>
    <row r="11670">
      <c r="A11670" s="2" t="n"/>
    </row>
    <row r="11671">
      <c r="A11671" s="2" t="n"/>
    </row>
    <row r="11672">
      <c r="A11672" s="2" t="n"/>
    </row>
    <row r="11673">
      <c r="A11673" s="2" t="n"/>
    </row>
    <row r="11674">
      <c r="A11674" s="2" t="n"/>
    </row>
    <row r="11675">
      <c r="A11675" s="2" t="n"/>
    </row>
    <row r="11676">
      <c r="A11676" s="2" t="n"/>
    </row>
    <row r="11677">
      <c r="A11677" s="2" t="n"/>
    </row>
    <row r="11678">
      <c r="A11678" s="2" t="n"/>
    </row>
    <row r="11679">
      <c r="A11679" s="2" t="n"/>
    </row>
    <row r="11680">
      <c r="A11680" s="2" t="n"/>
    </row>
    <row r="11681">
      <c r="A11681" s="2" t="n"/>
    </row>
    <row r="11682">
      <c r="A11682" s="2" t="n"/>
    </row>
    <row r="11683">
      <c r="A11683" s="2" t="n"/>
    </row>
    <row r="11684">
      <c r="A11684" s="2" t="n"/>
    </row>
    <row r="11685">
      <c r="A11685" s="2" t="n"/>
    </row>
    <row r="11686">
      <c r="A11686" s="2" t="n"/>
    </row>
    <row r="11687">
      <c r="A11687" s="2" t="n"/>
    </row>
    <row r="11688">
      <c r="A11688" s="2" t="n"/>
    </row>
    <row r="11689">
      <c r="A11689" s="2" t="n"/>
    </row>
    <row r="11690">
      <c r="A11690" s="2" t="n"/>
    </row>
    <row r="11691">
      <c r="A11691" s="2" t="n"/>
    </row>
    <row r="11692">
      <c r="A11692" s="2" t="n"/>
    </row>
    <row r="11693">
      <c r="A11693" s="2" t="n"/>
    </row>
    <row r="11694">
      <c r="A11694" s="2" t="n"/>
    </row>
    <row r="11695">
      <c r="A11695" s="2" t="n"/>
    </row>
    <row r="11696">
      <c r="A11696" s="2" t="n"/>
    </row>
    <row r="11697">
      <c r="A11697" s="2" t="n"/>
    </row>
    <row r="11698">
      <c r="A11698" s="2" t="n"/>
    </row>
    <row r="11699">
      <c r="A11699" s="2" t="n"/>
    </row>
    <row r="11700">
      <c r="A11700" s="2" t="n"/>
    </row>
    <row r="11701">
      <c r="A11701" s="2" t="n"/>
    </row>
    <row r="11702">
      <c r="A11702" s="2" t="n"/>
    </row>
    <row r="11703">
      <c r="A11703" s="2" t="n"/>
    </row>
    <row r="11704">
      <c r="A11704" s="2" t="n"/>
    </row>
    <row r="11705">
      <c r="A11705" s="2" t="n"/>
    </row>
    <row r="11706">
      <c r="A11706" s="2" t="n"/>
    </row>
    <row r="11707">
      <c r="A11707" s="2" t="n"/>
    </row>
    <row r="11708">
      <c r="A11708" s="2" t="n"/>
    </row>
    <row r="11709">
      <c r="A11709" s="2" t="n"/>
    </row>
    <row r="11710">
      <c r="A11710" s="2" t="n"/>
    </row>
    <row r="11711">
      <c r="A11711" s="2" t="n"/>
    </row>
    <row r="11712">
      <c r="A11712" s="2" t="n"/>
    </row>
    <row r="11713">
      <c r="A11713" s="2" t="n"/>
    </row>
    <row r="11714">
      <c r="A11714" s="2" t="n"/>
    </row>
    <row r="11715">
      <c r="A11715" s="2" t="n"/>
    </row>
    <row r="11716">
      <c r="A11716" s="2" t="n"/>
    </row>
    <row r="11717">
      <c r="A11717" s="2" t="n"/>
    </row>
    <row r="11718">
      <c r="A11718" s="2" t="n"/>
    </row>
    <row r="11719">
      <c r="A11719" s="2" t="n"/>
    </row>
    <row r="11720">
      <c r="A11720" s="2" t="n"/>
    </row>
    <row r="11721">
      <c r="A11721" s="2" t="n"/>
    </row>
    <row r="11722">
      <c r="A11722" s="2" t="n"/>
    </row>
    <row r="11723">
      <c r="A11723" s="2" t="n"/>
    </row>
    <row r="11724">
      <c r="A11724" s="2" t="n"/>
    </row>
    <row r="11725">
      <c r="A11725" s="2" t="n"/>
    </row>
    <row r="11726">
      <c r="A11726" s="2" t="n"/>
    </row>
    <row r="11727">
      <c r="A11727" s="2" t="n"/>
    </row>
    <row r="11728">
      <c r="A11728" s="2" t="n"/>
    </row>
    <row r="11729">
      <c r="A11729" s="2" t="n"/>
    </row>
    <row r="11730">
      <c r="A11730" s="2" t="n"/>
    </row>
    <row r="11731">
      <c r="A11731" s="2" t="n"/>
    </row>
    <row r="11732">
      <c r="A11732" s="2" t="n"/>
    </row>
    <row r="11733">
      <c r="A11733" s="2" t="n"/>
    </row>
    <row r="11734">
      <c r="A11734" s="2" t="n"/>
    </row>
    <row r="11735">
      <c r="A11735" s="2" t="n"/>
    </row>
    <row r="11736">
      <c r="A11736" s="2" t="n"/>
    </row>
    <row r="11737">
      <c r="A11737" s="2" t="n"/>
    </row>
    <row r="11738">
      <c r="A11738" s="2" t="n"/>
    </row>
    <row r="11739">
      <c r="A11739" s="2" t="n"/>
    </row>
    <row r="11740">
      <c r="A11740" s="2" t="n"/>
    </row>
    <row r="11741">
      <c r="A11741" s="2" t="n"/>
    </row>
    <row r="11742">
      <c r="A11742" s="2" t="n"/>
    </row>
    <row r="11743">
      <c r="A11743" s="2" t="n"/>
    </row>
    <row r="11744">
      <c r="A11744" s="2" t="n"/>
    </row>
    <row r="11745">
      <c r="A11745" s="2" t="n"/>
    </row>
    <row r="11746">
      <c r="A11746" s="2" t="n"/>
    </row>
    <row r="11747">
      <c r="A11747" s="2" t="n"/>
    </row>
    <row r="11748">
      <c r="A11748" s="2" t="n"/>
    </row>
    <row r="11749">
      <c r="A11749" s="2" t="n"/>
    </row>
    <row r="11750">
      <c r="A11750" s="2" t="n"/>
    </row>
    <row r="11751">
      <c r="A11751" s="2" t="n"/>
    </row>
    <row r="11752">
      <c r="A11752" s="2" t="n"/>
    </row>
    <row r="11753">
      <c r="A11753" s="2" t="n"/>
    </row>
    <row r="11754">
      <c r="A11754" s="2" t="n"/>
    </row>
    <row r="11755">
      <c r="A11755" s="2" t="n"/>
    </row>
    <row r="11756">
      <c r="A11756" s="2" t="n"/>
    </row>
    <row r="11757">
      <c r="A11757" s="2" t="n"/>
    </row>
    <row r="11758">
      <c r="A11758" s="2" t="n"/>
    </row>
    <row r="11759">
      <c r="A11759" s="2" t="n"/>
    </row>
    <row r="11760">
      <c r="A11760" s="2" t="n"/>
    </row>
    <row r="11761">
      <c r="A11761" s="2" t="n"/>
    </row>
    <row r="11762">
      <c r="A11762" s="2" t="n"/>
    </row>
    <row r="11763">
      <c r="A11763" s="2" t="n"/>
    </row>
    <row r="11764">
      <c r="A11764" s="2" t="n"/>
    </row>
    <row r="11765">
      <c r="A11765" s="2" t="n"/>
    </row>
    <row r="11766">
      <c r="A11766" s="2" t="n"/>
    </row>
    <row r="11767">
      <c r="A11767" s="2" t="n"/>
    </row>
    <row r="11768">
      <c r="A11768" s="2" t="n"/>
    </row>
    <row r="11769">
      <c r="A11769" s="2" t="n"/>
    </row>
    <row r="11770">
      <c r="A11770" s="2" t="n"/>
    </row>
    <row r="11771">
      <c r="A11771" s="2" t="n"/>
    </row>
    <row r="11772">
      <c r="A11772" s="2" t="n"/>
    </row>
    <row r="11773">
      <c r="A11773" s="2" t="n"/>
    </row>
    <row r="11774">
      <c r="A11774" s="2" t="n"/>
    </row>
    <row r="11775">
      <c r="A11775" s="2" t="n"/>
    </row>
    <row r="11776">
      <c r="A11776" s="2" t="n"/>
    </row>
    <row r="11777">
      <c r="A11777" s="2" t="n"/>
    </row>
    <row r="11778">
      <c r="A11778" s="2" t="n"/>
    </row>
    <row r="11779">
      <c r="A11779" s="2" t="n"/>
    </row>
    <row r="11780">
      <c r="A11780" s="2" t="n"/>
    </row>
    <row r="11781">
      <c r="A11781" s="2" t="n"/>
    </row>
    <row r="11782">
      <c r="A11782" s="2" t="n"/>
    </row>
    <row r="11783">
      <c r="A11783" s="2" t="n"/>
    </row>
    <row r="11784">
      <c r="A11784" s="2" t="n"/>
    </row>
    <row r="11785">
      <c r="A11785" s="2" t="n"/>
    </row>
    <row r="11786">
      <c r="A11786" s="2" t="n"/>
    </row>
    <row r="11787">
      <c r="A11787" s="2" t="n"/>
    </row>
    <row r="11788">
      <c r="A11788" s="2" t="n"/>
    </row>
    <row r="11789">
      <c r="A11789" s="2" t="n"/>
    </row>
    <row r="11790">
      <c r="A11790" s="2" t="n"/>
    </row>
    <row r="11791">
      <c r="A11791" s="2" t="n"/>
    </row>
    <row r="11792">
      <c r="A11792" s="2" t="n"/>
    </row>
    <row r="11793">
      <c r="A11793" s="2" t="n"/>
    </row>
    <row r="11794">
      <c r="A11794" s="2" t="n"/>
    </row>
    <row r="11795">
      <c r="A11795" s="2" t="n"/>
    </row>
    <row r="11796">
      <c r="A11796" s="2" t="n"/>
    </row>
    <row r="11797">
      <c r="A11797" s="2" t="n"/>
    </row>
    <row r="11798">
      <c r="A11798" s="2" t="n"/>
    </row>
    <row r="11799">
      <c r="A11799" s="2" t="n"/>
    </row>
    <row r="11800">
      <c r="A11800" s="2" t="n"/>
    </row>
    <row r="11801">
      <c r="A11801" s="2" t="n"/>
    </row>
    <row r="11802">
      <c r="A11802" s="2" t="n"/>
    </row>
    <row r="11803">
      <c r="A11803" s="2" t="n"/>
    </row>
    <row r="11804">
      <c r="A11804" s="2" t="n"/>
    </row>
    <row r="11805">
      <c r="A11805" s="2" t="n"/>
    </row>
    <row r="11806">
      <c r="A11806" s="2" t="n"/>
    </row>
    <row r="11807">
      <c r="A11807" s="2" t="n"/>
    </row>
    <row r="11808">
      <c r="A11808" s="2" t="n"/>
    </row>
    <row r="11809">
      <c r="A11809" s="2" t="n"/>
    </row>
    <row r="11810">
      <c r="A11810" s="2" t="n"/>
    </row>
    <row r="11811">
      <c r="A11811" s="2" t="n"/>
    </row>
    <row r="11812">
      <c r="A11812" s="2" t="n"/>
    </row>
    <row r="11813">
      <c r="A11813" s="2" t="n"/>
    </row>
    <row r="11814">
      <c r="A11814" s="2" t="n"/>
    </row>
    <row r="11815">
      <c r="A11815" s="2" t="n"/>
    </row>
    <row r="11816">
      <c r="A11816" s="2" t="n"/>
    </row>
    <row r="11817">
      <c r="A11817" s="2" t="n"/>
    </row>
    <row r="11818">
      <c r="A11818" s="2" t="n"/>
    </row>
    <row r="11819">
      <c r="A11819" s="2" t="n"/>
    </row>
    <row r="11820">
      <c r="A11820" s="2" t="n"/>
    </row>
    <row r="11821">
      <c r="A11821" s="2" t="n"/>
    </row>
    <row r="11822">
      <c r="A11822" s="2" t="n"/>
    </row>
    <row r="11823">
      <c r="A11823" s="2" t="n"/>
    </row>
    <row r="11824">
      <c r="A11824" s="2" t="n"/>
    </row>
    <row r="11825">
      <c r="A11825" s="2" t="n"/>
    </row>
    <row r="11826">
      <c r="A11826" s="2" t="n"/>
    </row>
    <row r="11827">
      <c r="A11827" s="2" t="n"/>
    </row>
    <row r="11828">
      <c r="A11828" s="2" t="n"/>
    </row>
    <row r="11829">
      <c r="A11829" s="2" t="n"/>
    </row>
    <row r="11830">
      <c r="A11830" s="2" t="n"/>
    </row>
    <row r="11831">
      <c r="A11831" s="2" t="n"/>
    </row>
    <row r="11832">
      <c r="A11832" s="2" t="n"/>
    </row>
    <row r="11833">
      <c r="A11833" s="2" t="n"/>
    </row>
    <row r="11834">
      <c r="A11834" s="2" t="n"/>
    </row>
    <row r="11835">
      <c r="A11835" s="2" t="n"/>
    </row>
    <row r="11836">
      <c r="A11836" s="2" t="n"/>
    </row>
    <row r="11837">
      <c r="A11837" s="2" t="n"/>
    </row>
    <row r="11838">
      <c r="A11838" s="2" t="n"/>
    </row>
    <row r="11839">
      <c r="A11839" s="2" t="n"/>
    </row>
    <row r="11840">
      <c r="A11840" s="2" t="n"/>
    </row>
    <row r="11841">
      <c r="A11841" s="2" t="n"/>
    </row>
    <row r="11842">
      <c r="A11842" s="2" t="n"/>
    </row>
    <row r="11843">
      <c r="A11843" s="2" t="n"/>
    </row>
    <row r="11844">
      <c r="A11844" s="2" t="n"/>
    </row>
    <row r="11845">
      <c r="A11845" s="2" t="n"/>
    </row>
    <row r="11846">
      <c r="A11846" s="2" t="n"/>
    </row>
    <row r="11847">
      <c r="A11847" s="2" t="n"/>
    </row>
    <row r="11848">
      <c r="A11848" s="2" t="n"/>
    </row>
    <row r="11849">
      <c r="A11849" s="2" t="n"/>
    </row>
    <row r="11850">
      <c r="A11850" s="2" t="n"/>
    </row>
    <row r="11851">
      <c r="A11851" s="2" t="n"/>
    </row>
    <row r="11852">
      <c r="A11852" s="2" t="n"/>
    </row>
    <row r="11853">
      <c r="A11853" s="2" t="n"/>
    </row>
    <row r="11854">
      <c r="A11854" s="2" t="n"/>
    </row>
    <row r="11855">
      <c r="A11855" s="2" t="n"/>
    </row>
    <row r="11856">
      <c r="A11856" s="2" t="n"/>
    </row>
    <row r="11857">
      <c r="A11857" s="2" t="n"/>
    </row>
    <row r="11858">
      <c r="A11858" s="2" t="n"/>
    </row>
    <row r="11859">
      <c r="A11859" s="2" t="n"/>
    </row>
    <row r="11860">
      <c r="A11860" s="2" t="n"/>
    </row>
    <row r="11861">
      <c r="A11861" s="2" t="n"/>
    </row>
    <row r="11862">
      <c r="A11862" s="2" t="n"/>
    </row>
    <row r="11863">
      <c r="A11863" s="2" t="n"/>
    </row>
    <row r="11864">
      <c r="A11864" s="2" t="n"/>
    </row>
    <row r="11865">
      <c r="A11865" s="2" t="n"/>
    </row>
    <row r="11866">
      <c r="A11866" s="2" t="n"/>
    </row>
    <row r="11867">
      <c r="A11867" s="2" t="n"/>
    </row>
    <row r="11868">
      <c r="A11868" s="2" t="n"/>
    </row>
    <row r="11869">
      <c r="A11869" s="2" t="n"/>
    </row>
    <row r="11870">
      <c r="A11870" s="2" t="n"/>
    </row>
    <row r="11871">
      <c r="A11871" s="2" t="n"/>
    </row>
    <row r="11872">
      <c r="A11872" s="2" t="n"/>
    </row>
    <row r="11873">
      <c r="A11873" s="2" t="n"/>
    </row>
    <row r="11874">
      <c r="A11874" s="2" t="n"/>
    </row>
    <row r="11875">
      <c r="A11875" s="2" t="n"/>
    </row>
    <row r="11876">
      <c r="A11876" s="2" t="n"/>
    </row>
    <row r="11877">
      <c r="A11877" s="2" t="n"/>
    </row>
    <row r="11878">
      <c r="A11878" s="2" t="n"/>
    </row>
    <row r="11879">
      <c r="A11879" s="2" t="n"/>
    </row>
    <row r="11880">
      <c r="A11880" s="2" t="n"/>
    </row>
    <row r="11881">
      <c r="A11881" s="2" t="n"/>
    </row>
    <row r="11882">
      <c r="A11882" s="2" t="n"/>
    </row>
    <row r="11883">
      <c r="A11883" s="2" t="n"/>
    </row>
    <row r="11884">
      <c r="A11884" s="2" t="n"/>
    </row>
    <row r="11885">
      <c r="A11885" s="2" t="n"/>
    </row>
    <row r="11886">
      <c r="A11886" s="2" t="n"/>
    </row>
    <row r="11887">
      <c r="A11887" s="2" t="n"/>
    </row>
    <row r="11888">
      <c r="A11888" s="2" t="n"/>
    </row>
    <row r="11889">
      <c r="A11889" s="2" t="n"/>
    </row>
    <row r="11890">
      <c r="A11890" s="2" t="n"/>
    </row>
    <row r="11891">
      <c r="A11891" s="2" t="n"/>
    </row>
    <row r="11892">
      <c r="A11892" s="2" t="n"/>
    </row>
    <row r="11893">
      <c r="A11893" s="2" t="n"/>
    </row>
    <row r="11894">
      <c r="A11894" s="2" t="n"/>
    </row>
    <row r="11895">
      <c r="A11895" s="2" t="n"/>
    </row>
    <row r="11896">
      <c r="A11896" s="2" t="n"/>
    </row>
    <row r="11897">
      <c r="A11897" s="2" t="n"/>
    </row>
    <row r="11898">
      <c r="A11898" s="2" t="n"/>
    </row>
    <row r="11899">
      <c r="A11899" s="2" t="n"/>
    </row>
    <row r="11900">
      <c r="A11900" s="2" t="n"/>
    </row>
    <row r="11901">
      <c r="A11901" s="2" t="n"/>
    </row>
    <row r="11902">
      <c r="A11902" s="2" t="n"/>
    </row>
    <row r="11903">
      <c r="A11903" s="2" t="n"/>
    </row>
    <row r="11904">
      <c r="A11904" s="2" t="n"/>
    </row>
    <row r="11905">
      <c r="A11905" s="2" t="n"/>
    </row>
    <row r="11906">
      <c r="A11906" s="2" t="n"/>
    </row>
    <row r="11907">
      <c r="A11907" s="2" t="n"/>
    </row>
    <row r="11908">
      <c r="A11908" s="2" t="n"/>
    </row>
    <row r="11909">
      <c r="A11909" s="2" t="n"/>
    </row>
    <row r="11910">
      <c r="A11910" s="2" t="n"/>
    </row>
    <row r="11911">
      <c r="A11911" s="2" t="n"/>
    </row>
    <row r="11912">
      <c r="A11912" s="2" t="n"/>
    </row>
    <row r="11913">
      <c r="A11913" s="2" t="n"/>
    </row>
    <row r="11914">
      <c r="A11914" s="2" t="n"/>
    </row>
    <row r="11915">
      <c r="A11915" s="2" t="n"/>
    </row>
    <row r="11916">
      <c r="A11916" s="2" t="n"/>
    </row>
    <row r="11917">
      <c r="A11917" s="2" t="n"/>
    </row>
    <row r="11918">
      <c r="A11918" s="2" t="n"/>
    </row>
    <row r="11919">
      <c r="A11919" s="2" t="n"/>
    </row>
    <row r="11920">
      <c r="A11920" s="2" t="n"/>
    </row>
    <row r="11921">
      <c r="A11921" s="2" t="n"/>
    </row>
    <row r="11922">
      <c r="A11922" s="2" t="n"/>
    </row>
    <row r="11923">
      <c r="A11923" s="2" t="n"/>
    </row>
    <row r="11924">
      <c r="A11924" s="2" t="n"/>
    </row>
    <row r="11925">
      <c r="A11925" s="2" t="n"/>
    </row>
    <row r="11926">
      <c r="A11926" s="2" t="n"/>
    </row>
    <row r="11927">
      <c r="A11927" s="2" t="n"/>
    </row>
    <row r="11928">
      <c r="A11928" s="2" t="n"/>
    </row>
    <row r="11929">
      <c r="A11929" s="2" t="n"/>
    </row>
    <row r="11930">
      <c r="A11930" s="2" t="n"/>
    </row>
    <row r="11931">
      <c r="A11931" s="2" t="n"/>
    </row>
    <row r="11932">
      <c r="A11932" s="2" t="n"/>
    </row>
    <row r="11933">
      <c r="A11933" s="2" t="n"/>
    </row>
    <row r="11934">
      <c r="A11934" s="2" t="n"/>
    </row>
    <row r="11935">
      <c r="A11935" s="2" t="n"/>
    </row>
    <row r="11936">
      <c r="A11936" s="2" t="n"/>
    </row>
    <row r="11937">
      <c r="A11937" s="2" t="n"/>
    </row>
    <row r="11938">
      <c r="A11938" s="2" t="n"/>
    </row>
    <row r="11939">
      <c r="A11939" s="2" t="n"/>
    </row>
    <row r="11940">
      <c r="A11940" s="2" t="n"/>
    </row>
    <row r="11941">
      <c r="A11941" s="2" t="n"/>
    </row>
    <row r="11942">
      <c r="A11942" s="2" t="n"/>
    </row>
    <row r="11943">
      <c r="A11943" s="2" t="n"/>
    </row>
    <row r="11944">
      <c r="A11944" s="2" t="n"/>
    </row>
    <row r="11945">
      <c r="A11945" s="2" t="n"/>
    </row>
    <row r="11946">
      <c r="A11946" s="2" t="n"/>
    </row>
    <row r="11947">
      <c r="A11947" s="2" t="n"/>
    </row>
    <row r="11948">
      <c r="A11948" s="2" t="n"/>
    </row>
    <row r="11949">
      <c r="A11949" s="2" t="n"/>
    </row>
    <row r="11950">
      <c r="A11950" s="2" t="n"/>
    </row>
    <row r="11951">
      <c r="A11951" s="2" t="n"/>
    </row>
    <row r="11952">
      <c r="A11952" s="2" t="n"/>
    </row>
    <row r="11953">
      <c r="A11953" s="2" t="n"/>
    </row>
    <row r="11954">
      <c r="A11954" s="2" t="n"/>
    </row>
    <row r="11955">
      <c r="A11955" s="2" t="n"/>
    </row>
    <row r="11956">
      <c r="A11956" s="2" t="n"/>
    </row>
    <row r="11957">
      <c r="A11957" s="2" t="n"/>
    </row>
    <row r="11958">
      <c r="A11958" s="2" t="n"/>
    </row>
    <row r="11959">
      <c r="A11959" s="2" t="n"/>
    </row>
    <row r="11960">
      <c r="A11960" s="2" t="n"/>
    </row>
    <row r="11961">
      <c r="A11961" s="2" t="n"/>
    </row>
    <row r="11962">
      <c r="A11962" s="2" t="n"/>
    </row>
    <row r="11963">
      <c r="A11963" s="2" t="n"/>
    </row>
    <row r="11964">
      <c r="A11964" s="2" t="n"/>
    </row>
    <row r="11965">
      <c r="A11965" s="2" t="n"/>
    </row>
    <row r="11966">
      <c r="A11966" s="2" t="n"/>
    </row>
    <row r="11967">
      <c r="A11967" s="2" t="n"/>
    </row>
    <row r="11968">
      <c r="A11968" s="2" t="n"/>
    </row>
    <row r="11969">
      <c r="A11969" s="2" t="n"/>
    </row>
    <row r="11970">
      <c r="A11970" s="2" t="n"/>
    </row>
    <row r="11971">
      <c r="A11971" s="2" t="n"/>
    </row>
    <row r="11972">
      <c r="A11972" s="2" t="n"/>
    </row>
    <row r="11973">
      <c r="A11973" s="2" t="n"/>
    </row>
    <row r="11974">
      <c r="A11974" s="2" t="n"/>
    </row>
    <row r="11975">
      <c r="A11975" s="2" t="n"/>
    </row>
    <row r="11976">
      <c r="A11976" s="2" t="n"/>
    </row>
    <row r="11977">
      <c r="A11977" s="2" t="n"/>
    </row>
    <row r="11978">
      <c r="A11978" s="2" t="n"/>
    </row>
    <row r="11979">
      <c r="A11979" s="2" t="n"/>
    </row>
    <row r="11980">
      <c r="A11980" s="2" t="n"/>
    </row>
    <row r="11981">
      <c r="A11981" s="2" t="n"/>
    </row>
    <row r="11982">
      <c r="A11982" s="2" t="n"/>
    </row>
    <row r="11983">
      <c r="A11983" s="2" t="n"/>
    </row>
    <row r="11984">
      <c r="A11984" s="2" t="n"/>
    </row>
    <row r="11985">
      <c r="A11985" s="2" t="n"/>
    </row>
    <row r="11986">
      <c r="A11986" s="2" t="n"/>
    </row>
    <row r="11987">
      <c r="A11987" s="2" t="n"/>
    </row>
    <row r="11988">
      <c r="A11988" s="2" t="n"/>
    </row>
    <row r="11989">
      <c r="A11989" s="2" t="n"/>
    </row>
    <row r="11990">
      <c r="A11990" s="2" t="n"/>
    </row>
    <row r="11991">
      <c r="A11991" s="2" t="n"/>
    </row>
    <row r="11992">
      <c r="A11992" s="2" t="n"/>
    </row>
    <row r="11993">
      <c r="A11993" s="2" t="n"/>
    </row>
    <row r="11994">
      <c r="A11994" s="2" t="n"/>
    </row>
    <row r="11995">
      <c r="A11995" s="2" t="n"/>
    </row>
    <row r="11996">
      <c r="A11996" s="2" t="n"/>
    </row>
    <row r="11997">
      <c r="A11997" s="2" t="n"/>
    </row>
    <row r="11998">
      <c r="A11998" s="2" t="n"/>
    </row>
    <row r="11999">
      <c r="A11999" s="2" t="n"/>
    </row>
    <row r="12000">
      <c r="A12000" s="2" t="n"/>
    </row>
    <row r="12001">
      <c r="A12001" s="2" t="n"/>
    </row>
    <row r="12002">
      <c r="A12002" s="2" t="n"/>
    </row>
    <row r="12003">
      <c r="A12003" s="2" t="n"/>
    </row>
    <row r="12004">
      <c r="A12004" s="2" t="n"/>
    </row>
    <row r="12005">
      <c r="A12005" s="2" t="n"/>
    </row>
    <row r="12006">
      <c r="A12006" s="2" t="n"/>
    </row>
    <row r="12007">
      <c r="A12007" s="2" t="n"/>
    </row>
    <row r="12008">
      <c r="A12008" s="2" t="n"/>
    </row>
    <row r="12009">
      <c r="A12009" s="2" t="n"/>
    </row>
    <row r="12010">
      <c r="A12010" s="2" t="n"/>
    </row>
    <row r="12011">
      <c r="A12011" s="2" t="n"/>
    </row>
    <row r="12012">
      <c r="A12012" s="2" t="n"/>
    </row>
    <row r="12013">
      <c r="A12013" s="2" t="n"/>
    </row>
    <row r="12014">
      <c r="A12014" s="2" t="n"/>
    </row>
    <row r="12015">
      <c r="A12015" s="2" t="n"/>
    </row>
    <row r="12016">
      <c r="A12016" s="2" t="n"/>
    </row>
    <row r="12017">
      <c r="A12017" s="2" t="n"/>
    </row>
    <row r="12018">
      <c r="A12018" s="2" t="n"/>
    </row>
    <row r="12019">
      <c r="A12019" s="2" t="n"/>
    </row>
    <row r="12020">
      <c r="A12020" s="2" t="n"/>
    </row>
    <row r="12021">
      <c r="A12021" s="2" t="n"/>
    </row>
    <row r="12022">
      <c r="A12022" s="2" t="n"/>
    </row>
    <row r="12023">
      <c r="A12023" s="2" t="n"/>
    </row>
    <row r="12024">
      <c r="A12024" s="2" t="n"/>
    </row>
    <row r="12025">
      <c r="A12025" s="2" t="n"/>
    </row>
    <row r="12026">
      <c r="A12026" s="2" t="n"/>
    </row>
    <row r="12027">
      <c r="A12027" s="2" t="n"/>
    </row>
    <row r="12028">
      <c r="A12028" s="2" t="n"/>
    </row>
    <row r="12029">
      <c r="A12029" s="2" t="n"/>
    </row>
    <row r="12030">
      <c r="A12030" s="2" t="n"/>
    </row>
    <row r="12031">
      <c r="A12031" s="2" t="n"/>
    </row>
    <row r="12032">
      <c r="A12032" s="2" t="n"/>
    </row>
    <row r="12033">
      <c r="A12033" s="2" t="n"/>
    </row>
    <row r="12034">
      <c r="A12034" s="2" t="n"/>
    </row>
    <row r="12035">
      <c r="A12035" s="2" t="n"/>
    </row>
    <row r="12036">
      <c r="A12036" s="2" t="n"/>
    </row>
    <row r="12037">
      <c r="A12037" s="2" t="n"/>
    </row>
    <row r="12038">
      <c r="A12038" s="2" t="n"/>
    </row>
    <row r="12039">
      <c r="A12039" s="2" t="n"/>
    </row>
    <row r="12040">
      <c r="A12040" s="2" t="n"/>
    </row>
    <row r="12041">
      <c r="A12041" s="2" t="n"/>
    </row>
    <row r="12042">
      <c r="A12042" s="2" t="n"/>
    </row>
    <row r="12043">
      <c r="A12043" s="2" t="n"/>
    </row>
    <row r="12044">
      <c r="A12044" s="2" t="n"/>
    </row>
    <row r="12045">
      <c r="A12045" s="2" t="n"/>
    </row>
    <row r="12046">
      <c r="A12046" s="2" t="n"/>
    </row>
    <row r="12047">
      <c r="A12047" s="2" t="n"/>
    </row>
    <row r="12048">
      <c r="A12048" s="2" t="n"/>
    </row>
    <row r="12049">
      <c r="A12049" s="2" t="n"/>
    </row>
    <row r="12050">
      <c r="A12050" s="2" t="n"/>
    </row>
    <row r="12051">
      <c r="A12051" s="2" t="n"/>
    </row>
    <row r="12052">
      <c r="A12052" s="2" t="n"/>
    </row>
    <row r="12053">
      <c r="A12053" s="2" t="n"/>
    </row>
    <row r="12054">
      <c r="A12054" s="2" t="n"/>
    </row>
    <row r="12055">
      <c r="A12055" s="2" t="n"/>
    </row>
    <row r="12056">
      <c r="A12056" s="2" t="n"/>
    </row>
    <row r="12057">
      <c r="A12057" s="2" t="n"/>
    </row>
    <row r="12058">
      <c r="A12058" s="2" t="n"/>
    </row>
    <row r="12059">
      <c r="A12059" s="2" t="n"/>
    </row>
    <row r="12060">
      <c r="A12060" s="2" t="n"/>
    </row>
    <row r="12061">
      <c r="A12061" s="2" t="n"/>
    </row>
    <row r="12062">
      <c r="A12062" s="2" t="n"/>
    </row>
    <row r="12063">
      <c r="A12063" s="2" t="n"/>
    </row>
    <row r="12064">
      <c r="A12064" s="2" t="n"/>
    </row>
    <row r="12065">
      <c r="A12065" s="2" t="n"/>
    </row>
    <row r="12066">
      <c r="A12066" s="2" t="n"/>
    </row>
    <row r="12067">
      <c r="A12067" s="2" t="n"/>
    </row>
    <row r="12068">
      <c r="A12068" s="2" t="n"/>
    </row>
    <row r="12069">
      <c r="A12069" s="2" t="n"/>
    </row>
    <row r="12070">
      <c r="A12070" s="2" t="n"/>
    </row>
    <row r="12071">
      <c r="A12071" s="2" t="n"/>
    </row>
    <row r="12072">
      <c r="A12072" s="2" t="n"/>
    </row>
    <row r="12073">
      <c r="A12073" s="2" t="n"/>
    </row>
    <row r="12074">
      <c r="A12074" s="2" t="n"/>
    </row>
    <row r="12075">
      <c r="A12075" s="2" t="n"/>
    </row>
    <row r="12076">
      <c r="A12076" s="2" t="n"/>
    </row>
    <row r="12077">
      <c r="A12077" s="2" t="n"/>
    </row>
    <row r="12078">
      <c r="A12078" s="2" t="n"/>
    </row>
    <row r="12079">
      <c r="A12079" s="2" t="n"/>
    </row>
    <row r="12080">
      <c r="A12080" s="2" t="n"/>
    </row>
    <row r="12081">
      <c r="A12081" s="2" t="n"/>
    </row>
    <row r="12082">
      <c r="A12082" s="2" t="n"/>
    </row>
    <row r="12083">
      <c r="A12083" s="2" t="n"/>
    </row>
    <row r="12084">
      <c r="A12084" s="2" t="n"/>
    </row>
    <row r="12085">
      <c r="A12085" s="2" t="n"/>
    </row>
    <row r="12086">
      <c r="A12086" s="2" t="n"/>
    </row>
    <row r="12087">
      <c r="A12087" s="2" t="n"/>
    </row>
    <row r="12088">
      <c r="A12088" s="2" t="n"/>
    </row>
    <row r="12089">
      <c r="A12089" s="2" t="n"/>
    </row>
    <row r="12090">
      <c r="A12090" s="2" t="n"/>
    </row>
    <row r="12091">
      <c r="A12091" s="2" t="n"/>
    </row>
    <row r="12092">
      <c r="A12092" s="2" t="n"/>
    </row>
    <row r="12093">
      <c r="A12093" s="2" t="n"/>
    </row>
    <row r="12094">
      <c r="A12094" s="2" t="n"/>
    </row>
    <row r="12095">
      <c r="A12095" s="2" t="n"/>
    </row>
    <row r="12096">
      <c r="A12096" s="2" t="n"/>
    </row>
    <row r="12097">
      <c r="A12097" s="2" t="n"/>
    </row>
    <row r="12098">
      <c r="A12098" s="2" t="n"/>
    </row>
    <row r="12099">
      <c r="A12099" s="2" t="n"/>
    </row>
    <row r="12100">
      <c r="A12100" s="2" t="n"/>
    </row>
    <row r="12101">
      <c r="A12101" s="2" t="n"/>
    </row>
    <row r="12102">
      <c r="A12102" s="2" t="n"/>
    </row>
    <row r="12103">
      <c r="A12103" s="2" t="n"/>
    </row>
    <row r="12104">
      <c r="A12104" s="2" t="n"/>
    </row>
    <row r="12105">
      <c r="A12105" s="2" t="n"/>
    </row>
    <row r="12106">
      <c r="A12106" s="2" t="n"/>
    </row>
    <row r="12107">
      <c r="A12107" s="2" t="n"/>
    </row>
    <row r="12108">
      <c r="A12108" s="2" t="n"/>
    </row>
    <row r="12109">
      <c r="A12109" s="2" t="n"/>
    </row>
    <row r="12110">
      <c r="A12110" s="2" t="n"/>
    </row>
    <row r="12111">
      <c r="A12111" s="2" t="n"/>
    </row>
    <row r="12112">
      <c r="A12112" s="2" t="n"/>
    </row>
    <row r="12113">
      <c r="A12113" s="2" t="n"/>
    </row>
    <row r="12114">
      <c r="A12114" s="2" t="n"/>
    </row>
    <row r="12115">
      <c r="A12115" s="2" t="n"/>
    </row>
    <row r="12116">
      <c r="A12116" s="2" t="n"/>
    </row>
    <row r="12117">
      <c r="A12117" s="2" t="n"/>
    </row>
    <row r="12118">
      <c r="A12118" s="2" t="n"/>
    </row>
    <row r="12119">
      <c r="A12119" s="2" t="n"/>
    </row>
    <row r="12120">
      <c r="A12120" s="2" t="n"/>
    </row>
    <row r="12121">
      <c r="A12121" s="2" t="n"/>
    </row>
    <row r="12122">
      <c r="A12122" s="2" t="n"/>
    </row>
    <row r="12123">
      <c r="A12123" s="2" t="n"/>
    </row>
    <row r="12124">
      <c r="A12124" s="2" t="n"/>
    </row>
    <row r="12125">
      <c r="A12125" s="2" t="n"/>
    </row>
    <row r="12126">
      <c r="A12126" s="2" t="n"/>
    </row>
    <row r="12127">
      <c r="A12127" s="2" t="n"/>
    </row>
    <row r="12128">
      <c r="A12128" s="2" t="n"/>
    </row>
    <row r="12129">
      <c r="A12129" s="2" t="n"/>
    </row>
    <row r="12130">
      <c r="A12130" s="2" t="n"/>
    </row>
    <row r="12131">
      <c r="A12131" s="2" t="n"/>
    </row>
    <row r="12132">
      <c r="A12132" s="2" t="n"/>
    </row>
    <row r="12133">
      <c r="A12133" s="2" t="n"/>
    </row>
    <row r="12134">
      <c r="A12134" s="2" t="n"/>
    </row>
    <row r="12135">
      <c r="A12135" s="2" t="n"/>
    </row>
    <row r="12136">
      <c r="A12136" s="2" t="n"/>
    </row>
    <row r="12137">
      <c r="A12137" s="2" t="n"/>
    </row>
    <row r="12138">
      <c r="A12138" s="2" t="n"/>
    </row>
    <row r="12139">
      <c r="A12139" s="2" t="n"/>
    </row>
    <row r="12140">
      <c r="A12140" s="2" t="n"/>
    </row>
    <row r="12141">
      <c r="A12141" s="2" t="n"/>
    </row>
    <row r="12142">
      <c r="A12142" s="2" t="n"/>
    </row>
    <row r="12143">
      <c r="A12143" s="2" t="n"/>
    </row>
    <row r="12144">
      <c r="A12144" s="2" t="n"/>
    </row>
    <row r="12145">
      <c r="A12145" s="2" t="n"/>
    </row>
    <row r="12146">
      <c r="A12146" s="2" t="n"/>
    </row>
    <row r="12147">
      <c r="A12147" s="2" t="n"/>
    </row>
    <row r="12148">
      <c r="A12148" s="2" t="n"/>
    </row>
    <row r="12149">
      <c r="A12149" s="2" t="n"/>
    </row>
    <row r="12150">
      <c r="A12150" s="2" t="n"/>
    </row>
    <row r="12151">
      <c r="A12151" s="2" t="n"/>
    </row>
    <row r="12152">
      <c r="A12152" s="2" t="n"/>
    </row>
    <row r="12153">
      <c r="A12153" s="2" t="n"/>
    </row>
    <row r="12154">
      <c r="A12154" s="2" t="n"/>
    </row>
    <row r="12155">
      <c r="A12155" s="2" t="n"/>
    </row>
    <row r="12156">
      <c r="A12156" s="2" t="n"/>
    </row>
    <row r="12157">
      <c r="A12157" s="2" t="n"/>
    </row>
    <row r="12158">
      <c r="A12158" s="2" t="n"/>
    </row>
    <row r="12159">
      <c r="A12159" s="2" t="n"/>
    </row>
    <row r="12160">
      <c r="A12160" s="2" t="n"/>
    </row>
    <row r="12161">
      <c r="A12161" s="2" t="n"/>
    </row>
    <row r="12162">
      <c r="A12162" s="2" t="n"/>
    </row>
    <row r="12163">
      <c r="A12163" s="2" t="n"/>
    </row>
    <row r="12164">
      <c r="A12164" s="2" t="n"/>
    </row>
    <row r="12165">
      <c r="A12165" s="2" t="n"/>
    </row>
    <row r="12166">
      <c r="A12166" s="2" t="n"/>
    </row>
    <row r="12167">
      <c r="A12167" s="2" t="n"/>
    </row>
    <row r="12168">
      <c r="A12168" s="2" t="n"/>
    </row>
    <row r="12169">
      <c r="A12169" s="2" t="n"/>
    </row>
    <row r="12170">
      <c r="A12170" s="2" t="n"/>
    </row>
    <row r="12171">
      <c r="A12171" s="2" t="n"/>
    </row>
    <row r="12172">
      <c r="A12172" s="2" t="n"/>
    </row>
    <row r="12173">
      <c r="A12173" s="2" t="n"/>
    </row>
    <row r="12174">
      <c r="A12174" s="2" t="n"/>
    </row>
    <row r="12175">
      <c r="A12175" s="2" t="n"/>
    </row>
    <row r="12176">
      <c r="A12176" s="2" t="n"/>
    </row>
    <row r="12177">
      <c r="A12177" s="2" t="n"/>
    </row>
    <row r="12178">
      <c r="A12178" s="2" t="n"/>
    </row>
    <row r="12179">
      <c r="A12179" s="2" t="n"/>
    </row>
    <row r="12180">
      <c r="A12180" s="2" t="n"/>
    </row>
    <row r="12181">
      <c r="A12181" s="2" t="n"/>
    </row>
    <row r="12182">
      <c r="A12182" s="2" t="n"/>
    </row>
    <row r="12183">
      <c r="A12183" s="2" t="n"/>
    </row>
    <row r="12184">
      <c r="A12184" s="2" t="n"/>
    </row>
    <row r="12185">
      <c r="A12185" s="2" t="n"/>
    </row>
    <row r="12186">
      <c r="A12186" s="2" t="n"/>
    </row>
    <row r="12187">
      <c r="A12187" s="2" t="n"/>
    </row>
    <row r="12188">
      <c r="A12188" s="2" t="n"/>
    </row>
    <row r="12189">
      <c r="A12189" s="2" t="n"/>
    </row>
    <row r="12190">
      <c r="A12190" s="2" t="n"/>
    </row>
    <row r="12191">
      <c r="A12191" s="2" t="n"/>
    </row>
    <row r="12192">
      <c r="A12192" s="2" t="n"/>
    </row>
    <row r="12193">
      <c r="A12193" s="2" t="n"/>
    </row>
    <row r="12194">
      <c r="A12194" s="2" t="n"/>
    </row>
    <row r="12195">
      <c r="A12195" s="2" t="n"/>
    </row>
    <row r="12196">
      <c r="A12196" s="2" t="n"/>
    </row>
    <row r="12197">
      <c r="A12197" s="2" t="n"/>
    </row>
    <row r="12198">
      <c r="A12198" s="2" t="n"/>
    </row>
    <row r="12199">
      <c r="A12199" s="2" t="n"/>
    </row>
    <row r="12200">
      <c r="A12200" s="2" t="n"/>
    </row>
    <row r="12201">
      <c r="A12201" s="2" t="n"/>
    </row>
    <row r="12202">
      <c r="A12202" s="2" t="n"/>
    </row>
    <row r="12203">
      <c r="A12203" s="2" t="n"/>
    </row>
    <row r="12204">
      <c r="A12204" s="2" t="n"/>
    </row>
    <row r="12205">
      <c r="A12205" s="2" t="n"/>
    </row>
    <row r="12206">
      <c r="A12206" s="2" t="n"/>
    </row>
    <row r="12207">
      <c r="A12207" s="2" t="n"/>
    </row>
    <row r="12208">
      <c r="A12208" s="2" t="n"/>
    </row>
    <row r="12209">
      <c r="A12209" s="2" t="n"/>
    </row>
    <row r="12210">
      <c r="A12210" s="2" t="n"/>
    </row>
    <row r="12211">
      <c r="A12211" s="2" t="n"/>
    </row>
    <row r="12212">
      <c r="A12212" s="2" t="n"/>
    </row>
    <row r="12213">
      <c r="A12213" s="2" t="n"/>
    </row>
    <row r="12214">
      <c r="A12214" s="2" t="n"/>
    </row>
    <row r="12215">
      <c r="A12215" s="2" t="n"/>
    </row>
    <row r="12216">
      <c r="A12216" s="2" t="n"/>
    </row>
    <row r="12217">
      <c r="A12217" s="2" t="n"/>
    </row>
    <row r="12218">
      <c r="A12218" s="2" t="n"/>
    </row>
    <row r="12219">
      <c r="A12219" s="2" t="n"/>
    </row>
    <row r="12220">
      <c r="A12220" s="2" t="n"/>
    </row>
    <row r="12221">
      <c r="A12221" s="2" t="n"/>
    </row>
    <row r="12222">
      <c r="A12222" s="2" t="n"/>
    </row>
    <row r="12223">
      <c r="A12223" s="2" t="n"/>
    </row>
    <row r="12224">
      <c r="A12224" s="2" t="n"/>
    </row>
    <row r="12225">
      <c r="A12225" s="2" t="n"/>
    </row>
    <row r="12226">
      <c r="A12226" s="2" t="n"/>
    </row>
    <row r="12227">
      <c r="A12227" s="2" t="n"/>
    </row>
    <row r="12228">
      <c r="A12228" s="2" t="n"/>
    </row>
    <row r="12229">
      <c r="A12229" s="2" t="n"/>
    </row>
    <row r="12230">
      <c r="A12230" s="2" t="n"/>
    </row>
    <row r="12231">
      <c r="A12231" s="2" t="n"/>
    </row>
    <row r="12232">
      <c r="A12232" s="2" t="n"/>
    </row>
    <row r="12233">
      <c r="A12233" s="2" t="n"/>
    </row>
    <row r="12234">
      <c r="A12234" s="2" t="n"/>
    </row>
    <row r="12235">
      <c r="A12235" s="2" t="n"/>
    </row>
    <row r="12236">
      <c r="A12236" s="2" t="n"/>
    </row>
    <row r="12237">
      <c r="A12237" s="2" t="n"/>
    </row>
    <row r="12238">
      <c r="A12238" s="2" t="n"/>
    </row>
    <row r="12239">
      <c r="A12239" s="2" t="n"/>
    </row>
    <row r="12240">
      <c r="A12240" s="2" t="n"/>
    </row>
    <row r="12241">
      <c r="A12241" s="2" t="n"/>
    </row>
    <row r="12242">
      <c r="A12242" s="2" t="n"/>
    </row>
    <row r="12243">
      <c r="A12243" s="2" t="n"/>
    </row>
    <row r="12244">
      <c r="A12244" s="2" t="n"/>
    </row>
    <row r="12245">
      <c r="A12245" s="2" t="n"/>
    </row>
    <row r="12246">
      <c r="A12246" s="2" t="n"/>
    </row>
    <row r="12247">
      <c r="A12247" s="2" t="n"/>
    </row>
    <row r="12248">
      <c r="A12248" s="2" t="n"/>
    </row>
    <row r="12249">
      <c r="A12249" s="2" t="n"/>
    </row>
    <row r="12250">
      <c r="A12250" s="2" t="n"/>
    </row>
    <row r="12251">
      <c r="A12251" s="2" t="n"/>
    </row>
    <row r="12252">
      <c r="A12252" s="2" t="n"/>
    </row>
    <row r="12253">
      <c r="A12253" s="2" t="n"/>
    </row>
    <row r="12254">
      <c r="A12254" s="2" t="n"/>
    </row>
    <row r="12255">
      <c r="A12255" s="2" t="n"/>
    </row>
    <row r="12256">
      <c r="A12256" s="2" t="n"/>
    </row>
    <row r="12257">
      <c r="A12257" s="2" t="n"/>
    </row>
    <row r="12258">
      <c r="A12258" s="2" t="n"/>
    </row>
    <row r="12259">
      <c r="A12259" s="2" t="n"/>
    </row>
    <row r="12260">
      <c r="A12260" s="2" t="n"/>
    </row>
    <row r="12261">
      <c r="A12261" s="2" t="n"/>
    </row>
    <row r="12262">
      <c r="A12262" s="2" t="n"/>
    </row>
    <row r="12263">
      <c r="A12263" s="2" t="n"/>
    </row>
    <row r="12264">
      <c r="A12264" s="2" t="n"/>
    </row>
    <row r="12265">
      <c r="A12265" s="2" t="n"/>
    </row>
    <row r="12266">
      <c r="A12266" s="2" t="n"/>
    </row>
    <row r="12267">
      <c r="A12267" s="2" t="n"/>
    </row>
    <row r="12268">
      <c r="A12268" s="2" t="n"/>
    </row>
    <row r="12269">
      <c r="A12269" s="2" t="n"/>
    </row>
    <row r="12270">
      <c r="A12270" s="2" t="n"/>
    </row>
    <row r="12271">
      <c r="A12271" s="2" t="n"/>
    </row>
    <row r="12272">
      <c r="A12272" s="2" t="n"/>
    </row>
    <row r="12273">
      <c r="A12273" s="2" t="n"/>
    </row>
    <row r="12274">
      <c r="A12274" s="2" t="n"/>
    </row>
    <row r="12275">
      <c r="A12275" s="2" t="n"/>
    </row>
    <row r="12276">
      <c r="A12276" s="2" t="n"/>
    </row>
    <row r="12277">
      <c r="A12277" s="2" t="n"/>
    </row>
    <row r="12278">
      <c r="A12278" s="2" t="n"/>
    </row>
    <row r="12279">
      <c r="A12279" s="2" t="n"/>
    </row>
    <row r="12280">
      <c r="A12280" s="2" t="n"/>
    </row>
    <row r="12281">
      <c r="A12281" s="2" t="n"/>
    </row>
    <row r="12282">
      <c r="A12282" s="2" t="n"/>
    </row>
    <row r="12283">
      <c r="A12283" s="2" t="n"/>
    </row>
    <row r="12284">
      <c r="A12284" s="2" t="n"/>
    </row>
    <row r="12285">
      <c r="A12285" s="2" t="n"/>
    </row>
    <row r="12286">
      <c r="A12286" s="2" t="n"/>
    </row>
    <row r="12287">
      <c r="A12287" s="2" t="n"/>
    </row>
    <row r="12288">
      <c r="A12288" s="2" t="n"/>
    </row>
    <row r="12289">
      <c r="A12289" s="2" t="n"/>
    </row>
    <row r="12290">
      <c r="A12290" s="2" t="n"/>
    </row>
    <row r="12291">
      <c r="A12291" s="2" t="n"/>
    </row>
    <row r="12292">
      <c r="A12292" s="2" t="n"/>
    </row>
    <row r="12293">
      <c r="A12293" s="2" t="n"/>
    </row>
    <row r="12294">
      <c r="A12294" s="2" t="n"/>
    </row>
    <row r="12295">
      <c r="A12295" s="2" t="n"/>
    </row>
    <row r="12296">
      <c r="A12296" s="2" t="n"/>
    </row>
    <row r="12297">
      <c r="A12297" s="2" t="n"/>
    </row>
    <row r="12298">
      <c r="A12298" s="2" t="n"/>
    </row>
    <row r="12299">
      <c r="A12299" s="2" t="n"/>
    </row>
    <row r="12300">
      <c r="A12300" s="2" t="n"/>
    </row>
    <row r="12301">
      <c r="A12301" s="2" t="n"/>
    </row>
    <row r="12302">
      <c r="A12302" s="2" t="n"/>
    </row>
    <row r="12303">
      <c r="A12303" s="2" t="n"/>
    </row>
    <row r="12304">
      <c r="A12304" s="2" t="n"/>
    </row>
    <row r="12305">
      <c r="A12305" s="2" t="n"/>
    </row>
    <row r="12306">
      <c r="A12306" s="2" t="n"/>
    </row>
    <row r="12307">
      <c r="A12307" s="2" t="n"/>
    </row>
    <row r="12308">
      <c r="A12308" s="2" t="n"/>
    </row>
    <row r="12309">
      <c r="A12309" s="2" t="n"/>
    </row>
    <row r="12310">
      <c r="A12310" s="2" t="n"/>
    </row>
    <row r="12311">
      <c r="A12311" s="2" t="n"/>
    </row>
    <row r="12312">
      <c r="A12312" s="2" t="n"/>
    </row>
    <row r="12313">
      <c r="A12313" s="2" t="n"/>
    </row>
    <row r="12314">
      <c r="A12314" s="2" t="n"/>
    </row>
    <row r="12315">
      <c r="A12315" s="2" t="n"/>
    </row>
    <row r="12316">
      <c r="A12316" s="2" t="n"/>
    </row>
    <row r="12317">
      <c r="A12317" s="2" t="n"/>
    </row>
    <row r="12318">
      <c r="A12318" s="2" t="n"/>
    </row>
    <row r="12319">
      <c r="A12319" s="2" t="n"/>
    </row>
    <row r="12320">
      <c r="A12320" s="2" t="n"/>
    </row>
    <row r="12321">
      <c r="A12321" s="2" t="n"/>
    </row>
    <row r="12322">
      <c r="A12322" s="2" t="n"/>
    </row>
    <row r="12323">
      <c r="A12323" s="2" t="n"/>
    </row>
    <row r="12324">
      <c r="A12324" s="2" t="n"/>
    </row>
    <row r="12325">
      <c r="A12325" s="2" t="n"/>
    </row>
    <row r="12326">
      <c r="A12326" s="2" t="n"/>
    </row>
    <row r="12327">
      <c r="A12327" s="2" t="n"/>
    </row>
    <row r="12328">
      <c r="A12328" s="2" t="n"/>
    </row>
    <row r="12329">
      <c r="A12329" s="2" t="n"/>
    </row>
    <row r="12330">
      <c r="A12330" s="2" t="n"/>
    </row>
    <row r="12331">
      <c r="A12331" s="2" t="n"/>
    </row>
    <row r="12332">
      <c r="A12332" s="2" t="n"/>
    </row>
    <row r="12333">
      <c r="A12333" s="2" t="n"/>
    </row>
    <row r="12334">
      <c r="A12334" s="2" t="n"/>
    </row>
    <row r="12335">
      <c r="A12335" s="2" t="n"/>
    </row>
    <row r="12336">
      <c r="A12336" s="2" t="n"/>
    </row>
    <row r="12337">
      <c r="A12337" s="2" t="n"/>
    </row>
    <row r="12338">
      <c r="A12338" s="2" t="n"/>
    </row>
    <row r="12339">
      <c r="A12339" s="2" t="n"/>
    </row>
    <row r="12340">
      <c r="A12340" s="2" t="n"/>
    </row>
    <row r="12341">
      <c r="A12341" s="2" t="n"/>
    </row>
    <row r="12342">
      <c r="A12342" s="2" t="n"/>
    </row>
    <row r="12343">
      <c r="A12343" s="2" t="n"/>
    </row>
    <row r="12344">
      <c r="A12344" s="2" t="n"/>
    </row>
    <row r="12345">
      <c r="A12345" s="2" t="n"/>
    </row>
    <row r="12346">
      <c r="A12346" s="2" t="n"/>
    </row>
    <row r="12347">
      <c r="A12347" s="2" t="n"/>
    </row>
    <row r="12348">
      <c r="A12348" s="2" t="n"/>
    </row>
    <row r="12349">
      <c r="A12349" s="2" t="n"/>
    </row>
    <row r="12350">
      <c r="A12350" s="2" t="n"/>
    </row>
    <row r="12351">
      <c r="A12351" s="2" t="n"/>
    </row>
    <row r="12352">
      <c r="A12352" s="2" t="n"/>
    </row>
    <row r="12353">
      <c r="A12353" s="2" t="n"/>
    </row>
    <row r="12354">
      <c r="A12354" s="2" t="n"/>
    </row>
    <row r="12355">
      <c r="A12355" s="2" t="n"/>
    </row>
    <row r="12356">
      <c r="A12356" s="2" t="n"/>
    </row>
    <row r="12357">
      <c r="A12357" s="2" t="n"/>
    </row>
    <row r="12358">
      <c r="A12358" s="2" t="n"/>
    </row>
    <row r="12359">
      <c r="A12359" s="2" t="n"/>
    </row>
    <row r="12360">
      <c r="A12360" s="2" t="n"/>
    </row>
    <row r="12361">
      <c r="A12361" s="2" t="n"/>
    </row>
    <row r="12362">
      <c r="A12362" s="2" t="n"/>
    </row>
    <row r="12363">
      <c r="A12363" s="2" t="n"/>
    </row>
    <row r="12364">
      <c r="A12364" s="2" t="n"/>
    </row>
    <row r="12365">
      <c r="A12365" s="2" t="n"/>
    </row>
    <row r="12366">
      <c r="A12366" s="2" t="n"/>
    </row>
    <row r="12367">
      <c r="A12367" s="2" t="n"/>
    </row>
    <row r="12368">
      <c r="A12368" s="2" t="n"/>
    </row>
    <row r="12369">
      <c r="A12369" s="2" t="n"/>
    </row>
    <row r="12370">
      <c r="A12370" s="2" t="n"/>
    </row>
    <row r="12371">
      <c r="A12371" s="2" t="n"/>
    </row>
    <row r="12372">
      <c r="A12372" s="2" t="n"/>
    </row>
    <row r="12373">
      <c r="A12373" s="2" t="n"/>
    </row>
    <row r="12374">
      <c r="A12374" s="2" t="n"/>
    </row>
    <row r="12375">
      <c r="A12375" s="2" t="n"/>
    </row>
    <row r="12376">
      <c r="A12376" s="2" t="n"/>
    </row>
    <row r="12377">
      <c r="A12377" s="2" t="n"/>
    </row>
    <row r="12378">
      <c r="A12378" s="2" t="n"/>
    </row>
    <row r="12379">
      <c r="A12379" s="2" t="n"/>
    </row>
    <row r="12380">
      <c r="A12380" s="2" t="n"/>
    </row>
    <row r="12381">
      <c r="A12381" s="2" t="n"/>
    </row>
    <row r="12382">
      <c r="A12382" s="2" t="n"/>
    </row>
    <row r="12383">
      <c r="A12383" s="2" t="n"/>
    </row>
    <row r="12384">
      <c r="A12384" s="2" t="n"/>
    </row>
    <row r="12385">
      <c r="A12385" s="2" t="n"/>
    </row>
    <row r="12386">
      <c r="A12386" s="2" t="n"/>
    </row>
    <row r="12387">
      <c r="A12387" s="2" t="n"/>
    </row>
    <row r="12388">
      <c r="A12388" s="2" t="n"/>
    </row>
    <row r="12389">
      <c r="A12389" s="2" t="n"/>
    </row>
    <row r="12390">
      <c r="A12390" s="2" t="n"/>
    </row>
    <row r="12391">
      <c r="A12391" s="2" t="n"/>
    </row>
    <row r="12392">
      <c r="A12392" s="2" t="n"/>
    </row>
    <row r="12393">
      <c r="A12393" s="2" t="n"/>
    </row>
    <row r="12394">
      <c r="A12394" s="2" t="n"/>
    </row>
    <row r="12395">
      <c r="A12395" s="2" t="n"/>
    </row>
    <row r="12396">
      <c r="A12396" s="2" t="n"/>
    </row>
    <row r="12397">
      <c r="A12397" s="2" t="n"/>
    </row>
    <row r="12398">
      <c r="A12398" s="2" t="n"/>
    </row>
    <row r="12399">
      <c r="A12399" s="2" t="n"/>
    </row>
    <row r="12400">
      <c r="A12400" s="2" t="n"/>
    </row>
    <row r="12401">
      <c r="A12401" s="2" t="n"/>
    </row>
    <row r="12402">
      <c r="A12402" s="2" t="n"/>
    </row>
    <row r="12403">
      <c r="A12403" s="2" t="n"/>
    </row>
    <row r="12404">
      <c r="A12404" s="2" t="n"/>
    </row>
    <row r="12405">
      <c r="A12405" s="2" t="n"/>
    </row>
    <row r="12406">
      <c r="A12406" s="2" t="n"/>
    </row>
    <row r="12407">
      <c r="A12407" s="2" t="n"/>
    </row>
    <row r="12408">
      <c r="A12408" s="2" t="n"/>
    </row>
    <row r="12409">
      <c r="A12409" s="2" t="n"/>
    </row>
    <row r="12410">
      <c r="A12410" s="2" t="n"/>
    </row>
    <row r="12411">
      <c r="A12411" s="2" t="n"/>
    </row>
    <row r="12412">
      <c r="A12412" s="2" t="n"/>
    </row>
    <row r="12413">
      <c r="A12413" s="2" t="n"/>
    </row>
    <row r="12414">
      <c r="A12414" s="2" t="n"/>
    </row>
    <row r="12415">
      <c r="A12415" s="2" t="n"/>
    </row>
    <row r="12416">
      <c r="A12416" s="2" t="n"/>
    </row>
    <row r="12417">
      <c r="A12417" s="2" t="n"/>
    </row>
    <row r="12418">
      <c r="A12418" s="2" t="n"/>
    </row>
    <row r="12419">
      <c r="A12419" s="2" t="n"/>
    </row>
    <row r="12420">
      <c r="A12420" s="2" t="n"/>
    </row>
    <row r="12421">
      <c r="A12421" s="2" t="n"/>
    </row>
    <row r="12422">
      <c r="A12422" s="2" t="n"/>
    </row>
    <row r="12423">
      <c r="A12423" s="2" t="n"/>
    </row>
    <row r="12424">
      <c r="A12424" s="2" t="n"/>
    </row>
    <row r="12425">
      <c r="A12425" s="2" t="n"/>
    </row>
    <row r="12426">
      <c r="A12426" s="2" t="n"/>
    </row>
    <row r="12427">
      <c r="A12427" s="2" t="n"/>
    </row>
    <row r="12428">
      <c r="A12428" s="2" t="n"/>
    </row>
    <row r="12429">
      <c r="A12429" s="2" t="n"/>
    </row>
    <row r="12430">
      <c r="A12430" s="2" t="n"/>
    </row>
    <row r="12431">
      <c r="A12431" s="2" t="n"/>
    </row>
    <row r="12432">
      <c r="A12432" s="2" t="n"/>
    </row>
    <row r="12433">
      <c r="A12433" s="2" t="n"/>
    </row>
    <row r="12434">
      <c r="A12434" s="2" t="n"/>
    </row>
    <row r="12435">
      <c r="A12435" s="2" t="n"/>
    </row>
    <row r="12436">
      <c r="A12436" s="2" t="n"/>
    </row>
    <row r="12437">
      <c r="A12437" s="2" t="n"/>
    </row>
    <row r="12438">
      <c r="A12438" s="2" t="n"/>
    </row>
    <row r="12439">
      <c r="A12439" s="2" t="n"/>
    </row>
    <row r="12440">
      <c r="A12440" s="2" t="n"/>
    </row>
    <row r="12441">
      <c r="A12441" s="2" t="n"/>
    </row>
    <row r="12442">
      <c r="A12442" s="2" t="n"/>
    </row>
    <row r="12443">
      <c r="A12443" s="2" t="n"/>
    </row>
    <row r="12444">
      <c r="A12444" s="2" t="n"/>
    </row>
    <row r="12445">
      <c r="A12445" s="2" t="n"/>
    </row>
    <row r="12446">
      <c r="A12446" s="2" t="n"/>
    </row>
    <row r="12447">
      <c r="A12447" s="2" t="n"/>
    </row>
    <row r="12448">
      <c r="A12448" s="2" t="n"/>
    </row>
    <row r="12449">
      <c r="A12449" s="2" t="n"/>
    </row>
    <row r="12450">
      <c r="A12450" s="2" t="n"/>
    </row>
    <row r="12451">
      <c r="A12451" s="2" t="n"/>
    </row>
    <row r="12452">
      <c r="A12452" s="2" t="n"/>
    </row>
    <row r="12453">
      <c r="A12453" s="2" t="n"/>
    </row>
    <row r="12454">
      <c r="A12454" s="2" t="n"/>
    </row>
    <row r="12455">
      <c r="A12455" s="2" t="n"/>
    </row>
    <row r="12456">
      <c r="A12456" s="2" t="n"/>
    </row>
    <row r="12457">
      <c r="A12457" s="2" t="n"/>
    </row>
    <row r="12458">
      <c r="A12458" s="2" t="n"/>
    </row>
    <row r="12459">
      <c r="A12459" s="2" t="n"/>
    </row>
    <row r="12460">
      <c r="A12460" s="2" t="n"/>
    </row>
    <row r="12461">
      <c r="A12461" s="2" t="n"/>
    </row>
    <row r="12462">
      <c r="A12462" s="2" t="n"/>
    </row>
    <row r="12463">
      <c r="A12463" s="2" t="n"/>
    </row>
    <row r="12464">
      <c r="A12464" s="2" t="n"/>
    </row>
    <row r="12465">
      <c r="A12465" s="2" t="n"/>
    </row>
    <row r="12466">
      <c r="A12466" s="2" t="n"/>
    </row>
    <row r="12467">
      <c r="A12467" s="2" t="n"/>
    </row>
    <row r="12468">
      <c r="A12468" s="2" t="n"/>
    </row>
    <row r="12469">
      <c r="A12469" s="2" t="n"/>
    </row>
    <row r="12470">
      <c r="A12470" s="2" t="n"/>
    </row>
    <row r="12471">
      <c r="A12471" s="2" t="n"/>
    </row>
    <row r="12472">
      <c r="A12472" s="2" t="n"/>
    </row>
    <row r="12473">
      <c r="A12473" s="2" t="n"/>
    </row>
    <row r="12474">
      <c r="A12474" s="2" t="n"/>
    </row>
    <row r="12475">
      <c r="A12475" s="2" t="n"/>
    </row>
    <row r="12476">
      <c r="A12476" s="2" t="n"/>
    </row>
    <row r="12477">
      <c r="A12477" s="2" t="n"/>
    </row>
    <row r="12478">
      <c r="A12478" s="2" t="n"/>
    </row>
    <row r="12479">
      <c r="A12479" s="2" t="n"/>
    </row>
    <row r="12480">
      <c r="A12480" s="2" t="n"/>
    </row>
    <row r="12481">
      <c r="A12481" s="2" t="n"/>
    </row>
    <row r="12482">
      <c r="A12482" s="2" t="n"/>
    </row>
    <row r="12483">
      <c r="A12483" s="2" t="n"/>
    </row>
    <row r="12484">
      <c r="A12484" s="2" t="n"/>
    </row>
    <row r="12485">
      <c r="A12485" s="2" t="n"/>
    </row>
    <row r="12486">
      <c r="A12486" s="2" t="n"/>
    </row>
    <row r="12487">
      <c r="A12487" s="2" t="n"/>
    </row>
    <row r="12488">
      <c r="A12488" s="2" t="n"/>
    </row>
    <row r="12489">
      <c r="A12489" s="2" t="n"/>
    </row>
    <row r="12490">
      <c r="A12490" s="2" t="n"/>
    </row>
    <row r="12491">
      <c r="A12491" s="2" t="n"/>
    </row>
    <row r="12492">
      <c r="A12492" s="2" t="n"/>
    </row>
    <row r="12493">
      <c r="A12493" s="2" t="n"/>
    </row>
    <row r="12494">
      <c r="A12494" s="2" t="n"/>
    </row>
    <row r="12495">
      <c r="A12495" s="2" t="n"/>
    </row>
    <row r="12496">
      <c r="A12496" s="2" t="n"/>
    </row>
    <row r="12497">
      <c r="A12497" s="2" t="n"/>
    </row>
    <row r="12498">
      <c r="A12498" s="2" t="n"/>
    </row>
    <row r="12499">
      <c r="A12499" s="2" t="n"/>
    </row>
    <row r="12500">
      <c r="A12500" s="2" t="n"/>
    </row>
    <row r="12501">
      <c r="A12501" s="2" t="n"/>
    </row>
    <row r="12502">
      <c r="A12502" s="2" t="n"/>
    </row>
    <row r="12503">
      <c r="A12503" s="2" t="n"/>
    </row>
    <row r="12504">
      <c r="A12504" s="2" t="n"/>
    </row>
    <row r="12505">
      <c r="A12505" s="2" t="n"/>
    </row>
    <row r="12506">
      <c r="A12506" s="2" t="n"/>
    </row>
    <row r="12507">
      <c r="A12507" s="2" t="n"/>
    </row>
    <row r="12508">
      <c r="A12508" s="2" t="n"/>
    </row>
    <row r="12509">
      <c r="A12509" s="2" t="n"/>
    </row>
    <row r="12510">
      <c r="A12510" s="2" t="n"/>
    </row>
    <row r="12511">
      <c r="A12511" s="2" t="n"/>
    </row>
    <row r="12512">
      <c r="A12512" s="2" t="n"/>
    </row>
    <row r="12513">
      <c r="A12513" s="2" t="n"/>
    </row>
    <row r="12514">
      <c r="A12514" s="2" t="n"/>
    </row>
    <row r="12515">
      <c r="A12515" s="2" t="n"/>
    </row>
    <row r="12516">
      <c r="A12516" s="2" t="n"/>
    </row>
    <row r="12517">
      <c r="A12517" s="2" t="n"/>
    </row>
    <row r="12518">
      <c r="A12518" s="2" t="n"/>
    </row>
    <row r="12519">
      <c r="A12519" s="2" t="n"/>
    </row>
    <row r="12520">
      <c r="A12520" s="2" t="n"/>
    </row>
    <row r="12521">
      <c r="A12521" s="2" t="n"/>
    </row>
    <row r="12522">
      <c r="A12522" s="2" t="n"/>
    </row>
    <row r="12523">
      <c r="A12523" s="2" t="n"/>
    </row>
    <row r="12524">
      <c r="A12524" s="2" t="n"/>
    </row>
    <row r="12525">
      <c r="A12525" s="2" t="n"/>
    </row>
    <row r="12526">
      <c r="A12526" s="2" t="n"/>
    </row>
    <row r="12527">
      <c r="A12527" s="2" t="n"/>
    </row>
    <row r="12528">
      <c r="A12528" s="2" t="n"/>
    </row>
    <row r="12529">
      <c r="A12529" s="2" t="n"/>
    </row>
    <row r="12530">
      <c r="A12530" s="2" t="n"/>
    </row>
    <row r="12531">
      <c r="A12531" s="2" t="n"/>
    </row>
    <row r="12532">
      <c r="A12532" s="2" t="n"/>
    </row>
    <row r="12533">
      <c r="A12533" s="2" t="n"/>
    </row>
    <row r="12534">
      <c r="A12534" s="2" t="n"/>
    </row>
    <row r="12535">
      <c r="A12535" s="2" t="n"/>
    </row>
    <row r="12536">
      <c r="A12536" s="2" t="n"/>
    </row>
    <row r="12537">
      <c r="A12537" s="2" t="n"/>
    </row>
    <row r="12538">
      <c r="A12538" s="2" t="n"/>
    </row>
    <row r="12539">
      <c r="A12539" s="2" t="n"/>
    </row>
    <row r="12540">
      <c r="A12540" s="2" t="n"/>
    </row>
    <row r="12541">
      <c r="A12541" s="2" t="n"/>
    </row>
    <row r="12542">
      <c r="A12542" s="2" t="n"/>
    </row>
    <row r="12543">
      <c r="A12543" s="2" t="n"/>
    </row>
    <row r="12544">
      <c r="A12544" s="2" t="n"/>
    </row>
    <row r="12545">
      <c r="A12545" s="2" t="n"/>
    </row>
    <row r="12546">
      <c r="A12546" s="2" t="n"/>
    </row>
    <row r="12547">
      <c r="A12547" s="2" t="n"/>
    </row>
    <row r="12548">
      <c r="A12548" s="2" t="n"/>
    </row>
    <row r="12549">
      <c r="A12549" s="2" t="n"/>
    </row>
    <row r="12550">
      <c r="A12550" s="2" t="n"/>
    </row>
    <row r="12551">
      <c r="A12551" s="2" t="n"/>
    </row>
    <row r="12552">
      <c r="A12552" s="2" t="n"/>
    </row>
    <row r="12553">
      <c r="A12553" s="2" t="n"/>
    </row>
    <row r="12554">
      <c r="A12554" s="2" t="n"/>
    </row>
    <row r="12555">
      <c r="A12555" s="2" t="n"/>
    </row>
    <row r="12556">
      <c r="A12556" s="2" t="n"/>
    </row>
    <row r="12557">
      <c r="A12557" s="2" t="n"/>
    </row>
    <row r="12558">
      <c r="A12558" s="2" t="n"/>
    </row>
    <row r="12559">
      <c r="A12559" s="2" t="n"/>
    </row>
    <row r="12560">
      <c r="A12560" s="2" t="n"/>
    </row>
    <row r="12561">
      <c r="A12561" s="2" t="n"/>
    </row>
    <row r="12562">
      <c r="A12562" s="2" t="n"/>
    </row>
    <row r="12563">
      <c r="A12563" s="2" t="n"/>
    </row>
    <row r="12564">
      <c r="A12564" s="2" t="n"/>
    </row>
    <row r="12565">
      <c r="A12565" s="2" t="n"/>
    </row>
    <row r="12566">
      <c r="A12566" s="2" t="n"/>
    </row>
    <row r="12567">
      <c r="A12567" s="2" t="n"/>
    </row>
    <row r="12568">
      <c r="A12568" s="2" t="n"/>
    </row>
    <row r="12569">
      <c r="A12569" s="2" t="n"/>
    </row>
    <row r="12570">
      <c r="A12570" s="2" t="n"/>
    </row>
    <row r="12571">
      <c r="A12571" s="2" t="n"/>
    </row>
    <row r="12572">
      <c r="A12572" s="2" t="n"/>
    </row>
    <row r="12573">
      <c r="A12573" s="2" t="n"/>
    </row>
    <row r="12574">
      <c r="A12574" s="2" t="n"/>
    </row>
    <row r="12575">
      <c r="A12575" s="2" t="n"/>
    </row>
    <row r="12576">
      <c r="A12576" s="2" t="n"/>
    </row>
    <row r="12577">
      <c r="A12577" s="2" t="n"/>
    </row>
    <row r="12578">
      <c r="A12578" s="2" t="n"/>
    </row>
    <row r="12579">
      <c r="A12579" s="2" t="n"/>
    </row>
    <row r="12580">
      <c r="A12580" s="2" t="n"/>
    </row>
    <row r="12581">
      <c r="A12581" s="2" t="n"/>
    </row>
    <row r="12582">
      <c r="A12582" s="2" t="n"/>
    </row>
    <row r="12583">
      <c r="A12583" s="2" t="n"/>
    </row>
    <row r="12584">
      <c r="A12584" s="2" t="n"/>
    </row>
    <row r="12585">
      <c r="A12585" s="2" t="n"/>
    </row>
    <row r="12586">
      <c r="A12586" s="2" t="n"/>
    </row>
    <row r="12587">
      <c r="A12587" s="2" t="n"/>
    </row>
    <row r="12588">
      <c r="A12588" s="2" t="n"/>
    </row>
    <row r="12589">
      <c r="A12589" s="2" t="n"/>
    </row>
    <row r="12590">
      <c r="A12590" s="2" t="n"/>
    </row>
    <row r="12591">
      <c r="A12591" s="2" t="n"/>
    </row>
    <row r="12592">
      <c r="A12592" s="2" t="n"/>
    </row>
    <row r="12593">
      <c r="A12593" s="2" t="n"/>
    </row>
    <row r="12594">
      <c r="A12594" s="2" t="n"/>
    </row>
    <row r="12595">
      <c r="A12595" s="2" t="n"/>
    </row>
    <row r="12596">
      <c r="A12596" s="2" t="n"/>
    </row>
    <row r="12597">
      <c r="A12597" s="2" t="n"/>
    </row>
    <row r="12598">
      <c r="A12598" s="2" t="n"/>
    </row>
    <row r="12599">
      <c r="A12599" s="2" t="n"/>
    </row>
    <row r="12600">
      <c r="A12600" s="2" t="n"/>
    </row>
    <row r="12601">
      <c r="A12601" s="2" t="n"/>
    </row>
    <row r="12602">
      <c r="A12602" s="2" t="n"/>
    </row>
    <row r="12603">
      <c r="A12603" s="2" t="n"/>
    </row>
    <row r="12604">
      <c r="A12604" s="2" t="n"/>
    </row>
    <row r="12605">
      <c r="A12605" s="2" t="n"/>
    </row>
    <row r="12606">
      <c r="A12606" s="2" t="n"/>
    </row>
    <row r="12607">
      <c r="A12607" s="2" t="n"/>
    </row>
    <row r="12608">
      <c r="A12608" s="2" t="n"/>
    </row>
    <row r="12609">
      <c r="A12609" s="2" t="n"/>
    </row>
    <row r="12610">
      <c r="A12610" s="2" t="n"/>
    </row>
    <row r="12611">
      <c r="A12611" s="2" t="n"/>
    </row>
    <row r="12612">
      <c r="A12612" s="2" t="n"/>
    </row>
    <row r="12613">
      <c r="A12613" s="2" t="n"/>
    </row>
    <row r="12614">
      <c r="A12614" s="2" t="n"/>
    </row>
    <row r="12615">
      <c r="A12615" s="2" t="n"/>
    </row>
    <row r="12616">
      <c r="A12616" s="2" t="n"/>
    </row>
    <row r="12617">
      <c r="A12617" s="2" t="n"/>
    </row>
    <row r="12618">
      <c r="A12618" s="2" t="n"/>
    </row>
    <row r="12619">
      <c r="A12619" s="2" t="n"/>
    </row>
    <row r="12620">
      <c r="A12620" s="2" t="n"/>
    </row>
    <row r="12621">
      <c r="A12621" s="2" t="n"/>
    </row>
    <row r="12622">
      <c r="A12622" s="2" t="n"/>
    </row>
    <row r="12623">
      <c r="A12623" s="2" t="n"/>
    </row>
    <row r="12624">
      <c r="A12624" s="2" t="n"/>
    </row>
    <row r="12625">
      <c r="A12625" s="2" t="n"/>
    </row>
    <row r="12626">
      <c r="A12626" s="2" t="n"/>
    </row>
    <row r="12627">
      <c r="A12627" s="2" t="n"/>
    </row>
    <row r="12628">
      <c r="A12628" s="2" t="n"/>
    </row>
    <row r="12629">
      <c r="A12629" s="2" t="n"/>
    </row>
    <row r="12630">
      <c r="A12630" s="2" t="n"/>
    </row>
    <row r="12631">
      <c r="A12631" s="2" t="n"/>
    </row>
    <row r="12632">
      <c r="A12632" s="2" t="n"/>
    </row>
    <row r="12633">
      <c r="A12633" s="2" t="n"/>
    </row>
    <row r="12634">
      <c r="A12634" s="2" t="n"/>
    </row>
    <row r="12635">
      <c r="A12635" s="2" t="n"/>
    </row>
    <row r="12636">
      <c r="A12636" s="2" t="n"/>
    </row>
    <row r="12637">
      <c r="A12637" s="2" t="n"/>
    </row>
    <row r="12638">
      <c r="A12638" s="2" t="n"/>
    </row>
    <row r="12639">
      <c r="A12639" s="2" t="n"/>
    </row>
    <row r="12640">
      <c r="A12640" s="2" t="n"/>
    </row>
    <row r="12641">
      <c r="A12641" s="2" t="n"/>
    </row>
    <row r="12642">
      <c r="A12642" s="2" t="n"/>
    </row>
    <row r="12643">
      <c r="A12643" s="2" t="n"/>
    </row>
    <row r="12644">
      <c r="A12644" s="2" t="n"/>
    </row>
    <row r="12645">
      <c r="A12645" s="2" t="n"/>
    </row>
    <row r="12646">
      <c r="A12646" s="2" t="n"/>
    </row>
    <row r="12647">
      <c r="A12647" s="2" t="n"/>
    </row>
    <row r="12648">
      <c r="A12648" s="2" t="n"/>
    </row>
    <row r="12649">
      <c r="A12649" s="2" t="n"/>
    </row>
    <row r="12650">
      <c r="A12650" s="2" t="n"/>
    </row>
    <row r="12651">
      <c r="A12651" s="2" t="n"/>
    </row>
    <row r="12652">
      <c r="A12652" s="2" t="n"/>
    </row>
    <row r="12653">
      <c r="A12653" s="2" t="n"/>
    </row>
    <row r="12654">
      <c r="A12654" s="2" t="n"/>
    </row>
    <row r="12655">
      <c r="A12655" s="2" t="n"/>
    </row>
    <row r="12656">
      <c r="A12656" s="2" t="n"/>
    </row>
    <row r="12657">
      <c r="A12657" s="2" t="n"/>
    </row>
    <row r="12658">
      <c r="A12658" s="2" t="n"/>
    </row>
    <row r="12659">
      <c r="A12659" s="2" t="n"/>
    </row>
    <row r="12660">
      <c r="A12660" s="2" t="n"/>
    </row>
    <row r="12661">
      <c r="A12661" s="2" t="n"/>
    </row>
    <row r="12662">
      <c r="A12662" s="2" t="n"/>
    </row>
    <row r="12663">
      <c r="A12663" s="2" t="n"/>
    </row>
    <row r="12664">
      <c r="A12664" s="2" t="n"/>
    </row>
    <row r="12665">
      <c r="A12665" s="2" t="n"/>
    </row>
    <row r="12666">
      <c r="A12666" s="2" t="n"/>
    </row>
    <row r="12667">
      <c r="A12667" s="2" t="n"/>
    </row>
    <row r="12668">
      <c r="A12668" s="2" t="n"/>
    </row>
    <row r="12669">
      <c r="A12669" s="2" t="n"/>
    </row>
    <row r="12670">
      <c r="A12670" s="2" t="n"/>
    </row>
    <row r="12671">
      <c r="A12671" s="2" t="n"/>
    </row>
    <row r="12672">
      <c r="A12672" s="2" t="n"/>
    </row>
    <row r="12673">
      <c r="A12673" s="2" t="n"/>
    </row>
    <row r="12674">
      <c r="A12674" s="2" t="n"/>
    </row>
    <row r="12675">
      <c r="A12675" s="2" t="n"/>
    </row>
    <row r="12676">
      <c r="A12676" s="2" t="n"/>
    </row>
    <row r="12677">
      <c r="A12677" s="2" t="n"/>
    </row>
    <row r="12678">
      <c r="A12678" s="2" t="n"/>
    </row>
    <row r="12679">
      <c r="A12679" s="2" t="n"/>
    </row>
    <row r="12680">
      <c r="A12680" s="2" t="n"/>
    </row>
    <row r="12681">
      <c r="A12681" s="2" t="n"/>
    </row>
    <row r="12682">
      <c r="A12682" s="2" t="n"/>
    </row>
    <row r="12683">
      <c r="A12683" s="2" t="n"/>
    </row>
    <row r="12684">
      <c r="A12684" s="2" t="n"/>
    </row>
    <row r="12685">
      <c r="A12685" s="2" t="n"/>
    </row>
    <row r="12686">
      <c r="A12686" s="2" t="n"/>
    </row>
    <row r="12687">
      <c r="A12687" s="2" t="n"/>
    </row>
    <row r="12688">
      <c r="A12688" s="2" t="n"/>
    </row>
    <row r="12689">
      <c r="A12689" s="2" t="n"/>
    </row>
    <row r="12690">
      <c r="A12690" s="2" t="n"/>
    </row>
    <row r="12691">
      <c r="A12691" s="2" t="n"/>
    </row>
    <row r="12692">
      <c r="A12692" s="2" t="n"/>
    </row>
    <row r="12693">
      <c r="A12693" s="2" t="n"/>
    </row>
    <row r="12694">
      <c r="A12694" s="2" t="n"/>
    </row>
    <row r="12695">
      <c r="A12695" s="2" t="n"/>
    </row>
    <row r="12696">
      <c r="A12696" s="2" t="n"/>
    </row>
    <row r="12697">
      <c r="A12697" s="2" t="n"/>
    </row>
    <row r="12698">
      <c r="A12698" s="2" t="n"/>
    </row>
    <row r="12699">
      <c r="A12699" s="2" t="n"/>
    </row>
    <row r="12700">
      <c r="A12700" s="2" t="n"/>
    </row>
    <row r="12701">
      <c r="A12701" s="2" t="n"/>
    </row>
    <row r="12702">
      <c r="A12702" s="2" t="n"/>
    </row>
    <row r="12703">
      <c r="A12703" s="2" t="n"/>
    </row>
    <row r="12704">
      <c r="A12704" s="2" t="n"/>
    </row>
    <row r="12705">
      <c r="A12705" s="2" t="n"/>
    </row>
    <row r="12706">
      <c r="A12706" s="2" t="n"/>
    </row>
    <row r="12707">
      <c r="A12707" s="2" t="n"/>
    </row>
    <row r="12708">
      <c r="A12708" s="2" t="n"/>
    </row>
    <row r="12709">
      <c r="A12709" s="2" t="n"/>
    </row>
    <row r="12710">
      <c r="A12710" s="2" t="n"/>
    </row>
    <row r="12711">
      <c r="A12711" s="2" t="n"/>
    </row>
    <row r="12712">
      <c r="A12712" s="2" t="n"/>
    </row>
    <row r="12713">
      <c r="A12713" s="2" t="n"/>
    </row>
    <row r="12714">
      <c r="A12714" s="2" t="n"/>
    </row>
    <row r="12715">
      <c r="A12715" s="2" t="n"/>
    </row>
    <row r="12716">
      <c r="A12716" s="2" t="n"/>
    </row>
    <row r="12717">
      <c r="A12717" s="2" t="n"/>
    </row>
    <row r="12718">
      <c r="A12718" s="2" t="n"/>
    </row>
    <row r="12719">
      <c r="A12719" s="2" t="n"/>
    </row>
    <row r="12720">
      <c r="A12720" s="2" t="n"/>
    </row>
    <row r="12721">
      <c r="A12721" s="2" t="n"/>
    </row>
    <row r="12722">
      <c r="A12722" s="2" t="n"/>
    </row>
    <row r="12723">
      <c r="A12723" s="2" t="n"/>
    </row>
    <row r="12724">
      <c r="A12724" s="2" t="n"/>
    </row>
    <row r="12725">
      <c r="A12725" s="2" t="n"/>
    </row>
    <row r="12726">
      <c r="A12726" s="2" t="n"/>
    </row>
    <row r="12727">
      <c r="A12727" s="2" t="n"/>
    </row>
    <row r="12728">
      <c r="A12728" s="2" t="n"/>
    </row>
    <row r="12729">
      <c r="A12729" s="2" t="n"/>
    </row>
    <row r="12730">
      <c r="A12730" s="2" t="n"/>
    </row>
    <row r="12731">
      <c r="A12731" s="2" t="n"/>
    </row>
    <row r="12732">
      <c r="A12732" s="2" t="n"/>
    </row>
    <row r="12733">
      <c r="A12733" s="2" t="n"/>
    </row>
    <row r="12734">
      <c r="A12734" s="2" t="n"/>
    </row>
    <row r="12735">
      <c r="A12735" s="2" t="n"/>
    </row>
    <row r="12736">
      <c r="A12736" s="2" t="n"/>
    </row>
    <row r="12737">
      <c r="A12737" s="2" t="n"/>
    </row>
    <row r="12738">
      <c r="A12738" s="2" t="n"/>
    </row>
    <row r="12739">
      <c r="A12739" s="2" t="n"/>
    </row>
    <row r="12740">
      <c r="A12740" s="2" t="n"/>
    </row>
    <row r="12741">
      <c r="A12741" s="2" t="n"/>
    </row>
    <row r="12742">
      <c r="A12742" s="2" t="n"/>
    </row>
    <row r="12743">
      <c r="A12743" s="2" t="n"/>
    </row>
    <row r="12744">
      <c r="A12744" s="2" t="n"/>
    </row>
    <row r="12745">
      <c r="A12745" s="2" t="n"/>
    </row>
    <row r="12746">
      <c r="A12746" s="2" t="n"/>
    </row>
    <row r="12747">
      <c r="A12747" s="2" t="n"/>
    </row>
    <row r="12748">
      <c r="A12748" s="2" t="n"/>
    </row>
    <row r="12749">
      <c r="A12749" s="2" t="n"/>
    </row>
    <row r="12750">
      <c r="A12750" s="2" t="n"/>
    </row>
    <row r="12751">
      <c r="A12751" s="2" t="n"/>
    </row>
    <row r="12752">
      <c r="A12752" s="2" t="n"/>
    </row>
    <row r="12753">
      <c r="A12753" s="2" t="n"/>
    </row>
    <row r="12754">
      <c r="A12754" s="2" t="n"/>
    </row>
    <row r="12755">
      <c r="A12755" s="2" t="n"/>
    </row>
    <row r="12756">
      <c r="A12756" s="2" t="n"/>
    </row>
    <row r="12757">
      <c r="A12757" s="2" t="n"/>
    </row>
    <row r="12758">
      <c r="A12758" s="2" t="n"/>
    </row>
    <row r="12759">
      <c r="A12759" s="2" t="n"/>
    </row>
    <row r="12760">
      <c r="A12760" s="2" t="n"/>
    </row>
    <row r="12761">
      <c r="A12761" s="2" t="n"/>
    </row>
    <row r="12762">
      <c r="A12762" s="2" t="n"/>
    </row>
    <row r="12763">
      <c r="A12763" s="2" t="n"/>
    </row>
    <row r="12764">
      <c r="A12764" s="2" t="n"/>
    </row>
    <row r="12765">
      <c r="A12765" s="2" t="n"/>
    </row>
    <row r="12766">
      <c r="A12766" s="2" t="n"/>
    </row>
    <row r="12767">
      <c r="A12767" s="2" t="n"/>
    </row>
    <row r="12768">
      <c r="A12768" s="2" t="n"/>
    </row>
    <row r="12769">
      <c r="A12769" s="2" t="n"/>
    </row>
    <row r="12770">
      <c r="A12770" s="2" t="n"/>
    </row>
    <row r="12771">
      <c r="A12771" s="2" t="n"/>
    </row>
    <row r="12772">
      <c r="A12772" s="2" t="n"/>
    </row>
    <row r="12773">
      <c r="A12773" s="2" t="n"/>
    </row>
    <row r="12774">
      <c r="A12774" s="2" t="n"/>
    </row>
    <row r="12775">
      <c r="A12775" s="2" t="n"/>
    </row>
    <row r="12776">
      <c r="A12776" s="2" t="n"/>
    </row>
    <row r="12777">
      <c r="A12777" s="2" t="n"/>
    </row>
    <row r="12778">
      <c r="A12778" s="2" t="n"/>
    </row>
    <row r="12779">
      <c r="A12779" s="2" t="n"/>
    </row>
    <row r="12780">
      <c r="A12780" s="2" t="n"/>
    </row>
    <row r="12781">
      <c r="A12781" s="2" t="n"/>
    </row>
    <row r="12782">
      <c r="A12782" s="2" t="n"/>
    </row>
    <row r="12783">
      <c r="A12783" s="2" t="n"/>
    </row>
    <row r="12784">
      <c r="A12784" s="2" t="n"/>
    </row>
    <row r="12785">
      <c r="A12785" s="2" t="n"/>
    </row>
    <row r="12786">
      <c r="A12786" s="2" t="n"/>
    </row>
    <row r="12787">
      <c r="A12787" s="2" t="n"/>
    </row>
    <row r="12788">
      <c r="A12788" s="2" t="n"/>
    </row>
    <row r="12789">
      <c r="A12789" s="2" t="n"/>
    </row>
    <row r="12790">
      <c r="A12790" s="2" t="n"/>
    </row>
    <row r="12791">
      <c r="A12791" s="2" t="n"/>
    </row>
    <row r="12792">
      <c r="A12792" s="2" t="n"/>
    </row>
    <row r="12793">
      <c r="A12793" s="2" t="n"/>
    </row>
    <row r="12794">
      <c r="A12794" s="2" t="n"/>
    </row>
    <row r="12795">
      <c r="A12795" s="2" t="n"/>
    </row>
    <row r="12796">
      <c r="A12796" s="2" t="n"/>
    </row>
    <row r="12797">
      <c r="A12797" s="2" t="n"/>
    </row>
    <row r="12798">
      <c r="A12798" s="2" t="n"/>
    </row>
    <row r="12799">
      <c r="A12799" s="2" t="n"/>
    </row>
    <row r="12800">
      <c r="A12800" s="2" t="n"/>
    </row>
    <row r="12801">
      <c r="A12801" s="2" t="n"/>
    </row>
    <row r="12802">
      <c r="A12802" s="2" t="n"/>
    </row>
    <row r="12803">
      <c r="A12803" s="2" t="n"/>
    </row>
    <row r="12804">
      <c r="A12804" s="2" t="n"/>
    </row>
    <row r="12805">
      <c r="A12805" s="2" t="n"/>
    </row>
    <row r="12806">
      <c r="A12806" s="2" t="n"/>
    </row>
    <row r="12807">
      <c r="A12807" s="2" t="n"/>
    </row>
    <row r="12808">
      <c r="A12808" s="2" t="n"/>
    </row>
    <row r="12809">
      <c r="A12809" s="2" t="n"/>
    </row>
    <row r="12810">
      <c r="A12810" s="2" t="n"/>
    </row>
    <row r="12811">
      <c r="A12811" s="2" t="n"/>
    </row>
    <row r="12812">
      <c r="A12812" s="2" t="n"/>
    </row>
    <row r="12813">
      <c r="A12813" s="2" t="n"/>
    </row>
    <row r="12814">
      <c r="A12814" s="2" t="n"/>
    </row>
    <row r="12815">
      <c r="A12815" s="2" t="n"/>
    </row>
    <row r="12816">
      <c r="A12816" s="2" t="n"/>
    </row>
    <row r="12817">
      <c r="A12817" s="2" t="n"/>
    </row>
    <row r="12818">
      <c r="A12818" s="2" t="n"/>
    </row>
    <row r="12819">
      <c r="A12819" s="2" t="n"/>
    </row>
    <row r="12820">
      <c r="A12820" s="2" t="n"/>
    </row>
    <row r="12821">
      <c r="A12821" s="2" t="n"/>
    </row>
    <row r="12822">
      <c r="A12822" s="2" t="n"/>
    </row>
    <row r="12823">
      <c r="A12823" s="2" t="n"/>
    </row>
    <row r="12824">
      <c r="A12824" s="2" t="n"/>
    </row>
    <row r="12825">
      <c r="A12825" s="2" t="n"/>
    </row>
    <row r="12826">
      <c r="A12826" s="2" t="n"/>
    </row>
    <row r="12827">
      <c r="A12827" s="2" t="n"/>
    </row>
    <row r="12828">
      <c r="A12828" s="2" t="n"/>
    </row>
    <row r="12829">
      <c r="A12829" s="2" t="n"/>
    </row>
    <row r="12830">
      <c r="A12830" s="2" t="n"/>
    </row>
    <row r="12831">
      <c r="A12831" s="2" t="n"/>
    </row>
    <row r="12832">
      <c r="A12832" s="2" t="n"/>
    </row>
    <row r="12833">
      <c r="A12833" s="2" t="n"/>
    </row>
    <row r="12834">
      <c r="A12834" s="2" t="n"/>
    </row>
    <row r="12835">
      <c r="A12835" s="2" t="n"/>
    </row>
    <row r="12836">
      <c r="A12836" s="2" t="n"/>
    </row>
    <row r="12837">
      <c r="A12837" s="2" t="n"/>
    </row>
    <row r="12838">
      <c r="A12838" s="2" t="n"/>
    </row>
    <row r="12839">
      <c r="A12839" s="2" t="n"/>
    </row>
    <row r="12840">
      <c r="A12840" s="2" t="n"/>
    </row>
    <row r="12841">
      <c r="A12841" s="2" t="n"/>
    </row>
    <row r="12842">
      <c r="A12842" s="2" t="n"/>
    </row>
    <row r="12843">
      <c r="A12843" s="2" t="n"/>
    </row>
    <row r="12844">
      <c r="A12844" s="2" t="n"/>
    </row>
    <row r="12845">
      <c r="A12845" s="2" t="n"/>
    </row>
    <row r="12846">
      <c r="A12846" s="2" t="n"/>
    </row>
    <row r="12847">
      <c r="A12847" s="2" t="n"/>
    </row>
    <row r="12848">
      <c r="A12848" s="2" t="n"/>
    </row>
    <row r="12849">
      <c r="A12849" s="2" t="n"/>
    </row>
    <row r="12850">
      <c r="A12850" s="2" t="n"/>
    </row>
    <row r="12851">
      <c r="A12851" s="2" t="n"/>
    </row>
    <row r="12852">
      <c r="A12852" s="2" t="n"/>
    </row>
    <row r="12853">
      <c r="A12853" s="2" t="n"/>
    </row>
    <row r="12854">
      <c r="A12854" s="2" t="n"/>
    </row>
    <row r="12855">
      <c r="A12855" s="2" t="n"/>
    </row>
    <row r="12856">
      <c r="A12856" s="2" t="n"/>
    </row>
    <row r="12857">
      <c r="A12857" s="2" t="n"/>
    </row>
    <row r="12858">
      <c r="A12858" s="2" t="n"/>
    </row>
    <row r="12859">
      <c r="A12859" s="2" t="n"/>
    </row>
    <row r="12860">
      <c r="A12860" s="2" t="n"/>
    </row>
    <row r="12861">
      <c r="A12861" s="2" t="n"/>
    </row>
    <row r="12862">
      <c r="A12862" s="2" t="n"/>
    </row>
    <row r="12863">
      <c r="A12863" s="2" t="n"/>
    </row>
    <row r="12864">
      <c r="A12864" s="2" t="n"/>
    </row>
    <row r="12865">
      <c r="A12865" s="2" t="n"/>
    </row>
    <row r="12866">
      <c r="A12866" s="2" t="n"/>
    </row>
    <row r="12867">
      <c r="A12867" s="2" t="n"/>
    </row>
    <row r="12868">
      <c r="A12868" s="2" t="n"/>
    </row>
    <row r="12869">
      <c r="A12869" s="2" t="n"/>
    </row>
    <row r="12870">
      <c r="A12870" s="2" t="n"/>
    </row>
    <row r="12871">
      <c r="A12871" s="2" t="n"/>
    </row>
    <row r="12872">
      <c r="A12872" s="2" t="n"/>
    </row>
    <row r="12873">
      <c r="A12873" s="2" t="n"/>
    </row>
    <row r="12874">
      <c r="A12874" s="2" t="n"/>
    </row>
    <row r="12875">
      <c r="A12875" s="2" t="n"/>
    </row>
    <row r="12876">
      <c r="A12876" s="2" t="n"/>
    </row>
    <row r="12877">
      <c r="A12877" s="2" t="n"/>
    </row>
    <row r="12878">
      <c r="A12878" s="2" t="n"/>
    </row>
    <row r="12879">
      <c r="A12879" s="2" t="n"/>
    </row>
    <row r="12880">
      <c r="A12880" s="2" t="n"/>
    </row>
    <row r="12881">
      <c r="A12881" s="2" t="n"/>
    </row>
    <row r="12882">
      <c r="A12882" s="2" t="n"/>
    </row>
    <row r="12883">
      <c r="A12883" s="2" t="n"/>
    </row>
    <row r="12884">
      <c r="A12884" s="2" t="n"/>
    </row>
    <row r="12885">
      <c r="A12885" s="2" t="n"/>
    </row>
    <row r="12886">
      <c r="A12886" s="2" t="n"/>
    </row>
    <row r="12887">
      <c r="A12887" s="2" t="n"/>
    </row>
    <row r="12888">
      <c r="A12888" s="2" t="n"/>
    </row>
    <row r="12889">
      <c r="A12889" s="2" t="n"/>
    </row>
    <row r="12890">
      <c r="A12890" s="2" t="n"/>
    </row>
    <row r="12891">
      <c r="A12891" s="2" t="n"/>
    </row>
    <row r="12892">
      <c r="A12892" s="2" t="n"/>
    </row>
    <row r="12893">
      <c r="A12893" s="2" t="n"/>
    </row>
    <row r="12894">
      <c r="A12894" s="2" t="n"/>
    </row>
    <row r="12895">
      <c r="A12895" s="2" t="n"/>
    </row>
    <row r="12896">
      <c r="A12896" s="2" t="n"/>
    </row>
    <row r="12897">
      <c r="A12897" s="2" t="n"/>
    </row>
    <row r="12898">
      <c r="A12898" s="2" t="n"/>
    </row>
    <row r="12899">
      <c r="A12899" s="2" t="n"/>
    </row>
    <row r="12900">
      <c r="A12900" s="2" t="n"/>
    </row>
    <row r="12901">
      <c r="A12901" s="2" t="n"/>
    </row>
    <row r="12902">
      <c r="A12902" s="2" t="n"/>
    </row>
    <row r="12903">
      <c r="A12903" s="2" t="n"/>
    </row>
    <row r="12904">
      <c r="A12904" s="2" t="n"/>
    </row>
    <row r="12905">
      <c r="A12905" s="2" t="n"/>
    </row>
    <row r="12906">
      <c r="A12906" s="2" t="n"/>
    </row>
    <row r="12907">
      <c r="A12907" s="2" t="n"/>
    </row>
    <row r="12908">
      <c r="A12908" s="2" t="n"/>
    </row>
    <row r="12909">
      <c r="A12909" s="2" t="n"/>
    </row>
    <row r="12910">
      <c r="A12910" s="2" t="n"/>
    </row>
    <row r="12911">
      <c r="A12911" s="2" t="n"/>
    </row>
    <row r="12912">
      <c r="A12912" s="2" t="n"/>
    </row>
    <row r="12913">
      <c r="A12913" s="2" t="n"/>
    </row>
    <row r="12914">
      <c r="A12914" s="2" t="n"/>
    </row>
    <row r="12915">
      <c r="A12915" s="2" t="n"/>
    </row>
    <row r="12916">
      <c r="A12916" s="2" t="n"/>
    </row>
    <row r="12917">
      <c r="A12917" s="2" t="n"/>
    </row>
    <row r="12918">
      <c r="A12918" s="2" t="n"/>
    </row>
    <row r="12919">
      <c r="A12919" s="2" t="n"/>
    </row>
    <row r="12920">
      <c r="A12920" s="2" t="n"/>
    </row>
    <row r="12921">
      <c r="A12921" s="2" t="n"/>
    </row>
    <row r="12922">
      <c r="A12922" s="2" t="n"/>
    </row>
    <row r="12923">
      <c r="A12923" s="2" t="n"/>
    </row>
    <row r="12924">
      <c r="A12924" s="2" t="n"/>
    </row>
    <row r="12925">
      <c r="A12925" s="2" t="n"/>
    </row>
    <row r="12926">
      <c r="A12926" s="2" t="n"/>
    </row>
    <row r="12927">
      <c r="A12927" s="2" t="n"/>
    </row>
    <row r="12928">
      <c r="A12928" s="2" t="n"/>
    </row>
    <row r="12929">
      <c r="A12929" s="2" t="n"/>
    </row>
    <row r="12930">
      <c r="A12930" s="2" t="n"/>
    </row>
    <row r="12931">
      <c r="A12931" s="2" t="n"/>
    </row>
    <row r="12932">
      <c r="A12932" s="2" t="n"/>
    </row>
    <row r="12933">
      <c r="A12933" s="2" t="n"/>
    </row>
    <row r="12934">
      <c r="A12934" s="2" t="n"/>
    </row>
    <row r="12935">
      <c r="A12935" s="2" t="n"/>
    </row>
    <row r="12936">
      <c r="A12936" s="2" t="n"/>
    </row>
    <row r="12937">
      <c r="A12937" s="2" t="n"/>
    </row>
    <row r="12938">
      <c r="A12938" s="2" t="n"/>
    </row>
    <row r="12939">
      <c r="A12939" s="2" t="n"/>
    </row>
    <row r="12940">
      <c r="A12940" s="2" t="n"/>
    </row>
    <row r="12941">
      <c r="A12941" s="2" t="n"/>
    </row>
    <row r="12942">
      <c r="A12942" s="2" t="n"/>
    </row>
    <row r="12943">
      <c r="A12943" s="2" t="n"/>
    </row>
    <row r="12944">
      <c r="A12944" s="2" t="n"/>
    </row>
    <row r="12945">
      <c r="A12945" s="2" t="n"/>
    </row>
    <row r="12946">
      <c r="A12946" s="2" t="n"/>
    </row>
    <row r="12947">
      <c r="A12947" s="2" t="n"/>
    </row>
    <row r="12948">
      <c r="A12948" s="2" t="n"/>
    </row>
    <row r="12949">
      <c r="A12949" s="2" t="n"/>
    </row>
    <row r="12950">
      <c r="A12950" s="2" t="n"/>
    </row>
    <row r="12951">
      <c r="A12951" s="2" t="n"/>
    </row>
    <row r="12952">
      <c r="A12952" s="2" t="n"/>
    </row>
    <row r="12953">
      <c r="A12953" s="2" t="n"/>
    </row>
    <row r="12954">
      <c r="A12954" s="2" t="n"/>
    </row>
    <row r="12955">
      <c r="A12955" s="2" t="n"/>
    </row>
    <row r="12956">
      <c r="A12956" s="2" t="n"/>
    </row>
    <row r="12957">
      <c r="A12957" s="2" t="n"/>
    </row>
    <row r="12958">
      <c r="A12958" s="2" t="n"/>
    </row>
    <row r="12959">
      <c r="A12959" s="2" t="n"/>
    </row>
    <row r="12960">
      <c r="A12960" s="2" t="n"/>
    </row>
    <row r="12961">
      <c r="A12961" s="2" t="n"/>
    </row>
    <row r="12962">
      <c r="A12962" s="2" t="n"/>
    </row>
    <row r="12963">
      <c r="A12963" s="2" t="n"/>
    </row>
    <row r="12964">
      <c r="A12964" s="2" t="n"/>
    </row>
    <row r="12965">
      <c r="A12965" s="2" t="n"/>
    </row>
    <row r="12966">
      <c r="A12966" s="2" t="n"/>
    </row>
    <row r="12967">
      <c r="A12967" s="2" t="n"/>
    </row>
    <row r="12968">
      <c r="A12968" s="2" t="n"/>
    </row>
    <row r="12969">
      <c r="A12969" s="2" t="n"/>
    </row>
    <row r="12970">
      <c r="A12970" s="2" t="n"/>
    </row>
    <row r="12971">
      <c r="A12971" s="2" t="n"/>
    </row>
    <row r="12972">
      <c r="A12972" s="2" t="n"/>
    </row>
    <row r="12973">
      <c r="A12973" s="2" t="n"/>
    </row>
    <row r="12974">
      <c r="A12974" s="2" t="n"/>
    </row>
    <row r="12975">
      <c r="A12975" s="2" t="n"/>
    </row>
    <row r="12976">
      <c r="A12976" s="2" t="n"/>
    </row>
    <row r="12977">
      <c r="A12977" s="2" t="n"/>
    </row>
    <row r="12978">
      <c r="A12978" s="2" t="n"/>
    </row>
    <row r="12979">
      <c r="A12979" s="2" t="n"/>
    </row>
    <row r="12980">
      <c r="A12980" s="2" t="n"/>
    </row>
    <row r="12981">
      <c r="A12981" s="2" t="n"/>
    </row>
    <row r="12982">
      <c r="A12982" s="2" t="n"/>
    </row>
    <row r="12983">
      <c r="A12983" s="2" t="n"/>
    </row>
    <row r="12984">
      <c r="A12984" s="2" t="n"/>
    </row>
    <row r="12985">
      <c r="A12985" s="2" t="n"/>
    </row>
    <row r="12986">
      <c r="A12986" s="2" t="n"/>
    </row>
    <row r="12987">
      <c r="A12987" s="2" t="n"/>
    </row>
    <row r="12988">
      <c r="A12988" s="2" t="n"/>
    </row>
    <row r="12989">
      <c r="A12989" s="2" t="n"/>
    </row>
    <row r="12990">
      <c r="A12990" s="2" t="n"/>
    </row>
    <row r="12991">
      <c r="A12991" s="2" t="n"/>
    </row>
    <row r="12992">
      <c r="A12992" s="2" t="n"/>
    </row>
    <row r="12993">
      <c r="A12993" s="2" t="n"/>
    </row>
    <row r="12994">
      <c r="A12994" s="2" t="n"/>
    </row>
    <row r="12995">
      <c r="A12995" s="2" t="n"/>
    </row>
    <row r="12996">
      <c r="A12996" s="2" t="n"/>
    </row>
    <row r="12997">
      <c r="A12997" s="2" t="n"/>
    </row>
    <row r="12998">
      <c r="A12998" s="2" t="n"/>
    </row>
    <row r="12999">
      <c r="A12999" s="2" t="n"/>
    </row>
    <row r="13000">
      <c r="A13000" s="2" t="n"/>
    </row>
    <row r="13001">
      <c r="A13001" s="2" t="n"/>
    </row>
    <row r="13002">
      <c r="A13002" s="2" t="n"/>
    </row>
    <row r="13003">
      <c r="A13003" s="2" t="n"/>
    </row>
    <row r="13004">
      <c r="A13004" s="2" t="n"/>
    </row>
    <row r="13005">
      <c r="A13005" s="2" t="n"/>
    </row>
    <row r="13006">
      <c r="A13006" s="2" t="n"/>
    </row>
    <row r="13007">
      <c r="A13007" s="2" t="n"/>
    </row>
    <row r="13008">
      <c r="A13008" s="2" t="n"/>
    </row>
    <row r="13009">
      <c r="A13009" s="2" t="n"/>
    </row>
    <row r="13010">
      <c r="A13010" s="2" t="n"/>
    </row>
    <row r="13011">
      <c r="A13011" s="2" t="n"/>
    </row>
    <row r="13012">
      <c r="A13012" s="2" t="n"/>
    </row>
    <row r="13013">
      <c r="A13013" s="2" t="n"/>
    </row>
    <row r="13014">
      <c r="A13014" s="2" t="n"/>
    </row>
    <row r="13015">
      <c r="A13015" s="2" t="n"/>
    </row>
    <row r="13016">
      <c r="A13016" s="2" t="n"/>
    </row>
    <row r="13017">
      <c r="A13017" s="2" t="n"/>
    </row>
    <row r="13018">
      <c r="A13018" s="2" t="n"/>
    </row>
    <row r="13019">
      <c r="A13019" s="2" t="n"/>
    </row>
    <row r="13020">
      <c r="A13020" s="2" t="n"/>
    </row>
    <row r="13021">
      <c r="A13021" s="2" t="n"/>
    </row>
    <row r="13022">
      <c r="A13022" s="2" t="n"/>
    </row>
    <row r="13023">
      <c r="A13023" s="2" t="n"/>
    </row>
    <row r="13024">
      <c r="A13024" s="2" t="n"/>
    </row>
    <row r="13025">
      <c r="A13025" s="2" t="n"/>
    </row>
    <row r="13026">
      <c r="A13026" s="2" t="n"/>
    </row>
    <row r="13027">
      <c r="A13027" s="2" t="n"/>
    </row>
    <row r="13028">
      <c r="A13028" s="2" t="n"/>
    </row>
    <row r="13029">
      <c r="A13029" s="2" t="n"/>
    </row>
    <row r="13030">
      <c r="A13030" s="2" t="n"/>
    </row>
    <row r="13031">
      <c r="A13031" s="2" t="n"/>
    </row>
    <row r="13032">
      <c r="A13032" s="2" t="n"/>
    </row>
    <row r="13033">
      <c r="A13033" s="2" t="n"/>
    </row>
    <row r="13034">
      <c r="A13034" s="2" t="n"/>
    </row>
    <row r="13035">
      <c r="A13035" s="2" t="n"/>
    </row>
    <row r="13036">
      <c r="A13036" s="2" t="n"/>
    </row>
    <row r="13037">
      <c r="A13037" s="2" t="n"/>
    </row>
    <row r="13038">
      <c r="A13038" s="2" t="n"/>
    </row>
    <row r="13039">
      <c r="A13039" s="2" t="n"/>
    </row>
    <row r="13040">
      <c r="A13040" s="2" t="n"/>
    </row>
    <row r="13041">
      <c r="A13041" s="2" t="n"/>
    </row>
    <row r="13042">
      <c r="A13042" s="2" t="n"/>
    </row>
    <row r="13043">
      <c r="A13043" s="2" t="n"/>
    </row>
    <row r="13044">
      <c r="A13044" s="2" t="n"/>
    </row>
    <row r="13045">
      <c r="A13045" s="2" t="n"/>
    </row>
    <row r="13046">
      <c r="A13046" s="2" t="n"/>
    </row>
    <row r="13047">
      <c r="A13047" s="2" t="n"/>
    </row>
    <row r="13048">
      <c r="A13048" s="2" t="n"/>
    </row>
    <row r="13049">
      <c r="A13049" s="2" t="n"/>
    </row>
    <row r="13050">
      <c r="A13050" s="2" t="n"/>
    </row>
    <row r="13051">
      <c r="A13051" s="2" t="n"/>
    </row>
    <row r="13052">
      <c r="A13052" s="2" t="n"/>
    </row>
    <row r="13053">
      <c r="A13053" s="2" t="n"/>
    </row>
    <row r="13054">
      <c r="A13054" s="2" t="n"/>
    </row>
    <row r="13055">
      <c r="A13055" s="2" t="n"/>
    </row>
    <row r="13056">
      <c r="A13056" s="2" t="n"/>
    </row>
    <row r="13057">
      <c r="A13057" s="2" t="n"/>
    </row>
    <row r="13058">
      <c r="A13058" s="2" t="n"/>
    </row>
    <row r="13059">
      <c r="A13059" s="2" t="n"/>
    </row>
    <row r="13060">
      <c r="A13060" s="2" t="n"/>
    </row>
    <row r="13061">
      <c r="A13061" s="2" t="n"/>
    </row>
    <row r="13062">
      <c r="A13062" s="2" t="n"/>
    </row>
    <row r="13063">
      <c r="A13063" s="2" t="n"/>
    </row>
    <row r="13064">
      <c r="A13064" s="2" t="n"/>
    </row>
    <row r="13065">
      <c r="A13065" s="2" t="n"/>
    </row>
    <row r="13066">
      <c r="A13066" s="2" t="n"/>
    </row>
    <row r="13067">
      <c r="A13067" s="2" t="n"/>
    </row>
    <row r="13068">
      <c r="A13068" s="2" t="n"/>
    </row>
    <row r="13069">
      <c r="A13069" s="2" t="n"/>
    </row>
    <row r="13070">
      <c r="A13070" s="2" t="n"/>
    </row>
    <row r="13071">
      <c r="A13071" s="2" t="n"/>
    </row>
    <row r="13072">
      <c r="A13072" s="2" t="n"/>
    </row>
    <row r="13073">
      <c r="A13073" s="2" t="n"/>
    </row>
    <row r="13074">
      <c r="A13074" s="2" t="n"/>
    </row>
    <row r="13075">
      <c r="A13075" s="2" t="n"/>
    </row>
    <row r="13076">
      <c r="A13076" s="2" t="n"/>
    </row>
    <row r="13077">
      <c r="A13077" s="2" t="n"/>
    </row>
    <row r="13078">
      <c r="A13078" s="2" t="n"/>
    </row>
    <row r="13079">
      <c r="A13079" s="2" t="n"/>
    </row>
    <row r="13080">
      <c r="A13080" s="2" t="n"/>
    </row>
    <row r="13081">
      <c r="A13081" s="2" t="n"/>
    </row>
    <row r="13082">
      <c r="A13082" s="2" t="n"/>
    </row>
    <row r="13083">
      <c r="A13083" s="2" t="n"/>
    </row>
    <row r="13084">
      <c r="A13084" s="2" t="n"/>
    </row>
    <row r="13085">
      <c r="A13085" s="2" t="n"/>
    </row>
    <row r="13086">
      <c r="A13086" s="2" t="n"/>
    </row>
    <row r="13087">
      <c r="A13087" s="2" t="n"/>
    </row>
    <row r="13088">
      <c r="A13088" s="2" t="n"/>
    </row>
    <row r="13089">
      <c r="A13089" s="2" t="n"/>
    </row>
    <row r="13090">
      <c r="A13090" s="2" t="n"/>
    </row>
    <row r="13091">
      <c r="A13091" s="2" t="n"/>
    </row>
    <row r="13092">
      <c r="A13092" s="2" t="n"/>
    </row>
    <row r="13093">
      <c r="A13093" s="2" t="n"/>
    </row>
    <row r="13094">
      <c r="A13094" s="2" t="n"/>
    </row>
    <row r="13095">
      <c r="A13095" s="2" t="n"/>
    </row>
    <row r="13096">
      <c r="A13096" s="2" t="n"/>
    </row>
    <row r="13097">
      <c r="A13097" s="2" t="n"/>
    </row>
    <row r="13098">
      <c r="A13098" s="2" t="n"/>
    </row>
    <row r="13099">
      <c r="A13099" s="2" t="n"/>
    </row>
    <row r="13100">
      <c r="A13100" s="2" t="n"/>
    </row>
    <row r="13101">
      <c r="A13101" s="2" t="n"/>
    </row>
    <row r="13102">
      <c r="A13102" s="2" t="n"/>
    </row>
    <row r="13103">
      <c r="A13103" s="2" t="n"/>
    </row>
    <row r="13104">
      <c r="A13104" s="2" t="n"/>
    </row>
    <row r="13105">
      <c r="A13105" s="2" t="n"/>
    </row>
    <row r="13106">
      <c r="A13106" s="2" t="n"/>
    </row>
    <row r="13107">
      <c r="A13107" s="2" t="n"/>
    </row>
    <row r="13108">
      <c r="A13108" s="2" t="n"/>
    </row>
    <row r="13109">
      <c r="A13109" s="2" t="n"/>
    </row>
    <row r="13110">
      <c r="A13110" s="2" t="n"/>
    </row>
    <row r="13111">
      <c r="A13111" s="2" t="n"/>
    </row>
    <row r="13112">
      <c r="A13112" s="2" t="n"/>
    </row>
    <row r="13113">
      <c r="A13113" s="2" t="n"/>
    </row>
    <row r="13114">
      <c r="A13114" s="2" t="n"/>
    </row>
    <row r="13115">
      <c r="A13115" s="2" t="n"/>
    </row>
    <row r="13116">
      <c r="A13116" s="2" t="n"/>
    </row>
    <row r="13117">
      <c r="A13117" s="2" t="n"/>
    </row>
    <row r="13118">
      <c r="A13118" s="2" t="n"/>
    </row>
    <row r="13119">
      <c r="A13119" s="2" t="n"/>
    </row>
    <row r="13120">
      <c r="A13120" s="2" t="n"/>
    </row>
    <row r="13121">
      <c r="A13121" s="2" t="n"/>
    </row>
    <row r="13122">
      <c r="A13122" s="2" t="n"/>
    </row>
    <row r="13123">
      <c r="A13123" s="2" t="n"/>
    </row>
    <row r="13124">
      <c r="A13124" s="2" t="n"/>
    </row>
    <row r="13125">
      <c r="A13125" s="2" t="n"/>
    </row>
    <row r="13126">
      <c r="A13126" s="2" t="n"/>
    </row>
    <row r="13127">
      <c r="A13127" s="2" t="n"/>
    </row>
    <row r="13128">
      <c r="A13128" s="2" t="n"/>
    </row>
    <row r="13129">
      <c r="A13129" s="2" t="n"/>
    </row>
    <row r="13130">
      <c r="A13130" s="2" t="n"/>
    </row>
    <row r="13131">
      <c r="A13131" s="2" t="n"/>
    </row>
    <row r="13132">
      <c r="A13132" s="2" t="n"/>
    </row>
    <row r="13133">
      <c r="A13133" s="2" t="n"/>
    </row>
    <row r="13134">
      <c r="A13134" s="2" t="n"/>
    </row>
    <row r="13135">
      <c r="A13135" s="2" t="n"/>
    </row>
    <row r="13136">
      <c r="A13136" s="2" t="n"/>
    </row>
    <row r="13137">
      <c r="A13137" s="2" t="n"/>
    </row>
    <row r="13138">
      <c r="A13138" s="2" t="n"/>
    </row>
    <row r="13139">
      <c r="A13139" s="2" t="n"/>
    </row>
    <row r="13140">
      <c r="A13140" s="2" t="n"/>
    </row>
    <row r="13141">
      <c r="A13141" s="2" t="n"/>
    </row>
    <row r="13142">
      <c r="A13142" s="2" t="n"/>
    </row>
    <row r="13143">
      <c r="A13143" s="2" t="n"/>
    </row>
    <row r="13144">
      <c r="A13144" s="2" t="n"/>
    </row>
    <row r="13145">
      <c r="A13145" s="2" t="n"/>
    </row>
    <row r="13146">
      <c r="A13146" s="2" t="n"/>
    </row>
    <row r="13147">
      <c r="A13147" s="2" t="n"/>
    </row>
    <row r="13148">
      <c r="A13148" s="2" t="n"/>
    </row>
    <row r="13149">
      <c r="A13149" s="2" t="n"/>
    </row>
    <row r="13150">
      <c r="A13150" s="2" t="n"/>
    </row>
    <row r="13151">
      <c r="A13151" s="2" t="n"/>
    </row>
    <row r="13152">
      <c r="A13152" s="2" t="n"/>
    </row>
    <row r="13153">
      <c r="A13153" s="2" t="n"/>
    </row>
    <row r="13154">
      <c r="A13154" s="2" t="n"/>
    </row>
    <row r="13155">
      <c r="A13155" s="2" t="n"/>
    </row>
    <row r="13156">
      <c r="A13156" s="2" t="n"/>
    </row>
    <row r="13157">
      <c r="A13157" s="2" t="n"/>
    </row>
    <row r="13158">
      <c r="A13158" s="2" t="n"/>
    </row>
    <row r="13159">
      <c r="A13159" s="2" t="n"/>
    </row>
    <row r="13160">
      <c r="A13160" s="2" t="n"/>
    </row>
    <row r="13161">
      <c r="A13161" s="2" t="n"/>
    </row>
    <row r="13162">
      <c r="A13162" s="2" t="n"/>
    </row>
    <row r="13163">
      <c r="A13163" s="2" t="n"/>
    </row>
    <row r="13164">
      <c r="A13164" s="2" t="n"/>
    </row>
    <row r="13165">
      <c r="A13165" s="2" t="n"/>
    </row>
    <row r="13166">
      <c r="A13166" s="2" t="n"/>
    </row>
    <row r="13167">
      <c r="A13167" s="2" t="n"/>
    </row>
    <row r="13168">
      <c r="A13168" s="2" t="n"/>
    </row>
    <row r="13169">
      <c r="A13169" s="2" t="n"/>
    </row>
    <row r="13170">
      <c r="A13170" s="2" t="n"/>
    </row>
    <row r="13171">
      <c r="A13171" s="2" t="n"/>
    </row>
    <row r="13172">
      <c r="A13172" s="2" t="n"/>
    </row>
    <row r="13173">
      <c r="A13173" s="2" t="n"/>
    </row>
    <row r="13174">
      <c r="A13174" s="2" t="n"/>
    </row>
    <row r="13175">
      <c r="A13175" s="2" t="n"/>
    </row>
    <row r="13176">
      <c r="A13176" s="2" t="n"/>
    </row>
    <row r="13177">
      <c r="A13177" s="2" t="n"/>
    </row>
    <row r="13178">
      <c r="A13178" s="2" t="n"/>
    </row>
    <row r="13179">
      <c r="A13179" s="2" t="n"/>
    </row>
    <row r="13180">
      <c r="A13180" s="2" t="n"/>
    </row>
    <row r="13181">
      <c r="A13181" s="2" t="n"/>
    </row>
    <row r="13182">
      <c r="A13182" s="2" t="n"/>
    </row>
    <row r="13183">
      <c r="A13183" s="2" t="n"/>
    </row>
    <row r="13184">
      <c r="A13184" s="2" t="n"/>
    </row>
    <row r="13185">
      <c r="A13185" s="2" t="n"/>
    </row>
    <row r="13186">
      <c r="A13186" s="2" t="n"/>
    </row>
    <row r="13187">
      <c r="A13187" s="2" t="n"/>
    </row>
    <row r="13188">
      <c r="A13188" s="2" t="n"/>
    </row>
    <row r="13189">
      <c r="A13189" s="2" t="n"/>
    </row>
    <row r="13190">
      <c r="A13190" s="2" t="n"/>
    </row>
    <row r="13191">
      <c r="A13191" s="2" t="n"/>
    </row>
    <row r="13192">
      <c r="A13192" s="2" t="n"/>
    </row>
    <row r="13193">
      <c r="A13193" s="2" t="n"/>
    </row>
    <row r="13194">
      <c r="A13194" s="2" t="n"/>
    </row>
    <row r="13195">
      <c r="A13195" s="2" t="n"/>
    </row>
    <row r="13196">
      <c r="A13196" s="2" t="n"/>
    </row>
    <row r="13197">
      <c r="A13197" s="2" t="n"/>
    </row>
    <row r="13198">
      <c r="A13198" s="2" t="n"/>
    </row>
    <row r="13199">
      <c r="A13199" s="2" t="n"/>
    </row>
    <row r="13200">
      <c r="A13200" s="2" t="n"/>
    </row>
    <row r="13201">
      <c r="A13201" s="2" t="n"/>
    </row>
    <row r="13202">
      <c r="A13202" s="2" t="n"/>
    </row>
    <row r="13203">
      <c r="A13203" s="2" t="n"/>
    </row>
    <row r="13204">
      <c r="A13204" s="2" t="n"/>
    </row>
    <row r="13205">
      <c r="A13205" s="2" t="n"/>
    </row>
    <row r="13206">
      <c r="A13206" s="2" t="n"/>
    </row>
    <row r="13207">
      <c r="A13207" s="2" t="n"/>
    </row>
    <row r="13208">
      <c r="A13208" s="2" t="n"/>
    </row>
    <row r="13209">
      <c r="A13209" s="2" t="n"/>
    </row>
    <row r="13210">
      <c r="A13210" s="2" t="n"/>
    </row>
    <row r="13211">
      <c r="A13211" s="2" t="n"/>
    </row>
    <row r="13212">
      <c r="A13212" s="2" t="n"/>
    </row>
    <row r="13213">
      <c r="A13213" s="2" t="n"/>
    </row>
    <row r="13214">
      <c r="A13214" s="2" t="n"/>
    </row>
    <row r="13215">
      <c r="A13215" s="2" t="n"/>
    </row>
    <row r="13216">
      <c r="A13216" s="2" t="n"/>
    </row>
    <row r="13217">
      <c r="A13217" s="2" t="n"/>
    </row>
    <row r="13218">
      <c r="A13218" s="2" t="n"/>
    </row>
    <row r="13219">
      <c r="A13219" s="2" t="n"/>
    </row>
    <row r="13220">
      <c r="A13220" s="2" t="n"/>
    </row>
    <row r="13221">
      <c r="A13221" s="2" t="n"/>
    </row>
    <row r="13222">
      <c r="A13222" s="2" t="n"/>
    </row>
    <row r="13223">
      <c r="A13223" s="2" t="n"/>
    </row>
    <row r="13224">
      <c r="A13224" s="2" t="n"/>
    </row>
    <row r="13225">
      <c r="A13225" s="2" t="n"/>
    </row>
    <row r="13226">
      <c r="A13226" s="2" t="n"/>
    </row>
    <row r="13227">
      <c r="A13227" s="2" t="n"/>
    </row>
    <row r="13228">
      <c r="A13228" s="2" t="n"/>
    </row>
    <row r="13229">
      <c r="A13229" s="2" t="n"/>
    </row>
    <row r="13230">
      <c r="A13230" s="2" t="n"/>
    </row>
    <row r="13231">
      <c r="A13231" s="2" t="n"/>
    </row>
    <row r="13232">
      <c r="A13232" s="2" t="n"/>
    </row>
    <row r="13233">
      <c r="A13233" s="2" t="n"/>
    </row>
    <row r="13234">
      <c r="A13234" s="2" t="n"/>
    </row>
    <row r="13235">
      <c r="A13235" s="2" t="n"/>
    </row>
    <row r="13236">
      <c r="A13236" s="2" t="n"/>
    </row>
    <row r="13237">
      <c r="A13237" s="2" t="n"/>
    </row>
    <row r="13238">
      <c r="A13238" s="2" t="n"/>
    </row>
    <row r="13239">
      <c r="A13239" s="2" t="n"/>
    </row>
    <row r="13240">
      <c r="A13240" s="2" t="n"/>
    </row>
    <row r="13241">
      <c r="A13241" s="2" t="n"/>
    </row>
    <row r="13242">
      <c r="A13242" s="2" t="n"/>
    </row>
    <row r="13243">
      <c r="A13243" s="2" t="n"/>
    </row>
    <row r="13244">
      <c r="A13244" s="2" t="n"/>
    </row>
    <row r="13245">
      <c r="A13245" s="2" t="n"/>
    </row>
    <row r="13246">
      <c r="A13246" s="2" t="n"/>
    </row>
    <row r="13247">
      <c r="A13247" s="2" t="n"/>
    </row>
    <row r="13248">
      <c r="A13248" s="2" t="n"/>
    </row>
    <row r="13249">
      <c r="A13249" s="2" t="n"/>
    </row>
    <row r="13250">
      <c r="A13250" s="2" t="n"/>
    </row>
    <row r="13251">
      <c r="A13251" s="2" t="n"/>
    </row>
    <row r="13252">
      <c r="A13252" s="2" t="n"/>
    </row>
    <row r="13253">
      <c r="A13253" s="2" t="n"/>
    </row>
    <row r="13254">
      <c r="A13254" s="2" t="n"/>
    </row>
    <row r="13255">
      <c r="A13255" s="2" t="n"/>
    </row>
    <row r="13256">
      <c r="A13256" s="2" t="n"/>
    </row>
    <row r="13257">
      <c r="A13257" s="2" t="n"/>
    </row>
    <row r="13258">
      <c r="A13258" s="2" t="n"/>
    </row>
    <row r="13259">
      <c r="A13259" s="2" t="n"/>
    </row>
    <row r="13260">
      <c r="A13260" s="2" t="n"/>
    </row>
    <row r="13261">
      <c r="A13261" s="2" t="n"/>
    </row>
    <row r="13262">
      <c r="A13262" s="2" t="n"/>
    </row>
    <row r="13263">
      <c r="A13263" s="2" t="n"/>
    </row>
    <row r="13264">
      <c r="A13264" s="2" t="n"/>
    </row>
    <row r="13265">
      <c r="A13265" s="2" t="n"/>
    </row>
    <row r="13266">
      <c r="A13266" s="2" t="n"/>
    </row>
    <row r="13267">
      <c r="A13267" s="2" t="n"/>
    </row>
    <row r="13268">
      <c r="A13268" s="2" t="n"/>
    </row>
    <row r="13269">
      <c r="A13269" s="2" t="n"/>
    </row>
    <row r="13270">
      <c r="A13270" s="2" t="n"/>
    </row>
    <row r="13271">
      <c r="A13271" s="2" t="n"/>
    </row>
    <row r="13272">
      <c r="A13272" s="2" t="n"/>
    </row>
    <row r="13273">
      <c r="A13273" s="2" t="n"/>
    </row>
    <row r="13274">
      <c r="A13274" s="2" t="n"/>
    </row>
    <row r="13275">
      <c r="A13275" s="2" t="n"/>
    </row>
    <row r="13276">
      <c r="A13276" s="2" t="n"/>
    </row>
    <row r="13277">
      <c r="A13277" s="2" t="n"/>
    </row>
    <row r="13278">
      <c r="A13278" s="2" t="n"/>
    </row>
    <row r="13279">
      <c r="A13279" s="2" t="n"/>
    </row>
    <row r="13280">
      <c r="A13280" s="2" t="n"/>
    </row>
    <row r="13281">
      <c r="A13281" s="2" t="n"/>
    </row>
    <row r="13282">
      <c r="A13282" s="2" t="n"/>
    </row>
    <row r="13283">
      <c r="A13283" s="2" t="n"/>
    </row>
    <row r="13284">
      <c r="A13284" s="2" t="n"/>
    </row>
    <row r="13285">
      <c r="A13285" s="2" t="n"/>
    </row>
    <row r="13286">
      <c r="A13286" s="2" t="n"/>
    </row>
    <row r="13287">
      <c r="A13287" s="2" t="n"/>
    </row>
    <row r="13288">
      <c r="A13288" s="2" t="n"/>
    </row>
    <row r="13289">
      <c r="A13289" s="2" t="n"/>
    </row>
    <row r="13290">
      <c r="A13290" s="2" t="n"/>
    </row>
    <row r="13291">
      <c r="A13291" s="2" t="n"/>
    </row>
    <row r="13292">
      <c r="A13292" s="2" t="n"/>
    </row>
    <row r="13293">
      <c r="A13293" s="2" t="n"/>
    </row>
    <row r="13294">
      <c r="A13294" s="2" t="n"/>
    </row>
    <row r="13295">
      <c r="A13295" s="2" t="n"/>
    </row>
    <row r="13296">
      <c r="A13296" s="2" t="n"/>
    </row>
    <row r="13297">
      <c r="A13297" s="2" t="n"/>
    </row>
    <row r="13298">
      <c r="A13298" s="2" t="n"/>
    </row>
    <row r="13299">
      <c r="A13299" s="2" t="n"/>
    </row>
    <row r="13300">
      <c r="A13300" s="2" t="n"/>
    </row>
    <row r="13301">
      <c r="A13301" s="2" t="n"/>
    </row>
    <row r="13302">
      <c r="A13302" s="2" t="n"/>
    </row>
    <row r="13303">
      <c r="A13303" s="2" t="n"/>
    </row>
    <row r="13304">
      <c r="A13304" s="2" t="n"/>
    </row>
    <row r="13305">
      <c r="A13305" s="2" t="n"/>
    </row>
    <row r="13306">
      <c r="A13306" s="2" t="n"/>
    </row>
    <row r="13307">
      <c r="A13307" s="2" t="n"/>
    </row>
    <row r="13308">
      <c r="A13308" s="2" t="n"/>
    </row>
    <row r="13309">
      <c r="A13309" s="2" t="n"/>
    </row>
    <row r="13310">
      <c r="A13310" s="2" t="n"/>
    </row>
    <row r="13311">
      <c r="A13311" s="2" t="n"/>
    </row>
    <row r="13312">
      <c r="A13312" s="2" t="n"/>
    </row>
    <row r="13313">
      <c r="A13313" s="2" t="n"/>
    </row>
    <row r="13314">
      <c r="A13314" s="2" t="n"/>
    </row>
    <row r="13315">
      <c r="A13315" s="2" t="n"/>
    </row>
    <row r="13316">
      <c r="A13316" s="2" t="n"/>
    </row>
    <row r="13317">
      <c r="A13317" s="2" t="n"/>
    </row>
    <row r="13318">
      <c r="A13318" s="2" t="n"/>
    </row>
    <row r="13319">
      <c r="A13319" s="2" t="n"/>
    </row>
    <row r="13320">
      <c r="A13320" s="2" t="n"/>
    </row>
    <row r="13321">
      <c r="A13321" s="2" t="n"/>
    </row>
    <row r="13322">
      <c r="A13322" s="2" t="n"/>
    </row>
    <row r="13323">
      <c r="A13323" s="2" t="n"/>
    </row>
    <row r="13324">
      <c r="A13324" s="2" t="n"/>
    </row>
    <row r="13325">
      <c r="A13325" s="2" t="n"/>
    </row>
    <row r="13326">
      <c r="A13326" s="2" t="n"/>
    </row>
    <row r="13327">
      <c r="A13327" s="2" t="n"/>
    </row>
    <row r="13328">
      <c r="A13328" s="2" t="n"/>
    </row>
    <row r="13329">
      <c r="A13329" s="2" t="n"/>
    </row>
    <row r="13330">
      <c r="A13330" s="2" t="n"/>
    </row>
    <row r="13331">
      <c r="A13331" s="2" t="n"/>
    </row>
    <row r="13332">
      <c r="A13332" s="2" t="n"/>
    </row>
    <row r="13333">
      <c r="A13333" s="2" t="n"/>
    </row>
    <row r="13334">
      <c r="A13334" s="2" t="n"/>
    </row>
    <row r="13335">
      <c r="A13335" s="2" t="n"/>
    </row>
    <row r="13336">
      <c r="A13336" s="2" t="n"/>
    </row>
    <row r="13337">
      <c r="A13337" s="2" t="n"/>
    </row>
    <row r="13338">
      <c r="A13338" s="2" t="n"/>
    </row>
    <row r="13339">
      <c r="A13339" s="2" t="n"/>
    </row>
    <row r="13340">
      <c r="A13340" s="2" t="n"/>
    </row>
    <row r="13341">
      <c r="A13341" s="2" t="n"/>
    </row>
    <row r="13342">
      <c r="A13342" s="2" t="n"/>
    </row>
    <row r="13343">
      <c r="A13343" s="2" t="n"/>
    </row>
    <row r="13344">
      <c r="A13344" s="2" t="n"/>
    </row>
    <row r="13345">
      <c r="A13345" s="2" t="n"/>
    </row>
    <row r="13346">
      <c r="A13346" s="2" t="n"/>
    </row>
    <row r="13347">
      <c r="A13347" s="2" t="n"/>
    </row>
    <row r="13348">
      <c r="A13348" s="2" t="n"/>
    </row>
    <row r="13349">
      <c r="A13349" s="2" t="n"/>
    </row>
    <row r="13350">
      <c r="A13350" s="2" t="n"/>
    </row>
    <row r="13351">
      <c r="A13351" s="2" t="n"/>
    </row>
    <row r="13352">
      <c r="A13352" s="2" t="n"/>
    </row>
    <row r="13353">
      <c r="A13353" s="2" t="n"/>
    </row>
    <row r="13354">
      <c r="A13354" s="2" t="n"/>
    </row>
    <row r="13355">
      <c r="A13355" s="2" t="n"/>
    </row>
    <row r="13356">
      <c r="A13356" s="2" t="n"/>
    </row>
    <row r="13357">
      <c r="A13357" s="2" t="n"/>
    </row>
    <row r="13358">
      <c r="A13358" s="2" t="n"/>
    </row>
    <row r="13359">
      <c r="A13359" s="2" t="n"/>
    </row>
    <row r="13360">
      <c r="A13360" s="2" t="n"/>
    </row>
    <row r="13361">
      <c r="A13361" s="2" t="n"/>
    </row>
    <row r="13362">
      <c r="A13362" s="2" t="n"/>
    </row>
    <row r="13363">
      <c r="A13363" s="2" t="n"/>
    </row>
    <row r="13364">
      <c r="A13364" s="2" t="n"/>
    </row>
    <row r="13365">
      <c r="A13365" s="2" t="n"/>
    </row>
    <row r="13366">
      <c r="A13366" s="2" t="n"/>
    </row>
    <row r="13367">
      <c r="A13367" s="2" t="n"/>
    </row>
    <row r="13368">
      <c r="A13368" s="2" t="n"/>
    </row>
    <row r="13369">
      <c r="A13369" s="2" t="n"/>
    </row>
    <row r="13370">
      <c r="A13370" s="2" t="n"/>
    </row>
    <row r="13371">
      <c r="A13371" s="2" t="n"/>
    </row>
    <row r="13372">
      <c r="A13372" s="2" t="n"/>
    </row>
    <row r="13373">
      <c r="A13373" s="2" t="n"/>
    </row>
    <row r="13374">
      <c r="A13374" s="2" t="n"/>
    </row>
    <row r="13375">
      <c r="A13375" s="2" t="n"/>
    </row>
    <row r="13376">
      <c r="A13376" s="2" t="n"/>
    </row>
    <row r="13377">
      <c r="A13377" s="2" t="n"/>
    </row>
    <row r="13378">
      <c r="A13378" s="2" t="n"/>
    </row>
    <row r="13379">
      <c r="A13379" s="2" t="n"/>
    </row>
    <row r="13380">
      <c r="A13380" s="2" t="n"/>
    </row>
    <row r="13381">
      <c r="A13381" s="2" t="n"/>
    </row>
    <row r="13382">
      <c r="A13382" s="2" t="n"/>
    </row>
    <row r="13383">
      <c r="A13383" s="2" t="n"/>
    </row>
    <row r="13384">
      <c r="A13384" s="2" t="n"/>
    </row>
    <row r="13385">
      <c r="A13385" s="2" t="n"/>
    </row>
    <row r="13386">
      <c r="A13386" s="2" t="n"/>
    </row>
    <row r="13387">
      <c r="A13387" s="2" t="n"/>
    </row>
    <row r="13388">
      <c r="A13388" s="2" t="n"/>
    </row>
    <row r="13389">
      <c r="A13389" s="2" t="n"/>
    </row>
    <row r="13390">
      <c r="A13390" s="2" t="n"/>
    </row>
    <row r="13391">
      <c r="A13391" s="2" t="n"/>
    </row>
    <row r="13392">
      <c r="A13392" s="2" t="n"/>
    </row>
    <row r="13393">
      <c r="A13393" s="2" t="n"/>
    </row>
    <row r="13394">
      <c r="A13394" s="2" t="n"/>
    </row>
    <row r="13395">
      <c r="A13395" s="2" t="n"/>
    </row>
    <row r="13396">
      <c r="A13396" s="2" t="n"/>
    </row>
    <row r="13397">
      <c r="A13397" s="2" t="n"/>
    </row>
    <row r="13398">
      <c r="A13398" s="2" t="n"/>
    </row>
    <row r="13399">
      <c r="A13399" s="2" t="n"/>
    </row>
    <row r="13400">
      <c r="A13400" s="2" t="n"/>
    </row>
    <row r="13401">
      <c r="A13401" s="2" t="n"/>
    </row>
    <row r="13402">
      <c r="A13402" s="2" t="n"/>
    </row>
    <row r="13403">
      <c r="A13403" s="2" t="n"/>
    </row>
    <row r="13404">
      <c r="A13404" s="2" t="n"/>
    </row>
    <row r="13405">
      <c r="A13405" s="2" t="n"/>
    </row>
    <row r="13406">
      <c r="A13406" s="2" t="n"/>
    </row>
    <row r="13407">
      <c r="A13407" s="2" t="n"/>
    </row>
    <row r="13408">
      <c r="A13408" s="2" t="n"/>
    </row>
    <row r="13409">
      <c r="A13409" s="2" t="n"/>
    </row>
    <row r="13410">
      <c r="A13410" s="2" t="n"/>
    </row>
    <row r="13411">
      <c r="A13411" s="2" t="n"/>
    </row>
    <row r="13412">
      <c r="A13412" s="2" t="n"/>
    </row>
    <row r="13413">
      <c r="A13413" s="2" t="n"/>
    </row>
    <row r="13414">
      <c r="A13414" s="2" t="n"/>
    </row>
    <row r="13415">
      <c r="A13415" s="2" t="n"/>
    </row>
    <row r="13416">
      <c r="A13416" s="2" t="n"/>
    </row>
    <row r="13417">
      <c r="A13417" s="2" t="n"/>
    </row>
    <row r="13418">
      <c r="A13418" s="2" t="n"/>
    </row>
    <row r="13419">
      <c r="A13419" s="2" t="n"/>
    </row>
    <row r="13420">
      <c r="A13420" s="2" t="n"/>
    </row>
    <row r="13421">
      <c r="A13421" s="2" t="n"/>
    </row>
    <row r="13422">
      <c r="A13422" s="2" t="n"/>
    </row>
    <row r="13423">
      <c r="A13423" s="2" t="n"/>
    </row>
    <row r="13424">
      <c r="A13424" s="2" t="n"/>
    </row>
    <row r="13425">
      <c r="A13425" s="2" t="n"/>
    </row>
    <row r="13426">
      <c r="A13426" s="2" t="n"/>
    </row>
    <row r="13427">
      <c r="A13427" s="2" t="n"/>
    </row>
    <row r="13428">
      <c r="A13428" s="2" t="n"/>
    </row>
    <row r="13429">
      <c r="A13429" s="2" t="n"/>
    </row>
    <row r="13430">
      <c r="A13430" s="2" t="n"/>
    </row>
    <row r="13431">
      <c r="A13431" s="2" t="n"/>
    </row>
    <row r="13432">
      <c r="A13432" s="2" t="n"/>
    </row>
    <row r="13433">
      <c r="A13433" s="2" t="n"/>
    </row>
    <row r="13434">
      <c r="A13434" s="2" t="n"/>
    </row>
    <row r="13435">
      <c r="A13435" s="2" t="n"/>
    </row>
    <row r="13436">
      <c r="A13436" s="2" t="n"/>
    </row>
    <row r="13437">
      <c r="A13437" s="2" t="n"/>
    </row>
    <row r="13438">
      <c r="A13438" s="2" t="n"/>
    </row>
    <row r="13439">
      <c r="A13439" s="2" t="n"/>
    </row>
    <row r="13440">
      <c r="A13440" s="2" t="n"/>
    </row>
    <row r="13441">
      <c r="A13441" s="2" t="n"/>
    </row>
    <row r="13442">
      <c r="A13442" s="2" t="n"/>
    </row>
    <row r="13443">
      <c r="A13443" s="2" t="n"/>
    </row>
    <row r="13444">
      <c r="A13444" s="2" t="n"/>
    </row>
    <row r="13445">
      <c r="A13445" s="2" t="n"/>
    </row>
    <row r="13446">
      <c r="A13446" s="2" t="n"/>
    </row>
    <row r="13447">
      <c r="A13447" s="2" t="n"/>
    </row>
    <row r="13448">
      <c r="A13448" s="2" t="n"/>
    </row>
    <row r="13449">
      <c r="A13449" s="2" t="n"/>
    </row>
    <row r="13450">
      <c r="A13450" s="2" t="n"/>
    </row>
    <row r="13451">
      <c r="A13451" s="2" t="n"/>
    </row>
    <row r="13452">
      <c r="A13452" s="2" t="n"/>
    </row>
    <row r="13453">
      <c r="A13453" s="2" t="n"/>
    </row>
    <row r="13454">
      <c r="A13454" s="2" t="n"/>
    </row>
    <row r="13455">
      <c r="A13455" s="2" t="n"/>
    </row>
    <row r="13456">
      <c r="A13456" s="2" t="n"/>
    </row>
    <row r="13457">
      <c r="A13457" s="2" t="n"/>
    </row>
    <row r="13458">
      <c r="A13458" s="2" t="n"/>
    </row>
    <row r="13459">
      <c r="A13459" s="2" t="n"/>
    </row>
    <row r="13460">
      <c r="A13460" s="2" t="n"/>
    </row>
    <row r="13461">
      <c r="A13461" s="2" t="n"/>
    </row>
    <row r="13462">
      <c r="A13462" s="2" t="n"/>
    </row>
    <row r="13463">
      <c r="A13463" s="2" t="n"/>
    </row>
    <row r="13464">
      <c r="A13464" s="2" t="n"/>
    </row>
    <row r="13465">
      <c r="A13465" s="2" t="n"/>
    </row>
    <row r="13466">
      <c r="A13466" s="2" t="n"/>
    </row>
    <row r="13467">
      <c r="A13467" s="2" t="n"/>
    </row>
    <row r="13468">
      <c r="A13468" s="2" t="n"/>
    </row>
    <row r="13469">
      <c r="A13469" s="2" t="n"/>
    </row>
    <row r="13470">
      <c r="A13470" s="2" t="n"/>
    </row>
    <row r="13471">
      <c r="A13471" s="2" t="n"/>
    </row>
    <row r="13472">
      <c r="A13472" s="2" t="n"/>
    </row>
    <row r="13473">
      <c r="A13473" s="2" t="n"/>
    </row>
    <row r="13474">
      <c r="A13474" s="2" t="n"/>
    </row>
    <row r="13475">
      <c r="A13475" s="2" t="n"/>
    </row>
    <row r="13476">
      <c r="A13476" s="2" t="n"/>
    </row>
    <row r="13477">
      <c r="A13477" s="2" t="n"/>
    </row>
    <row r="13478">
      <c r="A13478" s="2" t="n"/>
    </row>
    <row r="13479">
      <c r="A13479" s="2" t="n"/>
    </row>
    <row r="13480">
      <c r="A13480" s="2" t="n"/>
    </row>
    <row r="13481">
      <c r="A13481" s="2" t="n"/>
    </row>
    <row r="13482">
      <c r="A13482" s="2" t="n"/>
    </row>
    <row r="13483">
      <c r="A13483" s="2" t="n"/>
    </row>
    <row r="13484">
      <c r="A13484" s="2" t="n"/>
    </row>
    <row r="13485">
      <c r="A13485" s="2" t="n"/>
    </row>
    <row r="13486">
      <c r="A13486" s="2" t="n"/>
    </row>
    <row r="13487">
      <c r="A13487" s="2" t="n"/>
    </row>
    <row r="13488">
      <c r="A13488" s="2" t="n"/>
    </row>
    <row r="13489">
      <c r="A13489" s="2" t="n"/>
    </row>
    <row r="13490">
      <c r="A13490" s="2" t="n"/>
    </row>
    <row r="13491">
      <c r="A13491" s="2" t="n"/>
    </row>
    <row r="13492">
      <c r="A13492" s="2" t="n"/>
    </row>
    <row r="13493">
      <c r="A13493" s="2" t="n"/>
    </row>
    <row r="13494">
      <c r="A13494" s="2" t="n"/>
    </row>
    <row r="13495">
      <c r="A13495" s="2" t="n"/>
    </row>
    <row r="13496">
      <c r="A13496" s="2" t="n"/>
    </row>
    <row r="13497">
      <c r="A13497" s="2" t="n"/>
    </row>
    <row r="13498">
      <c r="A13498" s="2" t="n"/>
    </row>
    <row r="13499">
      <c r="A13499" s="2" t="n"/>
    </row>
    <row r="13500">
      <c r="A13500" s="2" t="n"/>
    </row>
    <row r="13501">
      <c r="A13501" s="2" t="n"/>
    </row>
    <row r="13502">
      <c r="A13502" s="2" t="n"/>
    </row>
    <row r="13503">
      <c r="A13503" s="2" t="n"/>
    </row>
    <row r="13504">
      <c r="A13504" s="2" t="n"/>
    </row>
    <row r="13505">
      <c r="A13505" s="2" t="n"/>
    </row>
    <row r="13506">
      <c r="A13506" s="2" t="n"/>
    </row>
    <row r="13507">
      <c r="A13507" s="2" t="n"/>
    </row>
    <row r="13508">
      <c r="A13508" s="2" t="n"/>
    </row>
    <row r="13509">
      <c r="A13509" s="2" t="n"/>
    </row>
    <row r="13510">
      <c r="A13510" s="2" t="n"/>
    </row>
    <row r="13511">
      <c r="A13511" s="2" t="n"/>
    </row>
    <row r="13512">
      <c r="A13512" s="2" t="n"/>
    </row>
    <row r="13513">
      <c r="A13513" s="2" t="n"/>
    </row>
    <row r="13514">
      <c r="A13514" s="2" t="n"/>
    </row>
    <row r="13515">
      <c r="A13515" s="2" t="n"/>
    </row>
    <row r="13516">
      <c r="A13516" s="2" t="n"/>
    </row>
    <row r="13517">
      <c r="A13517" s="2" t="n"/>
    </row>
    <row r="13518">
      <c r="A13518" s="2" t="n"/>
    </row>
    <row r="13519">
      <c r="A13519" s="2" t="n"/>
    </row>
    <row r="13520">
      <c r="A13520" s="2" t="n"/>
    </row>
    <row r="13521">
      <c r="A13521" s="2" t="n"/>
    </row>
    <row r="13522">
      <c r="A13522" s="2" t="n"/>
    </row>
    <row r="13523">
      <c r="A13523" s="2" t="n"/>
    </row>
    <row r="13524">
      <c r="A13524" s="2" t="n"/>
    </row>
    <row r="13525">
      <c r="A13525" s="2" t="n"/>
    </row>
    <row r="13526">
      <c r="A13526" s="2" t="n"/>
    </row>
    <row r="13527">
      <c r="A13527" s="2" t="n"/>
    </row>
    <row r="13528">
      <c r="A13528" s="2" t="n"/>
    </row>
    <row r="13529">
      <c r="A13529" s="2" t="n"/>
    </row>
    <row r="13530">
      <c r="A13530" s="2" t="n"/>
    </row>
    <row r="13531">
      <c r="A13531" s="2" t="n"/>
    </row>
    <row r="13532">
      <c r="A13532" s="2" t="n"/>
    </row>
    <row r="13533">
      <c r="A13533" s="2" t="n"/>
    </row>
    <row r="13534">
      <c r="A13534" s="2" t="n"/>
    </row>
    <row r="13535">
      <c r="A13535" s="2" t="n"/>
    </row>
    <row r="13536">
      <c r="A13536" s="2" t="n"/>
    </row>
    <row r="13537">
      <c r="A13537" s="2" t="n"/>
    </row>
    <row r="13538">
      <c r="A13538" s="2" t="n"/>
    </row>
    <row r="13539">
      <c r="A13539" s="2" t="n"/>
    </row>
    <row r="13540">
      <c r="A13540" s="2" t="n"/>
    </row>
    <row r="13541">
      <c r="A13541" s="2" t="n"/>
    </row>
    <row r="13542">
      <c r="A13542" s="2" t="n"/>
    </row>
    <row r="13543">
      <c r="A13543" s="2" t="n"/>
    </row>
    <row r="13544">
      <c r="A13544" s="2" t="n"/>
    </row>
    <row r="13545">
      <c r="A13545" s="2" t="n"/>
    </row>
    <row r="13546">
      <c r="A13546" s="2" t="n"/>
    </row>
    <row r="13547">
      <c r="A13547" s="2" t="n"/>
    </row>
    <row r="13548">
      <c r="A13548" s="2" t="n"/>
    </row>
    <row r="13549">
      <c r="A13549" s="2" t="n"/>
    </row>
    <row r="13550">
      <c r="A13550" s="2" t="n"/>
    </row>
    <row r="13551">
      <c r="A13551" s="2" t="n"/>
    </row>
    <row r="13552">
      <c r="A13552" s="2" t="n"/>
    </row>
    <row r="13553">
      <c r="A13553" s="2" t="n"/>
    </row>
    <row r="13554">
      <c r="A13554" s="2" t="n"/>
    </row>
    <row r="13555">
      <c r="A13555" s="2" t="n"/>
    </row>
    <row r="13556">
      <c r="A13556" s="2" t="n"/>
    </row>
    <row r="13557">
      <c r="A13557" s="2" t="n"/>
    </row>
    <row r="13558">
      <c r="A13558" s="2" t="n"/>
    </row>
    <row r="13559">
      <c r="A13559" s="2" t="n"/>
    </row>
    <row r="13560">
      <c r="A13560" s="2" t="n"/>
    </row>
    <row r="13561">
      <c r="A13561" s="2" t="n"/>
    </row>
    <row r="13562">
      <c r="A13562" s="2" t="n"/>
    </row>
    <row r="13563">
      <c r="A13563" s="2" t="n"/>
    </row>
    <row r="13564">
      <c r="A13564" s="2" t="n"/>
    </row>
    <row r="13565">
      <c r="A13565" s="2" t="n"/>
    </row>
    <row r="13566">
      <c r="A13566" s="2" t="n"/>
    </row>
    <row r="13567">
      <c r="A13567" s="2" t="n"/>
    </row>
    <row r="13568">
      <c r="A13568" s="2" t="n"/>
    </row>
    <row r="13569">
      <c r="A13569" s="2" t="n"/>
    </row>
    <row r="13570">
      <c r="A13570" s="2" t="n"/>
    </row>
    <row r="13571">
      <c r="A13571" s="2" t="n"/>
    </row>
    <row r="13572">
      <c r="A13572" s="2" t="n"/>
    </row>
    <row r="13573">
      <c r="A13573" s="2" t="n"/>
    </row>
    <row r="13574">
      <c r="A13574" s="2" t="n"/>
    </row>
    <row r="13575">
      <c r="A13575" s="2" t="n"/>
    </row>
    <row r="13576">
      <c r="A13576" s="2" t="n"/>
    </row>
    <row r="13577">
      <c r="A13577" s="2" t="n"/>
    </row>
    <row r="13578">
      <c r="A13578" s="2" t="n"/>
    </row>
    <row r="13579">
      <c r="A13579" s="2" t="n"/>
    </row>
    <row r="13580">
      <c r="A13580" s="2" t="n"/>
    </row>
    <row r="13581">
      <c r="A13581" s="2" t="n"/>
    </row>
    <row r="13582">
      <c r="A13582" s="2" t="n"/>
    </row>
    <row r="13583">
      <c r="A13583" s="2" t="n"/>
    </row>
    <row r="13584">
      <c r="A13584" s="2" t="n"/>
    </row>
    <row r="13585">
      <c r="A13585" s="2" t="n"/>
    </row>
    <row r="13586">
      <c r="A13586" s="2" t="n"/>
    </row>
    <row r="13587">
      <c r="A13587" s="2" t="n"/>
    </row>
    <row r="13588">
      <c r="A13588" s="2" t="n"/>
    </row>
    <row r="13589">
      <c r="A13589" s="2" t="n"/>
    </row>
    <row r="13590">
      <c r="A13590" s="2" t="n"/>
    </row>
    <row r="13591">
      <c r="A13591" s="2" t="n"/>
    </row>
    <row r="13592">
      <c r="A13592" s="2" t="n"/>
    </row>
    <row r="13593">
      <c r="A13593" s="2" t="n"/>
    </row>
    <row r="13594">
      <c r="A13594" s="2" t="n"/>
    </row>
    <row r="13595">
      <c r="A13595" s="2" t="n"/>
    </row>
    <row r="13596">
      <c r="A13596" s="2" t="n"/>
    </row>
    <row r="13597">
      <c r="A13597" s="2" t="n"/>
    </row>
    <row r="13598">
      <c r="A13598" s="2" t="n"/>
    </row>
    <row r="13599">
      <c r="A13599" s="2" t="n"/>
    </row>
    <row r="13600">
      <c r="A13600" s="2" t="n"/>
    </row>
    <row r="13601">
      <c r="A13601" s="2" t="n"/>
    </row>
    <row r="13602">
      <c r="A13602" s="2" t="n"/>
    </row>
    <row r="13603">
      <c r="A13603" s="2" t="n"/>
    </row>
    <row r="13604">
      <c r="A13604" s="2" t="n"/>
    </row>
    <row r="13605">
      <c r="A13605" s="2" t="n"/>
    </row>
    <row r="13606">
      <c r="A13606" s="2" t="n"/>
    </row>
    <row r="13607">
      <c r="A13607" s="2" t="n"/>
    </row>
    <row r="13608">
      <c r="A13608" s="2" t="n"/>
    </row>
    <row r="13609">
      <c r="A13609" s="2" t="n"/>
    </row>
    <row r="13610">
      <c r="A13610" s="2" t="n"/>
    </row>
    <row r="13611">
      <c r="A13611" s="2" t="n"/>
    </row>
    <row r="13612">
      <c r="A13612" s="2" t="n"/>
    </row>
    <row r="13613">
      <c r="A13613" s="2" t="n"/>
    </row>
    <row r="13614">
      <c r="A13614" s="2" t="n"/>
    </row>
    <row r="13615">
      <c r="A13615" s="2" t="n"/>
    </row>
    <row r="13616">
      <c r="A13616" s="2" t="n"/>
    </row>
    <row r="13617">
      <c r="A13617" s="2" t="n"/>
    </row>
    <row r="13618">
      <c r="A13618" s="2" t="n"/>
    </row>
    <row r="13619">
      <c r="A13619" s="2" t="n"/>
    </row>
    <row r="13620">
      <c r="A13620" s="2" t="n"/>
    </row>
    <row r="13621">
      <c r="A13621" s="2" t="n"/>
    </row>
    <row r="13622">
      <c r="A13622" s="2" t="n"/>
    </row>
    <row r="13623">
      <c r="A13623" s="2" t="n"/>
    </row>
    <row r="13624">
      <c r="A13624" s="2" t="n"/>
    </row>
    <row r="13625">
      <c r="A13625" s="2" t="n"/>
    </row>
    <row r="13626">
      <c r="A13626" s="2" t="n"/>
    </row>
    <row r="13627">
      <c r="A13627" s="2" t="n"/>
    </row>
    <row r="13628">
      <c r="A13628" s="2" t="n"/>
    </row>
    <row r="13629">
      <c r="A13629" s="2" t="n"/>
    </row>
    <row r="13630">
      <c r="A13630" s="2" t="n"/>
    </row>
    <row r="13631">
      <c r="A13631" s="2" t="n"/>
    </row>
    <row r="13632">
      <c r="A13632" s="2" t="n"/>
    </row>
    <row r="13633">
      <c r="A13633" s="2" t="n"/>
    </row>
    <row r="13634">
      <c r="A13634" s="2" t="n"/>
    </row>
    <row r="13635">
      <c r="A13635" s="2" t="n"/>
    </row>
    <row r="13636">
      <c r="A13636" s="2" t="n"/>
    </row>
    <row r="13637">
      <c r="A13637" s="2" t="n"/>
    </row>
    <row r="13638">
      <c r="A13638" s="2" t="n"/>
    </row>
    <row r="13639">
      <c r="A13639" s="2" t="n"/>
    </row>
    <row r="13640">
      <c r="A13640" s="2" t="n"/>
    </row>
    <row r="13641">
      <c r="A13641" s="2" t="n"/>
    </row>
    <row r="13642">
      <c r="A13642" s="2" t="n"/>
    </row>
    <row r="13643">
      <c r="A13643" s="2" t="n"/>
    </row>
    <row r="13644">
      <c r="A13644" s="2" t="n"/>
    </row>
    <row r="13645">
      <c r="A13645" s="2" t="n"/>
    </row>
    <row r="13646">
      <c r="A13646" s="2" t="n"/>
    </row>
    <row r="13647">
      <c r="A13647" s="2" t="n"/>
    </row>
    <row r="13648">
      <c r="A13648" s="2" t="n"/>
    </row>
    <row r="13649">
      <c r="A13649" s="2" t="n"/>
    </row>
    <row r="13650">
      <c r="A13650" s="2" t="n"/>
    </row>
    <row r="13651">
      <c r="A13651" s="2" t="n"/>
    </row>
    <row r="13652">
      <c r="A13652" s="2" t="n"/>
    </row>
    <row r="13653">
      <c r="A13653" s="2" t="n"/>
    </row>
    <row r="13654">
      <c r="A13654" s="2" t="n"/>
    </row>
    <row r="13655">
      <c r="A13655" s="2" t="n"/>
    </row>
    <row r="13656">
      <c r="A13656" s="2" t="n"/>
    </row>
    <row r="13657">
      <c r="A13657" s="2" t="n"/>
    </row>
    <row r="13658">
      <c r="A13658" s="2" t="n"/>
    </row>
    <row r="13659">
      <c r="A13659" s="2" t="n"/>
    </row>
    <row r="13660">
      <c r="A13660" s="2" t="n"/>
    </row>
    <row r="13661">
      <c r="A13661" s="2" t="n"/>
    </row>
    <row r="13662">
      <c r="A13662" s="2" t="n"/>
    </row>
    <row r="13663">
      <c r="A13663" s="2" t="n"/>
    </row>
    <row r="13664">
      <c r="A13664" s="2" t="n"/>
    </row>
    <row r="13665">
      <c r="A13665" s="2" t="n"/>
    </row>
    <row r="13666">
      <c r="A13666" s="2" t="n"/>
    </row>
    <row r="13667">
      <c r="A13667" s="2" t="n"/>
    </row>
    <row r="13668">
      <c r="A13668" s="2" t="n"/>
    </row>
    <row r="13669">
      <c r="A13669" s="2" t="n"/>
    </row>
    <row r="13670">
      <c r="A13670" s="2" t="n"/>
    </row>
    <row r="13671">
      <c r="A13671" s="2" t="n"/>
    </row>
    <row r="13672">
      <c r="A13672" s="2" t="n"/>
    </row>
    <row r="13673">
      <c r="A13673" s="2" t="n"/>
    </row>
    <row r="13674">
      <c r="A13674" s="2" t="n"/>
    </row>
    <row r="13675">
      <c r="A13675" s="2" t="n"/>
    </row>
    <row r="13676">
      <c r="A13676" s="2" t="n"/>
    </row>
    <row r="13677">
      <c r="A13677" s="2" t="n"/>
    </row>
    <row r="13678">
      <c r="A13678" s="2" t="n"/>
    </row>
    <row r="13679">
      <c r="A13679" s="2" t="n"/>
    </row>
    <row r="13680">
      <c r="A13680" s="2" t="n"/>
    </row>
    <row r="13681">
      <c r="A13681" s="2" t="n"/>
    </row>
    <row r="13682">
      <c r="A13682" s="2" t="n"/>
    </row>
    <row r="13683">
      <c r="A13683" s="2" t="n"/>
    </row>
    <row r="13684">
      <c r="A13684" s="2" t="n"/>
    </row>
    <row r="13685">
      <c r="A13685" s="2" t="n"/>
    </row>
    <row r="13686">
      <c r="A13686" s="2" t="n"/>
    </row>
    <row r="13687">
      <c r="A13687" s="2" t="n"/>
    </row>
    <row r="13688">
      <c r="A13688" s="2" t="n"/>
    </row>
    <row r="13689">
      <c r="A13689" s="2" t="n"/>
    </row>
    <row r="13690">
      <c r="A13690" s="2" t="n"/>
    </row>
    <row r="13691">
      <c r="A13691" s="2" t="n"/>
    </row>
    <row r="13692">
      <c r="A13692" s="2" t="n"/>
    </row>
    <row r="13693">
      <c r="A13693" s="2" t="n"/>
    </row>
    <row r="13694">
      <c r="A13694" s="2" t="n"/>
    </row>
    <row r="13695">
      <c r="A13695" s="2" t="n"/>
    </row>
    <row r="13696">
      <c r="A13696" s="2" t="n"/>
    </row>
    <row r="13697">
      <c r="A13697" s="2" t="n"/>
    </row>
    <row r="13698">
      <c r="A13698" s="2" t="n"/>
    </row>
    <row r="13699">
      <c r="A13699" s="2" t="n"/>
    </row>
    <row r="13700">
      <c r="A13700" s="2" t="n"/>
    </row>
    <row r="13701">
      <c r="A13701" s="2" t="n"/>
    </row>
    <row r="13702">
      <c r="A13702" s="2" t="n"/>
    </row>
    <row r="13703">
      <c r="A13703" s="2" t="n"/>
    </row>
    <row r="13704">
      <c r="A13704" s="2" t="n"/>
    </row>
    <row r="13705">
      <c r="A13705" s="2" t="n"/>
    </row>
    <row r="13706">
      <c r="A13706" s="2" t="n"/>
    </row>
    <row r="13707">
      <c r="A13707" s="2" t="n"/>
    </row>
    <row r="13708">
      <c r="A13708" s="2" t="n"/>
    </row>
    <row r="13709">
      <c r="A13709" s="2" t="n"/>
    </row>
    <row r="13710">
      <c r="A13710" s="2" t="n"/>
    </row>
    <row r="13711">
      <c r="A13711" s="2" t="n"/>
    </row>
    <row r="13712">
      <c r="A13712" s="2" t="n"/>
    </row>
    <row r="13713">
      <c r="A13713" s="2" t="n"/>
    </row>
    <row r="13714">
      <c r="A13714" s="2" t="n"/>
    </row>
    <row r="13715">
      <c r="A13715" s="2" t="n"/>
    </row>
    <row r="13716">
      <c r="A13716" s="2" t="n"/>
    </row>
    <row r="13717">
      <c r="A13717" s="2" t="n"/>
    </row>
    <row r="13718">
      <c r="A13718" s="2" t="n"/>
    </row>
    <row r="13719">
      <c r="A13719" s="2" t="n"/>
    </row>
    <row r="13720">
      <c r="A13720" s="2" t="n"/>
    </row>
    <row r="13721">
      <c r="A13721" s="2" t="n"/>
    </row>
    <row r="13722">
      <c r="A13722" s="2" t="n"/>
    </row>
    <row r="13723">
      <c r="A13723" s="2" t="n"/>
    </row>
    <row r="13724">
      <c r="A13724" s="2" t="n"/>
    </row>
    <row r="13725">
      <c r="A13725" s="2" t="n"/>
    </row>
    <row r="13726">
      <c r="A13726" s="2" t="n"/>
    </row>
    <row r="13727">
      <c r="A13727" s="2" t="n"/>
    </row>
    <row r="13728">
      <c r="A13728" s="2" t="n"/>
    </row>
    <row r="13729">
      <c r="A13729" s="2" t="n"/>
    </row>
    <row r="13730">
      <c r="A13730" s="2" t="n"/>
    </row>
    <row r="13731">
      <c r="A13731" s="2" t="n"/>
    </row>
    <row r="13732">
      <c r="A13732" s="2" t="n"/>
    </row>
    <row r="13733">
      <c r="A13733" s="2" t="n"/>
    </row>
    <row r="13734">
      <c r="A13734" s="2" t="n"/>
    </row>
    <row r="13735">
      <c r="A13735" s="2" t="n"/>
    </row>
    <row r="13736">
      <c r="A13736" s="2" t="n"/>
    </row>
    <row r="13737">
      <c r="A13737" s="2" t="n"/>
    </row>
    <row r="13738">
      <c r="A13738" s="2" t="n"/>
    </row>
    <row r="13739">
      <c r="A13739" s="2" t="n"/>
    </row>
    <row r="13740">
      <c r="A13740" s="2" t="n"/>
    </row>
    <row r="13741">
      <c r="A13741" s="2" t="n"/>
    </row>
    <row r="13742">
      <c r="A13742" s="2" t="n"/>
    </row>
    <row r="13743">
      <c r="A13743" s="2" t="n"/>
    </row>
    <row r="13744">
      <c r="A13744" s="2" t="n"/>
    </row>
    <row r="13745">
      <c r="A13745" s="2" t="n"/>
    </row>
    <row r="13746">
      <c r="A13746" s="2" t="n"/>
    </row>
    <row r="13747">
      <c r="A13747" s="2" t="n"/>
    </row>
    <row r="13748">
      <c r="A13748" s="2" t="n"/>
    </row>
    <row r="13749">
      <c r="A13749" s="2" t="n"/>
    </row>
    <row r="13750">
      <c r="A13750" s="2" t="n"/>
    </row>
    <row r="13751">
      <c r="A13751" s="2" t="n"/>
    </row>
    <row r="13752">
      <c r="A13752" s="2" t="n"/>
    </row>
    <row r="13753">
      <c r="A13753" s="2" t="n"/>
    </row>
    <row r="13754">
      <c r="A13754" s="2" t="n"/>
    </row>
    <row r="13755">
      <c r="A13755" s="2" t="n"/>
    </row>
    <row r="13756">
      <c r="A13756" s="2" t="n"/>
    </row>
    <row r="13757">
      <c r="A13757" s="2" t="n"/>
    </row>
    <row r="13758">
      <c r="A13758" s="2" t="n"/>
    </row>
    <row r="13759">
      <c r="A13759" s="2" t="n"/>
    </row>
    <row r="13760">
      <c r="A13760" s="2" t="n"/>
    </row>
    <row r="13761">
      <c r="A13761" s="2" t="n"/>
    </row>
    <row r="13762">
      <c r="A13762" s="2" t="n"/>
    </row>
    <row r="13763">
      <c r="A13763" s="2" t="n"/>
    </row>
    <row r="13764">
      <c r="A13764" s="2" t="n"/>
    </row>
    <row r="13765">
      <c r="A13765" s="2" t="n"/>
    </row>
    <row r="13766">
      <c r="A13766" s="2" t="n"/>
    </row>
    <row r="13767">
      <c r="A13767" s="2" t="n"/>
    </row>
    <row r="13768">
      <c r="A13768" s="2" t="n"/>
    </row>
    <row r="13769">
      <c r="A13769" s="2" t="n"/>
    </row>
    <row r="13770">
      <c r="A13770" s="2" t="n"/>
    </row>
    <row r="13771">
      <c r="A13771" s="2" t="n"/>
    </row>
    <row r="13772">
      <c r="A13772" s="2" t="n"/>
    </row>
    <row r="13773">
      <c r="A13773" s="2" t="n"/>
    </row>
    <row r="13774">
      <c r="A13774" s="2" t="n"/>
    </row>
    <row r="13775">
      <c r="A13775" s="2" t="n"/>
    </row>
    <row r="13776">
      <c r="A13776" s="2" t="n"/>
    </row>
    <row r="13777">
      <c r="A13777" s="2" t="n"/>
    </row>
    <row r="13778">
      <c r="A13778" s="2" t="n"/>
    </row>
    <row r="13779">
      <c r="A13779" s="2" t="n"/>
    </row>
    <row r="13780">
      <c r="A13780" s="2" t="n"/>
    </row>
    <row r="13781">
      <c r="A13781" s="2" t="n"/>
    </row>
    <row r="13782">
      <c r="A13782" s="2" t="n"/>
    </row>
    <row r="13783">
      <c r="A13783" s="2" t="n"/>
    </row>
    <row r="13784">
      <c r="A13784" s="2" t="n"/>
    </row>
    <row r="13785">
      <c r="A13785" s="2" t="n"/>
    </row>
    <row r="13786">
      <c r="A13786" s="2" t="n"/>
    </row>
    <row r="13787">
      <c r="A13787" s="2" t="n"/>
    </row>
    <row r="13788">
      <c r="A13788" s="2" t="n"/>
    </row>
    <row r="13789">
      <c r="A13789" s="2" t="n"/>
    </row>
    <row r="13790">
      <c r="A13790" s="2" t="n"/>
    </row>
    <row r="13791">
      <c r="A13791" s="2" t="n"/>
    </row>
    <row r="13792">
      <c r="A13792" s="2" t="n"/>
    </row>
    <row r="13793">
      <c r="A13793" s="2" t="n"/>
    </row>
    <row r="13794">
      <c r="A13794" s="2" t="n"/>
    </row>
    <row r="13795">
      <c r="A13795" s="2" t="n"/>
    </row>
    <row r="13796">
      <c r="A13796" s="2" t="n"/>
    </row>
    <row r="13797">
      <c r="A13797" s="2" t="n"/>
    </row>
    <row r="13798">
      <c r="A13798" s="2" t="n"/>
    </row>
    <row r="13799">
      <c r="A13799" s="2" t="n"/>
    </row>
    <row r="13800">
      <c r="A13800" s="2" t="n"/>
    </row>
    <row r="13801">
      <c r="A13801" s="2" t="n"/>
    </row>
    <row r="13802">
      <c r="A13802" s="2" t="n"/>
    </row>
    <row r="13803">
      <c r="A13803" s="2" t="n"/>
    </row>
    <row r="13804">
      <c r="A13804" s="2" t="n"/>
    </row>
    <row r="13805">
      <c r="A13805" s="2" t="n"/>
    </row>
    <row r="13806">
      <c r="A13806" s="2" t="n"/>
    </row>
    <row r="13807">
      <c r="A13807" s="2" t="n"/>
    </row>
    <row r="13808">
      <c r="A13808" s="2" t="n"/>
    </row>
    <row r="13809">
      <c r="A13809" s="2" t="n"/>
    </row>
    <row r="13810">
      <c r="A13810" s="2" t="n"/>
    </row>
    <row r="13811">
      <c r="A13811" s="2" t="n"/>
    </row>
    <row r="13812">
      <c r="A13812" s="2" t="n"/>
    </row>
    <row r="13813">
      <c r="A13813" s="2" t="n"/>
    </row>
    <row r="13814">
      <c r="A13814" s="2" t="n"/>
    </row>
    <row r="13815">
      <c r="A13815" s="2" t="n"/>
    </row>
    <row r="13816">
      <c r="A13816" s="2" t="n"/>
    </row>
    <row r="13817">
      <c r="A13817" s="2" t="n"/>
    </row>
    <row r="13818">
      <c r="A13818" s="2" t="n"/>
    </row>
    <row r="13819">
      <c r="A13819" s="2" t="n"/>
    </row>
    <row r="13820">
      <c r="A13820" s="2" t="n"/>
    </row>
    <row r="13821">
      <c r="A13821" s="2" t="n"/>
    </row>
    <row r="13822">
      <c r="A13822" s="2" t="n"/>
    </row>
    <row r="13823">
      <c r="A13823" s="2" t="n"/>
    </row>
    <row r="13824">
      <c r="A13824" s="2" t="n"/>
    </row>
    <row r="13825">
      <c r="A13825" s="2" t="n"/>
    </row>
    <row r="13826">
      <c r="A13826" s="2" t="n"/>
    </row>
    <row r="13827">
      <c r="A13827" s="2" t="n"/>
    </row>
    <row r="13828">
      <c r="A13828" s="2" t="n"/>
    </row>
    <row r="13829">
      <c r="A13829" s="2" t="n"/>
    </row>
    <row r="13830">
      <c r="A13830" s="2" t="n"/>
    </row>
    <row r="13831">
      <c r="A13831" s="2" t="n"/>
    </row>
    <row r="13832">
      <c r="A13832" s="2" t="n"/>
    </row>
    <row r="13833">
      <c r="A13833" s="2" t="n"/>
    </row>
    <row r="13834">
      <c r="A13834" s="2" t="n"/>
    </row>
    <row r="13835">
      <c r="A13835" s="2" t="n"/>
    </row>
    <row r="13836">
      <c r="A13836" s="2" t="n"/>
    </row>
    <row r="13837">
      <c r="A13837" s="2" t="n"/>
    </row>
    <row r="13838">
      <c r="A13838" s="2" t="n"/>
    </row>
    <row r="13839">
      <c r="A13839" s="2" t="n"/>
    </row>
    <row r="13840">
      <c r="A13840" s="2" t="n"/>
    </row>
    <row r="13841">
      <c r="A13841" s="2" t="n"/>
    </row>
    <row r="13842">
      <c r="A13842" s="2" t="n"/>
    </row>
    <row r="13843">
      <c r="A13843" s="2" t="n"/>
    </row>
    <row r="13844">
      <c r="A13844" s="2" t="n"/>
    </row>
    <row r="13845">
      <c r="A13845" s="2" t="n"/>
    </row>
    <row r="13846">
      <c r="A13846" s="2" t="n"/>
    </row>
    <row r="13847">
      <c r="A13847" s="2" t="n"/>
    </row>
    <row r="13848">
      <c r="A13848" s="2" t="n"/>
    </row>
    <row r="13849">
      <c r="A13849" s="2" t="n"/>
    </row>
    <row r="13850">
      <c r="A13850" s="2" t="n"/>
    </row>
    <row r="13851">
      <c r="A13851" s="2" t="n"/>
    </row>
    <row r="13852">
      <c r="A13852" s="2" t="n"/>
    </row>
    <row r="13853">
      <c r="A13853" s="2" t="n"/>
    </row>
    <row r="13854">
      <c r="A13854" s="2" t="n"/>
    </row>
    <row r="13855">
      <c r="A13855" s="2" t="n"/>
    </row>
    <row r="13856">
      <c r="A13856" s="2" t="n"/>
    </row>
    <row r="13857">
      <c r="A13857" s="2" t="n"/>
    </row>
    <row r="13858">
      <c r="A13858" s="2" t="n"/>
    </row>
    <row r="13859">
      <c r="A13859" s="2" t="n"/>
    </row>
    <row r="13860">
      <c r="A13860" s="2" t="n"/>
    </row>
    <row r="13861">
      <c r="A13861" s="2" t="n"/>
    </row>
    <row r="13862">
      <c r="A13862" s="2" t="n"/>
    </row>
    <row r="13863">
      <c r="A13863" s="2" t="n"/>
    </row>
    <row r="13864">
      <c r="A13864" s="2" t="n"/>
    </row>
    <row r="13865">
      <c r="A13865" s="2" t="n"/>
    </row>
    <row r="13866">
      <c r="A13866" s="2" t="n"/>
    </row>
    <row r="13867">
      <c r="A13867" s="2" t="n"/>
    </row>
    <row r="13868">
      <c r="A13868" s="2" t="n"/>
    </row>
    <row r="13869">
      <c r="A13869" s="2" t="n"/>
    </row>
    <row r="13870">
      <c r="A13870" s="2" t="n"/>
    </row>
    <row r="13871">
      <c r="A13871" s="2" t="n"/>
    </row>
    <row r="13872">
      <c r="A13872" s="2" t="n"/>
    </row>
    <row r="13873">
      <c r="A13873" s="2" t="n"/>
    </row>
    <row r="13874">
      <c r="A13874" s="2" t="n"/>
    </row>
    <row r="13875">
      <c r="A13875" s="2" t="n"/>
    </row>
    <row r="13876">
      <c r="A13876" s="2" t="n"/>
    </row>
    <row r="13877">
      <c r="A13877" s="2" t="n"/>
    </row>
    <row r="13878">
      <c r="A13878" s="2" t="n"/>
    </row>
    <row r="13879">
      <c r="A13879" s="2" t="n"/>
    </row>
    <row r="13880">
      <c r="A13880" s="2" t="n"/>
    </row>
    <row r="13881">
      <c r="A13881" s="2" t="n"/>
    </row>
    <row r="13882">
      <c r="A13882" s="2" t="n"/>
    </row>
    <row r="13883">
      <c r="A13883" s="2" t="n"/>
    </row>
    <row r="13884">
      <c r="A13884" s="2" t="n"/>
    </row>
    <row r="13885">
      <c r="A13885" s="2" t="n"/>
    </row>
    <row r="13886">
      <c r="A13886" s="2" t="n"/>
    </row>
    <row r="13887">
      <c r="A13887" s="2" t="n"/>
    </row>
    <row r="13888">
      <c r="A13888" s="2" t="n"/>
    </row>
    <row r="13889">
      <c r="A13889" s="2" t="n"/>
    </row>
    <row r="13890">
      <c r="A13890" s="2" t="n"/>
    </row>
    <row r="13891">
      <c r="A13891" s="2" t="n"/>
    </row>
    <row r="13892">
      <c r="A13892" s="2" t="n"/>
    </row>
    <row r="13893">
      <c r="A13893" s="2" t="n"/>
    </row>
    <row r="13894">
      <c r="A13894" s="2" t="n"/>
    </row>
    <row r="13895">
      <c r="A13895" s="2" t="n"/>
    </row>
    <row r="13896">
      <c r="A13896" s="2" t="n"/>
    </row>
    <row r="13897">
      <c r="A13897" s="2" t="n"/>
    </row>
    <row r="13898">
      <c r="A13898" s="2" t="n"/>
    </row>
    <row r="13899">
      <c r="A13899" s="2" t="n"/>
    </row>
    <row r="13900">
      <c r="A13900" s="2" t="n"/>
    </row>
    <row r="13901">
      <c r="A13901" s="2" t="n"/>
    </row>
    <row r="13902">
      <c r="A13902" s="2" t="n"/>
    </row>
    <row r="13903">
      <c r="A13903" s="2" t="n"/>
    </row>
    <row r="13904">
      <c r="A13904" s="2" t="n"/>
    </row>
    <row r="13905">
      <c r="A13905" s="2" t="n"/>
    </row>
    <row r="13906">
      <c r="A13906" s="2" t="n"/>
    </row>
    <row r="13907">
      <c r="A13907" s="2" t="n"/>
    </row>
    <row r="13908">
      <c r="A13908" s="2" t="n"/>
    </row>
    <row r="13909">
      <c r="A13909" s="2" t="n"/>
    </row>
    <row r="13910">
      <c r="A13910" s="2" t="n"/>
    </row>
    <row r="13911">
      <c r="A13911" s="2" t="n"/>
    </row>
    <row r="13912">
      <c r="A13912" s="2" t="n"/>
    </row>
    <row r="13913">
      <c r="A13913" s="2" t="n"/>
    </row>
    <row r="13914">
      <c r="A13914" s="2" t="n"/>
    </row>
    <row r="13915">
      <c r="A13915" s="2" t="n"/>
    </row>
    <row r="13916">
      <c r="A13916" s="2" t="n"/>
    </row>
    <row r="13917">
      <c r="A13917" s="2" t="n"/>
    </row>
    <row r="13918">
      <c r="A13918" s="2" t="n"/>
    </row>
    <row r="13919">
      <c r="A13919" s="2" t="n"/>
    </row>
    <row r="13920">
      <c r="A13920" s="2" t="n"/>
    </row>
    <row r="13921">
      <c r="A13921" s="2" t="n"/>
    </row>
    <row r="13922">
      <c r="A13922" s="2" t="n"/>
    </row>
    <row r="13923">
      <c r="A13923" s="2" t="n"/>
    </row>
    <row r="13924">
      <c r="A13924" s="2" t="n"/>
    </row>
    <row r="13925">
      <c r="A13925" s="2" t="n"/>
    </row>
    <row r="13926">
      <c r="A13926" s="2" t="n"/>
    </row>
    <row r="13927">
      <c r="A13927" s="2" t="n"/>
    </row>
    <row r="13928">
      <c r="A13928" s="2" t="n"/>
    </row>
    <row r="13929">
      <c r="A13929" s="2" t="n"/>
    </row>
    <row r="13930">
      <c r="A13930" s="2" t="n"/>
    </row>
    <row r="13931">
      <c r="A13931" s="2" t="n"/>
    </row>
    <row r="13932">
      <c r="A13932" s="2" t="n"/>
    </row>
    <row r="13933">
      <c r="A13933" s="2" t="n"/>
    </row>
    <row r="13934">
      <c r="A13934" s="2" t="n"/>
    </row>
    <row r="13935">
      <c r="A13935" s="2" t="n"/>
    </row>
    <row r="13936">
      <c r="A13936" s="2" t="n"/>
    </row>
    <row r="13937">
      <c r="A13937" s="2" t="n"/>
    </row>
    <row r="13938">
      <c r="A13938" s="2" t="n"/>
    </row>
    <row r="13939">
      <c r="A13939" s="2" t="n"/>
    </row>
    <row r="13940">
      <c r="A13940" s="2" t="n"/>
    </row>
    <row r="13941">
      <c r="A13941" s="2" t="n"/>
    </row>
    <row r="13942">
      <c r="A13942" s="2" t="n"/>
    </row>
    <row r="13943">
      <c r="A13943" s="2" t="n"/>
    </row>
    <row r="13944">
      <c r="A13944" s="2" t="n"/>
    </row>
    <row r="13945">
      <c r="A13945" s="2" t="n"/>
    </row>
    <row r="13946">
      <c r="A13946" s="2" t="n"/>
    </row>
    <row r="13947">
      <c r="A13947" s="2" t="n"/>
    </row>
    <row r="13948">
      <c r="A13948" s="2" t="n"/>
    </row>
    <row r="13949">
      <c r="A13949" s="2" t="n"/>
    </row>
    <row r="13950">
      <c r="A13950" s="2" t="n"/>
    </row>
    <row r="13951">
      <c r="A13951" s="2" t="n"/>
    </row>
    <row r="13952">
      <c r="A13952" s="2" t="n"/>
    </row>
    <row r="13953">
      <c r="A13953" s="2" t="n"/>
    </row>
    <row r="13954">
      <c r="A13954" s="2" t="n"/>
    </row>
    <row r="13955">
      <c r="A13955" s="2" t="n"/>
    </row>
    <row r="13956">
      <c r="A13956" s="2" t="n"/>
    </row>
    <row r="13957">
      <c r="A13957" s="2" t="n"/>
    </row>
    <row r="13958">
      <c r="A13958" s="2" t="n"/>
    </row>
    <row r="13959">
      <c r="A13959" s="2" t="n"/>
    </row>
    <row r="13960">
      <c r="A13960" s="2" t="n"/>
    </row>
    <row r="13961">
      <c r="A13961" s="2" t="n"/>
    </row>
    <row r="13962">
      <c r="A13962" s="2" t="n"/>
    </row>
    <row r="13963">
      <c r="A13963" s="2" t="n"/>
    </row>
    <row r="13964">
      <c r="A13964" s="2" t="n"/>
    </row>
    <row r="13965">
      <c r="A13965" s="2" t="n"/>
    </row>
    <row r="13966">
      <c r="A13966" s="2" t="n"/>
    </row>
    <row r="13967">
      <c r="A13967" s="2" t="n"/>
    </row>
    <row r="13968">
      <c r="A13968" s="2" t="n"/>
    </row>
    <row r="13969">
      <c r="A13969" s="2" t="n"/>
    </row>
    <row r="13970">
      <c r="A13970" s="2" t="n"/>
    </row>
    <row r="13971">
      <c r="A13971" s="2" t="n"/>
    </row>
    <row r="13972">
      <c r="A13972" s="2" t="n"/>
    </row>
    <row r="13973">
      <c r="A13973" s="2" t="n"/>
    </row>
    <row r="13974">
      <c r="A13974" s="2" t="n"/>
    </row>
    <row r="13975">
      <c r="A13975" s="2" t="n"/>
    </row>
    <row r="13976">
      <c r="A13976" s="2" t="n"/>
    </row>
    <row r="13977">
      <c r="A13977" s="2" t="n"/>
    </row>
    <row r="13978">
      <c r="A13978" s="2" t="n"/>
    </row>
    <row r="13979">
      <c r="A13979" s="2" t="n"/>
    </row>
    <row r="13980">
      <c r="A13980" s="2" t="n"/>
    </row>
    <row r="13981">
      <c r="A13981" s="2" t="n"/>
    </row>
    <row r="13982">
      <c r="A13982" s="2" t="n"/>
    </row>
    <row r="13983">
      <c r="A13983" s="2" t="n"/>
    </row>
    <row r="13984">
      <c r="A13984" s="2" t="n"/>
    </row>
    <row r="13985">
      <c r="A13985" s="2" t="n"/>
    </row>
    <row r="13986">
      <c r="A13986" s="2" t="n"/>
    </row>
    <row r="13987">
      <c r="A13987" s="2" t="n"/>
    </row>
    <row r="13988">
      <c r="A13988" s="2" t="n"/>
    </row>
    <row r="13989">
      <c r="A13989" s="2" t="n"/>
    </row>
    <row r="13990">
      <c r="A13990" s="2" t="n"/>
    </row>
    <row r="13991">
      <c r="A13991" s="2" t="n"/>
    </row>
    <row r="13992">
      <c r="A13992" s="2" t="n"/>
    </row>
    <row r="13993">
      <c r="A13993" s="2" t="n"/>
    </row>
    <row r="13994">
      <c r="A13994" s="2" t="n"/>
    </row>
    <row r="13995">
      <c r="A13995" s="2" t="n"/>
    </row>
    <row r="13996">
      <c r="A13996" s="2" t="n"/>
    </row>
    <row r="13997">
      <c r="A13997" s="2" t="n"/>
    </row>
    <row r="13998">
      <c r="A13998" s="2" t="n"/>
    </row>
    <row r="13999">
      <c r="A13999" s="2" t="n"/>
    </row>
    <row r="14000">
      <c r="A14000" s="2" t="n"/>
    </row>
    <row r="14001">
      <c r="A14001" s="2" t="n"/>
    </row>
    <row r="14002">
      <c r="A14002" s="2" t="n"/>
    </row>
    <row r="14003">
      <c r="A14003" s="2" t="n"/>
    </row>
    <row r="14004">
      <c r="A14004" s="2" t="n"/>
    </row>
    <row r="14005">
      <c r="A14005" s="2" t="n"/>
    </row>
    <row r="14006">
      <c r="A14006" s="2" t="n"/>
    </row>
    <row r="14007">
      <c r="A14007" s="2" t="n"/>
    </row>
    <row r="14008">
      <c r="A14008" s="2" t="n"/>
    </row>
    <row r="14009">
      <c r="A14009" s="2" t="n"/>
    </row>
    <row r="14010">
      <c r="A14010" s="2" t="n"/>
    </row>
    <row r="14011">
      <c r="A14011" s="2" t="n"/>
    </row>
    <row r="14012">
      <c r="A14012" s="2" t="n"/>
    </row>
    <row r="14013">
      <c r="A14013" s="2" t="n"/>
    </row>
    <row r="14014">
      <c r="A14014" s="2" t="n"/>
    </row>
    <row r="14015">
      <c r="A14015" s="2" t="n"/>
    </row>
    <row r="14016">
      <c r="A14016" s="2" t="n"/>
    </row>
    <row r="14017">
      <c r="A14017" s="2" t="n"/>
    </row>
    <row r="14018">
      <c r="A14018" s="2" t="n"/>
    </row>
    <row r="14019">
      <c r="A14019" s="2" t="n"/>
    </row>
    <row r="14020">
      <c r="A14020" s="2" t="n"/>
    </row>
    <row r="14021">
      <c r="A14021" s="2" t="n"/>
    </row>
    <row r="14022">
      <c r="A14022" s="2" t="n"/>
    </row>
    <row r="14023">
      <c r="A14023" s="2" t="n"/>
    </row>
    <row r="14024">
      <c r="A14024" s="2" t="n"/>
    </row>
    <row r="14025">
      <c r="A14025" s="2" t="n"/>
    </row>
    <row r="14026">
      <c r="A14026" s="2" t="n"/>
    </row>
    <row r="14027">
      <c r="A14027" s="2" t="n"/>
    </row>
    <row r="14028">
      <c r="A14028" s="2" t="n"/>
    </row>
    <row r="14029">
      <c r="A14029" s="2" t="n"/>
    </row>
    <row r="14030">
      <c r="A14030" s="2" t="n"/>
    </row>
    <row r="14031">
      <c r="A14031" s="2" t="n"/>
    </row>
    <row r="14032">
      <c r="A14032" s="2" t="n"/>
    </row>
    <row r="14033">
      <c r="A14033" s="2" t="n"/>
    </row>
    <row r="14034">
      <c r="A14034" s="2" t="n"/>
    </row>
    <row r="14035">
      <c r="A14035" s="2" t="n"/>
    </row>
    <row r="14036">
      <c r="A14036" s="2" t="n"/>
    </row>
    <row r="14037">
      <c r="A14037" s="2" t="n"/>
    </row>
    <row r="14038">
      <c r="A14038" s="2" t="n"/>
    </row>
    <row r="14039">
      <c r="A14039" s="2" t="n"/>
    </row>
    <row r="14040">
      <c r="A14040" s="2" t="n"/>
    </row>
    <row r="14041">
      <c r="A14041" s="2" t="n"/>
    </row>
    <row r="14042">
      <c r="A14042" s="2" t="n"/>
    </row>
    <row r="14043">
      <c r="A14043" s="2" t="n"/>
    </row>
    <row r="14044">
      <c r="A14044" s="2" t="n"/>
    </row>
    <row r="14045">
      <c r="A14045" s="2" t="n"/>
    </row>
    <row r="14046">
      <c r="A14046" s="2" t="n"/>
    </row>
    <row r="14047">
      <c r="A14047" s="2" t="n"/>
    </row>
    <row r="14048">
      <c r="A14048" s="2" t="n"/>
    </row>
    <row r="14049">
      <c r="A14049" s="2" t="n"/>
    </row>
    <row r="14050">
      <c r="A14050" s="2" t="n"/>
    </row>
    <row r="14051">
      <c r="A14051" s="2" t="n"/>
    </row>
    <row r="14052">
      <c r="A14052" s="2" t="n"/>
    </row>
    <row r="14053">
      <c r="A14053" s="2" t="n"/>
    </row>
    <row r="14054">
      <c r="A14054" s="2" t="n"/>
    </row>
    <row r="14055">
      <c r="A14055" s="2" t="n"/>
    </row>
    <row r="14056">
      <c r="A14056" s="2" t="n"/>
    </row>
    <row r="14057">
      <c r="A14057" s="2" t="n"/>
    </row>
    <row r="14058">
      <c r="A14058" s="2" t="n"/>
    </row>
    <row r="14059">
      <c r="A14059" s="2" t="n"/>
    </row>
    <row r="14060">
      <c r="A14060" s="2" t="n"/>
    </row>
    <row r="14061">
      <c r="A14061" s="2" t="n"/>
    </row>
    <row r="14062">
      <c r="A14062" s="2" t="n"/>
    </row>
    <row r="14063">
      <c r="A14063" s="2" t="n"/>
    </row>
    <row r="14064">
      <c r="A14064" s="2" t="n"/>
    </row>
    <row r="14065">
      <c r="A14065" s="2" t="n"/>
    </row>
    <row r="14066">
      <c r="A14066" s="2" t="n"/>
    </row>
    <row r="14067">
      <c r="A14067" s="2" t="n"/>
    </row>
    <row r="14068">
      <c r="A14068" s="2" t="n"/>
    </row>
    <row r="14069">
      <c r="A14069" s="2" t="n"/>
    </row>
    <row r="14070">
      <c r="A14070" s="2" t="n"/>
    </row>
    <row r="14071">
      <c r="A14071" s="2" t="n"/>
    </row>
    <row r="14072">
      <c r="A14072" s="2" t="n"/>
    </row>
    <row r="14073">
      <c r="A14073" s="2" t="n"/>
    </row>
    <row r="14074">
      <c r="A14074" s="2" t="n"/>
    </row>
    <row r="14075">
      <c r="A14075" s="2" t="n"/>
    </row>
    <row r="14076">
      <c r="A14076" s="2" t="n"/>
    </row>
    <row r="14077">
      <c r="A14077" s="2" t="n"/>
    </row>
    <row r="14078">
      <c r="A14078" s="2" t="n"/>
    </row>
    <row r="14079">
      <c r="A14079" s="2" t="n"/>
    </row>
    <row r="14080">
      <c r="A14080" s="2" t="n"/>
    </row>
    <row r="14081">
      <c r="A14081" s="2" t="n"/>
    </row>
    <row r="14082">
      <c r="A14082" s="2" t="n"/>
    </row>
    <row r="14083">
      <c r="A14083" s="2" t="n"/>
    </row>
    <row r="14084">
      <c r="A14084" s="2" t="n"/>
    </row>
    <row r="14085">
      <c r="A14085" s="2" t="n"/>
    </row>
    <row r="14086">
      <c r="A14086" s="2" t="n"/>
    </row>
    <row r="14087">
      <c r="A14087" s="2" t="n"/>
    </row>
    <row r="14088">
      <c r="A14088" s="2" t="n"/>
    </row>
    <row r="14089">
      <c r="A14089" s="2" t="n"/>
    </row>
    <row r="14090">
      <c r="A14090" s="2" t="n"/>
    </row>
    <row r="14091">
      <c r="A14091" s="2" t="n"/>
    </row>
    <row r="14092">
      <c r="A14092" s="2" t="n"/>
    </row>
    <row r="14093">
      <c r="A14093" s="2" t="n"/>
    </row>
    <row r="14094">
      <c r="A14094" s="2" t="n"/>
    </row>
    <row r="14095">
      <c r="A14095" s="2" t="n"/>
    </row>
    <row r="14096">
      <c r="A14096" s="2" t="n"/>
    </row>
    <row r="14097">
      <c r="A14097" s="2" t="n"/>
    </row>
    <row r="14098">
      <c r="A14098" s="2" t="n"/>
    </row>
    <row r="14099">
      <c r="A14099" s="2" t="n"/>
    </row>
    <row r="14100">
      <c r="A14100" s="2" t="n"/>
    </row>
    <row r="14101">
      <c r="A14101" s="2" t="n"/>
    </row>
    <row r="14102">
      <c r="A14102" s="2" t="n"/>
    </row>
    <row r="14103">
      <c r="A14103" s="2" t="n"/>
    </row>
    <row r="14104">
      <c r="A14104" s="2" t="n"/>
    </row>
    <row r="14105">
      <c r="A14105" s="2" t="n"/>
    </row>
    <row r="14106">
      <c r="A14106" s="2" t="n"/>
    </row>
    <row r="14107">
      <c r="A14107" s="2" t="n"/>
    </row>
    <row r="14108">
      <c r="A14108" s="2" t="n"/>
    </row>
    <row r="14109">
      <c r="A14109" s="2" t="n"/>
    </row>
    <row r="14110">
      <c r="A14110" s="2" t="n"/>
    </row>
    <row r="14111">
      <c r="A14111" s="2" t="n"/>
    </row>
    <row r="14112">
      <c r="A14112" s="2" t="n"/>
    </row>
    <row r="14113">
      <c r="A14113" s="2" t="n"/>
    </row>
    <row r="14114">
      <c r="A14114" s="2" t="n"/>
    </row>
    <row r="14115">
      <c r="A14115" s="2" t="n"/>
    </row>
    <row r="14116">
      <c r="A14116" s="2" t="n"/>
    </row>
    <row r="14117">
      <c r="A14117" s="2" t="n"/>
    </row>
    <row r="14118">
      <c r="A14118" s="2" t="n"/>
    </row>
    <row r="14119">
      <c r="A14119" s="2" t="n"/>
    </row>
    <row r="14120">
      <c r="A14120" s="2" t="n"/>
    </row>
    <row r="14121">
      <c r="A14121" s="2" t="n"/>
    </row>
    <row r="14122">
      <c r="A14122" s="2" t="n"/>
    </row>
    <row r="14123">
      <c r="A14123" s="2" t="n"/>
    </row>
    <row r="14124">
      <c r="A14124" s="2" t="n"/>
    </row>
    <row r="14125">
      <c r="A14125" s="2" t="n"/>
    </row>
    <row r="14126">
      <c r="A14126" s="2" t="n"/>
    </row>
    <row r="14127">
      <c r="A14127" s="2" t="n"/>
    </row>
    <row r="14128">
      <c r="A14128" s="2" t="n"/>
    </row>
    <row r="14129">
      <c r="A14129" s="2" t="n"/>
    </row>
    <row r="14130">
      <c r="A14130" s="2" t="n"/>
    </row>
    <row r="14131">
      <c r="A14131" s="2" t="n"/>
    </row>
    <row r="14132">
      <c r="A14132" s="2" t="n"/>
    </row>
    <row r="14133">
      <c r="A14133" s="2" t="n"/>
    </row>
    <row r="14134">
      <c r="A14134" s="2" t="n"/>
    </row>
    <row r="14135">
      <c r="A14135" s="2" t="n"/>
    </row>
    <row r="14136">
      <c r="A14136" s="2" t="n"/>
    </row>
    <row r="14137">
      <c r="A14137" s="2" t="n"/>
    </row>
    <row r="14138">
      <c r="A14138" s="2" t="n"/>
    </row>
    <row r="14139">
      <c r="A14139" s="2" t="n"/>
    </row>
    <row r="14140">
      <c r="A14140" s="2" t="n"/>
    </row>
    <row r="14141">
      <c r="A14141" s="2" t="n"/>
    </row>
    <row r="14142">
      <c r="A14142" s="2" t="n"/>
    </row>
    <row r="14143">
      <c r="A14143" s="2" t="n"/>
    </row>
    <row r="14144">
      <c r="A14144" s="2" t="n"/>
    </row>
    <row r="14145">
      <c r="A14145" s="2" t="n"/>
    </row>
    <row r="14146">
      <c r="A14146" s="2" t="n"/>
    </row>
    <row r="14147">
      <c r="A14147" s="2" t="n"/>
    </row>
    <row r="14148">
      <c r="A14148" s="2" t="n"/>
    </row>
    <row r="14149">
      <c r="A14149" s="2" t="n"/>
    </row>
    <row r="14150">
      <c r="A14150" s="2" t="n"/>
    </row>
    <row r="14151">
      <c r="A14151" s="2" t="n"/>
    </row>
    <row r="14152">
      <c r="A14152" s="2" t="n"/>
    </row>
    <row r="14153">
      <c r="A14153" s="2" t="n"/>
    </row>
    <row r="14154">
      <c r="A14154" s="2" t="n"/>
    </row>
    <row r="14155">
      <c r="A14155" s="2" t="n"/>
    </row>
    <row r="14156">
      <c r="A14156" s="2" t="n"/>
    </row>
    <row r="14157">
      <c r="A14157" s="2" t="n"/>
    </row>
    <row r="14158">
      <c r="A14158" s="2" t="n"/>
    </row>
    <row r="14159">
      <c r="A14159" s="2" t="n"/>
    </row>
    <row r="14160">
      <c r="A14160" s="2" t="n"/>
    </row>
    <row r="14161">
      <c r="A14161" s="2" t="n"/>
    </row>
    <row r="14162">
      <c r="A14162" s="2" t="n"/>
    </row>
    <row r="14163">
      <c r="A14163" s="2" t="n"/>
    </row>
    <row r="14164">
      <c r="A14164" s="2" t="n"/>
    </row>
    <row r="14165">
      <c r="A14165" s="2" t="n"/>
    </row>
    <row r="14166">
      <c r="A14166" s="2" t="n"/>
    </row>
    <row r="14167">
      <c r="A14167" s="2" t="n"/>
    </row>
    <row r="14168">
      <c r="A14168" s="2" t="n"/>
    </row>
    <row r="14169">
      <c r="A14169" s="2" t="n"/>
    </row>
    <row r="14170">
      <c r="A14170" s="2" t="n"/>
    </row>
    <row r="14171">
      <c r="A14171" s="2" t="n"/>
    </row>
    <row r="14172">
      <c r="A14172" s="2" t="n"/>
    </row>
    <row r="14173">
      <c r="A14173" s="2" t="n"/>
    </row>
    <row r="14174">
      <c r="A14174" s="2" t="n"/>
    </row>
    <row r="14175">
      <c r="A14175" s="2" t="n"/>
    </row>
    <row r="14176">
      <c r="A14176" s="2" t="n"/>
    </row>
    <row r="14177">
      <c r="A14177" s="2" t="n"/>
    </row>
    <row r="14178">
      <c r="A14178" s="2" t="n"/>
    </row>
    <row r="14179">
      <c r="A14179" s="2" t="n"/>
    </row>
    <row r="14180">
      <c r="A14180" s="2" t="n"/>
    </row>
    <row r="14181">
      <c r="A14181" s="2" t="n"/>
    </row>
    <row r="14182">
      <c r="A14182" s="2" t="n"/>
    </row>
    <row r="14183">
      <c r="A14183" s="2" t="n"/>
    </row>
    <row r="14184">
      <c r="A14184" s="2" t="n"/>
    </row>
    <row r="14185">
      <c r="A14185" s="2" t="n"/>
    </row>
    <row r="14186">
      <c r="A14186" s="2" t="n"/>
    </row>
    <row r="14187">
      <c r="A14187" s="2" t="n"/>
    </row>
    <row r="14188">
      <c r="A14188" s="2" t="n"/>
    </row>
    <row r="14189">
      <c r="A14189" s="2" t="n"/>
    </row>
    <row r="14190">
      <c r="A14190" s="2" t="n"/>
    </row>
    <row r="14191">
      <c r="A14191" s="2" t="n"/>
    </row>
    <row r="14192">
      <c r="A14192" s="2" t="n"/>
    </row>
    <row r="14193">
      <c r="A14193" s="2" t="n"/>
    </row>
    <row r="14194">
      <c r="A14194" s="2" t="n"/>
    </row>
    <row r="14195">
      <c r="A14195" s="2" t="n"/>
    </row>
    <row r="14196">
      <c r="A14196" s="2" t="n"/>
    </row>
    <row r="14197">
      <c r="A14197" s="2" t="n"/>
    </row>
    <row r="14198">
      <c r="A14198" s="2" t="n"/>
    </row>
    <row r="14199">
      <c r="A14199" s="2" t="n"/>
    </row>
    <row r="14200">
      <c r="A14200" s="2" t="n"/>
    </row>
    <row r="14201">
      <c r="A14201" s="2" t="n"/>
    </row>
    <row r="14202">
      <c r="A14202" s="2" t="n"/>
    </row>
    <row r="14203">
      <c r="A14203" s="2" t="n"/>
    </row>
    <row r="14204">
      <c r="A14204" s="2" t="n"/>
    </row>
    <row r="14205">
      <c r="A14205" s="2" t="n"/>
    </row>
    <row r="14206">
      <c r="A14206" s="2" t="n"/>
    </row>
    <row r="14207">
      <c r="A14207" s="2" t="n"/>
    </row>
    <row r="14208">
      <c r="A14208" s="2" t="n"/>
    </row>
    <row r="14209">
      <c r="A14209" s="2" t="n"/>
    </row>
    <row r="14210">
      <c r="A14210" s="2" t="n"/>
    </row>
    <row r="14211">
      <c r="A14211" s="2" t="n"/>
    </row>
    <row r="14212">
      <c r="A14212" s="2" t="n"/>
    </row>
    <row r="14213">
      <c r="A14213" s="2" t="n"/>
    </row>
    <row r="14214">
      <c r="A14214" s="2" t="n"/>
    </row>
    <row r="14215">
      <c r="A14215" s="2" t="n"/>
    </row>
    <row r="14216">
      <c r="A14216" s="2" t="n"/>
    </row>
    <row r="14217">
      <c r="A14217" s="2" t="n"/>
    </row>
    <row r="14218">
      <c r="A14218" s="2" t="n"/>
    </row>
    <row r="14219">
      <c r="A14219" s="2" t="n"/>
    </row>
    <row r="14220">
      <c r="A14220" s="2" t="n"/>
    </row>
    <row r="14221">
      <c r="A14221" s="2" t="n"/>
    </row>
    <row r="14222">
      <c r="A14222" s="2" t="n"/>
    </row>
    <row r="14223">
      <c r="A14223" s="2" t="n"/>
    </row>
    <row r="14224">
      <c r="A14224" s="2" t="n"/>
    </row>
    <row r="14225">
      <c r="A14225" s="2" t="n"/>
    </row>
    <row r="14226">
      <c r="A14226" s="2" t="n"/>
    </row>
    <row r="14227">
      <c r="A14227" s="2" t="n"/>
    </row>
    <row r="14228">
      <c r="A14228" s="2" t="n"/>
    </row>
    <row r="14229">
      <c r="A14229" s="2" t="n"/>
    </row>
    <row r="14230">
      <c r="A14230" s="2" t="n"/>
    </row>
    <row r="14231">
      <c r="A14231" s="2" t="n"/>
    </row>
    <row r="14232">
      <c r="A14232" s="2" t="n"/>
    </row>
    <row r="14233">
      <c r="A14233" s="2" t="n"/>
    </row>
    <row r="14234">
      <c r="A14234" s="2" t="n"/>
    </row>
    <row r="14235">
      <c r="A14235" s="2" t="n"/>
    </row>
    <row r="14236">
      <c r="A14236" s="2" t="n"/>
    </row>
    <row r="14237">
      <c r="A14237" s="2" t="n"/>
    </row>
    <row r="14238">
      <c r="A14238" s="2" t="n"/>
    </row>
    <row r="14239">
      <c r="A14239" s="2" t="n"/>
    </row>
    <row r="14240">
      <c r="A14240" s="2" t="n"/>
    </row>
    <row r="14241">
      <c r="A14241" s="2" t="n"/>
    </row>
    <row r="14242">
      <c r="A14242" s="2" t="n"/>
    </row>
    <row r="14243">
      <c r="A14243" s="2" t="n"/>
    </row>
    <row r="14244">
      <c r="A14244" s="2" t="n"/>
    </row>
    <row r="14245">
      <c r="A14245" s="2" t="n"/>
    </row>
    <row r="14246">
      <c r="A14246" s="2" t="n"/>
    </row>
    <row r="14247">
      <c r="A14247" s="2" t="n"/>
    </row>
    <row r="14248">
      <c r="A14248" s="2" t="n"/>
    </row>
    <row r="14249">
      <c r="A14249" s="2" t="n"/>
    </row>
    <row r="14250">
      <c r="A14250" s="2" t="n"/>
    </row>
    <row r="14251">
      <c r="A14251" s="2" t="n"/>
    </row>
    <row r="14252">
      <c r="A14252" s="2" t="n"/>
    </row>
    <row r="14253">
      <c r="A14253" s="2" t="n"/>
    </row>
    <row r="14254">
      <c r="A14254" s="2" t="n"/>
    </row>
    <row r="14255">
      <c r="A14255" s="2" t="n"/>
    </row>
    <row r="14256">
      <c r="A14256" s="2" t="n"/>
    </row>
    <row r="14257">
      <c r="A14257" s="2" t="n"/>
    </row>
    <row r="14258">
      <c r="A14258" s="2" t="n"/>
    </row>
    <row r="14259">
      <c r="A14259" s="2" t="n"/>
    </row>
    <row r="14260">
      <c r="A14260" s="2" t="n"/>
    </row>
    <row r="14261">
      <c r="A14261" s="2" t="n"/>
    </row>
    <row r="14262">
      <c r="A14262" s="2" t="n"/>
    </row>
    <row r="14263">
      <c r="A14263" s="2" t="n"/>
    </row>
    <row r="14264">
      <c r="A14264" s="2" t="n"/>
    </row>
    <row r="14265">
      <c r="A14265" s="2" t="n"/>
    </row>
    <row r="14266">
      <c r="A14266" s="2" t="n"/>
    </row>
    <row r="14267">
      <c r="A14267" s="2" t="n"/>
    </row>
    <row r="14268">
      <c r="A14268" s="2" t="n"/>
    </row>
    <row r="14269">
      <c r="A14269" s="2" t="n"/>
    </row>
    <row r="14270">
      <c r="A14270" s="2" t="n"/>
    </row>
    <row r="14271">
      <c r="A14271" s="2" t="n"/>
    </row>
    <row r="14272">
      <c r="A14272" s="2" t="n"/>
    </row>
    <row r="14273">
      <c r="A14273" s="2" t="n"/>
    </row>
    <row r="14274">
      <c r="A14274" s="2" t="n"/>
    </row>
    <row r="14275">
      <c r="A14275" s="2" t="n"/>
    </row>
    <row r="14276">
      <c r="A14276" s="2" t="n"/>
    </row>
    <row r="14277">
      <c r="A14277" s="2" t="n"/>
    </row>
    <row r="14278">
      <c r="A14278" s="2" t="n"/>
    </row>
    <row r="14279">
      <c r="A14279" s="2" t="n"/>
    </row>
    <row r="14280">
      <c r="A14280" s="2" t="n"/>
    </row>
    <row r="14281">
      <c r="A14281" s="2" t="n"/>
    </row>
    <row r="14282">
      <c r="A14282" s="2" t="n"/>
    </row>
    <row r="14283">
      <c r="A14283" s="2" t="n"/>
    </row>
    <row r="14284">
      <c r="A14284" s="2" t="n"/>
    </row>
    <row r="14285">
      <c r="A14285" s="2" t="n"/>
    </row>
    <row r="14286">
      <c r="A14286" s="2" t="n"/>
    </row>
    <row r="14287">
      <c r="A14287" s="2" t="n"/>
    </row>
    <row r="14288">
      <c r="A14288" s="2" t="n"/>
    </row>
    <row r="14289">
      <c r="A14289" s="2" t="n"/>
    </row>
    <row r="14290">
      <c r="A14290" s="2" t="n"/>
    </row>
    <row r="14291">
      <c r="A14291" s="2" t="n"/>
    </row>
    <row r="14292">
      <c r="A14292" s="2" t="n"/>
    </row>
    <row r="14293">
      <c r="A14293" s="2" t="n"/>
    </row>
    <row r="14294">
      <c r="A14294" s="2" t="n"/>
    </row>
    <row r="14295">
      <c r="A14295" s="2" t="n"/>
    </row>
    <row r="14296">
      <c r="A14296" s="2" t="n"/>
    </row>
    <row r="14297">
      <c r="A14297" s="2" t="n"/>
    </row>
    <row r="14298">
      <c r="A14298" s="2" t="n"/>
    </row>
    <row r="14299">
      <c r="A14299" s="2" t="n"/>
    </row>
    <row r="14300">
      <c r="A14300" s="2" t="n"/>
    </row>
    <row r="14301">
      <c r="A14301" s="2" t="n"/>
    </row>
    <row r="14302">
      <c r="A14302" s="2" t="n"/>
    </row>
    <row r="14303">
      <c r="A14303" s="2" t="n"/>
    </row>
    <row r="14304">
      <c r="A14304" s="2" t="n"/>
    </row>
    <row r="14305">
      <c r="A14305" s="2" t="n"/>
    </row>
    <row r="14306">
      <c r="A14306" s="2" t="n"/>
    </row>
    <row r="14307">
      <c r="A14307" s="2" t="n"/>
    </row>
    <row r="14308">
      <c r="A14308" s="2" t="n"/>
    </row>
    <row r="14309">
      <c r="A14309" s="2" t="n"/>
    </row>
    <row r="14310">
      <c r="A14310" s="2" t="n"/>
    </row>
    <row r="14311">
      <c r="A14311" s="2" t="n"/>
    </row>
    <row r="14312">
      <c r="A14312" s="2" t="n"/>
    </row>
    <row r="14313">
      <c r="A14313" s="2" t="n"/>
    </row>
    <row r="14314">
      <c r="A14314" s="2" t="n"/>
    </row>
    <row r="14315">
      <c r="A14315" s="2" t="n"/>
    </row>
    <row r="14316">
      <c r="A14316" s="2" t="n"/>
    </row>
    <row r="14317">
      <c r="A14317" s="2" t="n"/>
    </row>
    <row r="14318">
      <c r="A14318" s="2" t="n"/>
    </row>
    <row r="14319">
      <c r="A14319" s="2" t="n"/>
    </row>
    <row r="14320">
      <c r="A14320" s="2" t="n"/>
    </row>
    <row r="14321">
      <c r="A14321" s="2" t="n"/>
    </row>
    <row r="14322">
      <c r="A14322" s="2" t="n"/>
    </row>
    <row r="14323">
      <c r="A14323" s="2" t="n"/>
    </row>
    <row r="14324">
      <c r="A14324" s="2" t="n"/>
    </row>
    <row r="14325">
      <c r="A14325" s="2" t="n"/>
    </row>
    <row r="14326">
      <c r="A14326" s="2" t="n"/>
    </row>
    <row r="14327">
      <c r="A14327" s="2" t="n"/>
    </row>
    <row r="14328">
      <c r="A14328" s="2" t="n"/>
    </row>
    <row r="14329">
      <c r="A14329" s="2" t="n"/>
    </row>
    <row r="14330">
      <c r="A14330" s="2" t="n"/>
    </row>
    <row r="14331">
      <c r="A14331" s="2" t="n"/>
    </row>
    <row r="14332">
      <c r="A14332" s="2" t="n"/>
    </row>
    <row r="14333">
      <c r="A14333" s="2" t="n"/>
    </row>
    <row r="14334">
      <c r="A14334" s="2" t="n"/>
    </row>
    <row r="14335">
      <c r="A14335" s="2" t="n"/>
    </row>
    <row r="14336">
      <c r="A14336" s="2" t="n"/>
    </row>
    <row r="14337">
      <c r="A14337" s="2" t="n"/>
    </row>
    <row r="14338">
      <c r="A14338" s="2" t="n"/>
    </row>
    <row r="14339">
      <c r="A14339" s="2" t="n"/>
    </row>
    <row r="14340">
      <c r="A14340" s="2" t="n"/>
    </row>
    <row r="14341">
      <c r="A14341" s="2" t="n"/>
    </row>
    <row r="14342">
      <c r="A14342" s="2" t="n"/>
    </row>
    <row r="14343">
      <c r="A14343" s="2" t="n"/>
    </row>
    <row r="14344">
      <c r="A14344" s="2" t="n"/>
    </row>
    <row r="14345">
      <c r="A14345" s="2" t="n"/>
    </row>
    <row r="14346">
      <c r="A14346" s="2" t="n"/>
    </row>
    <row r="14347">
      <c r="A14347" s="2" t="n"/>
    </row>
    <row r="14348">
      <c r="A14348" s="2" t="n"/>
    </row>
    <row r="14349">
      <c r="A14349" s="2" t="n"/>
    </row>
    <row r="14350">
      <c r="A14350" s="2" t="n"/>
    </row>
    <row r="14351">
      <c r="A14351" s="2" t="n"/>
    </row>
    <row r="14352">
      <c r="A14352" s="2" t="n"/>
    </row>
    <row r="14353">
      <c r="A14353" s="2" t="n"/>
    </row>
    <row r="14354">
      <c r="A14354" s="2" t="n"/>
    </row>
    <row r="14355">
      <c r="A14355" s="2" t="n"/>
    </row>
    <row r="14356">
      <c r="A14356" s="2" t="n"/>
    </row>
    <row r="14357">
      <c r="A14357" s="2" t="n"/>
    </row>
    <row r="14358">
      <c r="A14358" s="2" t="n"/>
    </row>
    <row r="14359">
      <c r="A14359" s="2" t="n"/>
    </row>
    <row r="14360">
      <c r="A14360" s="2" t="n"/>
    </row>
    <row r="14361">
      <c r="A14361" s="2" t="n"/>
    </row>
    <row r="14362">
      <c r="A14362" s="2" t="n"/>
    </row>
    <row r="14363">
      <c r="A14363" s="2" t="n"/>
    </row>
    <row r="14364">
      <c r="A14364" s="2" t="n"/>
    </row>
    <row r="14365">
      <c r="A14365" s="2" t="n"/>
    </row>
    <row r="14366">
      <c r="A14366" s="2" t="n"/>
    </row>
    <row r="14367">
      <c r="A14367" s="2" t="n"/>
    </row>
    <row r="14368">
      <c r="A14368" s="2" t="n"/>
    </row>
    <row r="14369">
      <c r="A14369" s="2" t="n"/>
    </row>
    <row r="14370">
      <c r="A14370" s="2" t="n"/>
    </row>
    <row r="14371">
      <c r="A14371" s="2" t="n"/>
    </row>
    <row r="14372">
      <c r="A14372" s="2" t="n"/>
    </row>
    <row r="14373">
      <c r="A14373" s="2" t="n"/>
    </row>
    <row r="14374">
      <c r="A14374" s="2" t="n"/>
    </row>
    <row r="14375">
      <c r="A14375" s="2" t="n"/>
    </row>
    <row r="14376">
      <c r="A14376" s="2" t="n"/>
    </row>
    <row r="14377">
      <c r="A14377" s="2" t="n"/>
    </row>
    <row r="14378">
      <c r="A14378" s="2" t="n"/>
    </row>
    <row r="14379">
      <c r="A14379" s="2" t="n"/>
    </row>
    <row r="14380">
      <c r="A14380" s="2" t="n"/>
    </row>
    <row r="14381">
      <c r="A14381" s="2" t="n"/>
    </row>
    <row r="14382">
      <c r="A14382" s="2" t="n"/>
    </row>
    <row r="14383">
      <c r="A14383" s="2" t="n"/>
    </row>
    <row r="14384">
      <c r="A14384" s="2" t="n"/>
    </row>
    <row r="14385">
      <c r="A14385" s="2" t="n"/>
    </row>
    <row r="14386">
      <c r="A14386" s="2" t="n"/>
    </row>
    <row r="14387">
      <c r="A14387" s="2" t="n"/>
    </row>
    <row r="14388">
      <c r="A14388" s="2" t="n"/>
    </row>
    <row r="14389">
      <c r="A14389" s="2" t="n"/>
    </row>
    <row r="14390">
      <c r="A14390" s="2" t="n"/>
    </row>
    <row r="14391">
      <c r="A14391" s="2" t="n"/>
    </row>
    <row r="14392">
      <c r="A14392" s="2" t="n"/>
    </row>
    <row r="14393">
      <c r="A14393" s="2" t="n"/>
    </row>
    <row r="14394">
      <c r="A14394" s="2" t="n"/>
    </row>
    <row r="14395">
      <c r="A14395" s="2" t="n"/>
    </row>
    <row r="14396">
      <c r="A14396" s="2" t="n"/>
    </row>
    <row r="14397">
      <c r="A14397" s="2" t="n"/>
    </row>
    <row r="14398">
      <c r="A14398" s="2" t="n"/>
    </row>
    <row r="14399">
      <c r="A14399" s="2" t="n"/>
    </row>
    <row r="14400">
      <c r="A14400" s="2" t="n"/>
    </row>
    <row r="14401">
      <c r="A14401" s="2" t="n"/>
    </row>
    <row r="14402">
      <c r="A14402" s="2" t="n"/>
    </row>
    <row r="14403">
      <c r="A14403" s="2" t="n"/>
    </row>
    <row r="14404">
      <c r="A14404" s="2" t="n"/>
    </row>
    <row r="14405">
      <c r="A14405" s="2" t="n"/>
    </row>
    <row r="14406">
      <c r="A14406" s="2" t="n"/>
    </row>
    <row r="14407">
      <c r="A14407" s="2" t="n"/>
    </row>
    <row r="14408">
      <c r="A14408" s="2" t="n"/>
    </row>
    <row r="14409">
      <c r="A14409" s="2" t="n"/>
    </row>
    <row r="14410">
      <c r="A14410" s="2" t="n"/>
    </row>
    <row r="14411">
      <c r="A14411" s="2" t="n"/>
    </row>
    <row r="14412">
      <c r="A14412" s="2" t="n"/>
    </row>
    <row r="14413">
      <c r="A14413" s="2" t="n"/>
    </row>
    <row r="14414">
      <c r="A14414" s="2" t="n"/>
    </row>
    <row r="14415">
      <c r="A14415" s="2" t="n"/>
    </row>
    <row r="14416">
      <c r="A14416" s="2" t="n"/>
    </row>
    <row r="14417">
      <c r="A14417" s="2" t="n"/>
    </row>
    <row r="14418">
      <c r="A14418" s="2" t="n"/>
    </row>
    <row r="14419">
      <c r="A14419" s="2" t="n"/>
    </row>
    <row r="14420">
      <c r="A14420" s="2" t="n"/>
    </row>
    <row r="14421">
      <c r="A14421" s="2" t="n"/>
    </row>
    <row r="14422">
      <c r="A14422" s="2" t="n"/>
    </row>
    <row r="14423">
      <c r="A14423" s="2" t="n"/>
    </row>
    <row r="14424">
      <c r="A14424" s="2" t="n"/>
    </row>
    <row r="14425">
      <c r="A14425" s="2" t="n"/>
    </row>
    <row r="14426">
      <c r="A14426" s="2" t="n"/>
    </row>
    <row r="14427">
      <c r="A14427" s="2" t="n"/>
    </row>
    <row r="14428">
      <c r="A14428" s="2" t="n"/>
    </row>
    <row r="14429">
      <c r="A14429" s="2" t="n"/>
    </row>
    <row r="14430">
      <c r="A14430" s="2" t="n"/>
    </row>
    <row r="14431">
      <c r="A14431" s="2" t="n"/>
    </row>
    <row r="14432">
      <c r="A14432" s="2" t="n"/>
    </row>
    <row r="14433">
      <c r="A14433" s="2" t="n"/>
    </row>
    <row r="14434">
      <c r="A14434" s="2" t="n"/>
    </row>
    <row r="14435">
      <c r="A14435" s="2" t="n"/>
    </row>
    <row r="14436">
      <c r="A14436" s="2" t="n"/>
    </row>
    <row r="14437">
      <c r="A14437" s="2" t="n"/>
    </row>
    <row r="14438">
      <c r="A14438" s="2" t="n"/>
    </row>
    <row r="14439">
      <c r="A14439" s="2" t="n"/>
    </row>
    <row r="14440">
      <c r="A14440" s="2" t="n"/>
    </row>
    <row r="14441">
      <c r="A14441" s="2" t="n"/>
    </row>
    <row r="14442">
      <c r="A14442" s="2" t="n"/>
    </row>
    <row r="14443">
      <c r="A14443" s="2" t="n"/>
    </row>
    <row r="14444">
      <c r="A14444" s="2" t="n"/>
    </row>
    <row r="14445">
      <c r="A14445" s="2" t="n"/>
    </row>
    <row r="14446">
      <c r="A14446" s="2" t="n"/>
    </row>
    <row r="14447">
      <c r="A14447" s="2" t="n"/>
    </row>
    <row r="14448">
      <c r="A14448" s="2" t="n"/>
    </row>
    <row r="14449">
      <c r="A14449" s="2" t="n"/>
    </row>
    <row r="14450">
      <c r="A14450" s="2" t="n"/>
    </row>
    <row r="14451">
      <c r="A14451" s="2" t="n"/>
    </row>
    <row r="14452">
      <c r="A14452" s="2" t="n"/>
    </row>
    <row r="14453">
      <c r="A14453" s="2" t="n"/>
    </row>
    <row r="14454">
      <c r="A14454" s="2" t="n"/>
    </row>
    <row r="14455">
      <c r="A14455" s="2" t="n"/>
    </row>
    <row r="14456">
      <c r="A14456" s="2" t="n"/>
    </row>
    <row r="14457">
      <c r="A14457" s="2" t="n"/>
    </row>
    <row r="14458">
      <c r="A14458" s="2" t="n"/>
    </row>
    <row r="14459">
      <c r="A14459" s="2" t="n"/>
    </row>
    <row r="14460">
      <c r="A14460" s="2" t="n"/>
    </row>
    <row r="14461">
      <c r="A14461" s="2" t="n"/>
    </row>
    <row r="14462">
      <c r="A14462" s="2" t="n"/>
    </row>
    <row r="14463">
      <c r="A14463" s="2" t="n"/>
    </row>
    <row r="14464">
      <c r="A14464" s="2" t="n"/>
    </row>
    <row r="14465">
      <c r="A14465" s="2" t="n"/>
    </row>
    <row r="14466">
      <c r="A14466" s="2" t="n"/>
    </row>
    <row r="14467">
      <c r="A14467" s="2" t="n"/>
    </row>
    <row r="14468">
      <c r="A14468" s="2" t="n"/>
    </row>
    <row r="14469">
      <c r="A14469" s="2" t="n"/>
    </row>
    <row r="14470">
      <c r="A14470" s="2" t="n"/>
    </row>
    <row r="14471">
      <c r="A14471" s="2" t="n"/>
    </row>
    <row r="14472">
      <c r="A14472" s="2" t="n"/>
    </row>
    <row r="14473">
      <c r="A14473" s="2" t="n"/>
    </row>
    <row r="14474">
      <c r="A14474" s="2" t="n"/>
    </row>
    <row r="14475">
      <c r="A14475" s="2" t="n"/>
    </row>
    <row r="14476">
      <c r="A14476" s="2" t="n"/>
    </row>
    <row r="14477">
      <c r="A14477" s="2" t="n"/>
    </row>
    <row r="14478">
      <c r="A14478" s="2" t="n"/>
    </row>
    <row r="14479">
      <c r="A14479" s="2" t="n"/>
    </row>
    <row r="14480">
      <c r="A14480" s="2" t="n"/>
    </row>
    <row r="14481">
      <c r="A14481" s="2" t="n"/>
    </row>
    <row r="14482">
      <c r="A14482" s="2" t="n"/>
    </row>
    <row r="14483">
      <c r="A14483" s="2" t="n"/>
    </row>
    <row r="14484">
      <c r="A14484" s="2" t="n"/>
    </row>
    <row r="14485">
      <c r="A14485" s="2" t="n"/>
    </row>
    <row r="14486">
      <c r="A14486" s="2" t="n"/>
    </row>
    <row r="14487">
      <c r="A14487" s="2" t="n"/>
    </row>
    <row r="14488">
      <c r="A14488" s="2" t="n"/>
    </row>
    <row r="14489">
      <c r="A14489" s="2" t="n"/>
    </row>
    <row r="14490">
      <c r="A14490" s="2" t="n"/>
    </row>
    <row r="14491">
      <c r="A14491" s="2" t="n"/>
    </row>
    <row r="14492">
      <c r="A14492" s="2" t="n"/>
    </row>
    <row r="14493">
      <c r="A14493" s="2" t="n"/>
    </row>
    <row r="14494">
      <c r="A14494" s="2" t="n"/>
    </row>
    <row r="14495">
      <c r="A14495" s="2" t="n"/>
    </row>
    <row r="14496">
      <c r="A14496" s="2" t="n"/>
    </row>
    <row r="14497">
      <c r="A14497" s="2" t="n"/>
    </row>
    <row r="14498">
      <c r="A14498" s="2" t="n"/>
    </row>
    <row r="14499">
      <c r="A14499" s="2" t="n"/>
    </row>
    <row r="14500">
      <c r="A14500" s="2" t="n"/>
    </row>
    <row r="14501">
      <c r="A14501" s="2" t="n"/>
    </row>
    <row r="14502">
      <c r="A14502" s="2" t="n"/>
    </row>
    <row r="14503">
      <c r="A14503" s="2" t="n"/>
    </row>
    <row r="14504">
      <c r="A14504" s="2" t="n"/>
    </row>
    <row r="14505">
      <c r="A14505" s="2" t="n"/>
    </row>
    <row r="14506">
      <c r="A14506" s="2" t="n"/>
    </row>
    <row r="14507">
      <c r="A14507" s="2" t="n"/>
    </row>
    <row r="14508">
      <c r="A14508" s="2" t="n"/>
    </row>
    <row r="14509">
      <c r="A14509" s="2" t="n"/>
    </row>
    <row r="14510">
      <c r="A14510" s="2" t="n"/>
    </row>
    <row r="14511">
      <c r="A14511" s="2" t="n"/>
    </row>
    <row r="14512">
      <c r="A14512" s="2" t="n"/>
    </row>
    <row r="14513">
      <c r="A14513" s="2" t="n"/>
    </row>
    <row r="14514">
      <c r="A14514" s="2" t="n"/>
    </row>
    <row r="14515">
      <c r="A14515" s="2" t="n"/>
    </row>
    <row r="14516">
      <c r="A14516" s="2" t="n"/>
    </row>
    <row r="14517">
      <c r="A14517" s="2" t="n"/>
    </row>
    <row r="14518">
      <c r="A14518" s="2" t="n"/>
    </row>
    <row r="14519">
      <c r="A14519" s="2" t="n"/>
    </row>
    <row r="14520">
      <c r="A14520" s="2" t="n"/>
    </row>
    <row r="14521">
      <c r="A14521" s="2" t="n"/>
    </row>
    <row r="14522">
      <c r="A14522" s="2" t="n"/>
    </row>
    <row r="14523">
      <c r="A14523" s="2" t="n"/>
    </row>
    <row r="14524">
      <c r="A14524" s="2" t="n"/>
    </row>
    <row r="14525">
      <c r="A14525" s="2" t="n"/>
    </row>
    <row r="14526">
      <c r="A14526" s="2" t="n"/>
    </row>
    <row r="14527">
      <c r="A14527" s="2" t="n"/>
    </row>
    <row r="14528">
      <c r="A14528" s="2" t="n"/>
    </row>
    <row r="14529">
      <c r="A14529" s="2" t="n"/>
    </row>
    <row r="14530">
      <c r="A14530" s="2" t="n"/>
    </row>
    <row r="14531">
      <c r="A14531" s="2" t="n"/>
    </row>
    <row r="14532">
      <c r="A14532" s="2" t="n"/>
    </row>
    <row r="14533">
      <c r="A14533" s="2" t="n"/>
    </row>
    <row r="14534">
      <c r="A14534" s="2" t="n"/>
    </row>
    <row r="14535">
      <c r="A14535" s="2" t="n"/>
    </row>
    <row r="14536">
      <c r="A14536" s="2" t="n"/>
    </row>
    <row r="14537">
      <c r="A14537" s="2" t="n"/>
    </row>
    <row r="14538">
      <c r="A14538" s="2" t="n"/>
    </row>
    <row r="14539">
      <c r="A14539" s="2" t="n"/>
    </row>
    <row r="14540">
      <c r="A14540" s="2" t="n"/>
    </row>
    <row r="14541">
      <c r="A14541" s="2" t="n"/>
    </row>
    <row r="14542">
      <c r="A14542" s="2" t="n"/>
    </row>
    <row r="14543">
      <c r="A14543" s="2" t="n"/>
    </row>
    <row r="14544">
      <c r="A14544" s="2" t="n"/>
    </row>
    <row r="14545">
      <c r="A14545" s="2" t="n"/>
    </row>
    <row r="14546">
      <c r="A14546" s="2" t="n"/>
    </row>
    <row r="14547">
      <c r="A14547" s="2" t="n"/>
    </row>
    <row r="14548">
      <c r="A14548" s="2" t="n"/>
    </row>
    <row r="14549">
      <c r="A14549" s="2" t="n"/>
    </row>
    <row r="14550">
      <c r="A14550" s="2" t="n"/>
    </row>
    <row r="14551">
      <c r="A14551" s="2" t="n"/>
    </row>
    <row r="14552">
      <c r="A14552" s="2" t="n"/>
    </row>
    <row r="14553">
      <c r="A14553" s="2" t="n"/>
    </row>
    <row r="14554">
      <c r="A14554" s="2" t="n"/>
    </row>
    <row r="14555">
      <c r="A14555" s="2" t="n"/>
    </row>
    <row r="14556">
      <c r="A14556" s="2" t="n"/>
    </row>
    <row r="14557">
      <c r="A14557" s="2" t="n"/>
    </row>
    <row r="14558">
      <c r="A14558" s="2" t="n"/>
    </row>
    <row r="14559">
      <c r="A14559" s="2" t="n"/>
    </row>
    <row r="14560">
      <c r="A14560" s="2" t="n"/>
    </row>
    <row r="14561">
      <c r="A14561" s="2" t="n"/>
    </row>
    <row r="14562">
      <c r="A14562" s="2" t="n"/>
    </row>
    <row r="14563">
      <c r="A14563" s="2" t="n"/>
    </row>
    <row r="14564">
      <c r="A14564" s="2" t="n"/>
    </row>
    <row r="14565">
      <c r="A14565" s="2" t="n"/>
    </row>
    <row r="14566">
      <c r="A14566" s="2" t="n"/>
    </row>
    <row r="14567">
      <c r="A14567" s="2" t="n"/>
    </row>
    <row r="14568">
      <c r="A14568" s="2" t="n"/>
    </row>
    <row r="14569">
      <c r="A14569" s="2" t="n"/>
    </row>
    <row r="14570">
      <c r="A14570" s="2" t="n"/>
    </row>
    <row r="14571">
      <c r="A14571" s="2" t="n"/>
    </row>
    <row r="14572">
      <c r="A14572" s="2" t="n"/>
    </row>
    <row r="14573">
      <c r="A14573" s="2" t="n"/>
    </row>
    <row r="14574">
      <c r="A14574" s="2" t="n"/>
    </row>
    <row r="14575">
      <c r="A14575" s="2" t="n"/>
    </row>
    <row r="14576">
      <c r="A14576" s="2" t="n"/>
    </row>
    <row r="14577">
      <c r="A14577" s="2" t="n"/>
    </row>
    <row r="14578">
      <c r="A14578" s="2" t="n"/>
    </row>
    <row r="14579">
      <c r="A14579" s="2" t="n"/>
    </row>
    <row r="14580">
      <c r="A14580" s="2" t="n"/>
    </row>
    <row r="14581">
      <c r="A14581" s="2" t="n"/>
    </row>
    <row r="14582">
      <c r="A14582" s="2" t="n"/>
    </row>
    <row r="14583">
      <c r="A14583" s="2" t="n"/>
    </row>
    <row r="14584">
      <c r="A14584" s="2" t="n"/>
    </row>
    <row r="14585">
      <c r="A14585" s="2" t="n"/>
    </row>
    <row r="14586">
      <c r="A14586" s="2" t="n"/>
    </row>
    <row r="14587">
      <c r="A14587" s="2" t="n"/>
    </row>
    <row r="14588">
      <c r="A14588" s="2" t="n"/>
    </row>
    <row r="14589">
      <c r="A14589" s="2" t="n"/>
    </row>
    <row r="14590">
      <c r="A14590" s="2" t="n"/>
    </row>
    <row r="14591">
      <c r="A14591" s="2" t="n"/>
    </row>
    <row r="14592">
      <c r="A14592" s="2" t="n"/>
    </row>
    <row r="14593">
      <c r="A14593" s="2" t="n"/>
    </row>
    <row r="14594">
      <c r="A14594" s="2" t="n"/>
    </row>
    <row r="14595">
      <c r="A14595" s="2" t="n"/>
    </row>
    <row r="14596">
      <c r="A14596" s="2" t="n"/>
    </row>
    <row r="14597">
      <c r="A14597" s="2" t="n"/>
    </row>
    <row r="14598">
      <c r="A14598" s="2" t="n"/>
    </row>
    <row r="14599">
      <c r="A14599" s="2" t="n"/>
    </row>
    <row r="14600">
      <c r="A14600" s="2" t="n"/>
    </row>
    <row r="14601">
      <c r="A14601" s="2" t="n"/>
    </row>
    <row r="14602">
      <c r="A14602" s="2" t="n"/>
    </row>
    <row r="14603">
      <c r="A14603" s="2" t="n"/>
    </row>
    <row r="14604">
      <c r="A14604" s="2" t="n"/>
    </row>
    <row r="14605">
      <c r="A14605" s="2" t="n"/>
    </row>
    <row r="14606">
      <c r="A14606" s="2" t="n"/>
    </row>
    <row r="14607">
      <c r="A14607" s="2" t="n"/>
    </row>
    <row r="14608">
      <c r="A14608" s="2" t="n"/>
    </row>
    <row r="14609">
      <c r="A14609" s="2" t="n"/>
    </row>
    <row r="14610">
      <c r="A14610" s="2" t="n"/>
    </row>
    <row r="14611">
      <c r="A14611" s="2" t="n"/>
    </row>
    <row r="14612">
      <c r="A14612" s="2" t="n"/>
    </row>
    <row r="14613">
      <c r="A14613" s="2" t="n"/>
    </row>
    <row r="14614">
      <c r="A14614" s="2" t="n"/>
    </row>
    <row r="14615">
      <c r="A14615" s="2" t="n"/>
    </row>
    <row r="14616">
      <c r="A14616" s="2" t="n"/>
    </row>
    <row r="14617">
      <c r="A14617" s="2" t="n"/>
    </row>
    <row r="14618">
      <c r="A14618" s="2" t="n"/>
    </row>
    <row r="14619">
      <c r="A14619" s="2" t="n"/>
    </row>
    <row r="14620">
      <c r="A14620" s="2" t="n"/>
    </row>
    <row r="14621">
      <c r="A14621" s="2" t="n"/>
    </row>
    <row r="14622">
      <c r="A14622" s="2" t="n"/>
    </row>
    <row r="14623">
      <c r="A14623" s="2" t="n"/>
    </row>
    <row r="14624">
      <c r="A14624" s="2" t="n"/>
    </row>
    <row r="14625">
      <c r="A14625" s="2" t="n"/>
    </row>
    <row r="14626">
      <c r="A14626" s="2" t="n"/>
    </row>
    <row r="14627">
      <c r="A14627" s="2" t="n"/>
    </row>
    <row r="14628">
      <c r="A14628" s="2" t="n"/>
    </row>
    <row r="14629">
      <c r="A14629" s="2" t="n"/>
    </row>
    <row r="14630">
      <c r="A14630" s="2" t="n"/>
    </row>
    <row r="14631">
      <c r="A14631" s="2" t="n"/>
    </row>
    <row r="14632">
      <c r="A14632" s="2" t="n"/>
    </row>
    <row r="14633">
      <c r="A14633" s="2" t="n"/>
    </row>
    <row r="14634">
      <c r="A14634" s="2" t="n"/>
    </row>
    <row r="14635">
      <c r="A14635" s="2" t="n"/>
    </row>
    <row r="14636">
      <c r="A14636" s="2" t="n"/>
    </row>
    <row r="14637">
      <c r="A14637" s="2" t="n"/>
    </row>
    <row r="14638">
      <c r="A14638" s="2" t="n"/>
    </row>
    <row r="14639">
      <c r="A14639" s="2" t="n"/>
    </row>
    <row r="14640">
      <c r="A14640" s="2" t="n"/>
    </row>
    <row r="14641">
      <c r="A14641" s="2" t="n"/>
    </row>
    <row r="14642">
      <c r="A14642" s="2" t="n"/>
    </row>
    <row r="14643">
      <c r="A14643" s="2" t="n"/>
    </row>
    <row r="14644">
      <c r="A14644" s="2" t="n"/>
    </row>
    <row r="14645">
      <c r="A14645" s="2" t="n"/>
    </row>
    <row r="14646">
      <c r="A14646" s="2" t="n"/>
    </row>
    <row r="14647">
      <c r="A14647" s="2" t="n"/>
    </row>
    <row r="14648">
      <c r="A14648" s="2" t="n"/>
    </row>
    <row r="14649">
      <c r="A14649" s="2" t="n"/>
    </row>
    <row r="14650">
      <c r="A14650" s="2" t="n"/>
    </row>
    <row r="14651">
      <c r="A14651" s="2" t="n"/>
    </row>
    <row r="14652">
      <c r="A14652" s="2" t="n"/>
    </row>
    <row r="14653">
      <c r="A14653" s="2" t="n"/>
    </row>
    <row r="14654">
      <c r="A14654" s="2" t="n"/>
    </row>
    <row r="14655">
      <c r="A14655" s="2" t="n"/>
    </row>
    <row r="14656">
      <c r="A14656" s="2" t="n"/>
    </row>
    <row r="14657">
      <c r="A14657" s="2" t="n"/>
    </row>
    <row r="14658">
      <c r="A14658" s="2" t="n"/>
    </row>
    <row r="14659">
      <c r="A14659" s="2" t="n"/>
    </row>
    <row r="14660">
      <c r="A14660" s="2" t="n"/>
    </row>
    <row r="14661">
      <c r="A14661" s="2" t="n"/>
    </row>
    <row r="14662">
      <c r="A14662" s="2" t="n"/>
    </row>
    <row r="14663">
      <c r="A14663" s="2" t="n"/>
    </row>
    <row r="14664">
      <c r="A14664" s="2" t="n"/>
    </row>
    <row r="14665">
      <c r="A14665" s="2" t="n"/>
    </row>
    <row r="14666">
      <c r="A14666" s="2" t="n"/>
    </row>
    <row r="14667">
      <c r="A14667" s="2" t="n"/>
    </row>
    <row r="14668">
      <c r="A14668" s="2" t="n"/>
    </row>
    <row r="14669">
      <c r="A14669" s="2" t="n"/>
    </row>
    <row r="14670">
      <c r="A14670" s="2" t="n"/>
    </row>
    <row r="14671">
      <c r="A14671" s="2" t="n"/>
    </row>
    <row r="14672">
      <c r="A14672" s="2" t="n"/>
    </row>
    <row r="14673">
      <c r="A14673" s="2" t="n"/>
    </row>
    <row r="14674">
      <c r="A14674" s="2" t="n"/>
    </row>
    <row r="14675">
      <c r="A14675" s="2" t="n"/>
    </row>
    <row r="14676">
      <c r="A14676" s="2" t="n"/>
    </row>
    <row r="14677">
      <c r="A14677" s="2" t="n"/>
    </row>
    <row r="14678">
      <c r="A14678" s="2" t="n"/>
    </row>
    <row r="14679">
      <c r="A14679" s="2" t="n"/>
    </row>
    <row r="14680">
      <c r="A14680" s="2" t="n"/>
    </row>
    <row r="14681">
      <c r="A14681" s="2" t="n"/>
    </row>
    <row r="14682">
      <c r="A14682" s="2" t="n"/>
    </row>
    <row r="14683">
      <c r="A14683" s="2" t="n"/>
    </row>
    <row r="14684">
      <c r="A14684" s="2" t="n"/>
    </row>
    <row r="14685">
      <c r="A14685" s="2" t="n"/>
    </row>
    <row r="14686">
      <c r="A14686" s="2" t="n"/>
    </row>
    <row r="14687">
      <c r="A14687" s="2" t="n"/>
    </row>
    <row r="14688">
      <c r="A14688" s="2" t="n"/>
    </row>
    <row r="14689">
      <c r="A14689" s="2" t="n"/>
    </row>
    <row r="14690">
      <c r="A14690" s="2" t="n"/>
    </row>
    <row r="14691">
      <c r="A14691" s="2" t="n"/>
    </row>
    <row r="14692">
      <c r="A14692" s="2" t="n"/>
    </row>
    <row r="14693">
      <c r="A14693" s="2" t="n"/>
    </row>
    <row r="14694">
      <c r="A14694" s="2" t="n"/>
    </row>
    <row r="14695">
      <c r="A14695" s="2" t="n"/>
    </row>
    <row r="14696">
      <c r="A14696" s="2" t="n"/>
    </row>
    <row r="14697">
      <c r="A14697" s="2" t="n"/>
    </row>
    <row r="14698">
      <c r="A14698" s="2" t="n"/>
    </row>
    <row r="14699">
      <c r="A14699" s="2" t="n"/>
    </row>
    <row r="14700">
      <c r="A14700" s="2" t="n"/>
    </row>
    <row r="14701">
      <c r="A14701" s="2" t="n"/>
    </row>
    <row r="14702">
      <c r="A14702" s="2" t="n"/>
    </row>
    <row r="14703">
      <c r="A14703" s="2" t="n"/>
    </row>
    <row r="14704">
      <c r="A14704" s="2" t="n"/>
    </row>
    <row r="14705">
      <c r="A14705" s="2" t="n"/>
    </row>
    <row r="14706">
      <c r="A14706" s="2" t="n"/>
    </row>
    <row r="14707">
      <c r="A14707" s="2" t="n"/>
    </row>
    <row r="14708">
      <c r="A14708" s="2" t="n"/>
    </row>
    <row r="14709">
      <c r="A14709" s="2" t="n"/>
    </row>
    <row r="14710">
      <c r="A14710" s="2" t="n"/>
    </row>
    <row r="14711">
      <c r="A14711" s="2" t="n"/>
    </row>
    <row r="14712">
      <c r="A14712" s="2" t="n"/>
    </row>
    <row r="14713">
      <c r="A14713" s="2" t="n"/>
    </row>
    <row r="14714">
      <c r="A14714" s="2" t="n"/>
    </row>
    <row r="14715">
      <c r="A14715" s="2" t="n"/>
    </row>
    <row r="14716">
      <c r="A14716" s="2" t="n"/>
    </row>
    <row r="14717">
      <c r="A14717" s="2" t="n"/>
    </row>
    <row r="14718">
      <c r="A14718" s="2" t="n"/>
    </row>
    <row r="14719">
      <c r="A14719" s="2" t="n"/>
    </row>
    <row r="14720">
      <c r="A14720" s="2" t="n"/>
    </row>
    <row r="14721">
      <c r="A14721" s="2" t="n"/>
    </row>
    <row r="14722">
      <c r="A14722" s="2" t="n"/>
    </row>
    <row r="14723">
      <c r="A14723" s="2" t="n"/>
    </row>
    <row r="14724">
      <c r="A14724" s="2" t="n"/>
    </row>
    <row r="14725">
      <c r="A14725" s="2" t="n"/>
    </row>
    <row r="14726">
      <c r="A14726" s="2" t="n"/>
    </row>
    <row r="14727">
      <c r="A14727" s="2" t="n"/>
    </row>
    <row r="14728">
      <c r="A14728" s="2" t="n"/>
    </row>
    <row r="14729">
      <c r="A14729" s="2" t="n"/>
    </row>
    <row r="14730">
      <c r="A14730" s="2" t="n"/>
    </row>
    <row r="14731">
      <c r="A14731" s="2" t="n"/>
    </row>
    <row r="14732">
      <c r="A14732" s="2" t="n"/>
    </row>
    <row r="14733">
      <c r="A14733" s="2" t="n"/>
    </row>
    <row r="14734">
      <c r="A14734" s="2" t="n"/>
    </row>
    <row r="14735">
      <c r="A14735" s="2" t="n"/>
    </row>
    <row r="14736">
      <c r="A14736" s="2" t="n"/>
    </row>
    <row r="14737">
      <c r="A14737" s="2" t="n"/>
    </row>
    <row r="14738">
      <c r="A14738" s="2" t="n"/>
    </row>
    <row r="14739">
      <c r="A14739" s="2" t="n"/>
    </row>
    <row r="14740">
      <c r="A14740" s="2" t="n"/>
    </row>
    <row r="14741">
      <c r="A14741" s="2" t="n"/>
    </row>
    <row r="14742">
      <c r="A14742" s="2" t="n"/>
    </row>
    <row r="14743">
      <c r="A14743" s="2" t="n"/>
    </row>
    <row r="14744">
      <c r="A14744" s="2" t="n"/>
    </row>
    <row r="14745">
      <c r="A14745" s="2" t="n"/>
    </row>
    <row r="14746">
      <c r="A14746" s="2" t="n"/>
    </row>
    <row r="14747">
      <c r="A14747" s="2" t="n"/>
    </row>
    <row r="14748">
      <c r="A14748" s="2" t="n"/>
    </row>
    <row r="14749">
      <c r="A14749" s="2" t="n"/>
    </row>
    <row r="14750">
      <c r="A14750" s="2" t="n"/>
    </row>
    <row r="14751">
      <c r="A14751" s="2" t="n"/>
    </row>
    <row r="14752">
      <c r="A14752" s="2" t="n"/>
    </row>
    <row r="14753">
      <c r="A14753" s="2" t="n"/>
    </row>
    <row r="14754">
      <c r="A14754" s="2" t="n"/>
    </row>
    <row r="14755">
      <c r="A14755" s="2" t="n"/>
    </row>
    <row r="14756">
      <c r="A14756" s="2" t="n"/>
    </row>
    <row r="14757">
      <c r="A14757" s="2" t="n"/>
    </row>
    <row r="14758">
      <c r="A14758" s="2" t="n"/>
    </row>
    <row r="14759">
      <c r="A14759" s="2" t="n"/>
    </row>
    <row r="14760">
      <c r="A14760" s="2" t="n"/>
    </row>
    <row r="14761">
      <c r="A14761" s="2" t="n"/>
    </row>
    <row r="14762">
      <c r="A14762" s="2" t="n"/>
    </row>
    <row r="14763">
      <c r="A14763" s="2" t="n"/>
    </row>
    <row r="14764">
      <c r="A14764" s="2" t="n"/>
    </row>
    <row r="14765">
      <c r="A14765" s="2" t="n"/>
    </row>
    <row r="14766">
      <c r="A14766" s="2" t="n"/>
    </row>
    <row r="14767">
      <c r="A14767" s="2" t="n"/>
    </row>
    <row r="14768">
      <c r="A14768" s="2" t="n"/>
    </row>
    <row r="14769">
      <c r="A14769" s="2" t="n"/>
    </row>
    <row r="14770">
      <c r="A14770" s="2" t="n"/>
    </row>
    <row r="14771">
      <c r="A14771" s="2" t="n"/>
    </row>
    <row r="14772">
      <c r="A14772" s="2" t="n"/>
    </row>
    <row r="14773">
      <c r="A14773" s="2" t="n"/>
    </row>
    <row r="14774">
      <c r="A14774" s="2" t="n"/>
    </row>
    <row r="14775">
      <c r="A14775" s="2" t="n"/>
    </row>
    <row r="14776">
      <c r="A14776" s="2" t="n"/>
    </row>
    <row r="14777">
      <c r="A14777" s="2" t="n"/>
    </row>
    <row r="14778">
      <c r="A14778" s="2" t="n"/>
    </row>
    <row r="14779">
      <c r="A14779" s="2" t="n"/>
    </row>
    <row r="14780">
      <c r="A14780" s="2" t="n"/>
    </row>
    <row r="14781">
      <c r="A14781" s="2" t="n"/>
    </row>
    <row r="14782">
      <c r="A14782" s="2" t="n"/>
    </row>
    <row r="14783">
      <c r="A14783" s="2" t="n"/>
    </row>
    <row r="14784">
      <c r="A14784" s="2" t="n"/>
    </row>
    <row r="14785">
      <c r="A14785" s="2" t="n"/>
    </row>
    <row r="14786">
      <c r="A14786" s="2" t="n"/>
    </row>
    <row r="14787">
      <c r="A14787" s="2" t="n"/>
    </row>
    <row r="14788">
      <c r="A14788" s="2" t="n"/>
    </row>
    <row r="14789">
      <c r="A14789" s="2" t="n"/>
    </row>
    <row r="14790">
      <c r="A14790" s="2" t="n"/>
    </row>
    <row r="14791">
      <c r="A14791" s="2" t="n"/>
    </row>
    <row r="14792">
      <c r="A14792" s="2" t="n"/>
    </row>
    <row r="14793">
      <c r="A14793" s="2" t="n"/>
    </row>
    <row r="14794">
      <c r="A14794" s="2" t="n"/>
    </row>
    <row r="14795">
      <c r="A14795" s="2" t="n"/>
    </row>
    <row r="14796">
      <c r="A14796" s="2" t="n"/>
    </row>
    <row r="14797">
      <c r="A14797" s="2" t="n"/>
    </row>
    <row r="14798">
      <c r="A14798" s="2" t="n"/>
    </row>
    <row r="14799">
      <c r="A14799" s="2" t="n"/>
    </row>
    <row r="14800">
      <c r="A14800" s="2" t="n"/>
    </row>
    <row r="14801">
      <c r="A14801" s="2" t="n"/>
    </row>
    <row r="14802">
      <c r="A14802" s="2" t="n"/>
    </row>
    <row r="14803">
      <c r="A14803" s="2" t="n"/>
    </row>
    <row r="14804">
      <c r="A14804" s="2" t="n"/>
    </row>
    <row r="14805">
      <c r="A14805" s="2" t="n"/>
    </row>
    <row r="14806">
      <c r="A14806" s="2" t="n"/>
    </row>
    <row r="14807">
      <c r="A14807" s="2" t="n"/>
    </row>
    <row r="14808">
      <c r="A14808" s="2" t="n"/>
    </row>
    <row r="14809">
      <c r="A14809" s="2" t="n"/>
    </row>
    <row r="14810">
      <c r="A14810" s="2" t="n"/>
    </row>
    <row r="14811">
      <c r="A14811" s="2" t="n"/>
    </row>
    <row r="14812">
      <c r="A14812" s="2" t="n"/>
    </row>
    <row r="14813">
      <c r="A14813" s="2" t="n"/>
    </row>
    <row r="14814">
      <c r="A14814" s="2" t="n"/>
    </row>
    <row r="14815">
      <c r="A14815" s="2" t="n"/>
    </row>
    <row r="14816">
      <c r="A14816" s="2" t="n"/>
    </row>
    <row r="14817">
      <c r="A14817" s="2" t="n"/>
    </row>
    <row r="14818">
      <c r="A14818" s="2" t="n"/>
    </row>
    <row r="14819">
      <c r="A14819" s="2" t="n"/>
    </row>
    <row r="14820">
      <c r="A14820" s="2" t="n"/>
    </row>
    <row r="14821">
      <c r="A14821" s="2" t="n"/>
    </row>
    <row r="14822">
      <c r="A14822" s="2" t="n"/>
    </row>
    <row r="14823">
      <c r="A14823" s="2" t="n"/>
    </row>
    <row r="14824">
      <c r="A14824" s="2" t="n"/>
    </row>
    <row r="14825">
      <c r="A14825" s="2" t="n"/>
    </row>
    <row r="14826">
      <c r="A14826" s="2" t="n"/>
    </row>
    <row r="14827">
      <c r="A14827" s="2" t="n"/>
    </row>
    <row r="14828">
      <c r="A14828" s="2" t="n"/>
    </row>
    <row r="14829">
      <c r="A14829" s="2" t="n"/>
    </row>
    <row r="14830">
      <c r="A14830" s="2" t="n"/>
    </row>
    <row r="14831">
      <c r="A14831" s="2" t="n"/>
    </row>
    <row r="14832">
      <c r="A14832" s="2" t="n"/>
    </row>
    <row r="14833">
      <c r="A14833" s="2" t="n"/>
    </row>
    <row r="14834">
      <c r="A14834" s="2" t="n"/>
    </row>
    <row r="14835">
      <c r="A14835" s="2" t="n"/>
    </row>
    <row r="14836">
      <c r="A14836" s="2" t="n"/>
    </row>
    <row r="14837">
      <c r="A14837" s="2" t="n"/>
    </row>
    <row r="14838">
      <c r="A14838" s="2" t="n"/>
    </row>
    <row r="14839">
      <c r="A14839" s="2" t="n"/>
    </row>
    <row r="14840">
      <c r="A14840" s="2" t="n"/>
    </row>
    <row r="14841">
      <c r="A14841" s="2" t="n"/>
    </row>
    <row r="14842">
      <c r="A14842" s="2" t="n"/>
    </row>
    <row r="14843">
      <c r="A14843" s="2" t="n"/>
    </row>
    <row r="14844">
      <c r="A14844" s="2" t="n"/>
    </row>
    <row r="14845">
      <c r="A14845" s="2" t="n"/>
    </row>
    <row r="14846">
      <c r="A14846" s="2" t="n"/>
    </row>
    <row r="14847">
      <c r="A14847" s="2" t="n"/>
    </row>
    <row r="14848">
      <c r="A14848" s="2" t="n"/>
    </row>
    <row r="14849">
      <c r="A14849" s="2" t="n"/>
    </row>
    <row r="14850">
      <c r="A14850" s="2" t="n"/>
    </row>
    <row r="14851">
      <c r="A14851" s="2" t="n"/>
    </row>
    <row r="14852">
      <c r="A14852" s="2" t="n"/>
    </row>
    <row r="14853">
      <c r="A14853" s="2" t="n"/>
    </row>
    <row r="14854">
      <c r="A14854" s="2" t="n"/>
    </row>
    <row r="14855">
      <c r="A14855" s="2" t="n"/>
    </row>
    <row r="14856">
      <c r="A14856" s="2" t="n"/>
    </row>
    <row r="14857">
      <c r="A14857" s="2" t="n"/>
    </row>
    <row r="14858">
      <c r="A14858" s="2" t="n"/>
    </row>
    <row r="14859">
      <c r="A14859" s="2" t="n"/>
    </row>
    <row r="14860">
      <c r="A14860" s="2" t="n"/>
    </row>
    <row r="14861">
      <c r="A14861" s="2" t="n"/>
    </row>
    <row r="14862">
      <c r="A14862" s="2" t="n"/>
    </row>
    <row r="14863">
      <c r="A14863" s="2" t="n"/>
    </row>
    <row r="14864">
      <c r="A14864" s="2" t="n"/>
    </row>
    <row r="14865">
      <c r="A14865" s="2" t="n"/>
    </row>
    <row r="14866">
      <c r="A14866" s="2" t="n"/>
    </row>
    <row r="14867">
      <c r="A14867" s="2" t="n"/>
    </row>
    <row r="14868">
      <c r="A14868" s="2" t="n"/>
    </row>
    <row r="14869">
      <c r="A14869" s="2" t="n"/>
    </row>
    <row r="14870">
      <c r="A14870" s="2" t="n"/>
    </row>
    <row r="14871">
      <c r="A14871" s="2" t="n"/>
    </row>
    <row r="14872">
      <c r="A14872" s="2" t="n"/>
    </row>
    <row r="14873">
      <c r="A14873" s="2" t="n"/>
    </row>
    <row r="14874">
      <c r="A14874" s="2" t="n"/>
    </row>
    <row r="14875">
      <c r="A14875" s="2" t="n"/>
    </row>
    <row r="14876">
      <c r="A14876" s="2" t="n"/>
    </row>
    <row r="14877">
      <c r="A14877" s="2" t="n"/>
    </row>
    <row r="14878">
      <c r="A14878" s="2" t="n"/>
    </row>
    <row r="14879">
      <c r="A14879" s="2" t="n"/>
    </row>
    <row r="14880">
      <c r="A14880" s="2" t="n"/>
    </row>
    <row r="14881">
      <c r="A14881" s="2" t="n"/>
    </row>
    <row r="14882">
      <c r="A14882" s="2" t="n"/>
    </row>
    <row r="14883">
      <c r="A14883" s="2" t="n"/>
    </row>
    <row r="14884">
      <c r="A14884" s="2" t="n"/>
    </row>
    <row r="14885">
      <c r="A14885" s="2" t="n"/>
    </row>
    <row r="14886">
      <c r="A14886" s="2" t="n"/>
    </row>
    <row r="14887">
      <c r="A14887" s="2" t="n"/>
    </row>
    <row r="14888">
      <c r="A14888" s="2" t="n"/>
    </row>
    <row r="14889">
      <c r="A14889" s="2" t="n"/>
    </row>
    <row r="14890">
      <c r="A14890" s="2" t="n"/>
    </row>
    <row r="14891">
      <c r="A14891" s="2" t="n"/>
    </row>
    <row r="14892">
      <c r="A14892" s="2" t="n"/>
    </row>
    <row r="14893">
      <c r="A14893" s="2" t="n"/>
    </row>
    <row r="14894">
      <c r="A14894" s="2" t="n"/>
    </row>
    <row r="14895">
      <c r="A14895" s="2" t="n"/>
    </row>
    <row r="14896">
      <c r="A14896" s="2" t="n"/>
    </row>
    <row r="14897">
      <c r="A14897" s="2" t="n"/>
    </row>
    <row r="14898">
      <c r="A14898" s="2" t="n"/>
    </row>
    <row r="14899">
      <c r="A14899" s="2" t="n"/>
    </row>
    <row r="14900">
      <c r="A14900" s="2" t="n"/>
    </row>
    <row r="14901">
      <c r="A14901" s="2" t="n"/>
    </row>
    <row r="14902">
      <c r="A14902" s="2" t="n"/>
    </row>
    <row r="14903">
      <c r="A14903" s="2" t="n"/>
    </row>
    <row r="14904">
      <c r="A14904" s="2" t="n"/>
    </row>
    <row r="14905">
      <c r="A14905" s="2" t="n"/>
    </row>
    <row r="14906">
      <c r="A14906" s="2" t="n"/>
    </row>
    <row r="14907">
      <c r="A14907" s="2" t="n"/>
    </row>
    <row r="14908">
      <c r="A14908" s="2" t="n"/>
    </row>
    <row r="14909">
      <c r="A14909" s="2" t="n"/>
    </row>
    <row r="14910">
      <c r="A14910" s="2" t="n"/>
    </row>
    <row r="14911">
      <c r="A14911" s="2" t="n"/>
    </row>
    <row r="14912">
      <c r="A14912" s="2" t="n"/>
    </row>
    <row r="14913">
      <c r="A14913" s="2" t="n"/>
    </row>
    <row r="14914">
      <c r="A14914" s="2" t="n"/>
    </row>
    <row r="14915">
      <c r="A14915" s="2" t="n"/>
    </row>
    <row r="14916">
      <c r="A14916" s="2" t="n"/>
    </row>
    <row r="14917">
      <c r="A14917" s="2" t="n"/>
    </row>
    <row r="14918">
      <c r="A14918" s="2" t="n"/>
    </row>
    <row r="14919">
      <c r="A14919" s="2" t="n"/>
    </row>
    <row r="14920">
      <c r="A14920" s="2" t="n"/>
    </row>
    <row r="14921">
      <c r="A14921" s="2" t="n"/>
    </row>
    <row r="14922">
      <c r="A14922" s="2" t="n"/>
    </row>
    <row r="14923">
      <c r="A14923" s="2" t="n"/>
    </row>
    <row r="14924">
      <c r="A14924" s="2" t="n"/>
    </row>
    <row r="14925">
      <c r="A14925" s="2" t="n"/>
    </row>
    <row r="14926">
      <c r="A14926" s="2" t="n"/>
    </row>
    <row r="14927">
      <c r="A14927" s="2" t="n"/>
    </row>
    <row r="14928">
      <c r="A14928" s="2" t="n"/>
    </row>
    <row r="14929">
      <c r="A14929" s="2" t="n"/>
    </row>
    <row r="14930">
      <c r="A14930" s="2" t="n"/>
    </row>
    <row r="14931">
      <c r="A14931" s="2" t="n"/>
    </row>
    <row r="14932">
      <c r="A14932" s="2" t="n"/>
    </row>
    <row r="14933">
      <c r="A14933" s="2" t="n"/>
    </row>
    <row r="14934">
      <c r="A14934" s="2" t="n"/>
    </row>
    <row r="14935">
      <c r="A14935" s="2" t="n"/>
    </row>
    <row r="14936">
      <c r="A14936" s="2" t="n"/>
    </row>
    <row r="14937">
      <c r="A14937" s="2" t="n"/>
    </row>
    <row r="14938">
      <c r="A14938" s="2" t="n"/>
    </row>
    <row r="14939">
      <c r="A14939" s="2" t="n"/>
    </row>
    <row r="14940">
      <c r="A14940" s="2" t="n"/>
    </row>
    <row r="14941">
      <c r="A14941" s="2" t="n"/>
    </row>
    <row r="14942">
      <c r="A14942" s="2" t="n"/>
    </row>
    <row r="14943">
      <c r="A14943" s="2" t="n"/>
    </row>
    <row r="14944">
      <c r="A14944" s="2" t="n"/>
    </row>
    <row r="14945">
      <c r="A14945" s="2" t="n"/>
    </row>
    <row r="14946">
      <c r="A14946" s="2" t="n"/>
    </row>
    <row r="14947">
      <c r="A14947" s="2" t="n"/>
    </row>
    <row r="14948">
      <c r="A14948" s="2" t="n"/>
    </row>
    <row r="14949">
      <c r="A14949" s="2" t="n"/>
    </row>
    <row r="14950">
      <c r="A14950" s="2" t="n"/>
    </row>
    <row r="14951">
      <c r="A14951" s="2" t="n"/>
    </row>
    <row r="14952">
      <c r="A14952" s="2" t="n"/>
    </row>
    <row r="14953">
      <c r="A14953" s="2" t="n"/>
    </row>
    <row r="14954">
      <c r="A14954" s="2" t="n"/>
    </row>
    <row r="14955">
      <c r="A14955" s="2" t="n"/>
    </row>
    <row r="14956">
      <c r="A14956" s="2" t="n"/>
    </row>
    <row r="14957">
      <c r="A14957" s="2" t="n"/>
    </row>
    <row r="14958">
      <c r="A14958" s="2" t="n"/>
    </row>
    <row r="14959">
      <c r="A14959" s="2" t="n"/>
    </row>
    <row r="14960">
      <c r="A14960" s="2" t="n"/>
    </row>
    <row r="14961">
      <c r="A14961" s="2" t="n"/>
    </row>
    <row r="14962">
      <c r="A14962" s="2" t="n"/>
    </row>
    <row r="14963">
      <c r="A14963" s="2" t="n"/>
    </row>
    <row r="14964">
      <c r="A14964" s="2" t="n"/>
    </row>
    <row r="14965">
      <c r="A14965" s="2" t="n"/>
    </row>
    <row r="14966">
      <c r="A14966" s="2" t="n"/>
    </row>
    <row r="14967">
      <c r="A14967" s="2" t="n"/>
    </row>
    <row r="14968">
      <c r="A14968" s="2" t="n"/>
    </row>
    <row r="14969">
      <c r="A14969" s="2" t="n"/>
    </row>
    <row r="14970">
      <c r="A14970" s="2" t="n"/>
    </row>
    <row r="14971">
      <c r="A14971" s="2" t="n"/>
    </row>
    <row r="14972">
      <c r="A14972" s="2" t="n"/>
    </row>
    <row r="14973">
      <c r="A14973" s="2" t="n"/>
    </row>
    <row r="14974">
      <c r="A14974" s="2" t="n"/>
    </row>
    <row r="14975">
      <c r="A14975" s="2" t="n"/>
    </row>
    <row r="14976">
      <c r="A14976" s="2" t="n"/>
    </row>
    <row r="14977">
      <c r="A14977" s="2" t="n"/>
    </row>
    <row r="14978">
      <c r="A14978" s="2" t="n"/>
    </row>
    <row r="14979">
      <c r="A14979" s="2" t="n"/>
    </row>
    <row r="14980">
      <c r="A14980" s="2" t="n"/>
    </row>
    <row r="14981">
      <c r="A14981" s="2" t="n"/>
    </row>
    <row r="14982">
      <c r="A14982" s="2" t="n"/>
    </row>
    <row r="14983">
      <c r="A14983" s="2" t="n"/>
    </row>
    <row r="14984">
      <c r="A14984" s="2" t="n"/>
    </row>
    <row r="14985">
      <c r="A14985" s="2" t="n"/>
    </row>
    <row r="14986">
      <c r="A14986" s="2" t="n"/>
    </row>
    <row r="14987">
      <c r="A14987" s="2" t="n"/>
    </row>
    <row r="14988">
      <c r="A14988" s="2" t="n"/>
    </row>
    <row r="14989">
      <c r="A14989" s="2" t="n"/>
    </row>
    <row r="14990">
      <c r="A14990" s="2" t="n"/>
    </row>
    <row r="14991">
      <c r="A14991" s="2" t="n"/>
    </row>
    <row r="14992">
      <c r="A14992" s="2" t="n"/>
    </row>
    <row r="14993">
      <c r="A14993" s="2" t="n"/>
    </row>
    <row r="14994">
      <c r="A14994" s="2" t="n"/>
    </row>
    <row r="14995">
      <c r="A14995" s="2" t="n"/>
    </row>
    <row r="14996">
      <c r="A14996" s="2" t="n"/>
    </row>
    <row r="14997">
      <c r="A14997" s="2" t="n"/>
    </row>
    <row r="14998">
      <c r="A14998" s="2" t="n"/>
    </row>
    <row r="14999">
      <c r="A14999" s="2" t="n"/>
    </row>
    <row r="15000">
      <c r="A15000" s="2" t="n"/>
    </row>
    <row r="15001">
      <c r="A15001" s="2" t="n"/>
    </row>
    <row r="15002">
      <c r="A15002" s="2" t="n"/>
    </row>
    <row r="15003">
      <c r="A15003" s="2" t="n"/>
    </row>
    <row r="15004">
      <c r="A15004" s="2" t="n"/>
    </row>
    <row r="15005">
      <c r="A15005" s="2" t="n"/>
    </row>
    <row r="15006">
      <c r="A15006" s="2" t="n"/>
    </row>
    <row r="15007">
      <c r="A15007" s="2" t="n"/>
    </row>
    <row r="15008">
      <c r="A15008" s="2" t="n"/>
    </row>
    <row r="15009">
      <c r="A15009" s="2" t="n"/>
    </row>
    <row r="15010">
      <c r="A15010" s="2" t="n"/>
    </row>
    <row r="15011">
      <c r="A15011" s="2" t="n"/>
    </row>
    <row r="15012">
      <c r="A15012" s="2" t="n"/>
    </row>
    <row r="15013">
      <c r="A15013" s="2" t="n"/>
    </row>
    <row r="15014">
      <c r="A15014" s="2" t="n"/>
    </row>
    <row r="15015">
      <c r="A15015" s="2" t="n"/>
    </row>
    <row r="15016">
      <c r="A15016" s="2" t="n"/>
    </row>
    <row r="15017">
      <c r="A15017" s="2" t="n"/>
    </row>
    <row r="15018">
      <c r="A15018" s="2" t="n"/>
    </row>
    <row r="15019">
      <c r="A15019" s="2" t="n"/>
    </row>
    <row r="15020">
      <c r="A15020" s="2" t="n"/>
    </row>
    <row r="15021">
      <c r="A15021" s="2" t="n"/>
    </row>
    <row r="15022">
      <c r="A15022" s="2" t="n"/>
    </row>
    <row r="15023">
      <c r="A15023" s="2" t="n"/>
    </row>
    <row r="15024">
      <c r="A15024" s="2" t="n"/>
    </row>
    <row r="15025">
      <c r="A15025" s="2" t="n"/>
    </row>
    <row r="15026">
      <c r="A15026" s="2" t="n"/>
    </row>
    <row r="15027">
      <c r="A15027" s="2" t="n"/>
    </row>
    <row r="15028">
      <c r="A15028" s="2" t="n"/>
    </row>
    <row r="15029">
      <c r="A15029" s="2" t="n"/>
    </row>
    <row r="15030">
      <c r="A15030" s="2" t="n"/>
    </row>
    <row r="15031">
      <c r="A15031" s="2" t="n"/>
    </row>
    <row r="15032">
      <c r="A15032" s="2" t="n"/>
    </row>
    <row r="15033">
      <c r="A15033" s="2" t="n"/>
    </row>
    <row r="15034">
      <c r="A15034" s="2" t="n"/>
    </row>
    <row r="15035">
      <c r="A15035" s="2" t="n"/>
    </row>
    <row r="15036">
      <c r="A15036" s="2" t="n"/>
    </row>
    <row r="15037">
      <c r="A15037" s="2" t="n"/>
    </row>
    <row r="15038">
      <c r="A15038" s="2" t="n"/>
    </row>
    <row r="15039">
      <c r="A15039" s="2" t="n"/>
    </row>
    <row r="15040">
      <c r="A15040" s="2" t="n"/>
    </row>
    <row r="15041">
      <c r="A15041" s="2" t="n"/>
    </row>
    <row r="15042">
      <c r="A15042" s="2" t="n"/>
    </row>
    <row r="15043">
      <c r="A15043" s="2" t="n"/>
    </row>
    <row r="15044">
      <c r="A15044" s="2" t="n"/>
    </row>
    <row r="15045">
      <c r="A15045" s="2" t="n"/>
    </row>
    <row r="15046">
      <c r="A15046" s="2" t="n"/>
    </row>
    <row r="15047">
      <c r="A15047" s="2" t="n"/>
    </row>
    <row r="15048">
      <c r="A15048" s="2" t="n"/>
    </row>
    <row r="15049">
      <c r="A15049" s="2" t="n"/>
    </row>
    <row r="15050">
      <c r="A15050" s="2" t="n"/>
    </row>
    <row r="15051">
      <c r="A15051" s="2" t="n"/>
    </row>
    <row r="15052">
      <c r="A15052" s="2" t="n"/>
    </row>
    <row r="15053">
      <c r="A15053" s="2" t="n"/>
    </row>
    <row r="15054">
      <c r="A15054" s="2" t="n"/>
    </row>
    <row r="15055">
      <c r="A15055" s="2" t="n"/>
    </row>
    <row r="15056">
      <c r="A15056" s="2" t="n"/>
    </row>
    <row r="15057">
      <c r="A15057" s="2" t="n"/>
    </row>
    <row r="15058">
      <c r="A15058" s="2" t="n"/>
    </row>
    <row r="15059">
      <c r="A15059" s="2" t="n"/>
    </row>
    <row r="15060">
      <c r="A15060" s="2" t="n"/>
    </row>
    <row r="15061">
      <c r="A15061" s="2" t="n"/>
    </row>
    <row r="15062">
      <c r="A15062" s="2" t="n"/>
    </row>
    <row r="15063">
      <c r="A15063" s="2" t="n"/>
    </row>
    <row r="15064">
      <c r="A15064" s="2" t="n"/>
    </row>
    <row r="15065">
      <c r="A15065" s="2" t="n"/>
    </row>
    <row r="15066">
      <c r="A15066" s="2" t="n"/>
    </row>
    <row r="15067">
      <c r="A15067" s="2" t="n"/>
    </row>
    <row r="15068">
      <c r="A15068" s="2" t="n"/>
    </row>
    <row r="15069">
      <c r="A15069" s="2" t="n"/>
    </row>
    <row r="15070">
      <c r="A15070" s="2" t="n"/>
    </row>
    <row r="15071">
      <c r="A15071" s="2" t="n"/>
    </row>
    <row r="15072">
      <c r="A15072" s="2" t="n"/>
    </row>
    <row r="15073">
      <c r="A15073" s="2" t="n"/>
    </row>
    <row r="15074">
      <c r="A15074" s="2" t="n"/>
    </row>
    <row r="15075">
      <c r="A15075" s="2" t="n"/>
    </row>
    <row r="15076">
      <c r="A15076" s="2" t="n"/>
    </row>
    <row r="15077">
      <c r="A15077" s="2" t="n"/>
    </row>
    <row r="15078">
      <c r="A15078" s="2" t="n"/>
    </row>
    <row r="15079">
      <c r="A15079" s="2" t="n"/>
    </row>
    <row r="15080">
      <c r="A15080" s="2" t="n"/>
    </row>
    <row r="15081">
      <c r="A15081" s="2" t="n"/>
    </row>
    <row r="15082">
      <c r="A15082" s="2" t="n"/>
    </row>
    <row r="15083">
      <c r="A15083" s="2" t="n"/>
    </row>
    <row r="15084">
      <c r="A15084" s="2" t="n"/>
    </row>
    <row r="15085">
      <c r="A15085" s="2" t="n"/>
    </row>
    <row r="15086">
      <c r="A15086" s="2" t="n"/>
    </row>
    <row r="15087">
      <c r="A15087" s="2" t="n"/>
    </row>
    <row r="15088">
      <c r="A15088" s="2" t="n"/>
    </row>
    <row r="15089">
      <c r="A15089" s="2" t="n"/>
    </row>
    <row r="15090">
      <c r="A15090" s="2" t="n"/>
    </row>
    <row r="15091">
      <c r="A15091" s="2" t="n"/>
    </row>
    <row r="15092">
      <c r="A15092" s="2" t="n"/>
    </row>
    <row r="15093">
      <c r="A15093" s="2" t="n"/>
    </row>
    <row r="15094">
      <c r="A15094" s="2" t="n"/>
    </row>
    <row r="15095">
      <c r="A15095" s="2" t="n"/>
    </row>
    <row r="15096">
      <c r="A15096" s="2" t="n"/>
    </row>
    <row r="15097">
      <c r="A15097" s="2" t="n"/>
    </row>
    <row r="15098">
      <c r="A15098" s="2" t="n"/>
    </row>
    <row r="15099">
      <c r="A15099" s="2" t="n"/>
    </row>
    <row r="15100">
      <c r="A15100" s="2" t="n"/>
    </row>
    <row r="15101">
      <c r="A15101" s="2" t="n"/>
    </row>
    <row r="15102">
      <c r="A15102" s="2" t="n"/>
    </row>
    <row r="15103">
      <c r="A15103" s="2" t="n"/>
    </row>
    <row r="15104">
      <c r="A15104" s="2" t="n"/>
    </row>
    <row r="15105">
      <c r="A15105" s="2" t="n"/>
    </row>
    <row r="15106">
      <c r="A15106" s="2" t="n"/>
    </row>
    <row r="15107">
      <c r="A15107" s="2" t="n"/>
    </row>
    <row r="15108">
      <c r="A15108" s="2" t="n"/>
    </row>
    <row r="15109">
      <c r="A15109" s="2" t="n"/>
    </row>
    <row r="15110">
      <c r="A15110" s="2" t="n"/>
    </row>
    <row r="15111">
      <c r="A15111" s="2" t="n"/>
    </row>
    <row r="15112">
      <c r="A15112" s="2" t="n"/>
    </row>
    <row r="15113">
      <c r="A15113" s="2" t="n"/>
    </row>
    <row r="15114">
      <c r="A15114" s="2" t="n"/>
    </row>
    <row r="15115">
      <c r="A15115" s="2" t="n"/>
    </row>
    <row r="15116">
      <c r="A15116" s="2" t="n"/>
    </row>
    <row r="15117">
      <c r="A15117" s="2" t="n"/>
    </row>
    <row r="15118">
      <c r="A15118" s="2" t="n"/>
    </row>
    <row r="15119">
      <c r="A15119" s="2" t="n"/>
    </row>
    <row r="15120">
      <c r="A15120" s="2" t="n"/>
    </row>
    <row r="15121">
      <c r="A15121" s="2" t="n"/>
    </row>
    <row r="15122">
      <c r="A15122" s="2" t="n"/>
    </row>
    <row r="15123">
      <c r="A15123" s="2" t="n"/>
    </row>
    <row r="15124">
      <c r="A15124" s="2" t="n"/>
    </row>
    <row r="15125">
      <c r="A15125" s="2" t="n"/>
    </row>
    <row r="15126">
      <c r="A15126" s="2" t="n"/>
    </row>
    <row r="15127">
      <c r="A15127" s="2" t="n"/>
    </row>
    <row r="15128">
      <c r="A15128" s="2" t="n"/>
    </row>
    <row r="15129">
      <c r="A15129" s="2" t="n"/>
    </row>
    <row r="15130">
      <c r="A15130" s="2" t="n"/>
    </row>
    <row r="15131">
      <c r="A15131" s="2" t="n"/>
    </row>
    <row r="15132">
      <c r="A15132" s="2" t="n"/>
    </row>
    <row r="15133">
      <c r="A15133" s="2" t="n"/>
    </row>
    <row r="15134">
      <c r="A15134" s="2" t="n"/>
    </row>
    <row r="15135">
      <c r="A15135" s="2" t="n"/>
    </row>
    <row r="15136">
      <c r="A15136" s="2" t="n"/>
    </row>
    <row r="15137">
      <c r="A15137" s="2" t="n"/>
    </row>
    <row r="15138">
      <c r="A15138" s="2" t="n"/>
    </row>
    <row r="15139">
      <c r="A15139" s="2" t="n"/>
    </row>
    <row r="15140">
      <c r="A15140" s="2" t="n"/>
    </row>
    <row r="15141">
      <c r="A15141" s="2" t="n"/>
    </row>
    <row r="15142">
      <c r="A15142" s="2" t="n"/>
    </row>
    <row r="15143">
      <c r="A15143" s="2" t="n"/>
    </row>
    <row r="15144">
      <c r="A15144" s="2" t="n"/>
    </row>
    <row r="15145">
      <c r="A15145" s="2" t="n"/>
    </row>
    <row r="15146">
      <c r="A15146" s="2" t="n"/>
    </row>
    <row r="15147">
      <c r="A15147" s="2" t="n"/>
    </row>
    <row r="15148">
      <c r="A15148" s="2" t="n"/>
    </row>
    <row r="15149">
      <c r="A15149" s="2" t="n"/>
    </row>
    <row r="15150">
      <c r="A15150" s="2" t="n"/>
    </row>
    <row r="15151">
      <c r="A15151" s="2" t="n"/>
    </row>
    <row r="15152">
      <c r="A15152" s="2" t="n"/>
    </row>
    <row r="15153">
      <c r="A15153" s="2" t="n"/>
    </row>
    <row r="15154">
      <c r="A15154" s="2" t="n"/>
    </row>
    <row r="15155">
      <c r="A15155" s="2" t="n"/>
    </row>
    <row r="15156">
      <c r="A15156" s="2" t="n"/>
    </row>
    <row r="15157">
      <c r="A15157" s="2" t="n"/>
    </row>
    <row r="15158">
      <c r="A15158" s="2" t="n"/>
    </row>
    <row r="15159">
      <c r="A15159" s="2" t="n"/>
    </row>
    <row r="15160">
      <c r="A15160" s="2" t="n"/>
    </row>
    <row r="15161">
      <c r="A15161" s="2" t="n"/>
    </row>
    <row r="15162">
      <c r="A15162" s="2" t="n"/>
    </row>
    <row r="15163">
      <c r="A15163" s="2" t="n"/>
    </row>
    <row r="15164">
      <c r="A15164" s="2" t="n"/>
    </row>
    <row r="15165">
      <c r="A15165" s="2" t="n"/>
    </row>
    <row r="15166">
      <c r="A15166" s="2" t="n"/>
    </row>
    <row r="15167">
      <c r="A15167" s="2" t="n"/>
    </row>
    <row r="15168">
      <c r="A15168" s="2" t="n"/>
    </row>
    <row r="15169">
      <c r="A15169" s="2" t="n"/>
    </row>
    <row r="15170">
      <c r="A15170" s="2" t="n"/>
    </row>
    <row r="15171">
      <c r="A15171" s="2" t="n"/>
    </row>
    <row r="15172">
      <c r="A15172" s="2" t="n"/>
    </row>
    <row r="15173">
      <c r="A15173" s="2" t="n"/>
    </row>
    <row r="15174">
      <c r="A15174" s="2" t="n"/>
    </row>
    <row r="15175">
      <c r="A15175" s="2" t="n"/>
    </row>
    <row r="15176">
      <c r="A15176" s="2" t="n"/>
    </row>
    <row r="15177">
      <c r="A15177" s="2" t="n"/>
    </row>
    <row r="15178">
      <c r="A15178" s="2" t="n"/>
    </row>
    <row r="15179">
      <c r="A15179" s="2" t="n"/>
    </row>
    <row r="15180">
      <c r="A15180" s="2" t="n"/>
    </row>
    <row r="15181">
      <c r="A15181" s="2" t="n"/>
    </row>
    <row r="15182">
      <c r="A15182" s="2" t="n"/>
    </row>
    <row r="15183">
      <c r="A15183" s="2" t="n"/>
    </row>
    <row r="15184">
      <c r="A15184" s="2" t="n"/>
    </row>
    <row r="15185">
      <c r="A15185" s="2" t="n"/>
    </row>
    <row r="15186">
      <c r="A15186" s="2" t="n"/>
    </row>
    <row r="15187">
      <c r="A15187" s="2" t="n"/>
    </row>
    <row r="15188">
      <c r="A15188" s="2" t="n"/>
    </row>
    <row r="15189">
      <c r="A15189" s="2" t="n"/>
    </row>
    <row r="15190">
      <c r="A15190" s="2" t="n"/>
    </row>
    <row r="15191">
      <c r="A15191" s="2" t="n"/>
    </row>
    <row r="15192">
      <c r="A15192" s="2" t="n"/>
    </row>
    <row r="15193">
      <c r="A15193" s="2" t="n"/>
    </row>
    <row r="15194">
      <c r="A15194" s="2" t="n"/>
    </row>
    <row r="15195">
      <c r="A15195" s="2" t="n"/>
    </row>
    <row r="15196">
      <c r="A15196" s="2" t="n"/>
    </row>
    <row r="15197">
      <c r="A15197" s="2" t="n"/>
    </row>
    <row r="15198">
      <c r="A15198" s="2" t="n"/>
    </row>
    <row r="15199">
      <c r="A15199" s="2" t="n"/>
    </row>
    <row r="15200">
      <c r="A15200" s="2" t="n"/>
    </row>
    <row r="15201">
      <c r="A15201" s="2" t="n"/>
    </row>
    <row r="15202">
      <c r="A15202" s="2" t="n"/>
    </row>
    <row r="15203">
      <c r="A15203" s="2" t="n"/>
    </row>
    <row r="15204">
      <c r="A15204" s="2" t="n"/>
    </row>
    <row r="15205">
      <c r="A15205" s="2" t="n"/>
    </row>
    <row r="15206">
      <c r="A15206" s="2" t="n"/>
    </row>
    <row r="15207">
      <c r="A15207" s="2" t="n"/>
    </row>
    <row r="15208">
      <c r="A15208" s="2" t="n"/>
    </row>
    <row r="15209">
      <c r="A15209" s="2" t="n"/>
    </row>
    <row r="15210">
      <c r="A15210" s="2" t="n"/>
    </row>
    <row r="15211">
      <c r="A15211" s="2" t="n"/>
    </row>
    <row r="15212">
      <c r="A15212" s="2" t="n"/>
    </row>
    <row r="15213">
      <c r="A15213" s="2" t="n"/>
    </row>
    <row r="15214">
      <c r="A15214" s="2" t="n"/>
    </row>
    <row r="15215">
      <c r="A15215" s="2" t="n"/>
    </row>
    <row r="15216">
      <c r="A15216" s="2" t="n"/>
    </row>
    <row r="15217">
      <c r="A15217" s="2" t="n"/>
    </row>
    <row r="15218">
      <c r="A15218" s="2" t="n"/>
    </row>
    <row r="15219">
      <c r="A15219" s="2" t="n"/>
    </row>
    <row r="15220">
      <c r="A15220" s="2" t="n"/>
    </row>
    <row r="15221">
      <c r="A15221" s="2" t="n"/>
    </row>
    <row r="15222">
      <c r="A15222" s="2" t="n"/>
    </row>
    <row r="15223">
      <c r="A15223" s="2" t="n"/>
    </row>
    <row r="15224">
      <c r="A15224" s="2" t="n"/>
    </row>
    <row r="15225">
      <c r="A15225" s="2" t="n"/>
    </row>
    <row r="15226">
      <c r="A15226" s="2" t="n"/>
    </row>
    <row r="15227">
      <c r="A15227" s="2" t="n"/>
    </row>
    <row r="15228">
      <c r="A15228" s="2" t="n"/>
    </row>
    <row r="15229">
      <c r="A15229" s="2" t="n"/>
    </row>
    <row r="15230">
      <c r="A15230" s="2" t="n"/>
    </row>
    <row r="15231">
      <c r="A15231" s="2" t="n"/>
    </row>
    <row r="15232">
      <c r="A15232" s="2" t="n"/>
    </row>
    <row r="15233">
      <c r="A15233" s="2" t="n"/>
    </row>
    <row r="15234">
      <c r="A15234" s="2" t="n"/>
    </row>
    <row r="15235">
      <c r="A15235" s="2" t="n"/>
    </row>
    <row r="15236">
      <c r="A15236" s="2" t="n"/>
    </row>
    <row r="15237">
      <c r="A15237" s="2" t="n"/>
    </row>
    <row r="15238">
      <c r="A15238" s="2" t="n"/>
    </row>
    <row r="15239">
      <c r="A15239" s="2" t="n"/>
    </row>
    <row r="15240">
      <c r="A15240" s="2" t="n"/>
    </row>
    <row r="15241">
      <c r="A15241" s="2" t="n"/>
    </row>
    <row r="15242">
      <c r="A15242" s="2" t="n"/>
    </row>
    <row r="15243">
      <c r="A15243" s="2" t="n"/>
    </row>
    <row r="15244">
      <c r="A15244" s="2" t="n"/>
    </row>
    <row r="15245">
      <c r="A15245" s="2" t="n"/>
    </row>
    <row r="15246">
      <c r="A15246" s="2" t="n"/>
    </row>
    <row r="15247">
      <c r="A15247" s="2" t="n"/>
    </row>
    <row r="15248">
      <c r="A15248" s="2" t="n"/>
    </row>
    <row r="15249">
      <c r="A15249" s="2" t="n"/>
    </row>
    <row r="15250">
      <c r="A15250" s="2" t="n"/>
    </row>
    <row r="15251">
      <c r="A15251" s="2" t="n"/>
    </row>
    <row r="15252">
      <c r="A15252" s="2" t="n"/>
    </row>
    <row r="15253">
      <c r="A15253" s="2" t="n"/>
    </row>
    <row r="15254">
      <c r="A15254" s="2" t="n"/>
    </row>
    <row r="15255">
      <c r="A15255" s="2" t="n"/>
    </row>
    <row r="15256">
      <c r="A15256" s="2" t="n"/>
    </row>
    <row r="15257">
      <c r="A15257" s="2" t="n"/>
    </row>
    <row r="15258">
      <c r="A15258" s="2" t="n"/>
    </row>
    <row r="15259">
      <c r="A15259" s="2" t="n"/>
    </row>
    <row r="15260">
      <c r="A15260" s="2" t="n"/>
    </row>
    <row r="15261">
      <c r="A15261" s="2" t="n"/>
    </row>
    <row r="15262">
      <c r="A15262" s="2" t="n"/>
    </row>
    <row r="15263">
      <c r="A15263" s="2" t="n"/>
    </row>
    <row r="15264">
      <c r="A15264" s="2" t="n"/>
    </row>
    <row r="15265">
      <c r="A15265" s="2" t="n"/>
    </row>
    <row r="15266">
      <c r="A15266" s="2" t="n"/>
    </row>
    <row r="15267">
      <c r="A15267" s="2" t="n"/>
    </row>
    <row r="15268">
      <c r="A15268" s="2" t="n"/>
    </row>
    <row r="15269">
      <c r="A15269" s="2" t="n"/>
    </row>
    <row r="15270">
      <c r="A15270" s="2" t="n"/>
    </row>
    <row r="15271">
      <c r="A15271" s="2" t="n"/>
    </row>
    <row r="15272">
      <c r="A15272" s="2" t="n"/>
    </row>
    <row r="15273">
      <c r="A15273" s="2" t="n"/>
    </row>
    <row r="15274">
      <c r="A15274" s="2" t="n"/>
    </row>
    <row r="15275">
      <c r="A15275" s="2" t="n"/>
    </row>
    <row r="15276">
      <c r="A15276" s="2" t="n"/>
    </row>
    <row r="15277">
      <c r="A15277" s="2" t="n"/>
    </row>
    <row r="15278">
      <c r="A15278" s="2" t="n"/>
    </row>
    <row r="15279">
      <c r="A15279" s="2" t="n"/>
    </row>
    <row r="15280">
      <c r="A15280" s="2" t="n"/>
    </row>
    <row r="15281">
      <c r="A15281" s="2" t="n"/>
    </row>
    <row r="15282">
      <c r="A15282" s="2" t="n"/>
    </row>
    <row r="15283">
      <c r="A15283" s="2" t="n"/>
    </row>
    <row r="15284">
      <c r="A15284" s="2" t="n"/>
    </row>
    <row r="15285">
      <c r="A15285" s="2" t="n"/>
    </row>
    <row r="15286">
      <c r="A15286" s="2" t="n"/>
    </row>
    <row r="15287">
      <c r="A15287" s="2" t="n"/>
    </row>
    <row r="15288">
      <c r="A15288" s="2" t="n"/>
    </row>
    <row r="15289">
      <c r="A15289" s="2" t="n"/>
    </row>
    <row r="15290">
      <c r="A15290" s="2" t="n"/>
    </row>
    <row r="15291">
      <c r="A15291" s="2" t="n"/>
    </row>
    <row r="15292">
      <c r="A15292" s="2" t="n"/>
    </row>
    <row r="15293">
      <c r="A15293" s="2" t="n"/>
    </row>
    <row r="15294">
      <c r="A15294" s="2" t="n"/>
    </row>
    <row r="15295">
      <c r="A15295" s="2" t="n"/>
    </row>
    <row r="15296">
      <c r="A15296" s="2" t="n"/>
    </row>
    <row r="15297">
      <c r="A15297" s="2" t="n"/>
    </row>
    <row r="15298">
      <c r="A15298" s="2" t="n"/>
    </row>
    <row r="15299">
      <c r="A15299" s="2" t="n"/>
    </row>
    <row r="15300">
      <c r="A15300" s="2" t="n"/>
    </row>
    <row r="15301">
      <c r="A15301" s="2" t="n"/>
    </row>
    <row r="15302">
      <c r="A15302" s="2" t="n"/>
    </row>
    <row r="15303">
      <c r="A15303" s="2" t="n"/>
    </row>
    <row r="15304">
      <c r="A15304" s="2" t="n"/>
    </row>
    <row r="15305">
      <c r="A15305" s="2" t="n"/>
    </row>
    <row r="15306">
      <c r="A15306" s="2" t="n"/>
    </row>
    <row r="15307">
      <c r="A15307" s="2" t="n"/>
    </row>
    <row r="15308">
      <c r="A15308" s="2" t="n"/>
    </row>
    <row r="15309">
      <c r="A15309" s="2" t="n"/>
    </row>
    <row r="15310">
      <c r="A15310" s="2" t="n"/>
    </row>
    <row r="15311">
      <c r="A15311" s="2" t="n"/>
    </row>
    <row r="15312">
      <c r="A15312" s="2" t="n"/>
    </row>
    <row r="15313">
      <c r="A15313" s="2" t="n"/>
    </row>
    <row r="15314">
      <c r="A15314" s="2" t="n"/>
    </row>
    <row r="15315">
      <c r="A15315" s="2" t="n"/>
    </row>
    <row r="15316">
      <c r="A15316" s="2" t="n"/>
    </row>
    <row r="15317">
      <c r="A15317" s="2" t="n"/>
    </row>
    <row r="15318">
      <c r="A15318" s="2" t="n"/>
    </row>
    <row r="15319">
      <c r="A15319" s="2" t="n"/>
    </row>
    <row r="15320">
      <c r="A15320" s="2" t="n"/>
    </row>
    <row r="15321">
      <c r="A15321" s="2" t="n"/>
    </row>
    <row r="15322">
      <c r="A15322" s="2" t="n"/>
    </row>
    <row r="15323">
      <c r="A15323" s="2" t="n"/>
    </row>
    <row r="15324">
      <c r="A15324" s="2" t="n"/>
    </row>
    <row r="15325">
      <c r="A15325" s="2" t="n"/>
    </row>
    <row r="15326">
      <c r="A15326" s="2" t="n"/>
    </row>
    <row r="15327">
      <c r="A15327" s="2" t="n"/>
    </row>
    <row r="15328">
      <c r="A15328" s="2" t="n"/>
    </row>
    <row r="15329">
      <c r="A15329" s="2" t="n"/>
    </row>
    <row r="15330">
      <c r="A15330" s="2" t="n"/>
    </row>
    <row r="15331">
      <c r="A15331" s="2" t="n"/>
    </row>
    <row r="15332">
      <c r="A15332" s="2" t="n"/>
    </row>
    <row r="15333">
      <c r="A15333" s="2" t="n"/>
    </row>
    <row r="15334">
      <c r="A15334" s="2" t="n"/>
    </row>
    <row r="15335">
      <c r="A15335" s="2" t="n"/>
    </row>
    <row r="15336">
      <c r="A15336" s="2" t="n"/>
    </row>
    <row r="15337">
      <c r="A15337" s="2" t="n"/>
    </row>
    <row r="15338">
      <c r="A15338" s="2" t="n"/>
    </row>
    <row r="15339">
      <c r="A15339" s="2" t="n"/>
    </row>
    <row r="15340">
      <c r="A15340" s="2" t="n"/>
    </row>
    <row r="15341">
      <c r="A15341" s="2" t="n"/>
    </row>
    <row r="15342">
      <c r="A15342" s="2" t="n"/>
    </row>
    <row r="15343">
      <c r="A15343" s="2" t="n"/>
    </row>
    <row r="15344">
      <c r="A15344" s="2" t="n"/>
    </row>
    <row r="15345">
      <c r="A15345" s="2" t="n"/>
    </row>
    <row r="15346">
      <c r="A15346" s="2" t="n"/>
    </row>
    <row r="15347">
      <c r="A15347" s="2" t="n"/>
    </row>
    <row r="15348">
      <c r="A15348" s="2" t="n"/>
    </row>
    <row r="15349">
      <c r="A15349" s="2" t="n"/>
    </row>
    <row r="15350">
      <c r="A15350" s="2" t="n"/>
    </row>
    <row r="15351">
      <c r="A15351" s="2" t="n"/>
    </row>
    <row r="15352">
      <c r="A15352" s="2" t="n"/>
    </row>
    <row r="15353">
      <c r="A15353" s="2" t="n"/>
    </row>
    <row r="15354">
      <c r="A15354" s="2" t="n"/>
    </row>
    <row r="15355">
      <c r="A15355" s="2" t="n"/>
    </row>
    <row r="15356">
      <c r="A15356" s="2" t="n"/>
    </row>
    <row r="15357">
      <c r="A15357" s="2" t="n"/>
    </row>
    <row r="15358">
      <c r="A15358" s="2" t="n"/>
    </row>
    <row r="15359">
      <c r="A15359" s="2" t="n"/>
    </row>
    <row r="15360">
      <c r="A15360" s="2" t="n"/>
    </row>
    <row r="15361">
      <c r="A15361" s="2" t="n"/>
    </row>
    <row r="15362">
      <c r="A15362" s="2" t="n"/>
    </row>
    <row r="15363">
      <c r="A15363" s="2" t="n"/>
    </row>
    <row r="15364">
      <c r="A15364" s="2" t="n"/>
    </row>
    <row r="15365">
      <c r="A15365" s="2" t="n"/>
    </row>
    <row r="15366">
      <c r="A15366" s="2" t="n"/>
    </row>
    <row r="15367">
      <c r="A15367" s="2" t="n"/>
    </row>
    <row r="15368">
      <c r="A15368" s="2" t="n"/>
    </row>
    <row r="15369">
      <c r="A15369" s="2" t="n"/>
    </row>
    <row r="15370">
      <c r="A15370" s="2" t="n"/>
    </row>
    <row r="15371">
      <c r="A15371" s="2" t="n"/>
    </row>
    <row r="15372">
      <c r="A15372" s="2" t="n"/>
    </row>
    <row r="15373">
      <c r="A15373" s="2" t="n"/>
    </row>
    <row r="15374">
      <c r="A15374" s="2" t="n"/>
    </row>
    <row r="15375">
      <c r="A15375" s="2" t="n"/>
    </row>
    <row r="15376">
      <c r="A15376" s="2" t="n"/>
    </row>
    <row r="15377">
      <c r="A15377" s="2" t="n"/>
    </row>
    <row r="15378">
      <c r="A15378" s="2" t="n"/>
    </row>
    <row r="15379">
      <c r="A15379" s="2" t="n"/>
    </row>
    <row r="15380">
      <c r="A15380" s="2" t="n"/>
    </row>
    <row r="15381">
      <c r="A15381" s="2" t="n"/>
    </row>
    <row r="15382">
      <c r="A15382" s="2" t="n"/>
    </row>
    <row r="15383">
      <c r="A15383" s="2" t="n"/>
    </row>
    <row r="15384">
      <c r="A15384" s="2" t="n"/>
    </row>
    <row r="15385">
      <c r="A15385" s="2" t="n"/>
    </row>
    <row r="15386">
      <c r="A15386" s="2" t="n"/>
    </row>
    <row r="15387">
      <c r="A15387" s="2" t="n"/>
    </row>
    <row r="15388">
      <c r="A15388" s="2" t="n"/>
    </row>
    <row r="15389">
      <c r="A15389" s="2" t="n"/>
    </row>
    <row r="15390">
      <c r="A15390" s="2" t="n"/>
    </row>
    <row r="15391">
      <c r="A15391" s="2" t="n"/>
    </row>
    <row r="15392">
      <c r="A15392" s="2" t="n"/>
    </row>
    <row r="15393">
      <c r="A15393" s="2" t="n"/>
    </row>
    <row r="15394">
      <c r="A15394" s="2" t="n"/>
    </row>
    <row r="15395">
      <c r="A15395" s="2" t="n"/>
    </row>
    <row r="15396">
      <c r="A15396" s="2" t="n"/>
    </row>
    <row r="15397">
      <c r="A15397" s="2" t="n"/>
    </row>
    <row r="15398">
      <c r="A15398" s="2" t="n"/>
    </row>
    <row r="15399">
      <c r="A15399" s="2" t="n"/>
    </row>
    <row r="15400">
      <c r="A15400" s="2" t="n"/>
    </row>
    <row r="15401">
      <c r="A15401" s="2" t="n"/>
    </row>
    <row r="15402">
      <c r="A15402" s="2" t="n"/>
    </row>
    <row r="15403">
      <c r="A15403" s="2" t="n"/>
    </row>
    <row r="15404">
      <c r="A15404" s="2" t="n"/>
    </row>
    <row r="15405">
      <c r="A15405" s="2" t="n"/>
    </row>
    <row r="15406">
      <c r="A15406" s="2" t="n"/>
    </row>
    <row r="15407">
      <c r="A15407" s="2" t="n"/>
    </row>
    <row r="15408">
      <c r="A15408" s="2" t="n"/>
    </row>
    <row r="15409">
      <c r="A15409" s="2" t="n"/>
    </row>
    <row r="15410">
      <c r="A15410" s="2" t="n"/>
    </row>
    <row r="15411">
      <c r="A15411" s="2" t="n"/>
    </row>
    <row r="15412">
      <c r="A15412" s="2" t="n"/>
    </row>
    <row r="15413">
      <c r="A15413" s="2" t="n"/>
    </row>
    <row r="15414">
      <c r="A15414" s="2" t="n"/>
    </row>
    <row r="15415">
      <c r="A15415" s="2" t="n"/>
    </row>
    <row r="15416">
      <c r="A15416" s="2" t="n"/>
    </row>
    <row r="15417">
      <c r="A15417" s="2" t="n"/>
    </row>
    <row r="15418">
      <c r="A15418" s="2" t="n"/>
    </row>
    <row r="15419">
      <c r="A15419" s="2" t="n"/>
    </row>
    <row r="15420">
      <c r="A15420" s="2" t="n"/>
    </row>
    <row r="15421">
      <c r="A15421" s="2" t="n"/>
    </row>
    <row r="15422">
      <c r="A15422" s="2" t="n"/>
    </row>
    <row r="15423">
      <c r="A15423" s="2" t="n"/>
    </row>
    <row r="15424">
      <c r="A15424" s="2" t="n"/>
    </row>
    <row r="15425">
      <c r="A15425" s="2" t="n"/>
    </row>
    <row r="15426">
      <c r="A15426" s="2" t="n"/>
    </row>
    <row r="15427">
      <c r="A15427" s="2" t="n"/>
    </row>
    <row r="15428">
      <c r="A15428" s="2" t="n"/>
    </row>
    <row r="15429">
      <c r="A15429" s="2" t="n"/>
    </row>
    <row r="15430">
      <c r="A15430" s="2" t="n"/>
    </row>
    <row r="15431">
      <c r="A15431" s="2" t="n"/>
    </row>
    <row r="15432">
      <c r="A15432" s="2" t="n"/>
    </row>
    <row r="15433">
      <c r="A15433" s="2" t="n"/>
    </row>
    <row r="15434">
      <c r="A15434" s="2" t="n"/>
    </row>
    <row r="15435">
      <c r="A15435" s="2" t="n"/>
    </row>
    <row r="15436">
      <c r="A15436" s="2" t="n"/>
    </row>
    <row r="15437">
      <c r="A15437" s="2" t="n"/>
    </row>
    <row r="15438">
      <c r="A15438" s="2" t="n"/>
    </row>
    <row r="15439">
      <c r="A15439" s="2" t="n"/>
    </row>
    <row r="15440">
      <c r="A15440" s="2" t="n"/>
    </row>
    <row r="15441">
      <c r="A15441" s="2" t="n"/>
    </row>
    <row r="15442">
      <c r="A15442" s="2" t="n"/>
    </row>
    <row r="15443">
      <c r="A15443" s="2" t="n"/>
    </row>
    <row r="15444">
      <c r="A15444" s="2" t="n"/>
    </row>
    <row r="15445">
      <c r="A15445" s="2" t="n"/>
    </row>
    <row r="15446">
      <c r="A15446" s="2" t="n"/>
    </row>
    <row r="15447">
      <c r="A15447" s="2" t="n"/>
    </row>
    <row r="15448">
      <c r="A15448" s="2" t="n"/>
    </row>
    <row r="15449">
      <c r="A15449" s="2" t="n"/>
    </row>
    <row r="15450">
      <c r="A15450" s="2" t="n"/>
    </row>
    <row r="15451">
      <c r="A15451" s="2" t="n"/>
    </row>
    <row r="15452">
      <c r="A15452" s="2" t="n"/>
    </row>
    <row r="15453">
      <c r="A15453" s="2" t="n"/>
    </row>
    <row r="15454">
      <c r="A15454" s="2" t="n"/>
    </row>
    <row r="15455">
      <c r="A15455" s="2" t="n"/>
    </row>
    <row r="15456">
      <c r="A15456" s="2" t="n"/>
    </row>
    <row r="15457">
      <c r="A15457" s="2" t="n"/>
    </row>
    <row r="15458">
      <c r="A15458" s="2" t="n"/>
    </row>
    <row r="15459">
      <c r="A15459" s="2" t="n"/>
    </row>
    <row r="15460">
      <c r="A15460" s="2" t="n"/>
    </row>
    <row r="15461">
      <c r="A15461" s="2" t="n"/>
    </row>
    <row r="15462">
      <c r="A15462" s="2" t="n"/>
    </row>
    <row r="15463">
      <c r="A15463" s="2" t="n"/>
    </row>
    <row r="15464">
      <c r="A15464" s="2" t="n"/>
    </row>
    <row r="15465">
      <c r="A15465" s="2" t="n"/>
    </row>
    <row r="15466">
      <c r="A15466" s="2" t="n"/>
    </row>
    <row r="15467">
      <c r="A15467" s="2" t="n"/>
    </row>
    <row r="15468">
      <c r="A15468" s="2" t="n"/>
    </row>
    <row r="15469">
      <c r="A15469" s="2" t="n"/>
    </row>
    <row r="15470">
      <c r="A15470" s="2" t="n"/>
    </row>
    <row r="15471">
      <c r="A15471" s="2" t="n"/>
    </row>
    <row r="15472">
      <c r="A15472" s="2" t="n"/>
    </row>
    <row r="15473">
      <c r="A15473" s="2" t="n"/>
    </row>
    <row r="15474">
      <c r="A15474" s="2" t="n"/>
    </row>
    <row r="15475">
      <c r="A15475" s="2" t="n"/>
    </row>
    <row r="15476">
      <c r="A15476" s="2" t="n"/>
    </row>
    <row r="15477">
      <c r="A15477" s="2" t="n"/>
    </row>
    <row r="15478">
      <c r="A15478" s="2" t="n"/>
    </row>
    <row r="15479">
      <c r="A15479" s="2" t="n"/>
    </row>
    <row r="15480">
      <c r="A15480" s="2" t="n"/>
    </row>
    <row r="15481">
      <c r="A15481" s="2" t="n"/>
    </row>
    <row r="15482">
      <c r="A15482" s="2" t="n"/>
    </row>
    <row r="15483">
      <c r="A15483" s="2" t="n"/>
    </row>
    <row r="15484">
      <c r="A15484" s="2" t="n"/>
    </row>
    <row r="15485">
      <c r="A15485" s="2" t="n"/>
    </row>
    <row r="15486">
      <c r="A15486" s="2" t="n"/>
    </row>
    <row r="15487">
      <c r="A15487" s="2" t="n"/>
    </row>
    <row r="15488">
      <c r="A15488" s="2" t="n"/>
    </row>
    <row r="15489">
      <c r="A15489" s="2" t="n"/>
    </row>
    <row r="15490">
      <c r="A15490" s="2" t="n"/>
    </row>
    <row r="15491">
      <c r="A15491" s="2" t="n"/>
    </row>
    <row r="15492">
      <c r="A15492" s="2" t="n"/>
    </row>
    <row r="15493">
      <c r="A15493" s="2" t="n"/>
    </row>
    <row r="15494">
      <c r="A15494" s="2" t="n"/>
    </row>
    <row r="15495">
      <c r="A15495" s="2" t="n"/>
    </row>
    <row r="15496">
      <c r="A15496" s="2" t="n"/>
    </row>
    <row r="15497">
      <c r="A15497" s="2" t="n"/>
    </row>
    <row r="15498">
      <c r="A15498" s="2" t="n"/>
    </row>
    <row r="15499">
      <c r="A15499" s="2" t="n"/>
    </row>
    <row r="15500">
      <c r="A15500" s="2" t="n"/>
    </row>
    <row r="15501">
      <c r="A15501" s="2" t="n"/>
    </row>
    <row r="15502">
      <c r="A15502" s="2" t="n"/>
    </row>
    <row r="15503">
      <c r="A15503" s="2" t="n"/>
    </row>
    <row r="15504">
      <c r="A15504" s="2" t="n"/>
    </row>
    <row r="15505">
      <c r="A15505" s="2" t="n"/>
    </row>
    <row r="15506">
      <c r="A15506" s="2" t="n"/>
    </row>
    <row r="15507">
      <c r="A15507" s="2" t="n"/>
    </row>
    <row r="15508">
      <c r="A15508" s="2" t="n"/>
    </row>
    <row r="15509">
      <c r="A15509" s="2" t="n"/>
    </row>
    <row r="15510">
      <c r="A15510" s="2" t="n"/>
    </row>
    <row r="15511">
      <c r="A15511" s="2" t="n"/>
    </row>
    <row r="15512">
      <c r="A15512" s="2" t="n"/>
    </row>
    <row r="15513">
      <c r="A15513" s="2" t="n"/>
    </row>
    <row r="15514">
      <c r="A15514" s="2" t="n"/>
    </row>
    <row r="15515">
      <c r="A15515" s="2" t="n"/>
    </row>
    <row r="15516">
      <c r="A15516" s="2" t="n"/>
    </row>
    <row r="15517">
      <c r="A15517" s="2" t="n"/>
    </row>
    <row r="15518">
      <c r="A15518" s="2" t="n"/>
    </row>
    <row r="15519">
      <c r="A15519" s="2" t="n"/>
    </row>
    <row r="15520">
      <c r="A15520" s="2" t="n"/>
    </row>
    <row r="15521">
      <c r="A15521" s="2" t="n"/>
    </row>
    <row r="15522">
      <c r="A15522" s="2" t="n"/>
    </row>
    <row r="15523">
      <c r="A15523" s="2" t="n"/>
    </row>
    <row r="15524">
      <c r="A15524" s="2" t="n"/>
    </row>
    <row r="15525">
      <c r="A15525" s="2" t="n"/>
    </row>
    <row r="15526">
      <c r="A15526" s="2" t="n"/>
    </row>
    <row r="15527">
      <c r="A15527" s="2" t="n"/>
    </row>
    <row r="15528">
      <c r="A15528" s="2" t="n"/>
    </row>
    <row r="15529">
      <c r="A15529" s="2" t="n"/>
    </row>
    <row r="15530">
      <c r="A15530" s="2" t="n"/>
    </row>
    <row r="15531">
      <c r="A15531" s="2" t="n"/>
    </row>
    <row r="15532">
      <c r="A15532" s="2" t="n"/>
    </row>
    <row r="15533">
      <c r="A15533" s="2" t="n"/>
    </row>
    <row r="15534">
      <c r="A15534" s="2" t="n"/>
    </row>
    <row r="15535">
      <c r="A15535" s="2" t="n"/>
    </row>
    <row r="15536">
      <c r="A15536" s="2" t="n"/>
    </row>
    <row r="15537">
      <c r="A15537" s="2" t="n"/>
    </row>
    <row r="15538">
      <c r="A15538" s="2" t="n"/>
    </row>
    <row r="15539">
      <c r="A15539" s="2" t="n"/>
    </row>
    <row r="15540">
      <c r="A15540" s="2" t="n"/>
    </row>
    <row r="15541">
      <c r="A15541" s="2" t="n"/>
    </row>
    <row r="15542">
      <c r="A15542" s="2" t="n"/>
    </row>
    <row r="15543">
      <c r="A15543" s="2" t="n"/>
    </row>
    <row r="15544">
      <c r="A15544" s="2" t="n"/>
    </row>
    <row r="15545">
      <c r="A15545" s="2" t="n"/>
    </row>
    <row r="15546">
      <c r="A15546" s="2" t="n"/>
    </row>
    <row r="15547">
      <c r="A15547" s="2" t="n"/>
    </row>
    <row r="15548">
      <c r="A15548" s="2" t="n"/>
    </row>
    <row r="15549">
      <c r="A15549" s="2" t="n"/>
    </row>
    <row r="15550">
      <c r="A15550" s="2" t="n"/>
    </row>
    <row r="15551">
      <c r="A15551" s="2" t="n"/>
    </row>
    <row r="15552">
      <c r="A15552" s="2" t="n"/>
    </row>
    <row r="15553">
      <c r="A15553" s="2" t="n"/>
    </row>
    <row r="15554">
      <c r="A15554" s="2" t="n"/>
    </row>
    <row r="15555">
      <c r="A15555" s="2" t="n"/>
    </row>
    <row r="15556">
      <c r="A15556" s="2" t="n"/>
    </row>
    <row r="15557">
      <c r="A15557" s="2" t="n"/>
    </row>
    <row r="15558">
      <c r="A15558" s="2" t="n"/>
    </row>
    <row r="15559">
      <c r="A15559" s="2" t="n"/>
    </row>
    <row r="15560">
      <c r="A15560" s="2" t="n"/>
    </row>
    <row r="15561">
      <c r="A15561" s="2" t="n"/>
    </row>
    <row r="15562">
      <c r="A15562" s="2" t="n"/>
    </row>
    <row r="15563">
      <c r="A15563" s="2" t="n"/>
    </row>
    <row r="15564">
      <c r="A15564" s="2" t="n"/>
    </row>
    <row r="15565">
      <c r="A15565" s="2" t="n"/>
    </row>
    <row r="15566">
      <c r="A15566" s="2" t="n"/>
    </row>
    <row r="15567">
      <c r="A15567" s="2" t="n"/>
    </row>
    <row r="15568">
      <c r="A15568" s="2" t="n"/>
    </row>
    <row r="15569">
      <c r="A15569" s="2" t="n"/>
    </row>
    <row r="15570">
      <c r="A15570" s="2" t="n"/>
    </row>
    <row r="15571">
      <c r="A15571" s="2" t="n"/>
    </row>
    <row r="15572">
      <c r="A15572" s="2" t="n"/>
    </row>
    <row r="15573">
      <c r="A15573" s="2" t="n"/>
    </row>
    <row r="15574">
      <c r="A15574" s="2" t="n"/>
    </row>
    <row r="15575">
      <c r="A15575" s="2" t="n"/>
    </row>
    <row r="15576">
      <c r="A15576" s="2" t="n"/>
    </row>
    <row r="15577">
      <c r="A15577" s="2" t="n"/>
    </row>
    <row r="15578">
      <c r="A15578" s="2" t="n"/>
    </row>
    <row r="15579">
      <c r="A15579" s="2" t="n"/>
    </row>
    <row r="15580">
      <c r="A15580" s="2" t="n"/>
    </row>
    <row r="15581">
      <c r="A15581" s="2" t="n"/>
    </row>
    <row r="15582">
      <c r="A15582" s="2" t="n"/>
    </row>
    <row r="15583">
      <c r="A15583" s="2" t="n"/>
    </row>
    <row r="15584">
      <c r="A15584" s="2" t="n"/>
    </row>
    <row r="15585">
      <c r="A15585" s="2" t="n"/>
    </row>
    <row r="15586">
      <c r="A15586" s="2" t="n"/>
    </row>
    <row r="15587">
      <c r="A15587" s="2" t="n"/>
    </row>
    <row r="15588">
      <c r="A15588" s="2" t="n"/>
    </row>
    <row r="15589">
      <c r="A15589" s="2" t="n"/>
    </row>
    <row r="15590">
      <c r="A15590" s="2" t="n"/>
    </row>
    <row r="15591">
      <c r="A15591" s="2" t="n"/>
    </row>
    <row r="15592">
      <c r="A15592" s="2" t="n"/>
    </row>
    <row r="15593">
      <c r="A15593" s="2" t="n"/>
    </row>
    <row r="15594">
      <c r="A15594" s="2" t="n"/>
    </row>
    <row r="15595">
      <c r="A15595" s="2" t="n"/>
    </row>
    <row r="15596">
      <c r="A15596" s="2" t="n"/>
    </row>
    <row r="15597">
      <c r="A15597" s="2" t="n"/>
    </row>
    <row r="15598">
      <c r="A15598" s="2" t="n"/>
    </row>
    <row r="15599">
      <c r="A15599" s="2" t="n"/>
    </row>
    <row r="15600">
      <c r="A15600" s="2" t="n"/>
    </row>
    <row r="15601">
      <c r="A15601" s="2" t="n"/>
    </row>
    <row r="15602">
      <c r="A15602" s="2" t="n"/>
    </row>
    <row r="15603">
      <c r="A15603" s="2" t="n"/>
    </row>
    <row r="15604">
      <c r="A15604" s="2" t="n"/>
    </row>
    <row r="15605">
      <c r="A15605" s="2" t="n"/>
    </row>
    <row r="15606">
      <c r="A15606" s="2" t="n"/>
    </row>
    <row r="15607">
      <c r="A15607" s="2" t="n"/>
    </row>
    <row r="15608">
      <c r="A15608" s="2" t="n"/>
    </row>
    <row r="15609">
      <c r="A15609" s="2" t="n"/>
    </row>
    <row r="15610">
      <c r="A15610" s="2" t="n"/>
    </row>
    <row r="15611">
      <c r="A15611" s="2" t="n"/>
    </row>
    <row r="15612">
      <c r="A15612" s="2" t="n"/>
    </row>
    <row r="15613">
      <c r="A15613" s="2" t="n"/>
    </row>
    <row r="15614">
      <c r="A15614" s="2" t="n"/>
    </row>
    <row r="15615">
      <c r="A15615" s="2" t="n"/>
    </row>
    <row r="15616">
      <c r="A15616" s="2" t="n"/>
    </row>
    <row r="15617">
      <c r="A15617" s="2" t="n"/>
    </row>
    <row r="15618">
      <c r="A15618" s="2" t="n"/>
    </row>
    <row r="15619">
      <c r="A15619" s="2" t="n"/>
    </row>
    <row r="15620">
      <c r="A15620" s="2" t="n"/>
    </row>
    <row r="15621">
      <c r="A15621" s="2" t="n"/>
    </row>
    <row r="15622">
      <c r="A15622" s="2" t="n"/>
    </row>
    <row r="15623">
      <c r="A15623" s="2" t="n"/>
    </row>
    <row r="15624">
      <c r="A15624" s="2" t="n"/>
    </row>
    <row r="15625">
      <c r="A15625" s="2" t="n"/>
    </row>
    <row r="15626">
      <c r="A15626" s="2" t="n"/>
    </row>
    <row r="15627">
      <c r="A15627" s="2" t="n"/>
    </row>
    <row r="15628">
      <c r="A15628" s="2" t="n"/>
    </row>
    <row r="15629">
      <c r="A15629" s="2" t="n"/>
    </row>
    <row r="15630">
      <c r="A15630" s="2" t="n"/>
    </row>
    <row r="15631">
      <c r="A15631" s="2" t="n"/>
    </row>
    <row r="15632">
      <c r="A15632" s="2" t="n"/>
    </row>
    <row r="15633">
      <c r="A15633" s="2" t="n"/>
    </row>
    <row r="15634">
      <c r="A15634" s="2" t="n"/>
    </row>
    <row r="15635">
      <c r="A15635" s="2" t="n"/>
    </row>
    <row r="15636">
      <c r="A15636" s="2" t="n"/>
    </row>
    <row r="15637">
      <c r="A15637" s="2" t="n"/>
    </row>
    <row r="15638">
      <c r="A15638" s="2" t="n"/>
    </row>
    <row r="15639">
      <c r="A15639" s="2" t="n"/>
    </row>
    <row r="15640">
      <c r="A15640" s="2" t="n"/>
    </row>
    <row r="15641">
      <c r="A15641" s="2" t="n"/>
    </row>
    <row r="15642">
      <c r="A15642" s="2" t="n"/>
    </row>
    <row r="15643">
      <c r="A15643" s="2" t="n"/>
    </row>
    <row r="15644">
      <c r="A15644" s="2" t="n"/>
    </row>
    <row r="15645">
      <c r="A15645" s="2" t="n"/>
    </row>
    <row r="15646">
      <c r="A15646" s="2" t="n"/>
    </row>
    <row r="15647">
      <c r="A15647" s="2" t="n"/>
    </row>
    <row r="15648">
      <c r="A15648" s="2" t="n"/>
    </row>
    <row r="15649">
      <c r="A15649" s="2" t="n"/>
    </row>
    <row r="15650">
      <c r="A15650" s="2" t="n"/>
    </row>
    <row r="15651">
      <c r="A15651" s="2" t="n"/>
    </row>
    <row r="15652">
      <c r="A15652" s="2" t="n"/>
    </row>
    <row r="15653">
      <c r="A15653" s="2" t="n"/>
    </row>
    <row r="15654">
      <c r="A15654" s="2" t="n"/>
    </row>
    <row r="15655">
      <c r="A15655" s="2" t="n"/>
    </row>
    <row r="15656">
      <c r="A15656" s="2" t="n"/>
    </row>
    <row r="15657">
      <c r="A15657" s="2" t="n"/>
    </row>
    <row r="15658">
      <c r="A15658" s="2" t="n"/>
    </row>
    <row r="15659">
      <c r="A15659" s="2" t="n"/>
    </row>
    <row r="15660">
      <c r="A15660" s="2" t="n"/>
    </row>
    <row r="15661">
      <c r="A15661" s="2" t="n"/>
    </row>
    <row r="15662">
      <c r="A15662" s="2" t="n"/>
    </row>
    <row r="15663">
      <c r="A15663" s="2" t="n"/>
    </row>
    <row r="15664">
      <c r="A15664" s="2" t="n"/>
    </row>
    <row r="15665">
      <c r="A15665" s="2" t="n"/>
    </row>
    <row r="15666">
      <c r="A15666" s="2" t="n"/>
    </row>
    <row r="15667">
      <c r="A15667" s="2" t="n"/>
    </row>
    <row r="15668">
      <c r="A15668" s="2" t="n"/>
    </row>
    <row r="15669">
      <c r="A15669" s="2" t="n"/>
    </row>
    <row r="15670">
      <c r="A15670" s="2" t="n"/>
    </row>
    <row r="15671">
      <c r="A15671" s="2" t="n"/>
    </row>
    <row r="15672">
      <c r="A15672" s="2" t="n"/>
    </row>
    <row r="15673">
      <c r="A15673" s="2" t="n"/>
    </row>
    <row r="15674">
      <c r="A15674" s="2" t="n"/>
    </row>
    <row r="15675">
      <c r="A15675" s="2" t="n"/>
    </row>
    <row r="15676">
      <c r="A15676" s="2" t="n"/>
    </row>
    <row r="15677">
      <c r="A15677" s="2" t="n"/>
    </row>
    <row r="15678">
      <c r="A15678" s="2" t="n"/>
    </row>
    <row r="15679">
      <c r="A15679" s="2" t="n"/>
    </row>
    <row r="15680">
      <c r="A15680" s="2" t="n"/>
    </row>
    <row r="15681">
      <c r="A15681" s="2" t="n"/>
    </row>
    <row r="15682">
      <c r="A15682" s="2" t="n"/>
    </row>
    <row r="15683">
      <c r="A15683" s="2" t="n"/>
    </row>
    <row r="15684">
      <c r="A15684" s="2" t="n"/>
    </row>
    <row r="15685">
      <c r="A15685" s="2" t="n"/>
    </row>
    <row r="15686">
      <c r="A15686" s="2" t="n"/>
    </row>
    <row r="15687">
      <c r="A15687" s="2" t="n"/>
    </row>
    <row r="15688">
      <c r="A15688" s="2" t="n"/>
    </row>
    <row r="15689">
      <c r="A15689" s="2" t="n"/>
    </row>
    <row r="15690">
      <c r="A15690" s="2" t="n"/>
    </row>
    <row r="15691">
      <c r="A15691" s="2" t="n"/>
    </row>
    <row r="15692">
      <c r="A15692" s="2" t="n"/>
    </row>
    <row r="15693">
      <c r="A15693" s="2" t="n"/>
    </row>
    <row r="15694">
      <c r="A15694" s="2" t="n"/>
    </row>
    <row r="15695">
      <c r="A15695" s="2" t="n"/>
    </row>
    <row r="15696">
      <c r="A15696" s="2" t="n"/>
    </row>
    <row r="15697">
      <c r="A15697" s="2" t="n"/>
    </row>
    <row r="15698">
      <c r="A15698" s="2" t="n"/>
    </row>
    <row r="15699">
      <c r="A15699" s="2" t="n"/>
    </row>
    <row r="15700">
      <c r="A15700" s="2" t="n"/>
    </row>
    <row r="15701">
      <c r="A15701" s="2" t="n"/>
    </row>
    <row r="15702">
      <c r="A15702" s="2" t="n"/>
    </row>
    <row r="15703">
      <c r="A15703" s="2" t="n"/>
    </row>
    <row r="15704">
      <c r="A15704" s="2" t="n"/>
    </row>
    <row r="15705">
      <c r="A15705" s="2" t="n"/>
    </row>
    <row r="15706">
      <c r="A15706" s="2" t="n"/>
    </row>
    <row r="15707">
      <c r="A15707" s="2" t="n"/>
    </row>
    <row r="15708">
      <c r="A15708" s="2" t="n"/>
    </row>
    <row r="15709">
      <c r="A15709" s="2" t="n"/>
    </row>
    <row r="15710">
      <c r="A15710" s="2" t="n"/>
    </row>
    <row r="15711">
      <c r="A15711" s="2" t="n"/>
    </row>
    <row r="15712">
      <c r="A15712" s="2" t="n"/>
    </row>
    <row r="15713">
      <c r="A15713" s="2" t="n"/>
    </row>
    <row r="15714">
      <c r="A15714" s="2" t="n"/>
    </row>
    <row r="15715">
      <c r="A15715" s="2" t="n"/>
    </row>
    <row r="15716">
      <c r="A15716" s="2" t="n"/>
    </row>
    <row r="15717">
      <c r="A15717" s="2" t="n"/>
    </row>
    <row r="15718">
      <c r="A15718" s="2" t="n"/>
    </row>
    <row r="15719">
      <c r="A15719" s="2" t="n"/>
    </row>
    <row r="15720">
      <c r="A15720" s="2" t="n"/>
    </row>
    <row r="15721">
      <c r="A15721" s="2" t="n"/>
    </row>
    <row r="15722">
      <c r="A15722" s="2" t="n"/>
    </row>
    <row r="15723">
      <c r="A15723" s="2" t="n"/>
    </row>
    <row r="15724">
      <c r="A15724" s="2" t="n"/>
    </row>
    <row r="15725">
      <c r="A15725" s="2" t="n"/>
    </row>
    <row r="15726">
      <c r="A15726" s="2" t="n"/>
    </row>
    <row r="15727">
      <c r="A15727" s="2" t="n"/>
    </row>
    <row r="15728">
      <c r="A15728" s="2" t="n"/>
    </row>
    <row r="15729">
      <c r="A15729" s="2" t="n"/>
    </row>
    <row r="15730">
      <c r="A15730" s="2" t="n"/>
    </row>
    <row r="15731">
      <c r="A15731" s="2" t="n"/>
    </row>
    <row r="15732">
      <c r="A15732" s="2" t="n"/>
    </row>
    <row r="15733">
      <c r="A15733" s="2" t="n"/>
    </row>
    <row r="15734">
      <c r="A15734" s="2" t="n"/>
    </row>
    <row r="15735">
      <c r="A15735" s="2" t="n"/>
    </row>
    <row r="15736">
      <c r="A15736" s="2" t="n"/>
    </row>
    <row r="15737">
      <c r="A15737" s="2" t="n"/>
    </row>
    <row r="15738">
      <c r="A15738" s="2" t="n"/>
    </row>
    <row r="15739">
      <c r="A15739" s="2" t="n"/>
    </row>
    <row r="15740">
      <c r="A15740" s="2" t="n"/>
    </row>
    <row r="15741">
      <c r="A15741" s="2" t="n"/>
    </row>
    <row r="15742">
      <c r="A15742" s="2" t="n"/>
    </row>
    <row r="15743">
      <c r="A15743" s="2" t="n"/>
    </row>
    <row r="15744">
      <c r="A15744" s="2" t="n"/>
    </row>
    <row r="15745">
      <c r="A15745" s="2" t="n"/>
    </row>
    <row r="15746">
      <c r="A15746" s="2" t="n"/>
    </row>
    <row r="15747">
      <c r="A15747" s="2" t="n"/>
    </row>
    <row r="15748">
      <c r="A15748" s="2" t="n"/>
    </row>
    <row r="15749">
      <c r="A15749" s="2" t="n"/>
    </row>
    <row r="15750">
      <c r="A15750" s="2" t="n"/>
    </row>
    <row r="15751">
      <c r="A15751" s="2" t="n"/>
    </row>
    <row r="15752">
      <c r="A15752" s="2" t="n"/>
    </row>
    <row r="15753">
      <c r="A15753" s="2" t="n"/>
    </row>
    <row r="15754">
      <c r="A15754" s="2" t="n"/>
    </row>
    <row r="15755">
      <c r="A15755" s="2" t="n"/>
    </row>
    <row r="15756">
      <c r="A15756" s="2" t="n"/>
    </row>
    <row r="15757">
      <c r="A15757" s="2" t="n"/>
    </row>
    <row r="15758">
      <c r="A15758" s="2" t="n"/>
    </row>
    <row r="15759">
      <c r="A15759" s="2" t="n"/>
    </row>
    <row r="15760">
      <c r="A15760" s="2" t="n"/>
    </row>
    <row r="15761">
      <c r="A15761" s="2" t="n"/>
    </row>
    <row r="15762">
      <c r="A15762" s="2" t="n"/>
    </row>
    <row r="15763">
      <c r="A15763" s="2" t="n"/>
    </row>
    <row r="15764">
      <c r="A15764" s="2" t="n"/>
    </row>
    <row r="15765">
      <c r="A15765" s="2" t="n"/>
    </row>
    <row r="15766">
      <c r="A15766" s="2" t="n"/>
    </row>
    <row r="15767">
      <c r="A15767" s="2" t="n"/>
    </row>
    <row r="15768">
      <c r="A15768" s="2" t="n"/>
    </row>
    <row r="15769">
      <c r="A15769" s="2" t="n"/>
    </row>
    <row r="15770">
      <c r="A15770" s="2" t="n"/>
    </row>
    <row r="15771">
      <c r="A15771" s="2" t="n"/>
    </row>
    <row r="15772">
      <c r="A15772" s="2" t="n"/>
    </row>
    <row r="15773">
      <c r="A15773" s="2" t="n"/>
    </row>
    <row r="15774">
      <c r="A15774" s="2" t="n"/>
    </row>
    <row r="15775">
      <c r="A15775" s="2" t="n"/>
    </row>
    <row r="15776">
      <c r="A15776" s="2" t="n"/>
    </row>
    <row r="15777">
      <c r="A15777" s="2" t="n"/>
    </row>
    <row r="15778">
      <c r="A15778" s="2" t="n"/>
    </row>
    <row r="15779">
      <c r="A15779" s="2" t="n"/>
    </row>
    <row r="15780">
      <c r="A15780" s="2" t="n"/>
    </row>
    <row r="15781">
      <c r="A15781" s="2" t="n"/>
    </row>
    <row r="15782">
      <c r="A15782" s="2" t="n"/>
    </row>
    <row r="15783">
      <c r="A15783" s="2" t="n"/>
    </row>
    <row r="15784">
      <c r="A15784" s="2" t="n"/>
    </row>
    <row r="15785">
      <c r="A15785" s="2" t="n"/>
    </row>
    <row r="15786">
      <c r="A15786" s="2" t="n"/>
    </row>
    <row r="15787">
      <c r="A15787" s="2" t="n"/>
    </row>
    <row r="15788">
      <c r="A15788" s="2" t="n"/>
    </row>
    <row r="15789">
      <c r="A15789" s="2" t="n"/>
    </row>
    <row r="15790">
      <c r="A15790" s="2" t="n"/>
    </row>
    <row r="15791">
      <c r="A15791" s="2" t="n"/>
    </row>
    <row r="15792">
      <c r="A15792" s="2" t="n"/>
    </row>
    <row r="15793">
      <c r="A15793" s="2" t="n"/>
    </row>
    <row r="15794">
      <c r="A15794" s="2" t="n"/>
    </row>
    <row r="15795">
      <c r="A15795" s="2" t="n"/>
    </row>
    <row r="15796">
      <c r="A15796" s="2" t="n"/>
    </row>
    <row r="15797">
      <c r="A15797" s="2" t="n"/>
    </row>
    <row r="15798">
      <c r="A15798" s="2" t="n"/>
    </row>
    <row r="15799">
      <c r="A15799" s="2" t="n"/>
    </row>
    <row r="15800">
      <c r="A15800" s="2" t="n"/>
    </row>
    <row r="15801">
      <c r="A15801" s="2" t="n"/>
    </row>
    <row r="15802">
      <c r="A15802" s="2" t="n"/>
    </row>
    <row r="15803">
      <c r="A15803" s="2" t="n"/>
    </row>
    <row r="15804">
      <c r="A15804" s="2" t="n"/>
    </row>
    <row r="15805">
      <c r="A15805" s="2" t="n"/>
    </row>
    <row r="15806">
      <c r="A15806" s="2" t="n"/>
    </row>
    <row r="15807">
      <c r="A15807" s="2" t="n"/>
    </row>
    <row r="15808">
      <c r="A15808" s="2" t="n"/>
    </row>
    <row r="15809">
      <c r="A15809" s="2" t="n"/>
    </row>
    <row r="15810">
      <c r="A15810" s="2" t="n"/>
    </row>
    <row r="15811">
      <c r="A15811" s="2" t="n"/>
    </row>
    <row r="15812">
      <c r="A15812" s="2" t="n"/>
    </row>
    <row r="15813">
      <c r="A15813" s="2" t="n"/>
    </row>
    <row r="15814">
      <c r="A15814" s="2" t="n"/>
    </row>
    <row r="15815">
      <c r="A15815" s="2" t="n"/>
    </row>
    <row r="15816">
      <c r="A15816" s="2" t="n"/>
    </row>
    <row r="15817">
      <c r="A15817" s="2" t="n"/>
    </row>
    <row r="15818">
      <c r="A15818" s="2" t="n"/>
    </row>
    <row r="15819">
      <c r="A15819" s="2" t="n"/>
    </row>
    <row r="15820">
      <c r="A15820" s="2" t="n"/>
    </row>
    <row r="15821">
      <c r="A15821" s="2" t="n"/>
    </row>
    <row r="15822">
      <c r="A15822" s="2" t="n"/>
    </row>
    <row r="15823">
      <c r="A15823" s="2" t="n"/>
    </row>
    <row r="15824">
      <c r="A15824" s="2" t="n"/>
    </row>
    <row r="15825">
      <c r="A15825" s="2" t="n"/>
    </row>
    <row r="15826">
      <c r="A15826" s="2" t="n"/>
    </row>
    <row r="15827">
      <c r="A15827" s="2" t="n"/>
    </row>
    <row r="15828">
      <c r="A15828" s="2" t="n"/>
    </row>
    <row r="15829">
      <c r="A15829" s="2" t="n"/>
    </row>
    <row r="15830">
      <c r="A15830" s="2" t="n"/>
    </row>
    <row r="15831">
      <c r="A15831" s="2" t="n"/>
    </row>
    <row r="15832">
      <c r="A15832" s="2" t="n"/>
    </row>
    <row r="15833">
      <c r="A15833" s="2" t="n"/>
    </row>
    <row r="15834">
      <c r="A15834" s="2" t="n"/>
    </row>
    <row r="15835">
      <c r="A15835" s="2" t="n"/>
    </row>
    <row r="15836">
      <c r="A15836" s="2" t="n"/>
    </row>
    <row r="15837">
      <c r="A15837" s="2" t="n"/>
    </row>
    <row r="15838">
      <c r="A15838" s="2" t="n"/>
    </row>
    <row r="15839">
      <c r="A15839" s="2" t="n"/>
    </row>
    <row r="15840">
      <c r="A15840" s="2" t="n"/>
    </row>
    <row r="15841">
      <c r="A15841" s="2" t="n"/>
    </row>
    <row r="15842">
      <c r="A15842" s="2" t="n"/>
    </row>
    <row r="15843">
      <c r="A15843" s="2" t="n"/>
    </row>
    <row r="15844">
      <c r="A15844" s="2" t="n"/>
    </row>
    <row r="15845">
      <c r="A15845" s="2" t="n"/>
    </row>
    <row r="15846">
      <c r="A15846" s="2" t="n"/>
    </row>
    <row r="15847">
      <c r="A15847" s="2" t="n"/>
    </row>
    <row r="15848">
      <c r="A15848" s="2" t="n"/>
    </row>
    <row r="15849">
      <c r="A15849" s="2" t="n"/>
    </row>
    <row r="15850">
      <c r="A15850" s="2" t="n"/>
    </row>
    <row r="15851">
      <c r="A15851" s="2" t="n"/>
    </row>
    <row r="15852">
      <c r="A15852" s="2" t="n"/>
    </row>
    <row r="15853">
      <c r="A15853" s="2" t="n"/>
    </row>
    <row r="15854">
      <c r="A15854" s="2" t="n"/>
    </row>
    <row r="15855">
      <c r="A15855" s="2" t="n"/>
    </row>
    <row r="15856">
      <c r="A15856" s="2" t="n"/>
    </row>
    <row r="15857">
      <c r="A15857" s="2" t="n"/>
    </row>
    <row r="15858">
      <c r="A15858" s="2" t="n"/>
    </row>
    <row r="15859">
      <c r="A15859" s="2" t="n"/>
    </row>
    <row r="15860">
      <c r="A15860" s="2" t="n"/>
    </row>
    <row r="15861">
      <c r="A15861" s="2" t="n"/>
    </row>
    <row r="15862">
      <c r="A15862" s="2" t="n"/>
    </row>
    <row r="15863">
      <c r="A15863" s="2" t="n"/>
    </row>
    <row r="15864">
      <c r="A15864" s="2" t="n"/>
    </row>
    <row r="15865">
      <c r="A15865" s="2" t="n"/>
    </row>
    <row r="15866">
      <c r="A15866" s="2" t="n"/>
    </row>
    <row r="15867">
      <c r="A15867" s="2" t="n"/>
    </row>
    <row r="15868">
      <c r="A15868" s="2" t="n"/>
    </row>
    <row r="15869">
      <c r="A15869" s="2" t="n"/>
    </row>
    <row r="15870">
      <c r="A15870" s="2" t="n"/>
    </row>
    <row r="15871">
      <c r="A15871" s="2" t="n"/>
    </row>
    <row r="15872">
      <c r="A15872" s="2" t="n"/>
    </row>
    <row r="15873">
      <c r="A15873" s="2" t="n"/>
    </row>
    <row r="15874">
      <c r="A15874" s="2" t="n"/>
    </row>
    <row r="15875">
      <c r="A15875" s="2" t="n"/>
    </row>
    <row r="15876">
      <c r="A15876" s="2" t="n"/>
    </row>
    <row r="15877">
      <c r="A15877" s="2" t="n"/>
    </row>
    <row r="15878">
      <c r="A15878" s="2" t="n"/>
    </row>
    <row r="15879">
      <c r="A15879" s="2" t="n"/>
    </row>
    <row r="15880">
      <c r="A15880" s="2" t="n"/>
    </row>
    <row r="15881">
      <c r="A15881" s="2" t="n"/>
    </row>
    <row r="15882">
      <c r="A15882" s="2" t="n"/>
    </row>
    <row r="15883">
      <c r="A15883" s="2" t="n"/>
    </row>
    <row r="15884">
      <c r="A15884" s="2" t="n"/>
    </row>
    <row r="15885">
      <c r="A15885" s="2" t="n"/>
    </row>
    <row r="15886">
      <c r="A15886" s="2" t="n"/>
    </row>
    <row r="15887">
      <c r="A15887" s="2" t="n"/>
    </row>
    <row r="15888">
      <c r="A15888" s="2" t="n"/>
    </row>
    <row r="15889">
      <c r="A15889" s="2" t="n"/>
    </row>
    <row r="15890">
      <c r="A15890" s="2" t="n"/>
    </row>
    <row r="15891">
      <c r="A15891" s="2" t="n"/>
    </row>
    <row r="15892">
      <c r="A15892" s="2" t="n"/>
    </row>
    <row r="15893">
      <c r="A15893" s="2" t="n"/>
    </row>
    <row r="15894">
      <c r="A15894" s="2" t="n"/>
    </row>
    <row r="15895">
      <c r="A15895" s="2" t="n"/>
    </row>
    <row r="15896">
      <c r="A15896" s="2" t="n"/>
    </row>
    <row r="15897">
      <c r="A15897" s="2" t="n"/>
    </row>
    <row r="15898">
      <c r="A15898" s="2" t="n"/>
    </row>
    <row r="15899">
      <c r="A15899" s="2" t="n"/>
    </row>
    <row r="15900">
      <c r="A15900" s="2" t="n"/>
    </row>
    <row r="15901">
      <c r="A15901" s="2" t="n"/>
    </row>
    <row r="15902">
      <c r="A15902" s="2" t="n"/>
    </row>
    <row r="15903">
      <c r="A15903" s="2" t="n"/>
    </row>
    <row r="15904">
      <c r="A15904" s="2" t="n"/>
    </row>
    <row r="15905">
      <c r="A15905" s="2" t="n"/>
    </row>
    <row r="15906">
      <c r="A15906" s="2" t="n"/>
    </row>
    <row r="15907">
      <c r="A15907" s="2" t="n"/>
    </row>
    <row r="15908">
      <c r="A15908" s="2" t="n"/>
    </row>
    <row r="15909">
      <c r="A15909" s="2" t="n"/>
    </row>
    <row r="15910">
      <c r="A15910" s="2" t="n"/>
    </row>
    <row r="15911">
      <c r="A15911" s="2" t="n"/>
    </row>
    <row r="15912">
      <c r="A15912" s="2" t="n"/>
    </row>
    <row r="15913">
      <c r="A15913" s="2" t="n"/>
    </row>
    <row r="15914">
      <c r="A15914" s="2" t="n"/>
    </row>
    <row r="15915">
      <c r="A15915" s="2" t="n"/>
    </row>
    <row r="15916">
      <c r="A15916" s="2" t="n"/>
    </row>
    <row r="15917">
      <c r="A15917" s="2" t="n"/>
    </row>
    <row r="15918">
      <c r="A15918" s="2" t="n"/>
    </row>
    <row r="15919">
      <c r="A15919" s="2" t="n"/>
    </row>
    <row r="15920">
      <c r="A15920" s="2" t="n"/>
    </row>
    <row r="15921">
      <c r="A15921" s="2" t="n"/>
    </row>
    <row r="15922">
      <c r="A15922" s="2" t="n"/>
    </row>
    <row r="15923">
      <c r="A15923" s="2" t="n"/>
    </row>
    <row r="15924">
      <c r="A15924" s="2" t="n"/>
    </row>
    <row r="15925">
      <c r="A15925" s="2" t="n"/>
    </row>
    <row r="15926">
      <c r="A15926" s="2" t="n"/>
    </row>
    <row r="15927">
      <c r="A15927" s="2" t="n"/>
    </row>
    <row r="15928">
      <c r="A15928" s="2" t="n"/>
    </row>
    <row r="15929">
      <c r="A15929" s="2" t="n"/>
    </row>
    <row r="15930">
      <c r="A15930" s="2" t="n"/>
    </row>
    <row r="15931">
      <c r="A15931" s="2" t="n"/>
    </row>
    <row r="15932">
      <c r="A15932" s="2" t="n"/>
    </row>
    <row r="15933">
      <c r="A15933" s="2" t="n"/>
    </row>
    <row r="15934">
      <c r="A15934" s="2" t="n"/>
    </row>
    <row r="15935">
      <c r="A15935" s="2" t="n"/>
    </row>
    <row r="15936">
      <c r="A15936" s="2" t="n"/>
    </row>
    <row r="15937">
      <c r="A15937" s="2" t="n"/>
    </row>
    <row r="15938">
      <c r="A15938" s="2" t="n"/>
    </row>
    <row r="15939">
      <c r="A15939" s="2" t="n"/>
    </row>
    <row r="15940">
      <c r="A15940" s="2" t="n"/>
    </row>
    <row r="15941">
      <c r="A15941" s="2" t="n"/>
    </row>
    <row r="15942">
      <c r="A15942" s="2" t="n"/>
    </row>
    <row r="15943">
      <c r="A15943" s="2" t="n"/>
    </row>
    <row r="15944">
      <c r="A15944" s="2" t="n"/>
    </row>
    <row r="15945">
      <c r="A15945" s="2" t="n"/>
    </row>
    <row r="15946">
      <c r="A15946" s="2" t="n"/>
    </row>
    <row r="15947">
      <c r="A15947" s="2" t="n"/>
    </row>
    <row r="15948">
      <c r="A15948" s="2" t="n"/>
    </row>
    <row r="15949">
      <c r="A15949" s="2" t="n"/>
    </row>
    <row r="15950">
      <c r="A15950" s="2" t="n"/>
    </row>
    <row r="15951">
      <c r="A15951" s="2" t="n"/>
    </row>
    <row r="15952">
      <c r="A15952" s="2" t="n"/>
    </row>
    <row r="15953">
      <c r="A15953" s="2" t="n"/>
    </row>
    <row r="15954">
      <c r="A15954" s="2" t="n"/>
    </row>
    <row r="15955">
      <c r="A15955" s="2" t="n"/>
    </row>
    <row r="15956">
      <c r="A15956" s="2" t="n"/>
    </row>
    <row r="15957">
      <c r="A15957" s="2" t="n"/>
    </row>
    <row r="15958">
      <c r="A15958" s="2" t="n"/>
    </row>
    <row r="15959">
      <c r="A15959" s="2" t="n"/>
    </row>
    <row r="15960">
      <c r="A15960" s="2" t="n"/>
    </row>
    <row r="15961">
      <c r="A15961" s="2" t="n"/>
    </row>
    <row r="15962">
      <c r="A15962" s="2" t="n"/>
    </row>
    <row r="15963">
      <c r="A15963" s="2" t="n"/>
    </row>
    <row r="15964">
      <c r="A15964" s="2" t="n"/>
    </row>
    <row r="15965">
      <c r="A15965" s="2" t="n"/>
    </row>
    <row r="15966">
      <c r="A15966" s="2" t="n"/>
    </row>
    <row r="15967">
      <c r="A15967" s="2" t="n"/>
    </row>
    <row r="15968">
      <c r="A15968" s="2" t="n"/>
    </row>
    <row r="15969">
      <c r="A15969" s="2" t="n"/>
    </row>
    <row r="15970">
      <c r="A15970" s="2" t="n"/>
    </row>
    <row r="15971">
      <c r="A15971" s="2" t="n"/>
    </row>
    <row r="15972">
      <c r="A15972" s="2" t="n"/>
    </row>
    <row r="15973">
      <c r="A15973" s="2" t="n"/>
    </row>
    <row r="15974">
      <c r="A15974" s="2" t="n"/>
    </row>
    <row r="15975">
      <c r="A15975" s="2" t="n"/>
    </row>
    <row r="15976">
      <c r="A15976" s="2" t="n"/>
    </row>
    <row r="15977">
      <c r="A15977" s="2" t="n"/>
    </row>
    <row r="15978">
      <c r="A15978" s="2" t="n"/>
    </row>
    <row r="15979">
      <c r="A15979" s="2" t="n"/>
    </row>
    <row r="15980">
      <c r="A15980" s="2" t="n"/>
    </row>
    <row r="15981">
      <c r="A15981" s="2" t="n"/>
    </row>
    <row r="15982">
      <c r="A15982" s="2" t="n"/>
    </row>
    <row r="15983">
      <c r="A15983" s="2" t="n"/>
    </row>
    <row r="15984">
      <c r="A15984" s="2" t="n"/>
    </row>
    <row r="15985">
      <c r="A15985" s="2" t="n"/>
    </row>
    <row r="15986">
      <c r="A15986" s="2" t="n"/>
    </row>
    <row r="15987">
      <c r="A15987" s="2" t="n"/>
    </row>
    <row r="15988">
      <c r="A15988" s="2" t="n"/>
    </row>
    <row r="15989">
      <c r="A15989" s="2" t="n"/>
    </row>
    <row r="15990">
      <c r="A15990" s="2" t="n"/>
    </row>
    <row r="15991">
      <c r="A15991" s="2" t="n"/>
    </row>
    <row r="15992">
      <c r="A15992" s="2" t="n"/>
    </row>
    <row r="15993">
      <c r="A15993" s="2" t="n"/>
    </row>
    <row r="15994">
      <c r="A15994" s="2" t="n"/>
    </row>
    <row r="15995">
      <c r="A15995" s="2" t="n"/>
    </row>
    <row r="15996">
      <c r="A15996" s="2" t="n"/>
    </row>
    <row r="15997">
      <c r="A15997" s="2" t="n"/>
    </row>
    <row r="15998">
      <c r="A15998" s="2" t="n"/>
    </row>
    <row r="15999">
      <c r="A15999" s="2" t="n"/>
    </row>
    <row r="16000">
      <c r="A16000" s="2" t="n"/>
    </row>
    <row r="16001">
      <c r="A16001" s="2" t="n"/>
    </row>
    <row r="16002">
      <c r="A16002" s="2" t="n"/>
    </row>
    <row r="16003">
      <c r="A16003" s="2" t="n"/>
    </row>
    <row r="16004">
      <c r="A16004" s="2" t="n"/>
    </row>
    <row r="16005">
      <c r="A16005" s="2" t="n"/>
    </row>
    <row r="16006">
      <c r="A16006" s="2" t="n"/>
    </row>
    <row r="16007">
      <c r="A16007" s="2" t="n"/>
    </row>
    <row r="16008">
      <c r="A16008" s="2" t="n"/>
    </row>
    <row r="16009">
      <c r="A16009" s="2" t="n"/>
    </row>
    <row r="16010">
      <c r="A16010" s="2" t="n"/>
    </row>
    <row r="16011">
      <c r="A16011" s="2" t="n"/>
    </row>
    <row r="16012">
      <c r="A16012" s="2" t="n"/>
    </row>
    <row r="16013">
      <c r="A16013" s="2" t="n"/>
    </row>
    <row r="16014">
      <c r="A16014" s="2" t="n"/>
    </row>
    <row r="16015">
      <c r="A16015" s="2" t="n"/>
    </row>
    <row r="16016">
      <c r="A16016" s="2" t="n"/>
    </row>
    <row r="16017">
      <c r="A16017" s="2" t="n"/>
    </row>
    <row r="16018">
      <c r="A16018" s="2" t="n"/>
    </row>
    <row r="16019">
      <c r="A16019" s="2" t="n"/>
    </row>
    <row r="16020">
      <c r="A16020" s="2" t="n"/>
    </row>
    <row r="16021">
      <c r="A16021" s="2" t="n"/>
    </row>
    <row r="16022">
      <c r="A16022" s="2" t="n"/>
    </row>
    <row r="16023">
      <c r="A16023" s="2" t="n"/>
    </row>
    <row r="16024">
      <c r="A16024" s="2" t="n"/>
    </row>
    <row r="16025">
      <c r="A16025" s="2" t="n"/>
    </row>
    <row r="16026">
      <c r="A16026" s="2" t="n"/>
    </row>
    <row r="16027">
      <c r="A16027" s="2" t="n"/>
    </row>
    <row r="16028">
      <c r="A16028" s="2" t="n"/>
    </row>
    <row r="16029">
      <c r="A16029" s="2" t="n"/>
    </row>
    <row r="16030">
      <c r="A16030" s="2" t="n"/>
    </row>
    <row r="16031">
      <c r="A16031" s="2" t="n"/>
    </row>
    <row r="16032">
      <c r="A16032" s="2" t="n"/>
    </row>
    <row r="16033">
      <c r="A16033" s="2" t="n"/>
    </row>
    <row r="16034">
      <c r="A16034" s="2" t="n"/>
    </row>
    <row r="16035">
      <c r="A16035" s="2" t="n"/>
    </row>
    <row r="16036">
      <c r="A16036" s="2" t="n"/>
    </row>
    <row r="16037">
      <c r="A16037" s="2" t="n"/>
    </row>
    <row r="16038">
      <c r="A16038" s="2" t="n"/>
    </row>
    <row r="16039">
      <c r="A16039" s="2" t="n"/>
    </row>
    <row r="16040">
      <c r="A16040" s="2" t="n"/>
    </row>
    <row r="16041">
      <c r="A16041" s="2" t="n"/>
    </row>
    <row r="16042">
      <c r="A16042" s="2" t="n"/>
    </row>
    <row r="16043">
      <c r="A16043" s="2" t="n"/>
    </row>
    <row r="16044">
      <c r="A16044" s="2" t="n"/>
    </row>
    <row r="16045">
      <c r="A16045" s="2" t="n"/>
    </row>
    <row r="16046">
      <c r="A16046" s="2" t="n"/>
    </row>
    <row r="16047">
      <c r="A16047" s="2" t="n"/>
    </row>
    <row r="16048">
      <c r="A16048" s="2" t="n"/>
    </row>
    <row r="16049">
      <c r="A16049" s="2" t="n"/>
    </row>
    <row r="16050">
      <c r="A16050" s="2" t="n"/>
    </row>
    <row r="16051">
      <c r="A16051" s="2" t="n"/>
    </row>
    <row r="16052">
      <c r="A16052" s="2" t="n"/>
    </row>
    <row r="16053">
      <c r="A16053" s="2" t="n"/>
    </row>
    <row r="16054">
      <c r="A16054" s="2" t="n"/>
    </row>
    <row r="16055">
      <c r="A16055" s="2" t="n"/>
    </row>
    <row r="16056">
      <c r="A16056" s="2" t="n"/>
    </row>
    <row r="16057">
      <c r="A16057" s="2" t="n"/>
    </row>
    <row r="16058">
      <c r="A16058" s="2" t="n"/>
    </row>
    <row r="16059">
      <c r="A16059" s="2" t="n"/>
    </row>
    <row r="16060">
      <c r="A16060" s="2" t="n"/>
    </row>
    <row r="16061">
      <c r="A16061" s="2" t="n"/>
    </row>
    <row r="16062">
      <c r="A16062" s="2" t="n"/>
    </row>
    <row r="16063">
      <c r="A16063" s="2" t="n"/>
    </row>
    <row r="16064">
      <c r="A16064" s="2" t="n"/>
    </row>
    <row r="16065">
      <c r="A16065" s="2" t="n"/>
    </row>
    <row r="16066">
      <c r="A16066" s="2" t="n"/>
    </row>
    <row r="16067">
      <c r="A16067" s="2" t="n"/>
    </row>
    <row r="16068">
      <c r="A16068" s="2" t="n"/>
    </row>
    <row r="16069">
      <c r="A16069" s="2" t="n"/>
    </row>
    <row r="16070">
      <c r="A16070" s="2" t="n"/>
    </row>
    <row r="16071">
      <c r="A16071" s="2" t="n"/>
    </row>
    <row r="16072">
      <c r="A16072" s="2" t="n"/>
    </row>
    <row r="16073">
      <c r="A16073" s="2" t="n"/>
    </row>
    <row r="16074">
      <c r="A16074" s="2" t="n"/>
    </row>
    <row r="16075">
      <c r="A16075" s="2" t="n"/>
    </row>
    <row r="16076">
      <c r="A16076" s="2" t="n"/>
    </row>
    <row r="16077">
      <c r="A16077" s="2" t="n"/>
    </row>
    <row r="16078">
      <c r="A16078" s="2" t="n"/>
    </row>
    <row r="16079">
      <c r="A16079" s="2" t="n"/>
    </row>
    <row r="16080">
      <c r="A16080" s="2" t="n"/>
    </row>
    <row r="16081">
      <c r="A16081" s="2" t="n"/>
    </row>
    <row r="16082">
      <c r="A16082" s="2" t="n"/>
    </row>
    <row r="16083">
      <c r="A16083" s="2" t="n"/>
    </row>
    <row r="16084">
      <c r="A16084" s="2" t="n"/>
    </row>
    <row r="16085">
      <c r="A16085" s="2" t="n"/>
    </row>
    <row r="16086">
      <c r="A16086" s="2" t="n"/>
    </row>
    <row r="16087">
      <c r="A16087" s="2" t="n"/>
    </row>
    <row r="16088">
      <c r="A16088" s="2" t="n"/>
    </row>
    <row r="16089">
      <c r="A16089" s="2" t="n"/>
    </row>
    <row r="16090">
      <c r="A16090" s="2" t="n"/>
    </row>
    <row r="16091">
      <c r="A16091" s="2" t="n"/>
    </row>
    <row r="16092">
      <c r="A16092" s="2" t="n"/>
    </row>
    <row r="16093">
      <c r="A16093" s="2" t="n"/>
    </row>
    <row r="16094">
      <c r="A16094" s="2" t="n"/>
    </row>
    <row r="16095">
      <c r="A16095" s="2" t="n"/>
    </row>
    <row r="16096">
      <c r="A16096" s="2" t="n"/>
    </row>
    <row r="16097">
      <c r="A16097" s="2" t="n"/>
    </row>
    <row r="16098">
      <c r="A16098" s="2" t="n"/>
    </row>
    <row r="16099">
      <c r="A16099" s="2" t="n"/>
    </row>
    <row r="16100">
      <c r="A16100" s="2" t="n"/>
    </row>
    <row r="16101">
      <c r="A16101" s="2" t="n"/>
    </row>
    <row r="16102">
      <c r="A16102" s="2" t="n"/>
    </row>
    <row r="16103">
      <c r="A16103" s="2" t="n"/>
    </row>
    <row r="16104">
      <c r="A16104" s="2" t="n"/>
    </row>
    <row r="16105">
      <c r="A16105" s="2" t="n"/>
    </row>
    <row r="16106">
      <c r="A16106" s="2" t="n"/>
    </row>
    <row r="16107">
      <c r="A16107" s="2" t="n"/>
    </row>
    <row r="16108">
      <c r="A16108" s="2" t="n"/>
    </row>
    <row r="16109">
      <c r="A16109" s="2" t="n"/>
    </row>
    <row r="16110">
      <c r="A16110" s="2" t="n"/>
    </row>
    <row r="16111">
      <c r="A16111" s="2" t="n"/>
    </row>
    <row r="16112">
      <c r="A16112" s="2" t="n"/>
    </row>
    <row r="16113">
      <c r="A16113" s="2" t="n"/>
    </row>
    <row r="16114">
      <c r="A16114" s="2" t="n"/>
    </row>
    <row r="16115">
      <c r="A16115" s="2" t="n"/>
    </row>
    <row r="16116">
      <c r="A16116" s="2" t="n"/>
    </row>
    <row r="16117">
      <c r="A16117" s="2" t="n"/>
    </row>
    <row r="16118">
      <c r="A16118" s="2" t="n"/>
    </row>
    <row r="16119">
      <c r="A16119" s="2" t="n"/>
    </row>
    <row r="16120">
      <c r="A16120" s="2" t="n"/>
    </row>
    <row r="16121">
      <c r="A16121" s="2" t="n"/>
    </row>
    <row r="16122">
      <c r="A16122" s="2" t="n"/>
    </row>
    <row r="16123">
      <c r="A16123" s="2" t="n"/>
    </row>
    <row r="16124">
      <c r="A16124" s="2" t="n"/>
    </row>
    <row r="16125">
      <c r="A16125" s="2" t="n"/>
    </row>
    <row r="16126">
      <c r="A16126" s="2" t="n"/>
    </row>
    <row r="16127">
      <c r="A16127" s="2" t="n"/>
    </row>
    <row r="16128">
      <c r="A16128" s="2" t="n"/>
    </row>
    <row r="16129">
      <c r="A16129" s="2" t="n"/>
    </row>
    <row r="16130">
      <c r="A16130" s="2" t="n"/>
    </row>
    <row r="16131">
      <c r="A16131" s="2" t="n"/>
    </row>
    <row r="16132">
      <c r="A16132" s="2" t="n"/>
    </row>
    <row r="16133">
      <c r="A16133" s="2" t="n"/>
    </row>
    <row r="16134">
      <c r="A16134" s="2" t="n"/>
    </row>
    <row r="16135">
      <c r="A16135" s="2" t="n"/>
    </row>
    <row r="16136">
      <c r="A16136" s="2" t="n"/>
    </row>
    <row r="16137">
      <c r="A16137" s="2" t="n"/>
    </row>
    <row r="16138">
      <c r="A16138" s="2" t="n"/>
    </row>
    <row r="16139">
      <c r="A16139" s="2" t="n"/>
    </row>
    <row r="16140">
      <c r="A16140" s="2" t="n"/>
    </row>
    <row r="16141">
      <c r="A16141" s="2" t="n"/>
    </row>
    <row r="16142">
      <c r="A16142" s="2" t="n"/>
    </row>
    <row r="16143">
      <c r="A16143" s="2" t="n"/>
    </row>
    <row r="16144">
      <c r="A16144" s="2" t="n"/>
    </row>
    <row r="16145">
      <c r="A16145" s="2" t="n"/>
    </row>
    <row r="16146">
      <c r="A16146" s="2" t="n"/>
    </row>
    <row r="16147">
      <c r="A16147" s="2" t="n"/>
    </row>
    <row r="16148">
      <c r="A16148" s="2" t="n"/>
    </row>
    <row r="16149">
      <c r="A16149" s="2" t="n"/>
    </row>
    <row r="16150">
      <c r="A16150" s="2" t="n"/>
    </row>
    <row r="16151">
      <c r="A16151" s="2" t="n"/>
    </row>
    <row r="16152">
      <c r="A16152" s="2" t="n"/>
    </row>
    <row r="16153">
      <c r="A16153" s="2" t="n"/>
    </row>
    <row r="16154">
      <c r="A16154" s="2" t="n"/>
    </row>
    <row r="16155">
      <c r="A16155" s="2" t="n"/>
    </row>
    <row r="16156">
      <c r="A16156" s="2" t="n"/>
    </row>
    <row r="16157">
      <c r="A16157" s="2" t="n"/>
    </row>
    <row r="16158">
      <c r="A16158" s="2" t="n"/>
    </row>
    <row r="16159">
      <c r="A16159" s="2" t="n"/>
    </row>
    <row r="16160">
      <c r="A16160" s="2" t="n"/>
    </row>
    <row r="16161">
      <c r="A16161" s="2" t="n"/>
    </row>
    <row r="16162">
      <c r="A16162" s="2" t="n"/>
    </row>
    <row r="16163">
      <c r="A16163" s="2" t="n"/>
    </row>
    <row r="16164">
      <c r="A16164" s="2" t="n"/>
    </row>
    <row r="16165">
      <c r="A16165" s="2" t="n"/>
    </row>
    <row r="16166">
      <c r="A16166" s="2" t="n"/>
    </row>
    <row r="16167">
      <c r="A16167" s="2" t="n"/>
    </row>
    <row r="16168">
      <c r="A16168" s="2" t="n"/>
    </row>
    <row r="16169">
      <c r="A16169" s="2" t="n"/>
    </row>
    <row r="16170">
      <c r="A16170" s="2" t="n"/>
    </row>
    <row r="16171">
      <c r="A16171" s="2" t="n"/>
    </row>
    <row r="16172">
      <c r="A16172" s="2" t="n"/>
    </row>
    <row r="16173">
      <c r="A16173" s="2" t="n"/>
    </row>
    <row r="16174">
      <c r="A16174" s="2" t="n"/>
    </row>
    <row r="16175">
      <c r="A16175" s="2" t="n"/>
    </row>
    <row r="16176">
      <c r="A16176" s="2" t="n"/>
    </row>
    <row r="16177">
      <c r="A16177" s="2" t="n"/>
    </row>
    <row r="16178">
      <c r="A16178" s="2" t="n"/>
    </row>
    <row r="16179">
      <c r="A16179" s="2" t="n"/>
    </row>
    <row r="16180">
      <c r="A16180" s="2" t="n"/>
    </row>
    <row r="16181">
      <c r="A16181" s="2" t="n"/>
    </row>
    <row r="16182">
      <c r="A16182" s="2" t="n"/>
    </row>
    <row r="16183">
      <c r="A16183" s="2" t="n"/>
    </row>
    <row r="16184">
      <c r="A16184" s="2" t="n"/>
    </row>
    <row r="16185">
      <c r="A16185" s="2" t="n"/>
    </row>
    <row r="16186">
      <c r="A16186" s="2" t="n"/>
    </row>
    <row r="16187">
      <c r="A16187" s="2" t="n"/>
    </row>
    <row r="16188">
      <c r="A16188" s="2" t="n"/>
    </row>
    <row r="16189">
      <c r="A16189" s="2" t="n"/>
    </row>
    <row r="16190">
      <c r="A16190" s="2" t="n"/>
    </row>
    <row r="16191">
      <c r="A16191" s="2" t="n"/>
    </row>
    <row r="16192">
      <c r="A16192" s="2" t="n"/>
    </row>
    <row r="16193">
      <c r="A16193" s="2" t="n"/>
    </row>
    <row r="16194">
      <c r="A16194" s="2" t="n"/>
    </row>
    <row r="16195">
      <c r="A16195" s="2" t="n"/>
    </row>
    <row r="16196">
      <c r="A16196" s="2" t="n"/>
    </row>
    <row r="16197">
      <c r="A16197" s="2" t="n"/>
    </row>
    <row r="16198">
      <c r="A16198" s="2" t="n"/>
    </row>
    <row r="16199">
      <c r="A16199" s="2" t="n"/>
    </row>
    <row r="16200">
      <c r="A16200" s="2" t="n"/>
    </row>
    <row r="16201">
      <c r="A16201" s="2" t="n"/>
    </row>
    <row r="16202">
      <c r="A16202" s="2" t="n"/>
    </row>
    <row r="16203">
      <c r="A16203" s="2" t="n"/>
    </row>
    <row r="16204">
      <c r="A16204" s="2" t="n"/>
    </row>
    <row r="16205">
      <c r="A16205" s="2" t="n"/>
    </row>
    <row r="16206">
      <c r="A16206" s="2" t="n"/>
    </row>
    <row r="16207">
      <c r="A16207" s="2" t="n"/>
    </row>
    <row r="16208">
      <c r="A16208" s="2" t="n"/>
    </row>
    <row r="16209">
      <c r="A16209" s="2" t="n"/>
    </row>
    <row r="16210">
      <c r="A16210" s="2" t="n"/>
    </row>
    <row r="16211">
      <c r="A16211" s="2" t="n"/>
    </row>
    <row r="16212">
      <c r="A16212" s="2" t="n"/>
    </row>
    <row r="16213">
      <c r="A16213" s="2" t="n"/>
    </row>
    <row r="16214">
      <c r="A16214" s="2" t="n"/>
    </row>
    <row r="16215">
      <c r="A16215" s="2" t="n"/>
    </row>
    <row r="16216">
      <c r="A16216" s="2" t="n"/>
    </row>
    <row r="16217">
      <c r="A16217" s="2" t="n"/>
    </row>
    <row r="16218">
      <c r="A16218" s="2" t="n"/>
    </row>
    <row r="16219">
      <c r="A16219" s="2" t="n"/>
    </row>
    <row r="16220">
      <c r="A16220" s="2" t="n"/>
    </row>
    <row r="16221">
      <c r="A16221" s="2" t="n"/>
    </row>
    <row r="16222">
      <c r="A16222" s="2" t="n"/>
    </row>
    <row r="16223">
      <c r="A16223" s="2" t="n"/>
    </row>
    <row r="16224">
      <c r="A16224" s="2" t="n"/>
    </row>
    <row r="16225">
      <c r="A16225" s="2" t="n"/>
    </row>
    <row r="16226">
      <c r="A16226" s="2" t="n"/>
    </row>
    <row r="16227">
      <c r="A16227" s="2" t="n"/>
    </row>
    <row r="16228">
      <c r="A16228" s="2" t="n"/>
    </row>
    <row r="16229">
      <c r="A16229" s="2" t="n"/>
    </row>
    <row r="16230">
      <c r="A16230" s="2" t="n"/>
    </row>
    <row r="16231">
      <c r="A16231" s="2" t="n"/>
    </row>
    <row r="16232">
      <c r="A16232" s="2" t="n"/>
    </row>
    <row r="16233">
      <c r="A16233" s="2" t="n"/>
    </row>
    <row r="16234">
      <c r="A16234" s="2" t="n"/>
    </row>
    <row r="16235">
      <c r="A16235" s="2" t="n"/>
    </row>
    <row r="16236">
      <c r="A16236" s="2" t="n"/>
    </row>
    <row r="16237">
      <c r="A16237" s="2" t="n"/>
    </row>
    <row r="16238">
      <c r="A16238" s="2" t="n"/>
    </row>
    <row r="16239">
      <c r="A16239" s="2" t="n"/>
    </row>
    <row r="16240">
      <c r="A16240" s="2" t="n"/>
    </row>
    <row r="16241">
      <c r="A16241" s="2" t="n"/>
    </row>
    <row r="16242">
      <c r="A16242" s="2" t="n"/>
    </row>
    <row r="16243">
      <c r="A16243" s="2" t="n"/>
    </row>
    <row r="16244">
      <c r="A16244" s="2" t="n"/>
    </row>
    <row r="16245">
      <c r="A16245" s="2" t="n"/>
    </row>
    <row r="16246">
      <c r="A16246" s="2" t="n"/>
    </row>
    <row r="16247">
      <c r="A16247" s="2" t="n"/>
    </row>
    <row r="16248">
      <c r="A16248" s="2" t="n"/>
    </row>
    <row r="16249">
      <c r="A16249" s="2" t="n"/>
    </row>
    <row r="16250">
      <c r="A16250" s="2" t="n"/>
    </row>
    <row r="16251">
      <c r="A16251" s="2" t="n"/>
    </row>
    <row r="16252">
      <c r="A16252" s="2" t="n"/>
    </row>
    <row r="16253">
      <c r="A16253" s="2" t="n"/>
    </row>
    <row r="16254">
      <c r="A16254" s="2" t="n"/>
    </row>
    <row r="16255">
      <c r="A16255" s="2" t="n"/>
    </row>
    <row r="16256">
      <c r="A16256" s="2" t="n"/>
    </row>
    <row r="16257">
      <c r="A16257" s="2" t="n"/>
    </row>
    <row r="16258">
      <c r="A16258" s="2" t="n"/>
    </row>
    <row r="16259">
      <c r="A16259" s="2" t="n"/>
    </row>
    <row r="16260">
      <c r="A16260" s="2" t="n"/>
    </row>
    <row r="16261">
      <c r="A16261" s="2" t="n"/>
    </row>
    <row r="16262">
      <c r="A16262" s="2" t="n"/>
    </row>
    <row r="16263">
      <c r="A16263" s="2" t="n"/>
    </row>
    <row r="16264">
      <c r="A16264" s="2" t="n"/>
    </row>
    <row r="16265">
      <c r="A16265" s="2" t="n"/>
    </row>
    <row r="16266">
      <c r="A16266" s="2" t="n"/>
    </row>
    <row r="16267">
      <c r="A16267" s="2" t="n"/>
    </row>
    <row r="16268">
      <c r="A16268" s="2" t="n"/>
    </row>
    <row r="16269">
      <c r="A16269" s="2" t="n"/>
    </row>
    <row r="16270">
      <c r="A16270" s="2" t="n"/>
    </row>
    <row r="16271">
      <c r="A16271" s="2" t="n"/>
    </row>
    <row r="16272">
      <c r="A16272" s="2" t="n"/>
    </row>
    <row r="16273">
      <c r="A16273" s="2" t="n"/>
    </row>
    <row r="16274">
      <c r="A16274" s="2" t="n"/>
    </row>
    <row r="16275">
      <c r="A16275" s="2" t="n"/>
    </row>
    <row r="16276">
      <c r="A16276" s="2" t="n"/>
    </row>
    <row r="16277">
      <c r="A16277" s="2" t="n"/>
    </row>
    <row r="16278">
      <c r="A16278" s="2" t="n"/>
    </row>
    <row r="16279">
      <c r="A16279" s="2" t="n"/>
    </row>
    <row r="16280">
      <c r="A16280" s="2" t="n"/>
    </row>
    <row r="16281">
      <c r="A16281" s="2" t="n"/>
    </row>
    <row r="16282">
      <c r="A16282" s="2" t="n"/>
    </row>
    <row r="16283">
      <c r="A16283" s="2" t="n"/>
    </row>
    <row r="16284">
      <c r="A16284" s="2" t="n"/>
    </row>
    <row r="16285">
      <c r="A16285" s="2" t="n"/>
    </row>
    <row r="16286">
      <c r="A16286" s="2" t="n"/>
    </row>
    <row r="16287">
      <c r="A16287" s="2" t="n"/>
    </row>
    <row r="16288">
      <c r="A16288" s="2" t="n"/>
    </row>
    <row r="16289">
      <c r="A16289" s="2" t="n"/>
    </row>
    <row r="16290">
      <c r="A16290" s="2" t="n"/>
    </row>
    <row r="16291">
      <c r="A16291" s="2" t="n"/>
    </row>
    <row r="16292">
      <c r="A16292" s="2" t="n"/>
    </row>
    <row r="16293">
      <c r="A16293" s="2" t="n"/>
    </row>
    <row r="16294">
      <c r="A16294" s="2" t="n"/>
    </row>
    <row r="16295">
      <c r="A16295" s="2" t="n"/>
    </row>
    <row r="16296">
      <c r="A16296" s="2" t="n"/>
    </row>
    <row r="16297">
      <c r="A16297" s="2" t="n"/>
    </row>
    <row r="16298">
      <c r="A16298" s="2" t="n"/>
    </row>
    <row r="16299">
      <c r="A16299" s="2" t="n"/>
    </row>
    <row r="16300">
      <c r="A16300" s="2" t="n"/>
    </row>
    <row r="16301">
      <c r="A16301" s="2" t="n"/>
    </row>
    <row r="16302">
      <c r="A16302" s="2" t="n"/>
    </row>
    <row r="16303">
      <c r="A16303" s="2" t="n"/>
    </row>
    <row r="16304">
      <c r="A16304" s="2" t="n"/>
    </row>
    <row r="16305">
      <c r="A16305" s="2" t="n"/>
    </row>
    <row r="16306">
      <c r="A16306" s="2" t="n"/>
    </row>
    <row r="16307">
      <c r="A16307" s="2" t="n"/>
    </row>
    <row r="16308">
      <c r="A16308" s="2" t="n"/>
    </row>
    <row r="16309">
      <c r="A16309" s="2" t="n"/>
    </row>
    <row r="16310">
      <c r="A16310" s="2" t="n"/>
    </row>
    <row r="16311">
      <c r="A16311" s="2" t="n"/>
    </row>
    <row r="16312">
      <c r="A16312" s="2" t="n"/>
    </row>
    <row r="16313">
      <c r="A16313" s="2" t="n"/>
    </row>
    <row r="16314">
      <c r="A16314" s="2" t="n"/>
    </row>
    <row r="16315">
      <c r="A16315" s="2" t="n"/>
    </row>
    <row r="16316">
      <c r="A16316" s="2" t="n"/>
    </row>
    <row r="16317">
      <c r="A16317" s="2" t="n"/>
    </row>
    <row r="16318">
      <c r="A16318" s="2" t="n"/>
    </row>
    <row r="16319">
      <c r="A16319" s="2" t="n"/>
    </row>
    <row r="16320">
      <c r="A16320" s="2" t="n"/>
    </row>
    <row r="16321">
      <c r="A16321" s="2" t="n"/>
    </row>
    <row r="16322">
      <c r="A16322" s="2" t="n"/>
    </row>
    <row r="16323">
      <c r="A16323" s="2" t="n"/>
    </row>
    <row r="16324">
      <c r="A16324" s="2" t="n"/>
    </row>
    <row r="16325">
      <c r="A16325" s="2" t="n"/>
    </row>
    <row r="16326">
      <c r="A16326" s="2" t="n"/>
    </row>
    <row r="16327">
      <c r="A16327" s="2" t="n"/>
    </row>
    <row r="16328">
      <c r="A16328" s="2" t="n"/>
    </row>
    <row r="16329">
      <c r="A16329" s="2" t="n"/>
    </row>
    <row r="16330">
      <c r="A16330" s="2" t="n"/>
    </row>
    <row r="16331">
      <c r="A16331" s="2" t="n"/>
    </row>
    <row r="16332">
      <c r="A16332" s="2" t="n"/>
    </row>
    <row r="16333">
      <c r="A16333" s="2" t="n"/>
    </row>
    <row r="16334">
      <c r="A16334" s="2" t="n"/>
    </row>
    <row r="16335">
      <c r="A16335" s="2" t="n"/>
    </row>
    <row r="16336">
      <c r="A16336" s="2" t="n"/>
    </row>
    <row r="16337">
      <c r="A16337" s="2" t="n"/>
    </row>
    <row r="16338">
      <c r="A16338" s="2" t="n"/>
    </row>
    <row r="16339">
      <c r="A16339" s="2" t="n"/>
    </row>
    <row r="16340">
      <c r="A16340" s="2" t="n"/>
    </row>
    <row r="16341">
      <c r="A16341" s="2" t="n"/>
    </row>
    <row r="16342">
      <c r="A16342" s="2" t="n"/>
    </row>
    <row r="16343">
      <c r="A16343" s="2" t="n"/>
    </row>
    <row r="16344">
      <c r="A16344" s="2" t="n"/>
    </row>
    <row r="16345">
      <c r="A16345" s="2" t="n"/>
    </row>
    <row r="16346">
      <c r="A16346" s="2" t="n"/>
    </row>
    <row r="16347">
      <c r="A16347" s="2" t="n"/>
    </row>
    <row r="16348">
      <c r="A16348" s="2" t="n"/>
    </row>
    <row r="16349">
      <c r="A16349" s="2" t="n"/>
    </row>
  </sheetData>
  <dataValidations count="1">
    <dataValidation sqref="H1 K1" showDropDown="0" showInputMessage="1" showErrorMessage="1" allowBlank="1" type="list">
      <formula1>$A$2:$A$36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75" workbookViewId="0">
      <selection activeCell="AB50" sqref="AB50"/>
    </sheetView>
  </sheetViews>
  <sheetFormatPr baseColWidth="10" defaultRowHeight="16"/>
  <sheetData/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P25" sqref="P25"/>
    </sheetView>
  </sheetViews>
  <sheetFormatPr baseColWidth="10" defaultRowHeight="16"/>
  <cols>
    <col width="19.33203125" bestFit="1" customWidth="1" min="1" max="1"/>
    <col width="12.33203125" bestFit="1" customWidth="1" min="2" max="2"/>
    <col width="4.6640625" bestFit="1" customWidth="1" min="3" max="3"/>
    <col width="6.1640625" bestFit="1" customWidth="1" min="4" max="4"/>
    <col width="10.1640625" bestFit="1" customWidth="1" min="5" max="5"/>
    <col width="7.5" bestFit="1" customWidth="1" min="6" max="6"/>
    <col width="11.5" bestFit="1" customWidth="1" min="7" max="7"/>
    <col width="11.83203125" bestFit="1" customWidth="1" min="8" max="8"/>
    <col width="10.6640625" bestFit="1" customWidth="1" min="9" max="9"/>
    <col width="12" bestFit="1" customWidth="1" min="10" max="10"/>
    <col width="16" bestFit="1" customWidth="1" min="11" max="11"/>
    <col width="13.33203125" bestFit="1" customWidth="1" min="12" max="12"/>
    <col width="17.5" bestFit="1" customWidth="1" min="13" max="13"/>
  </cols>
  <sheetData>
    <row r="1">
      <c r="A1" s="177" t="inlineStr">
        <is>
          <t>Team</t>
        </is>
      </c>
      <c r="B1" s="177" t="inlineStr">
        <is>
          <t>Current Rating</t>
        </is>
      </c>
      <c r="C1" s="177" t="inlineStr">
        <is>
          <t>Current +/-</t>
        </is>
      </c>
      <c r="D1" s="177" t="inlineStr">
        <is>
          <t>Current Attack</t>
        </is>
      </c>
      <c r="E1" s="177" t="inlineStr">
        <is>
          <t>Current Attack Rank</t>
        </is>
      </c>
      <c r="F1" s="177" t="inlineStr">
        <is>
          <t>Current Defense</t>
        </is>
      </c>
      <c r="G1" s="177" t="inlineStr">
        <is>
          <t>Current Defense Rank</t>
        </is>
      </c>
      <c r="H1" s="177" t="inlineStr">
        <is>
          <t>Overall Rating</t>
        </is>
      </c>
      <c r="I1" s="177" t="inlineStr">
        <is>
          <t>Overall Rank</t>
        </is>
      </c>
      <c r="J1" s="177" t="inlineStr">
        <is>
          <t>Overall Attack</t>
        </is>
      </c>
      <c r="K1" s="177" t="inlineStr">
        <is>
          <t>Overall Attack Rank</t>
        </is>
      </c>
      <c r="L1" s="177" t="inlineStr">
        <is>
          <t>Overall Defense</t>
        </is>
      </c>
      <c r="M1" s="177" t="inlineStr">
        <is>
          <t>Overall Defense Rank</t>
        </is>
      </c>
    </row>
    <row r="2">
      <c r="A2" t="inlineStr">
        <is>
          <t>Geelong</t>
        </is>
      </c>
      <c r="B2" t="n">
        <v>29.2</v>
      </c>
      <c r="C2" t="n">
        <v>-5.3</v>
      </c>
      <c r="D2" t="n">
        <v>21.7</v>
      </c>
      <c r="E2" t="n">
        <v>2</v>
      </c>
      <c r="F2" t="n">
        <v>7.5</v>
      </c>
      <c r="G2" t="n">
        <v>4</v>
      </c>
      <c r="H2" t="n">
        <v>25.6</v>
      </c>
      <c r="I2" t="n">
        <v>1</v>
      </c>
      <c r="J2" t="n">
        <v>19.2</v>
      </c>
      <c r="K2" t="n">
        <v>2</v>
      </c>
      <c r="L2" t="n">
        <v>6.4</v>
      </c>
      <c r="M2" t="n">
        <v>6</v>
      </c>
    </row>
    <row r="3">
      <c r="A3" t="inlineStr">
        <is>
          <t>Western Bulldogs</t>
        </is>
      </c>
      <c r="B3" t="n">
        <v>27.7</v>
      </c>
      <c r="D3" t="n">
        <v>22.4</v>
      </c>
      <c r="E3" t="n">
        <v>1</v>
      </c>
      <c r="F3" t="n">
        <v>5.3</v>
      </c>
      <c r="G3" t="n">
        <v>6</v>
      </c>
      <c r="H3" t="n">
        <v>25.2</v>
      </c>
      <c r="I3" t="n">
        <v>2</v>
      </c>
      <c r="J3" t="n">
        <v>21.5</v>
      </c>
      <c r="K3" t="n">
        <v>1</v>
      </c>
      <c r="L3" t="n">
        <v>3.7</v>
      </c>
      <c r="M3" t="n">
        <v>9</v>
      </c>
    </row>
    <row r="4">
      <c r="A4" t="inlineStr">
        <is>
          <t>Brisbane</t>
        </is>
      </c>
      <c r="B4" t="n">
        <v>26.3</v>
      </c>
      <c r="C4" t="n">
        <v>5.3</v>
      </c>
      <c r="D4" t="n">
        <v>13.2</v>
      </c>
      <c r="E4" t="n">
        <v>3</v>
      </c>
      <c r="F4" t="n">
        <v>13.1</v>
      </c>
      <c r="G4" t="n">
        <v>1</v>
      </c>
      <c r="H4" t="n">
        <v>18.8</v>
      </c>
      <c r="I4" t="n">
        <v>3</v>
      </c>
      <c r="J4" t="n">
        <v>9.199999999999999</v>
      </c>
      <c r="K4" t="n">
        <v>4</v>
      </c>
      <c r="L4" t="n">
        <v>9.699999999999999</v>
      </c>
      <c r="M4" t="n">
        <v>2</v>
      </c>
    </row>
    <row r="5">
      <c r="A5" t="inlineStr">
        <is>
          <t>Hawthorn</t>
        </is>
      </c>
      <c r="B5" t="n">
        <v>21.7</v>
      </c>
      <c r="D5" t="n">
        <v>10.8</v>
      </c>
      <c r="E5" t="n">
        <v>4</v>
      </c>
      <c r="F5" t="n">
        <v>10.8</v>
      </c>
      <c r="G5" t="n">
        <v>3</v>
      </c>
      <c r="H5" t="n">
        <v>16.1</v>
      </c>
      <c r="I5" t="n">
        <v>6</v>
      </c>
      <c r="J5" t="n">
        <v>6.9</v>
      </c>
      <c r="K5" t="n">
        <v>6</v>
      </c>
      <c r="L5" t="n">
        <v>9.199999999999999</v>
      </c>
      <c r="M5" t="n">
        <v>3</v>
      </c>
    </row>
    <row r="6">
      <c r="A6" t="inlineStr">
        <is>
          <t>Collingwood</t>
        </is>
      </c>
      <c r="B6" t="n">
        <v>12.2</v>
      </c>
      <c r="D6" t="n">
        <v>-0.4</v>
      </c>
      <c r="E6" t="n">
        <v>10</v>
      </c>
      <c r="F6" t="n">
        <v>12.6</v>
      </c>
      <c r="G6" t="n">
        <v>2</v>
      </c>
      <c r="H6" t="n">
        <v>17.6</v>
      </c>
      <c r="I6" t="n">
        <v>5</v>
      </c>
      <c r="J6" t="n">
        <v>3.3</v>
      </c>
      <c r="K6" t="n">
        <v>8</v>
      </c>
      <c r="L6" t="n">
        <v>14.3</v>
      </c>
      <c r="M6" t="n">
        <v>1</v>
      </c>
    </row>
    <row r="7">
      <c r="A7" t="inlineStr">
        <is>
          <t>Gold Coast</t>
        </is>
      </c>
      <c r="B7" t="n">
        <v>11.5</v>
      </c>
      <c r="D7" t="n">
        <v>6.3</v>
      </c>
      <c r="E7" t="n">
        <v>6</v>
      </c>
      <c r="F7" t="n">
        <v>5.2</v>
      </c>
      <c r="G7" t="n">
        <v>7</v>
      </c>
      <c r="H7" t="n">
        <v>15.9</v>
      </c>
      <c r="I7" t="n">
        <v>7</v>
      </c>
      <c r="J7" t="n">
        <v>8.4</v>
      </c>
      <c r="K7" t="n">
        <v>5</v>
      </c>
      <c r="L7" t="n">
        <v>7.5</v>
      </c>
      <c r="M7" t="n">
        <v>5</v>
      </c>
    </row>
    <row r="8">
      <c r="A8" t="inlineStr">
        <is>
          <t>Adelaide</t>
        </is>
      </c>
      <c r="B8" t="n">
        <v>11.5</v>
      </c>
      <c r="D8" t="n">
        <v>5.4</v>
      </c>
      <c r="E8" t="n">
        <v>7</v>
      </c>
      <c r="F8" t="n">
        <v>6</v>
      </c>
      <c r="G8" t="n">
        <v>5</v>
      </c>
      <c r="H8" t="n">
        <v>18.2</v>
      </c>
      <c r="I8" t="n">
        <v>4</v>
      </c>
      <c r="J8" t="n">
        <v>9.4</v>
      </c>
      <c r="K8" t="n">
        <v>3</v>
      </c>
      <c r="L8" t="n">
        <v>8.9</v>
      </c>
      <c r="M8" t="n">
        <v>4</v>
      </c>
    </row>
    <row r="9">
      <c r="A9" t="inlineStr">
        <is>
          <t>Greater Western Sydney</t>
        </is>
      </c>
      <c r="B9" t="n">
        <v>7.1</v>
      </c>
      <c r="D9" t="n">
        <v>9.4</v>
      </c>
      <c r="E9" t="n">
        <v>5</v>
      </c>
      <c r="F9" t="n">
        <v>-2.3</v>
      </c>
      <c r="G9" t="n">
        <v>12</v>
      </c>
      <c r="H9" t="n">
        <v>7.1</v>
      </c>
      <c r="I9" t="n">
        <v>8</v>
      </c>
      <c r="J9" t="n">
        <v>5.9</v>
      </c>
      <c r="K9" t="n">
        <v>7</v>
      </c>
      <c r="L9" t="n">
        <v>1.2</v>
      </c>
      <c r="M9" t="n">
        <v>10</v>
      </c>
    </row>
    <row r="10">
      <c r="A10" t="inlineStr">
        <is>
          <t>Fremantle</t>
        </is>
      </c>
      <c r="B10" t="n">
        <v>5.3</v>
      </c>
      <c r="D10" t="n">
        <v>1</v>
      </c>
      <c r="E10" t="n">
        <v>8</v>
      </c>
      <c r="F10" t="n">
        <v>4.4</v>
      </c>
      <c r="G10" t="n">
        <v>8</v>
      </c>
      <c r="H10" t="n">
        <v>5.7</v>
      </c>
      <c r="I10" t="n">
        <v>9</v>
      </c>
      <c r="J10" t="n">
        <v>0.3</v>
      </c>
      <c r="K10" t="n">
        <v>9</v>
      </c>
      <c r="L10" t="n">
        <v>5.4</v>
      </c>
      <c r="M10" t="n">
        <v>7</v>
      </c>
    </row>
    <row r="11">
      <c r="A11" t="inlineStr">
        <is>
          <t>Melbourne</t>
        </is>
      </c>
      <c r="B11" t="n">
        <v>-1.2</v>
      </c>
      <c r="D11" t="n">
        <v>-0.4</v>
      </c>
      <c r="E11" t="n">
        <v>9</v>
      </c>
      <c r="F11" t="n">
        <v>-0.8</v>
      </c>
      <c r="G11" t="n">
        <v>11</v>
      </c>
      <c r="H11" t="n">
        <v>-3.7</v>
      </c>
      <c r="I11" t="n">
        <v>12</v>
      </c>
      <c r="J11" t="n">
        <v>-0.8</v>
      </c>
      <c r="K11" t="n">
        <v>10</v>
      </c>
      <c r="L11" t="n">
        <v>-2.9</v>
      </c>
      <c r="M11" t="n">
        <v>12</v>
      </c>
    </row>
    <row r="12">
      <c r="A12" t="inlineStr">
        <is>
          <t>Sydney</t>
        </is>
      </c>
      <c r="B12" t="n">
        <v>-3.1</v>
      </c>
      <c r="D12" t="n">
        <v>-4.8</v>
      </c>
      <c r="E12" t="n">
        <v>12</v>
      </c>
      <c r="F12" t="n">
        <v>1.8</v>
      </c>
      <c r="G12" t="n">
        <v>10</v>
      </c>
      <c r="H12" t="n">
        <v>-3.5</v>
      </c>
      <c r="I12" t="n">
        <v>11</v>
      </c>
      <c r="J12" t="n">
        <v>-4.4</v>
      </c>
      <c r="K12" t="n">
        <v>12</v>
      </c>
      <c r="L12" t="n">
        <v>0.8</v>
      </c>
      <c r="M12" t="n">
        <v>11</v>
      </c>
    </row>
    <row r="13">
      <c r="A13" t="inlineStr">
        <is>
          <t>Carlton</t>
        </is>
      </c>
      <c r="B13" t="n">
        <v>-3.3</v>
      </c>
      <c r="D13" t="n">
        <v>-6.4</v>
      </c>
      <c r="E13" t="n">
        <v>13</v>
      </c>
      <c r="F13" t="n">
        <v>3.1</v>
      </c>
      <c r="G13" t="n">
        <v>9</v>
      </c>
      <c r="H13" t="n">
        <v>-2.6</v>
      </c>
      <c r="I13" t="n">
        <v>10</v>
      </c>
      <c r="J13" t="n">
        <v>-6.7</v>
      </c>
      <c r="K13" t="n">
        <v>14</v>
      </c>
      <c r="L13" t="n">
        <v>4.1</v>
      </c>
      <c r="M13" t="n">
        <v>8</v>
      </c>
    </row>
    <row r="14">
      <c r="A14" t="inlineStr">
        <is>
          <t>St Kilda</t>
        </is>
      </c>
      <c r="B14" t="n">
        <v>-10</v>
      </c>
      <c r="D14" t="n">
        <v>-6.5</v>
      </c>
      <c r="E14" t="n">
        <v>14</v>
      </c>
      <c r="F14" t="n">
        <v>-3.5</v>
      </c>
      <c r="G14" t="n">
        <v>13</v>
      </c>
      <c r="H14" t="n">
        <v>-9.1</v>
      </c>
      <c r="I14" t="n">
        <v>13</v>
      </c>
      <c r="J14" t="n">
        <v>-4.2</v>
      </c>
      <c r="K14" t="n">
        <v>11</v>
      </c>
      <c r="L14" t="n">
        <v>-4.9</v>
      </c>
      <c r="M14" t="n">
        <v>13</v>
      </c>
    </row>
    <row r="15">
      <c r="A15" t="inlineStr">
        <is>
          <t>Port Adelaide</t>
        </is>
      </c>
      <c r="B15" t="n">
        <v>-17</v>
      </c>
      <c r="D15" t="n">
        <v>-9.300000000000001</v>
      </c>
      <c r="E15" t="n">
        <v>15</v>
      </c>
      <c r="F15" t="n">
        <v>-7.7</v>
      </c>
      <c r="G15" t="n">
        <v>14</v>
      </c>
      <c r="H15" t="n">
        <v>-15</v>
      </c>
      <c r="I15" t="n">
        <v>14</v>
      </c>
      <c r="J15" t="n">
        <v>-7.7</v>
      </c>
      <c r="K15" t="n">
        <v>15</v>
      </c>
      <c r="L15" t="n">
        <v>-7.3</v>
      </c>
      <c r="M15" t="n">
        <v>14</v>
      </c>
    </row>
    <row r="16">
      <c r="A16" t="inlineStr">
        <is>
          <t>North Melbourne</t>
        </is>
      </c>
      <c r="B16" t="n">
        <v>-20.1</v>
      </c>
      <c r="D16" t="n">
        <v>-3.5</v>
      </c>
      <c r="E16" t="n">
        <v>11</v>
      </c>
      <c r="F16" t="n">
        <v>-16.6</v>
      </c>
      <c r="G16" t="n">
        <v>17</v>
      </c>
      <c r="H16" t="n">
        <v>-21.4</v>
      </c>
      <c r="I16" t="n">
        <v>15</v>
      </c>
      <c r="J16" t="n">
        <v>-5.3</v>
      </c>
      <c r="K16" t="n">
        <v>13</v>
      </c>
      <c r="L16" t="n">
        <v>-16.1</v>
      </c>
      <c r="M16" t="n">
        <v>17</v>
      </c>
    </row>
    <row r="17">
      <c r="A17" t="inlineStr">
        <is>
          <t>Essendon</t>
        </is>
      </c>
      <c r="B17" t="n">
        <v>-28</v>
      </c>
      <c r="D17" t="n">
        <v>-16.6</v>
      </c>
      <c r="E17" t="n">
        <v>16</v>
      </c>
      <c r="F17" t="n">
        <v>-11.4</v>
      </c>
      <c r="G17" t="n">
        <v>16</v>
      </c>
      <c r="H17" t="n">
        <v>-23.8</v>
      </c>
      <c r="I17" t="n">
        <v>16</v>
      </c>
      <c r="J17" t="n">
        <v>-15.5</v>
      </c>
      <c r="K17" t="n">
        <v>16</v>
      </c>
      <c r="L17" t="n">
        <v>-8.300000000000001</v>
      </c>
      <c r="M17" t="n">
        <v>15</v>
      </c>
    </row>
    <row r="18">
      <c r="A18" t="inlineStr">
        <is>
          <t>Richmond</t>
        </is>
      </c>
      <c r="B18" t="n">
        <v>-31.2</v>
      </c>
      <c r="D18" t="n">
        <v>-21.3</v>
      </c>
      <c r="E18" t="n">
        <v>18</v>
      </c>
      <c r="F18" t="n">
        <v>-9.9</v>
      </c>
      <c r="G18" t="n">
        <v>15</v>
      </c>
      <c r="H18" t="n">
        <v>-31.9</v>
      </c>
      <c r="I18" t="n">
        <v>17</v>
      </c>
      <c r="J18" t="n">
        <v>-20.8</v>
      </c>
      <c r="K18" t="n">
        <v>18</v>
      </c>
      <c r="L18" t="n">
        <v>-11.1</v>
      </c>
      <c r="M18" t="n">
        <v>16</v>
      </c>
    </row>
    <row r="19">
      <c r="A19" t="inlineStr">
        <is>
          <t>West Coast</t>
        </is>
      </c>
      <c r="B19" t="n">
        <v>-38.6</v>
      </c>
      <c r="D19" t="n">
        <v>-20.6</v>
      </c>
      <c r="E19" t="n">
        <v>17</v>
      </c>
      <c r="F19" t="n">
        <v>-18</v>
      </c>
      <c r="G19" t="n">
        <v>18</v>
      </c>
      <c r="H19" t="n">
        <v>-39.2</v>
      </c>
      <c r="I19" t="n">
        <v>18</v>
      </c>
      <c r="J19" t="n">
        <v>-18.8</v>
      </c>
      <c r="K19" t="n">
        <v>17</v>
      </c>
      <c r="L19" t="n">
        <v>-20.4</v>
      </c>
      <c r="M19" t="n">
        <v>18</v>
      </c>
    </row>
    <row r="21">
      <c r="A21" t="n">
        <v>1</v>
      </c>
      <c r="B21" s="18" t="n">
        <v>2</v>
      </c>
      <c r="C21" t="n">
        <v>3</v>
      </c>
      <c r="D21" s="18" t="n">
        <v>4</v>
      </c>
      <c r="E21" t="n">
        <v>5</v>
      </c>
      <c r="F21" s="18" t="n">
        <v>6</v>
      </c>
      <c r="G21" t="n">
        <v>7</v>
      </c>
      <c r="H21" s="18" t="n">
        <v>8</v>
      </c>
      <c r="I21" t="n">
        <v>9</v>
      </c>
      <c r="J21" s="18" t="n">
        <v>10</v>
      </c>
      <c r="K21" t="n">
        <v>11</v>
      </c>
      <c r="L21" s="18" t="n">
        <v>12</v>
      </c>
      <c r="M21" t="n">
        <v>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Z20"/>
  <sheetViews>
    <sheetView workbookViewId="0">
      <selection activeCell="G25" sqref="G25"/>
    </sheetView>
  </sheetViews>
  <sheetFormatPr baseColWidth="10" defaultRowHeight="16"/>
  <sheetData>
    <row r="1">
      <c r="A1" t="inlineStr">
        <is>
          <t>Team</t>
        </is>
      </c>
      <c r="B1" t="inlineStr">
        <is>
          <t>Abbreviation</t>
        </is>
      </c>
      <c r="C1" t="inlineStr">
        <is>
          <t>Matches</t>
        </is>
      </c>
      <c r="D1" t="inlineStr">
        <is>
          <t>Players</t>
        </is>
      </c>
      <c r="E1" t="inlineStr">
        <is>
          <t>Age</t>
        </is>
      </c>
      <c r="F1" t="inlineStr">
        <is>
          <t>Experience</t>
        </is>
      </c>
      <c r="G1" t="inlineStr">
        <is>
          <t>RatingPoints</t>
        </is>
      </c>
      <c r="H1" t="inlineStr">
        <is>
          <t>Supercoach</t>
        </is>
      </c>
      <c r="I1" t="inlineStr">
        <is>
          <t>DreamTeamPoints</t>
        </is>
      </c>
      <c r="J1" t="inlineStr">
        <is>
          <t>CoachesVotes</t>
        </is>
      </c>
      <c r="K1" t="inlineStr">
        <is>
          <t>ForwardHalf</t>
        </is>
      </c>
      <c r="L1" t="inlineStr">
        <is>
          <t>Kicks</t>
        </is>
      </c>
      <c r="M1" t="inlineStr">
        <is>
          <t>Handballs</t>
        </is>
      </c>
      <c r="N1" t="inlineStr">
        <is>
          <t>Disposals</t>
        </is>
      </c>
      <c r="O1" t="inlineStr">
        <is>
          <t>DisposalEfficiency</t>
        </is>
      </c>
      <c r="P1" t="inlineStr">
        <is>
          <t>KickingEfficiency</t>
        </is>
      </c>
      <c r="Q1" t="inlineStr">
        <is>
          <t>HandballEfficiency</t>
        </is>
      </c>
      <c r="R1" t="inlineStr">
        <is>
          <t>KickPercentage</t>
        </is>
      </c>
      <c r="S1" t="inlineStr">
        <is>
          <t>DisposalsPerOppositionTackle</t>
        </is>
      </c>
      <c r="T1" t="inlineStr">
        <is>
          <t>Inside50s</t>
        </is>
      </c>
      <c r="U1" t="inlineStr">
        <is>
          <t>Rebound50s</t>
        </is>
      </c>
      <c r="V1" t="inlineStr">
        <is>
          <t>Rebound50sPerOppositionInside50s</t>
        </is>
      </c>
      <c r="W1" t="inlineStr">
        <is>
          <t>MetresGained</t>
        </is>
      </c>
      <c r="X1" t="inlineStr">
        <is>
          <t>MetresGainedPerDisposal</t>
        </is>
      </c>
      <c r="Y1" t="inlineStr">
        <is>
          <t>Clangers</t>
        </is>
      </c>
      <c r="Z1" t="inlineStr">
        <is>
          <t>DisposalsPerClanger</t>
        </is>
      </c>
      <c r="AA1" t="inlineStr">
        <is>
          <t>Turnovers</t>
        </is>
      </c>
      <c r="AB1" t="inlineStr">
        <is>
          <t>DisposalsPerTurnover</t>
        </is>
      </c>
      <c r="AC1" t="inlineStr">
        <is>
          <t>ThreatRating</t>
        </is>
      </c>
      <c r="AD1" t="inlineStr">
        <is>
          <t>RetentionRating</t>
        </is>
      </c>
      <c r="AE1" t="inlineStr">
        <is>
          <t>ContestedPossessions</t>
        </is>
      </c>
      <c r="AF1" t="inlineStr">
        <is>
          <t>UncontestedPossessions</t>
        </is>
      </c>
      <c r="AG1" t="inlineStr">
        <is>
          <t>TotalPossessions</t>
        </is>
      </c>
      <c r="AH1" t="inlineStr">
        <is>
          <t>ContestedPossessionRate</t>
        </is>
      </c>
      <c r="AI1" t="inlineStr">
        <is>
          <t>Intercepts</t>
        </is>
      </c>
      <c r="AJ1" t="inlineStr">
        <is>
          <t>GroundBallGets</t>
        </is>
      </c>
      <c r="AK1" t="inlineStr">
        <is>
          <t>GroundBallGetsForward50</t>
        </is>
      </c>
      <c r="AL1" t="inlineStr">
        <is>
          <t>HardBallGets</t>
        </is>
      </c>
      <c r="AM1" t="inlineStr">
        <is>
          <t>LooseBallGets</t>
        </is>
      </c>
      <c r="AN1" t="inlineStr">
        <is>
          <t>PostClearanceContestedPossessions</t>
        </is>
      </c>
      <c r="AO1" t="inlineStr">
        <is>
          <t>PostClearanceGroundBallGets</t>
        </is>
      </c>
      <c r="AP1" t="inlineStr">
        <is>
          <t>GathersFromHitout</t>
        </is>
      </c>
      <c r="AQ1" t="inlineStr">
        <is>
          <t>CrumbingPossessions</t>
        </is>
      </c>
      <c r="AR1" t="inlineStr">
        <is>
          <t>HandballReceives</t>
        </is>
      </c>
      <c r="AS1" t="inlineStr">
        <is>
          <t>CentreClearances</t>
        </is>
      </c>
      <c r="AT1" t="inlineStr">
        <is>
          <t>StoppageClearances</t>
        </is>
      </c>
      <c r="AU1" t="inlineStr">
        <is>
          <t>TotalClearances</t>
        </is>
      </c>
      <c r="AV1" t="inlineStr">
        <is>
          <t>FirstPossessions</t>
        </is>
      </c>
      <c r="AW1" t="inlineStr">
        <is>
          <t>FirstPossessionToClearance</t>
        </is>
      </c>
      <c r="AX1" t="inlineStr">
        <is>
          <t>Marks</t>
        </is>
      </c>
      <c r="AY1" t="inlineStr">
        <is>
          <t>ContestedMarks</t>
        </is>
      </c>
      <c r="AZ1" t="inlineStr">
        <is>
          <t>MarksInside50</t>
        </is>
      </c>
      <c r="BA1" t="inlineStr">
        <is>
          <t>MarksInside50PerInside50</t>
        </is>
      </c>
      <c r="BB1" t="inlineStr">
        <is>
          <t>InterceptMarks</t>
        </is>
      </c>
      <c r="BC1" t="inlineStr">
        <is>
          <t>MarksOnLead</t>
        </is>
      </c>
      <c r="BD1" t="inlineStr">
        <is>
          <t>GoalScorers_Total</t>
        </is>
      </c>
      <c r="BE1" t="inlineStr">
        <is>
          <t>GoalScorers</t>
        </is>
      </c>
      <c r="BF1" t="inlineStr">
        <is>
          <t>Goals</t>
        </is>
      </c>
      <c r="BG1" t="inlineStr">
        <is>
          <t>Behinds</t>
        </is>
      </c>
      <c r="BH1" t="inlineStr">
        <is>
          <t>RushedBehinds</t>
        </is>
      </c>
      <c r="BI1" t="inlineStr">
        <is>
          <t>ShotsAtGoal</t>
        </is>
      </c>
      <c r="BJ1" t="inlineStr">
        <is>
          <t>GoalAssists</t>
        </is>
      </c>
      <c r="BK1" t="inlineStr">
        <is>
          <t>GoalAccuracy</t>
        </is>
      </c>
      <c r="BL1" t="inlineStr">
        <is>
          <t>GoalsPerInside50</t>
        </is>
      </c>
      <c r="BM1" t="inlineStr">
        <is>
          <t>ScoringShotsPerInside50</t>
        </is>
      </c>
      <c r="BN1" t="inlineStr">
        <is>
          <t>ShotsPerInside50</t>
        </is>
      </c>
      <c r="BO1" t="inlineStr">
        <is>
          <t>ScoreLaunches</t>
        </is>
      </c>
      <c r="BP1" t="inlineStr">
        <is>
          <t>ContestOffensiveOneOnOnes</t>
        </is>
      </c>
      <c r="BQ1" t="inlineStr">
        <is>
          <t>ContestOffensiveWinPercentage</t>
        </is>
      </c>
      <c r="BR1" t="inlineStr">
        <is>
          <t>xScore</t>
        </is>
      </c>
      <c r="BS1" t="inlineStr">
        <is>
          <t>xScoreRating</t>
        </is>
      </c>
      <c r="BT1" t="inlineStr">
        <is>
          <t>xScorePerShot</t>
        </is>
      </c>
      <c r="BU1" t="inlineStr">
        <is>
          <t>xScoreRatingPerShot</t>
        </is>
      </c>
      <c r="BV1" t="inlineStr">
        <is>
          <t>xScorePerShot_Set</t>
        </is>
      </c>
      <c r="BW1" t="inlineStr">
        <is>
          <t>xScoreRatingPerShot_Set</t>
        </is>
      </c>
      <c r="BX1" t="inlineStr">
        <is>
          <t>xScorePerShot_General</t>
        </is>
      </c>
      <c r="BY1" t="inlineStr">
        <is>
          <t>xScoreRatingPerShot_General</t>
        </is>
      </c>
      <c r="BZ1" t="inlineStr">
        <is>
          <t>PointsFromKickIn</t>
        </is>
      </c>
      <c r="CA1" t="inlineStr">
        <is>
          <t>PointsFromStoppage</t>
        </is>
      </c>
      <c r="CB1" t="inlineStr">
        <is>
          <t>PointsFromTurnover</t>
        </is>
      </c>
      <c r="CC1" t="inlineStr">
        <is>
          <t>PointsFromDefensiveHalf</t>
        </is>
      </c>
      <c r="CD1" t="inlineStr">
        <is>
          <t>PointsFromForwardHalf</t>
        </is>
      </c>
      <c r="CE1" t="inlineStr">
        <is>
          <t>PointsFromCentreBounce</t>
        </is>
      </c>
      <c r="CF1" t="inlineStr">
        <is>
          <t>ChainToScore</t>
        </is>
      </c>
      <c r="CG1" t="inlineStr">
        <is>
          <t>D50ToF50</t>
        </is>
      </c>
      <c r="CH1" t="inlineStr">
        <is>
          <t>D50ToScore</t>
        </is>
      </c>
      <c r="CI1" t="inlineStr">
        <is>
          <t>DefHalfToF50</t>
        </is>
      </c>
      <c r="CJ1" t="inlineStr">
        <is>
          <t>DefHalfToScore</t>
        </is>
      </c>
      <c r="CK1" t="inlineStr">
        <is>
          <t>ContestDefensiveOneOnOnes</t>
        </is>
      </c>
      <c r="CL1" t="inlineStr">
        <is>
          <t>ContestDefensiveLossPercentage</t>
        </is>
      </c>
      <c r="CM1" t="inlineStr">
        <is>
          <t>Tackles</t>
        </is>
      </c>
      <c r="CN1" t="inlineStr">
        <is>
          <t>TacklesInside50</t>
        </is>
      </c>
      <c r="CO1" t="inlineStr">
        <is>
          <t>PressureActs</t>
        </is>
      </c>
      <c r="CP1" t="inlineStr">
        <is>
          <t>PressureActsDefensiveHalf</t>
        </is>
      </c>
      <c r="CQ1" t="inlineStr">
        <is>
          <t>Spoils</t>
        </is>
      </c>
      <c r="CR1" t="inlineStr">
        <is>
          <t>RuckContests</t>
        </is>
      </c>
      <c r="CS1" t="inlineStr">
        <is>
          <t>Hitouts</t>
        </is>
      </c>
      <c r="CT1" t="inlineStr">
        <is>
          <t>HitoutsWinPercentage</t>
        </is>
      </c>
      <c r="CU1" t="inlineStr">
        <is>
          <t>HitoutsToAdvantage</t>
        </is>
      </c>
      <c r="CV1" t="inlineStr">
        <is>
          <t>HitoutsToAdvantagePercentage</t>
        </is>
      </c>
      <c r="CW1" t="inlineStr">
        <is>
          <t>RuckHardBallGets</t>
        </is>
      </c>
      <c r="CX1" t="inlineStr">
        <is>
          <t>FreesFor</t>
        </is>
      </c>
      <c r="CY1" t="inlineStr">
        <is>
          <t>FreesAgainst</t>
        </is>
      </c>
      <c r="CZ1" t="inlineStr">
        <is>
          <t>FreesDiff</t>
        </is>
      </c>
      <c r="DA1" t="inlineStr">
        <is>
          <t>KickIns</t>
        </is>
      </c>
      <c r="DB1" t="inlineStr">
        <is>
          <t>KickInsPlayOnPercentage</t>
        </is>
      </c>
      <c r="DC1" t="inlineStr">
        <is>
          <t>Bounces</t>
        </is>
      </c>
      <c r="DD1" t="inlineStr">
        <is>
          <t>OnePercenters</t>
        </is>
      </c>
      <c r="DE1" t="inlineStr">
        <is>
          <t>InterchangeCount</t>
        </is>
      </c>
      <c r="DF1" t="inlineStr">
        <is>
          <t>RatingPoints_Opposition</t>
        </is>
      </c>
      <c r="DG1" t="inlineStr">
        <is>
          <t>Supercoach_Opposition</t>
        </is>
      </c>
      <c r="DH1" t="inlineStr">
        <is>
          <t>DreamTeamPoints_Opposition</t>
        </is>
      </c>
      <c r="DI1" t="inlineStr">
        <is>
          <t>CoachesVotes_Opposition</t>
        </is>
      </c>
      <c r="DJ1" t="inlineStr">
        <is>
          <t>Kicks_Opposition</t>
        </is>
      </c>
      <c r="DK1" t="inlineStr">
        <is>
          <t>Handballs_Opposition</t>
        </is>
      </c>
      <c r="DL1" t="inlineStr">
        <is>
          <t>Disposals_Opposition</t>
        </is>
      </c>
      <c r="DM1" t="inlineStr">
        <is>
          <t>DisposalEfficiency_Opposition</t>
        </is>
      </c>
      <c r="DN1" t="inlineStr">
        <is>
          <t>KickingEfficiency_Opposition</t>
        </is>
      </c>
      <c r="DO1" t="inlineStr">
        <is>
          <t>HandballEfficiency_Opposition</t>
        </is>
      </c>
      <c r="DP1" t="inlineStr">
        <is>
          <t>OppositionDisposalsPerTackle</t>
        </is>
      </c>
      <c r="DQ1" t="inlineStr">
        <is>
          <t>Inside50s_Opposition</t>
        </is>
      </c>
      <c r="DR1" t="inlineStr">
        <is>
          <t>Rebound50s_Opposition</t>
        </is>
      </c>
      <c r="DS1" t="inlineStr">
        <is>
          <t>OppositionRebound50sPerInside50s</t>
        </is>
      </c>
      <c r="DT1" t="inlineStr">
        <is>
          <t>MetresGained_Opposition</t>
        </is>
      </c>
      <c r="DU1" t="inlineStr">
        <is>
          <t>MetresGainedPerDisposal_Opposition</t>
        </is>
      </c>
      <c r="DV1" t="inlineStr">
        <is>
          <t>Clangers_Opposition</t>
        </is>
      </c>
      <c r="DW1" t="inlineStr">
        <is>
          <t>DisposalsPerClanger_Opposition</t>
        </is>
      </c>
      <c r="DX1" t="inlineStr">
        <is>
          <t>Turnovers_Opposition</t>
        </is>
      </c>
      <c r="DY1" t="inlineStr">
        <is>
          <t>DisposalsPerTurnover_Opposition</t>
        </is>
      </c>
      <c r="DZ1" t="inlineStr">
        <is>
          <t>ThreatRating_Opposition</t>
        </is>
      </c>
      <c r="EA1" t="inlineStr">
        <is>
          <t>RetentionRating_Opposition</t>
        </is>
      </c>
      <c r="EB1" t="inlineStr">
        <is>
          <t>ContestedPossessions_Opposition</t>
        </is>
      </c>
      <c r="EC1" t="inlineStr">
        <is>
          <t>UncontestedPossessions_Opposition</t>
        </is>
      </c>
      <c r="ED1" t="inlineStr">
        <is>
          <t>TotalPossessions_Opposition</t>
        </is>
      </c>
      <c r="EE1" t="inlineStr">
        <is>
          <t>ContestedPossessionRate_Opposition</t>
        </is>
      </c>
      <c r="EF1" t="inlineStr">
        <is>
          <t>Intercepts_Opposition</t>
        </is>
      </c>
      <c r="EG1" t="inlineStr">
        <is>
          <t>GroundBallGets_Opposition</t>
        </is>
      </c>
      <c r="EH1" t="inlineStr">
        <is>
          <t>GroundBallGetsForward50_Opposition</t>
        </is>
      </c>
      <c r="EI1" t="inlineStr">
        <is>
          <t>HardBallGets_Opposition</t>
        </is>
      </c>
      <c r="EJ1" t="inlineStr">
        <is>
          <t>LooseBallGets_Opposition</t>
        </is>
      </c>
      <c r="EK1" t="inlineStr">
        <is>
          <t>PostClearanceContestedPossessions_Opposition</t>
        </is>
      </c>
      <c r="EL1" t="inlineStr">
        <is>
          <t>PostClearanceGroundBallGets_Opposition</t>
        </is>
      </c>
      <c r="EM1" t="inlineStr">
        <is>
          <t>GathersFromHitout_Opposition</t>
        </is>
      </c>
      <c r="EN1" t="inlineStr">
        <is>
          <t>CrumbingPossessions_Opposition</t>
        </is>
      </c>
      <c r="EO1" t="inlineStr">
        <is>
          <t>HandballReceives_Opposition</t>
        </is>
      </c>
      <c r="EP1" t="inlineStr">
        <is>
          <t>CentreClearances_Opposition</t>
        </is>
      </c>
      <c r="EQ1" t="inlineStr">
        <is>
          <t>StoppageClearances_Opposition</t>
        </is>
      </c>
      <c r="ER1" t="inlineStr">
        <is>
          <t>TotalClearances_Opposition</t>
        </is>
      </c>
      <c r="ES1" t="inlineStr">
        <is>
          <t>FirstPossessions_Opposition</t>
        </is>
      </c>
      <c r="ET1" t="inlineStr">
        <is>
          <t>FirstPossessionToClearance_Opposition</t>
        </is>
      </c>
      <c r="EU1" t="inlineStr">
        <is>
          <t>Marks_Opposition</t>
        </is>
      </c>
      <c r="EV1" t="inlineStr">
        <is>
          <t>ContestedMarks_Opposition</t>
        </is>
      </c>
      <c r="EW1" t="inlineStr">
        <is>
          <t>MarksInside50_Opposition</t>
        </is>
      </c>
      <c r="EX1" t="inlineStr">
        <is>
          <t>MarksInside50PerInside50_Opposition</t>
        </is>
      </c>
      <c r="EY1" t="inlineStr">
        <is>
          <t>InterceptMarks_Opposition</t>
        </is>
      </c>
      <c r="EZ1" t="inlineStr">
        <is>
          <t>MarksOnLead_Opposition</t>
        </is>
      </c>
      <c r="FA1" t="inlineStr">
        <is>
          <t>Goals_Opposition</t>
        </is>
      </c>
      <c r="FB1" t="inlineStr">
        <is>
          <t>Behinds_Opposition</t>
        </is>
      </c>
      <c r="FC1" t="inlineStr">
        <is>
          <t>RushedBehinds_Opposition</t>
        </is>
      </c>
      <c r="FD1" t="inlineStr">
        <is>
          <t>ShotsAtGoal_Opposition</t>
        </is>
      </c>
      <c r="FE1" t="inlineStr">
        <is>
          <t>GoalAssists_Opposition</t>
        </is>
      </c>
      <c r="FF1" t="inlineStr">
        <is>
          <t>GoalAccuracy_Opposition</t>
        </is>
      </c>
      <c r="FG1" t="inlineStr">
        <is>
          <t>GoalsPerInside50_Opposition</t>
        </is>
      </c>
      <c r="FH1" t="inlineStr">
        <is>
          <t>ScoringShotsPerInside50_Opposition</t>
        </is>
      </c>
      <c r="FI1" t="inlineStr">
        <is>
          <t>ShotsPerInside50_Opposition</t>
        </is>
      </c>
      <c r="FJ1" t="inlineStr">
        <is>
          <t>ScoreLaunches_Opposition</t>
        </is>
      </c>
      <c r="FK1" t="inlineStr">
        <is>
          <t>xScore_Opposition</t>
        </is>
      </c>
      <c r="FL1" t="inlineStr">
        <is>
          <t>xScoreRating_Opposition</t>
        </is>
      </c>
      <c r="FM1" t="inlineStr">
        <is>
          <t>xScorePerShot_Opposition</t>
        </is>
      </c>
      <c r="FN1" t="inlineStr">
        <is>
          <t>xScoreRatingPerShot_Opposition</t>
        </is>
      </c>
      <c r="FO1" t="inlineStr">
        <is>
          <t>xScorePerShot_Set_Opposition</t>
        </is>
      </c>
      <c r="FP1" t="inlineStr">
        <is>
          <t>xScoreRatingPerShot_Set_Opposition</t>
        </is>
      </c>
      <c r="FQ1" t="inlineStr">
        <is>
          <t>xScorePerShot_General_Opposition</t>
        </is>
      </c>
      <c r="FR1" t="inlineStr">
        <is>
          <t>xScoreRatingPerShot_General_Opposition</t>
        </is>
      </c>
      <c r="FS1" t="inlineStr">
        <is>
          <t>PointsFromKickIn_Opposition</t>
        </is>
      </c>
      <c r="FT1" t="inlineStr">
        <is>
          <t>PointsFromStoppage_Opposition</t>
        </is>
      </c>
      <c r="FU1" t="inlineStr">
        <is>
          <t>PointsFromTurnover_Opposition</t>
        </is>
      </c>
      <c r="FV1" t="inlineStr">
        <is>
          <t>PointsFromDefensiveHalf_Opposition</t>
        </is>
      </c>
      <c r="FW1" t="inlineStr">
        <is>
          <t>PointsFromForwardHalf_Opposition</t>
        </is>
      </c>
      <c r="FX1" t="inlineStr">
        <is>
          <t>PointsFromCentreBounce_Opposition</t>
        </is>
      </c>
      <c r="FY1" t="inlineStr">
        <is>
          <t>ChainToScore_Opposition</t>
        </is>
      </c>
      <c r="FZ1" t="inlineStr">
        <is>
          <t>D50ToF50_Opposition</t>
        </is>
      </c>
      <c r="GA1" t="inlineStr">
        <is>
          <t>D50ToScore_Opposition</t>
        </is>
      </c>
      <c r="GB1" t="inlineStr">
        <is>
          <t>DefHalfToF50_Opposition</t>
        </is>
      </c>
      <c r="GC1" t="inlineStr">
        <is>
          <t>DefHalfToScore_Opposition</t>
        </is>
      </c>
      <c r="GD1" t="inlineStr">
        <is>
          <t>Tackles_Opposition</t>
        </is>
      </c>
      <c r="GE1" t="inlineStr">
        <is>
          <t>TacklesInside50_Opposition</t>
        </is>
      </c>
      <c r="GF1" t="inlineStr">
        <is>
          <t>PressureActs_Opposition</t>
        </is>
      </c>
      <c r="GG1" t="inlineStr">
        <is>
          <t>PressureActsDefensiveHalf_Opposition</t>
        </is>
      </c>
      <c r="GH1" t="inlineStr">
        <is>
          <t>Spoils_Opposition</t>
        </is>
      </c>
      <c r="GI1" t="inlineStr">
        <is>
          <t>Hitouts_Opposition</t>
        </is>
      </c>
      <c r="GJ1" t="inlineStr">
        <is>
          <t>HitoutsWinPercentage_Opposition</t>
        </is>
      </c>
      <c r="GK1" t="inlineStr">
        <is>
          <t>HitoutsToAdvantage_Opposition</t>
        </is>
      </c>
      <c r="GL1" t="inlineStr">
        <is>
          <t>HitoutsToAdvantagePercentage_Opposition</t>
        </is>
      </c>
      <c r="GM1" t="inlineStr">
        <is>
          <t>RuckHardBallGets_Opposition</t>
        </is>
      </c>
      <c r="GN1" t="inlineStr">
        <is>
          <t>KickIns_Opposition</t>
        </is>
      </c>
      <c r="GO1" t="inlineStr">
        <is>
          <t>KickInsPlayOnPercentage_Opposition</t>
        </is>
      </c>
      <c r="GP1" t="inlineStr">
        <is>
          <t>Bounces_Opposition</t>
        </is>
      </c>
      <c r="GQ1" t="inlineStr">
        <is>
          <t>OnePercenters_Opposition</t>
        </is>
      </c>
      <c r="GR1" t="inlineStr">
        <is>
          <t>InterchangeCount_Opposition</t>
        </is>
      </c>
      <c r="GS1" t="inlineStr">
        <is>
          <t>RatingPoints_Diff</t>
        </is>
      </c>
      <c r="GT1" t="inlineStr">
        <is>
          <t>Supercoach_Diff</t>
        </is>
      </c>
      <c r="GU1" t="inlineStr">
        <is>
          <t>DreamTeamPoints_Diff</t>
        </is>
      </c>
      <c r="GV1" t="inlineStr">
        <is>
          <t>CoachesVotes_Diff</t>
        </is>
      </c>
      <c r="GW1" t="inlineStr">
        <is>
          <t>Kicks_Diff</t>
        </is>
      </c>
      <c r="GX1" t="inlineStr">
        <is>
          <t>Handballs_Diff</t>
        </is>
      </c>
      <c r="GY1" t="inlineStr">
        <is>
          <t>Disposals_Diff</t>
        </is>
      </c>
      <c r="GZ1" t="inlineStr">
        <is>
          <t>Inside50s_Diff</t>
        </is>
      </c>
      <c r="HA1" t="inlineStr">
        <is>
          <t>MetresGained_Diff</t>
        </is>
      </c>
      <c r="HB1" t="inlineStr">
        <is>
          <t>Clangers_Diff</t>
        </is>
      </c>
      <c r="HC1" t="inlineStr">
        <is>
          <t>Turnovers_Diff</t>
        </is>
      </c>
      <c r="HD1" t="inlineStr">
        <is>
          <t>ThreatRating_Diff</t>
        </is>
      </c>
      <c r="HE1" t="inlineStr">
        <is>
          <t>RetentionRating_Diff</t>
        </is>
      </c>
      <c r="HF1" t="inlineStr">
        <is>
          <t>ContestedPossessions_Diff</t>
        </is>
      </c>
      <c r="HG1" t="inlineStr">
        <is>
          <t>UncontestedPossessions_Diff</t>
        </is>
      </c>
      <c r="HH1" t="inlineStr">
        <is>
          <t>TotalPossessions_Diff</t>
        </is>
      </c>
      <c r="HI1" t="inlineStr">
        <is>
          <t>Intercepts_Diff</t>
        </is>
      </c>
      <c r="HJ1" t="inlineStr">
        <is>
          <t>GroundBallGets_Diff</t>
        </is>
      </c>
      <c r="HK1" t="inlineStr">
        <is>
          <t>GroundBallGetsForward50_Diff</t>
        </is>
      </c>
      <c r="HL1" t="inlineStr">
        <is>
          <t>HardBallGets_Diff</t>
        </is>
      </c>
      <c r="HM1" t="inlineStr">
        <is>
          <t>LooseBallGets_Diff</t>
        </is>
      </c>
      <c r="HN1" t="inlineStr">
        <is>
          <t>PostClearanceContestedPossessions_Diff</t>
        </is>
      </c>
      <c r="HO1" t="inlineStr">
        <is>
          <t>PostClearanceGroundBallGets_Diff</t>
        </is>
      </c>
      <c r="HP1" t="inlineStr">
        <is>
          <t>GathersFromHitout_Diff</t>
        </is>
      </c>
      <c r="HQ1" t="inlineStr">
        <is>
          <t>CrumbingPossessions_Diff</t>
        </is>
      </c>
      <c r="HR1" t="inlineStr">
        <is>
          <t>HandballReceives_Diff</t>
        </is>
      </c>
      <c r="HS1" t="inlineStr">
        <is>
          <t>CentreClearances_Diff</t>
        </is>
      </c>
      <c r="HT1" t="inlineStr">
        <is>
          <t>StoppageClearances_Diff</t>
        </is>
      </c>
      <c r="HU1" t="inlineStr">
        <is>
          <t>TotalClearances_Diff</t>
        </is>
      </c>
      <c r="HV1" t="inlineStr">
        <is>
          <t>FirstPossessions_Diff</t>
        </is>
      </c>
      <c r="HW1" t="inlineStr">
        <is>
          <t>Marks_Diff</t>
        </is>
      </c>
      <c r="HX1" t="inlineStr">
        <is>
          <t>ContestedMarks_Diff</t>
        </is>
      </c>
      <c r="HY1" t="inlineStr">
        <is>
          <t>MarksInside50_Diff</t>
        </is>
      </c>
      <c r="HZ1" t="inlineStr">
        <is>
          <t>InterceptMarks_Diff</t>
        </is>
      </c>
      <c r="IA1" t="inlineStr">
        <is>
          <t>MarksOnLead_Diff</t>
        </is>
      </c>
      <c r="IB1" t="inlineStr">
        <is>
          <t>Goals_Diff</t>
        </is>
      </c>
      <c r="IC1" t="inlineStr">
        <is>
          <t>Behinds_Diff</t>
        </is>
      </c>
      <c r="ID1" t="inlineStr">
        <is>
          <t>ShotsAtGoal_Diff</t>
        </is>
      </c>
      <c r="IE1" t="inlineStr">
        <is>
          <t>GoalAssists_Diff</t>
        </is>
      </c>
      <c r="IF1" t="inlineStr">
        <is>
          <t>ScoreLaunches_Diff</t>
        </is>
      </c>
      <c r="IG1" t="inlineStr">
        <is>
          <t>xScore_Diff</t>
        </is>
      </c>
      <c r="IH1" t="inlineStr">
        <is>
          <t>xScoreRating_Diff</t>
        </is>
      </c>
      <c r="II1" t="inlineStr">
        <is>
          <t>xScorePerShot_Diff</t>
        </is>
      </c>
      <c r="IJ1" t="inlineStr">
        <is>
          <t>PointsFromKickIn_Diff</t>
        </is>
      </c>
      <c r="IK1" t="inlineStr">
        <is>
          <t>PointsFromStoppage_Diff</t>
        </is>
      </c>
      <c r="IL1" t="inlineStr">
        <is>
          <t>PointsFromTurnover_Diff</t>
        </is>
      </c>
      <c r="IM1" t="inlineStr">
        <is>
          <t>PointsFromDefensiveHalf_Diff</t>
        </is>
      </c>
      <c r="IN1" t="inlineStr">
        <is>
          <t>PointsFromForwardHalf_Diff</t>
        </is>
      </c>
      <c r="IO1" t="inlineStr">
        <is>
          <t>PointsFromCentreBounce_Diff</t>
        </is>
      </c>
      <c r="IP1" t="inlineStr">
        <is>
          <t>Tackles_Diff</t>
        </is>
      </c>
      <c r="IQ1" t="inlineStr">
        <is>
          <t>TacklesInside50_Diff</t>
        </is>
      </c>
      <c r="IR1" t="inlineStr">
        <is>
          <t>PressureActs_Diff</t>
        </is>
      </c>
      <c r="IS1" t="inlineStr">
        <is>
          <t>PressureActsDefensiveHalf_Diff</t>
        </is>
      </c>
      <c r="IT1" t="inlineStr">
        <is>
          <t>Spoils_Diff</t>
        </is>
      </c>
      <c r="IU1" t="inlineStr">
        <is>
          <t>Hitouts_Diff</t>
        </is>
      </c>
      <c r="IV1" t="inlineStr">
        <is>
          <t>HitoutsToAdvantage_Diff</t>
        </is>
      </c>
      <c r="IW1" t="inlineStr">
        <is>
          <t>RuckHardBallGets_Diff</t>
        </is>
      </c>
      <c r="IX1" t="inlineStr">
        <is>
          <t>Bounces_Diff</t>
        </is>
      </c>
      <c r="IY1" t="inlineStr">
        <is>
          <t>OnePercenters_Diff</t>
        </is>
      </c>
      <c r="IZ1" t="inlineStr">
        <is>
          <t>InterchangeCount_Diff</t>
        </is>
      </c>
    </row>
    <row r="2">
      <c r="A2" t="inlineStr">
        <is>
          <t>Sydney</t>
        </is>
      </c>
      <c r="B2" t="inlineStr">
        <is>
          <t>Syd</t>
        </is>
      </c>
      <c r="C2" t="n">
        <v>26</v>
      </c>
      <c r="D2" t="n">
        <v>31</v>
      </c>
      <c r="E2" t="n">
        <v>26.012</v>
      </c>
      <c r="F2" t="n">
        <v>119.707</v>
      </c>
      <c r="G2" t="n">
        <v>214.792</v>
      </c>
      <c r="H2" t="n">
        <v>1696.154</v>
      </c>
      <c r="I2" t="n">
        <v>1550.615</v>
      </c>
      <c r="J2" t="n">
        <v>19.577</v>
      </c>
      <c r="K2" t="n">
        <v>50.203</v>
      </c>
      <c r="L2" t="n">
        <v>220</v>
      </c>
      <c r="M2" t="n">
        <v>136.038</v>
      </c>
      <c r="N2" t="n">
        <v>356.038</v>
      </c>
      <c r="O2" t="n">
        <v>72.367</v>
      </c>
      <c r="P2" t="n">
        <v>67.255</v>
      </c>
      <c r="Q2" t="n">
        <v>80.633</v>
      </c>
      <c r="R2" t="n">
        <v>61.791</v>
      </c>
      <c r="S2" t="n">
        <v>6.371</v>
      </c>
      <c r="T2" t="n">
        <v>53.462</v>
      </c>
      <c r="U2" t="n">
        <v>38.962</v>
      </c>
      <c r="V2" t="n">
        <v>76.568</v>
      </c>
      <c r="W2" t="n">
        <v>5833.269</v>
      </c>
      <c r="X2" t="n">
        <v>16.384</v>
      </c>
      <c r="Y2" t="n">
        <v>56.115</v>
      </c>
      <c r="Z2" t="n">
        <v>6.345</v>
      </c>
      <c r="AA2" t="n">
        <v>66.846</v>
      </c>
      <c r="AB2" t="n">
        <v>5.326</v>
      </c>
      <c r="AC2" t="n">
        <v>0.237</v>
      </c>
      <c r="AD2" t="n">
        <v>1.727</v>
      </c>
      <c r="AE2" t="n">
        <v>129.423</v>
      </c>
      <c r="AF2" t="n">
        <v>217.692</v>
      </c>
      <c r="AG2" t="n">
        <v>347.115</v>
      </c>
      <c r="AH2" t="n">
        <v>37.285</v>
      </c>
      <c r="AI2" t="n">
        <v>66.577</v>
      </c>
      <c r="AJ2" t="n">
        <v>87.88500000000001</v>
      </c>
      <c r="AK2" t="n">
        <v>14.346</v>
      </c>
      <c r="AL2" t="n">
        <v>21.538</v>
      </c>
      <c r="AM2" t="n">
        <v>66.38500000000001</v>
      </c>
      <c r="AN2" t="n">
        <v>80.61499999999999</v>
      </c>
      <c r="AO2" t="n">
        <v>58.385</v>
      </c>
      <c r="AP2" t="n">
        <v>10.231</v>
      </c>
      <c r="AQ2" t="n">
        <v>22.538</v>
      </c>
      <c r="AR2" t="n">
        <v>106.346</v>
      </c>
      <c r="AS2" t="n">
        <v>12.154</v>
      </c>
      <c r="AT2" t="n">
        <v>24.038</v>
      </c>
      <c r="AU2" t="n">
        <v>36.192</v>
      </c>
      <c r="AV2" t="n">
        <v>40.615</v>
      </c>
      <c r="AW2" t="n">
        <v>74.242</v>
      </c>
      <c r="AX2" t="n">
        <v>95.538</v>
      </c>
      <c r="AY2" t="n">
        <v>7.923</v>
      </c>
      <c r="AZ2" t="n">
        <v>11.308</v>
      </c>
      <c r="BA2" t="n">
        <v>21.151</v>
      </c>
      <c r="BB2" t="n">
        <v>14.077</v>
      </c>
      <c r="BC2" t="n">
        <v>6.5</v>
      </c>
      <c r="BD2" t="n">
        <v>27</v>
      </c>
      <c r="BE2" t="n">
        <v>8.769</v>
      </c>
      <c r="BF2" t="n">
        <v>14</v>
      </c>
      <c r="BG2" t="n">
        <v>11.577</v>
      </c>
      <c r="BH2" t="n">
        <v>2.077</v>
      </c>
      <c r="BI2" t="n">
        <v>26.692</v>
      </c>
      <c r="BJ2" t="n">
        <v>10.077</v>
      </c>
      <c r="BK2" t="n">
        <v>52.45</v>
      </c>
      <c r="BL2" t="n">
        <v>26.187</v>
      </c>
      <c r="BM2" t="n">
        <v>47.842</v>
      </c>
      <c r="BN2" t="n">
        <v>49.928</v>
      </c>
      <c r="BO2" t="n">
        <v>25.154</v>
      </c>
      <c r="BP2" t="n">
        <v>10.115</v>
      </c>
      <c r="BQ2" t="n">
        <v>27.376</v>
      </c>
      <c r="BR2" t="n">
        <v>84.04900000000001</v>
      </c>
      <c r="BS2" t="n">
        <v>9.451000000000001</v>
      </c>
      <c r="BT2" t="n">
        <v>3.149</v>
      </c>
      <c r="BU2" t="n">
        <v>0.354</v>
      </c>
      <c r="BV2" t="n">
        <v>3.47</v>
      </c>
      <c r="BW2" t="n">
        <v>0.309</v>
      </c>
      <c r="BX2" t="n">
        <v>2.796</v>
      </c>
      <c r="BY2" t="n">
        <v>0.403</v>
      </c>
      <c r="BZ2" t="n">
        <v>3.192</v>
      </c>
      <c r="CA2" t="n">
        <v>37.308</v>
      </c>
      <c r="CB2" t="n">
        <v>55.077</v>
      </c>
      <c r="CC2" t="n">
        <v>35.923</v>
      </c>
      <c r="CD2" t="n">
        <v>47.462</v>
      </c>
      <c r="CE2" t="n">
        <v>12.192</v>
      </c>
      <c r="CF2" t="n">
        <v>22.448</v>
      </c>
      <c r="CG2" t="n">
        <v>24.37</v>
      </c>
      <c r="CH2" t="n">
        <v>9.916</v>
      </c>
      <c r="CI2" t="n">
        <v>32.238</v>
      </c>
      <c r="CJ2" t="n">
        <v>13.564</v>
      </c>
      <c r="CK2" t="n">
        <v>8.423</v>
      </c>
      <c r="CL2" t="n">
        <v>28.767</v>
      </c>
      <c r="CM2" t="n">
        <v>58.346</v>
      </c>
      <c r="CN2" t="n">
        <v>9.462</v>
      </c>
      <c r="CO2" t="n">
        <v>285.808</v>
      </c>
      <c r="CP2" t="n">
        <v>133.731</v>
      </c>
      <c r="CQ2" t="n">
        <v>36.346</v>
      </c>
      <c r="CR2" t="n">
        <v>90.11499999999999</v>
      </c>
      <c r="CS2" t="n">
        <v>39.962</v>
      </c>
      <c r="CT2" t="n">
        <v>44.345</v>
      </c>
      <c r="CU2" t="n">
        <v>11.154</v>
      </c>
      <c r="CV2" t="n">
        <v>27.911</v>
      </c>
      <c r="CW2" t="n">
        <v>2.538</v>
      </c>
      <c r="CX2" t="n">
        <v>18.269</v>
      </c>
      <c r="CY2" t="n">
        <v>17.808</v>
      </c>
      <c r="CZ2" t="n">
        <v>0.462</v>
      </c>
      <c r="DA2" t="n">
        <v>11</v>
      </c>
      <c r="DB2" t="n">
        <v>89.86</v>
      </c>
      <c r="DC2" t="n">
        <v>8.038</v>
      </c>
      <c r="DD2" t="n">
        <v>49.423</v>
      </c>
      <c r="DE2" t="n">
        <v>69.69199999999999</v>
      </c>
      <c r="DF2" t="n">
        <v>196.365</v>
      </c>
      <c r="DG2" t="n">
        <v>1603.846</v>
      </c>
      <c r="DH2" t="n">
        <v>1493.385</v>
      </c>
      <c r="DI2" t="n">
        <v>11</v>
      </c>
      <c r="DJ2" t="n">
        <v>212.962</v>
      </c>
      <c r="DK2" t="n">
        <v>139.885</v>
      </c>
      <c r="DL2" t="n">
        <v>352.846</v>
      </c>
      <c r="DM2" t="n">
        <v>71.855</v>
      </c>
      <c r="DN2" t="n">
        <v>65.613</v>
      </c>
      <c r="DO2" t="n">
        <v>81.358</v>
      </c>
      <c r="DP2" t="n">
        <v>6.047</v>
      </c>
      <c r="DQ2" t="n">
        <v>50.885</v>
      </c>
      <c r="DR2" t="n">
        <v>38.654</v>
      </c>
      <c r="DS2" t="n">
        <v>72.30200000000001</v>
      </c>
      <c r="DT2" t="n">
        <v>5578.115</v>
      </c>
      <c r="DU2" t="n">
        <v>15.809</v>
      </c>
      <c r="DV2" t="n">
        <v>57.885</v>
      </c>
      <c r="DW2" t="n">
        <v>6.096</v>
      </c>
      <c r="DX2" t="n">
        <v>66.26900000000001</v>
      </c>
      <c r="DY2" t="n">
        <v>5.324</v>
      </c>
      <c r="DZ2" t="n">
        <v>-1.198</v>
      </c>
      <c r="EA2" t="n">
        <v>-0.773</v>
      </c>
      <c r="EB2" t="n">
        <v>132.308</v>
      </c>
      <c r="EC2" t="n">
        <v>214.577</v>
      </c>
      <c r="ED2" t="n">
        <v>346.885</v>
      </c>
      <c r="EE2" t="n">
        <v>38.142</v>
      </c>
      <c r="EF2" t="n">
        <v>67.154</v>
      </c>
      <c r="EG2" t="n">
        <v>91.654</v>
      </c>
      <c r="EH2" t="n">
        <v>15.154</v>
      </c>
      <c r="EI2" t="n">
        <v>21.577</v>
      </c>
      <c r="EJ2" t="n">
        <v>70.038</v>
      </c>
      <c r="EK2" t="n">
        <v>84.654</v>
      </c>
      <c r="EL2" t="n">
        <v>61.038</v>
      </c>
      <c r="EM2" t="n">
        <v>7.808</v>
      </c>
      <c r="EN2" t="n">
        <v>23.538</v>
      </c>
      <c r="EO2" t="n">
        <v>110.846</v>
      </c>
      <c r="EP2" t="n">
        <v>12.423</v>
      </c>
      <c r="EQ2" t="n">
        <v>23.115</v>
      </c>
      <c r="ER2" t="n">
        <v>35.538</v>
      </c>
      <c r="ES2" t="n">
        <v>38.385</v>
      </c>
      <c r="ET2" t="n">
        <v>74.54900000000001</v>
      </c>
      <c r="EU2" t="n">
        <v>93.962</v>
      </c>
      <c r="EV2" t="n">
        <v>9.923</v>
      </c>
      <c r="EW2" t="n">
        <v>11.808</v>
      </c>
      <c r="EX2" t="n">
        <v>23.205</v>
      </c>
      <c r="EY2" t="n">
        <v>15.154</v>
      </c>
      <c r="EZ2" t="n">
        <v>6.077</v>
      </c>
      <c r="FA2" t="n">
        <v>11.154</v>
      </c>
      <c r="FB2" t="n">
        <v>11.154</v>
      </c>
      <c r="FC2" t="n">
        <v>2.577</v>
      </c>
      <c r="FD2" t="n">
        <v>24.846</v>
      </c>
      <c r="FE2" t="n">
        <v>8.385</v>
      </c>
      <c r="FF2" t="n">
        <v>44.892</v>
      </c>
      <c r="FG2" t="n">
        <v>21.92</v>
      </c>
      <c r="FH2" t="n">
        <v>43.84</v>
      </c>
      <c r="FI2" t="n">
        <v>48.828</v>
      </c>
      <c r="FJ2" t="n">
        <v>22.154</v>
      </c>
      <c r="FK2" t="n">
        <v>77.11</v>
      </c>
      <c r="FL2" t="n">
        <v>-1.61</v>
      </c>
      <c r="FM2" t="n">
        <v>3.104</v>
      </c>
      <c r="FN2" t="n">
        <v>-0.065</v>
      </c>
      <c r="FO2" t="n">
        <v>3.371</v>
      </c>
      <c r="FP2" t="n">
        <v>-0.08699999999999999</v>
      </c>
      <c r="FQ2" t="n">
        <v>2.762</v>
      </c>
      <c r="FR2" t="n">
        <v>-0.037</v>
      </c>
      <c r="FS2" t="n">
        <v>3.231</v>
      </c>
      <c r="FT2" t="n">
        <v>28.731</v>
      </c>
      <c r="FU2" t="n">
        <v>46.115</v>
      </c>
      <c r="FV2" t="n">
        <v>27.423</v>
      </c>
      <c r="FW2" t="n">
        <v>40.077</v>
      </c>
      <c r="FX2" t="n">
        <v>10.577</v>
      </c>
      <c r="FY2" t="n">
        <v>19.828</v>
      </c>
      <c r="FZ2" t="n">
        <v>20.345</v>
      </c>
      <c r="GA2" t="n">
        <v>7.109</v>
      </c>
      <c r="GB2" t="n">
        <v>29.043</v>
      </c>
      <c r="GC2" t="n">
        <v>10.911</v>
      </c>
      <c r="GD2" t="n">
        <v>55.885</v>
      </c>
      <c r="GE2" t="n">
        <v>11.231</v>
      </c>
      <c r="GF2" t="n">
        <v>284.231</v>
      </c>
      <c r="GG2" t="n">
        <v>135.5</v>
      </c>
      <c r="GH2" t="n">
        <v>27.962</v>
      </c>
      <c r="GI2" t="n">
        <v>30.462</v>
      </c>
      <c r="GJ2" t="n">
        <v>33.745</v>
      </c>
      <c r="GK2" t="n">
        <v>8.154</v>
      </c>
      <c r="GL2" t="n">
        <v>26.768</v>
      </c>
      <c r="GM2" t="n">
        <v>2.808</v>
      </c>
      <c r="GN2" t="n">
        <v>11.423</v>
      </c>
      <c r="GO2" t="n">
        <v>90.572</v>
      </c>
      <c r="GP2" t="n">
        <v>4.269</v>
      </c>
      <c r="GQ2" t="n">
        <v>41.808</v>
      </c>
      <c r="GR2" t="n">
        <v>70.038</v>
      </c>
      <c r="GS2" t="n">
        <v>18.427</v>
      </c>
      <c r="GT2" t="n">
        <v>92.30800000000001</v>
      </c>
      <c r="GU2" t="n">
        <v>57.231</v>
      </c>
      <c r="GV2" t="n">
        <v>8.577</v>
      </c>
      <c r="GW2" t="n">
        <v>7.038</v>
      </c>
      <c r="GX2" t="n">
        <v>-3.846</v>
      </c>
      <c r="GY2" t="n">
        <v>3.192</v>
      </c>
      <c r="GZ2" t="n">
        <v>2.577</v>
      </c>
      <c r="HA2" t="n">
        <v>255.154</v>
      </c>
      <c r="HB2" t="n">
        <v>-1.769</v>
      </c>
      <c r="HC2" t="n">
        <v>0.577</v>
      </c>
      <c r="HD2" t="n">
        <v>1.435</v>
      </c>
      <c r="HE2" t="n">
        <v>2.5</v>
      </c>
      <c r="HF2" t="n">
        <v>-2.885</v>
      </c>
      <c r="HG2" t="n">
        <v>3.115</v>
      </c>
      <c r="HH2" t="n">
        <v>0.231</v>
      </c>
      <c r="HI2" t="n">
        <v>-0.577</v>
      </c>
      <c r="HJ2" t="n">
        <v>-3.769</v>
      </c>
      <c r="HK2" t="n">
        <v>-0.8080000000000001</v>
      </c>
      <c r="HL2" t="n">
        <v>-0.038</v>
      </c>
      <c r="HM2" t="n">
        <v>-3.654</v>
      </c>
      <c r="HN2" t="n">
        <v>-4.038</v>
      </c>
      <c r="HO2" t="n">
        <v>-2.654</v>
      </c>
      <c r="HP2" t="n">
        <v>2.423</v>
      </c>
      <c r="HQ2" t="n">
        <v>-1</v>
      </c>
      <c r="HR2" t="n">
        <v>-4.5</v>
      </c>
      <c r="HS2" t="n">
        <v>-0.269</v>
      </c>
      <c r="HT2" t="n">
        <v>0.923</v>
      </c>
      <c r="HU2" t="n">
        <v>0.654</v>
      </c>
      <c r="HV2" t="n">
        <v>2.231</v>
      </c>
      <c r="HW2" t="n">
        <v>1.577</v>
      </c>
      <c r="HX2" t="n">
        <v>-2</v>
      </c>
      <c r="HY2" t="n">
        <v>-0.5</v>
      </c>
      <c r="HZ2" t="n">
        <v>-1.077</v>
      </c>
      <c r="IA2" t="n">
        <v>0.423</v>
      </c>
      <c r="IB2" t="n">
        <v>2.846</v>
      </c>
      <c r="IC2" t="n">
        <v>0.423</v>
      </c>
      <c r="ID2" t="n">
        <v>1.846</v>
      </c>
      <c r="IE2" t="n">
        <v>1.692</v>
      </c>
      <c r="IF2" t="n">
        <v>3</v>
      </c>
      <c r="IG2" t="n">
        <v>6.938</v>
      </c>
      <c r="IH2" t="n">
        <v>11.062</v>
      </c>
      <c r="II2" t="n">
        <v>0.045</v>
      </c>
      <c r="IJ2" t="n">
        <v>-0.038</v>
      </c>
      <c r="IK2" t="n">
        <v>8.577</v>
      </c>
      <c r="IL2" t="n">
        <v>8.962</v>
      </c>
      <c r="IM2" t="n">
        <v>8.5</v>
      </c>
      <c r="IN2" t="n">
        <v>7.385</v>
      </c>
      <c r="IO2" t="n">
        <v>1.615</v>
      </c>
      <c r="IP2" t="n">
        <v>2.462</v>
      </c>
      <c r="IQ2" t="n">
        <v>-1.769</v>
      </c>
      <c r="IR2" t="n">
        <v>1.577</v>
      </c>
      <c r="IS2" t="n">
        <v>-1.769</v>
      </c>
      <c r="IT2" t="n">
        <v>8.385</v>
      </c>
      <c r="IU2" t="n">
        <v>9.5</v>
      </c>
      <c r="IV2" t="n">
        <v>3</v>
      </c>
      <c r="IW2" t="n">
        <v>-0.269</v>
      </c>
      <c r="IX2" t="n">
        <v>3.769</v>
      </c>
      <c r="IY2" t="n">
        <v>7.615</v>
      </c>
      <c r="IZ2" t="n">
        <v>-0.346</v>
      </c>
    </row>
    <row r="3">
      <c r="A3" t="inlineStr">
        <is>
          <t>Melbourne</t>
        </is>
      </c>
      <c r="B3" t="inlineStr">
        <is>
          <t>Melb</t>
        </is>
      </c>
      <c r="C3" t="n">
        <v>23</v>
      </c>
      <c r="D3" t="n">
        <v>36</v>
      </c>
      <c r="E3" t="n">
        <v>25.898</v>
      </c>
      <c r="F3" t="n">
        <v>112.796</v>
      </c>
      <c r="G3" t="n">
        <v>203.391</v>
      </c>
      <c r="H3" t="n">
        <v>1608.435</v>
      </c>
      <c r="I3" t="n">
        <v>1496.609</v>
      </c>
      <c r="J3" t="n">
        <v>14.217</v>
      </c>
      <c r="K3" t="n">
        <v>47.736</v>
      </c>
      <c r="L3" t="n">
        <v>212.783</v>
      </c>
      <c r="M3" t="n">
        <v>133</v>
      </c>
      <c r="N3" t="n">
        <v>345.783</v>
      </c>
      <c r="O3" t="n">
        <v>70.715</v>
      </c>
      <c r="P3" t="n">
        <v>65.877</v>
      </c>
      <c r="Q3" t="n">
        <v>78.45699999999999</v>
      </c>
      <c r="R3" t="n">
        <v>61.537</v>
      </c>
      <c r="S3" t="n">
        <v>6.09</v>
      </c>
      <c r="T3" t="n">
        <v>49.043</v>
      </c>
      <c r="U3" t="n">
        <v>41.826</v>
      </c>
      <c r="V3" t="n">
        <v>77.643</v>
      </c>
      <c r="W3" t="n">
        <v>5842.261</v>
      </c>
      <c r="X3" t="n">
        <v>16.896</v>
      </c>
      <c r="Y3" t="n">
        <v>55.348</v>
      </c>
      <c r="Z3" t="n">
        <v>6.247</v>
      </c>
      <c r="AA3" t="n">
        <v>68.217</v>
      </c>
      <c r="AB3" t="n">
        <v>5.069</v>
      </c>
      <c r="AC3" t="n">
        <v>0.021</v>
      </c>
      <c r="AD3" t="n">
        <v>0.194</v>
      </c>
      <c r="AE3" t="n">
        <v>130.739</v>
      </c>
      <c r="AF3" t="n">
        <v>207.435</v>
      </c>
      <c r="AG3" t="n">
        <v>338.174</v>
      </c>
      <c r="AH3" t="n">
        <v>38.66</v>
      </c>
      <c r="AI3" t="n">
        <v>69.696</v>
      </c>
      <c r="AJ3" t="n">
        <v>87.435</v>
      </c>
      <c r="AK3" t="n">
        <v>11.913</v>
      </c>
      <c r="AL3" t="n">
        <v>22.391</v>
      </c>
      <c r="AM3" t="n">
        <v>65</v>
      </c>
      <c r="AN3" t="n">
        <v>82.652</v>
      </c>
      <c r="AO3" t="n">
        <v>58.261</v>
      </c>
      <c r="AP3" t="n">
        <v>8.869999999999999</v>
      </c>
      <c r="AQ3" t="n">
        <v>22.522</v>
      </c>
      <c r="AR3" t="n">
        <v>101.522</v>
      </c>
      <c r="AS3" t="n">
        <v>11.043</v>
      </c>
      <c r="AT3" t="n">
        <v>23.087</v>
      </c>
      <c r="AU3" t="n">
        <v>34.13</v>
      </c>
      <c r="AV3" t="n">
        <v>40</v>
      </c>
      <c r="AW3" t="n">
        <v>71.196</v>
      </c>
      <c r="AX3" t="n">
        <v>94.217</v>
      </c>
      <c r="AY3" t="n">
        <v>10.478</v>
      </c>
      <c r="AZ3" t="n">
        <v>11</v>
      </c>
      <c r="BA3" t="n">
        <v>22.429</v>
      </c>
      <c r="BB3" t="n">
        <v>16.783</v>
      </c>
      <c r="BC3" t="n">
        <v>7.826</v>
      </c>
      <c r="BD3" t="n">
        <v>28</v>
      </c>
      <c r="BE3" t="n">
        <v>7.261</v>
      </c>
      <c r="BF3" t="n">
        <v>11.261</v>
      </c>
      <c r="BG3" t="n">
        <v>10.043</v>
      </c>
      <c r="BH3" t="n">
        <v>1.87</v>
      </c>
      <c r="BI3" t="n">
        <v>22.913</v>
      </c>
      <c r="BJ3" t="n">
        <v>8.260999999999999</v>
      </c>
      <c r="BK3" t="n">
        <v>49.146</v>
      </c>
      <c r="BL3" t="n">
        <v>22.961</v>
      </c>
      <c r="BM3" t="n">
        <v>43.44</v>
      </c>
      <c r="BN3" t="n">
        <v>46.72</v>
      </c>
      <c r="BO3" t="n">
        <v>21.043</v>
      </c>
      <c r="BP3" t="n">
        <v>10.87</v>
      </c>
      <c r="BQ3" t="n">
        <v>28.4</v>
      </c>
      <c r="BR3" t="n">
        <v>71.952</v>
      </c>
      <c r="BS3" t="n">
        <v>3.788</v>
      </c>
      <c r="BT3" t="n">
        <v>3.14</v>
      </c>
      <c r="BU3" t="n">
        <v>0.165</v>
      </c>
      <c r="BV3" t="n">
        <v>3.402</v>
      </c>
      <c r="BW3" t="n">
        <v>0.323</v>
      </c>
      <c r="BX3" t="n">
        <v>2.827</v>
      </c>
      <c r="BY3" t="n">
        <v>-0.023</v>
      </c>
      <c r="BZ3" t="n">
        <v>3.609</v>
      </c>
      <c r="CA3" t="n">
        <v>33.217</v>
      </c>
      <c r="CB3" t="n">
        <v>40.783</v>
      </c>
      <c r="CC3" t="n">
        <v>31.565</v>
      </c>
      <c r="CD3" t="n">
        <v>36.261</v>
      </c>
      <c r="CE3" t="n">
        <v>9.782999999999999</v>
      </c>
      <c r="CF3" t="n">
        <v>18.772</v>
      </c>
      <c r="CG3" t="n">
        <v>22.006</v>
      </c>
      <c r="CH3" t="n">
        <v>9.836</v>
      </c>
      <c r="CI3" t="n">
        <v>28.772</v>
      </c>
      <c r="CJ3" t="n">
        <v>11.39</v>
      </c>
      <c r="CK3" t="n">
        <v>10</v>
      </c>
      <c r="CL3" t="n">
        <v>24.348</v>
      </c>
      <c r="CM3" t="n">
        <v>58.13</v>
      </c>
      <c r="CN3" t="n">
        <v>10.652</v>
      </c>
      <c r="CO3" t="n">
        <v>300</v>
      </c>
      <c r="CP3" t="n">
        <v>141.565</v>
      </c>
      <c r="CQ3" t="n">
        <v>30.783</v>
      </c>
      <c r="CR3" t="n">
        <v>89.348</v>
      </c>
      <c r="CS3" t="n">
        <v>36.826</v>
      </c>
      <c r="CT3" t="n">
        <v>41.217</v>
      </c>
      <c r="CU3" t="n">
        <v>10.174</v>
      </c>
      <c r="CV3" t="n">
        <v>27.627</v>
      </c>
      <c r="CW3" t="n">
        <v>4.522</v>
      </c>
      <c r="CX3" t="n">
        <v>16.304</v>
      </c>
      <c r="CY3" t="n">
        <v>17.348</v>
      </c>
      <c r="CZ3" t="n">
        <v>-1.043</v>
      </c>
      <c r="DA3" t="n">
        <v>10.478</v>
      </c>
      <c r="DB3" t="n">
        <v>87.967</v>
      </c>
      <c r="DC3" t="n">
        <v>3.826</v>
      </c>
      <c r="DD3" t="n">
        <v>43.565</v>
      </c>
      <c r="DE3" t="n">
        <v>72.04300000000001</v>
      </c>
      <c r="DF3" t="n">
        <v>209.791</v>
      </c>
      <c r="DG3" t="n">
        <v>1691.87</v>
      </c>
      <c r="DH3" t="n">
        <v>1562</v>
      </c>
      <c r="DI3" t="n">
        <v>15.783</v>
      </c>
      <c r="DJ3" t="n">
        <v>222.087</v>
      </c>
      <c r="DK3" t="n">
        <v>145.348</v>
      </c>
      <c r="DL3" t="n">
        <v>367.435</v>
      </c>
      <c r="DM3" t="n">
        <v>73.009</v>
      </c>
      <c r="DN3" t="n">
        <v>66.48399999999999</v>
      </c>
      <c r="DO3" t="n">
        <v>82.979</v>
      </c>
      <c r="DP3" t="n">
        <v>6.321</v>
      </c>
      <c r="DQ3" t="n">
        <v>53.87</v>
      </c>
      <c r="DR3" t="n">
        <v>36.783</v>
      </c>
      <c r="DS3" t="n">
        <v>75</v>
      </c>
      <c r="DT3" t="n">
        <v>5901.957</v>
      </c>
      <c r="DU3" t="n">
        <v>16.063</v>
      </c>
      <c r="DV3" t="n">
        <v>54.435</v>
      </c>
      <c r="DW3" t="n">
        <v>6.75</v>
      </c>
      <c r="DX3" t="n">
        <v>69.565</v>
      </c>
      <c r="DY3" t="n">
        <v>5.282</v>
      </c>
      <c r="DZ3" t="n">
        <v>-1.759</v>
      </c>
      <c r="EA3" t="n">
        <v>0.768</v>
      </c>
      <c r="EB3" t="n">
        <v>129.043</v>
      </c>
      <c r="EC3" t="n">
        <v>230.348</v>
      </c>
      <c r="ED3" t="n">
        <v>359.391</v>
      </c>
      <c r="EE3" t="n">
        <v>35.906</v>
      </c>
      <c r="EF3" t="n">
        <v>68.217</v>
      </c>
      <c r="EG3" t="n">
        <v>88.696</v>
      </c>
      <c r="EH3" t="n">
        <v>14.696</v>
      </c>
      <c r="EI3" t="n">
        <v>20.609</v>
      </c>
      <c r="EJ3" t="n">
        <v>68.087</v>
      </c>
      <c r="EK3" t="n">
        <v>82.39100000000001</v>
      </c>
      <c r="EL3" t="n">
        <v>59.13</v>
      </c>
      <c r="EM3" t="n">
        <v>8.435</v>
      </c>
      <c r="EN3" t="n">
        <v>21.565</v>
      </c>
      <c r="EO3" t="n">
        <v>117.087</v>
      </c>
      <c r="EP3" t="n">
        <v>12.261</v>
      </c>
      <c r="EQ3" t="n">
        <v>24.826</v>
      </c>
      <c r="ER3" t="n">
        <v>37.087</v>
      </c>
      <c r="ES3" t="n">
        <v>38.13</v>
      </c>
      <c r="ET3" t="n">
        <v>77.99299999999999</v>
      </c>
      <c r="EU3" t="n">
        <v>100.13</v>
      </c>
      <c r="EV3" t="n">
        <v>9.042999999999999</v>
      </c>
      <c r="EW3" t="n">
        <v>12.87</v>
      </c>
      <c r="EX3" t="n">
        <v>23.89</v>
      </c>
      <c r="EY3" t="n">
        <v>15.652</v>
      </c>
      <c r="EZ3" t="n">
        <v>7.348</v>
      </c>
      <c r="FA3" t="n">
        <v>11.348</v>
      </c>
      <c r="FB3" t="n">
        <v>10.696</v>
      </c>
      <c r="FC3" t="n">
        <v>2.217</v>
      </c>
      <c r="FD3" t="n">
        <v>24.87</v>
      </c>
      <c r="FE3" t="n">
        <v>8.217000000000001</v>
      </c>
      <c r="FF3" t="n">
        <v>45.629</v>
      </c>
      <c r="FG3" t="n">
        <v>21.065</v>
      </c>
      <c r="FH3" t="n">
        <v>40.92</v>
      </c>
      <c r="FI3" t="n">
        <v>46.166</v>
      </c>
      <c r="FJ3" t="n">
        <v>21.696</v>
      </c>
      <c r="FK3" t="n">
        <v>81.044</v>
      </c>
      <c r="FL3" t="n">
        <v>-4.479</v>
      </c>
      <c r="FM3" t="n">
        <v>3.259</v>
      </c>
      <c r="FN3" t="n">
        <v>-0.18</v>
      </c>
      <c r="FO3" t="n">
        <v>3.495</v>
      </c>
      <c r="FP3" t="n">
        <v>-0.104</v>
      </c>
      <c r="FQ3" t="n">
        <v>2.959</v>
      </c>
      <c r="FR3" t="n">
        <v>-0.276</v>
      </c>
      <c r="FS3" t="n">
        <v>3.087</v>
      </c>
      <c r="FT3" t="n">
        <v>27.043</v>
      </c>
      <c r="FU3" t="n">
        <v>48.652</v>
      </c>
      <c r="FV3" t="n">
        <v>31.957</v>
      </c>
      <c r="FW3" t="n">
        <v>39.478</v>
      </c>
      <c r="FX3" t="n">
        <v>7.348</v>
      </c>
      <c r="FY3" t="n">
        <v>19.133</v>
      </c>
      <c r="FZ3" t="n">
        <v>22.867</v>
      </c>
      <c r="GA3" t="n">
        <v>8.885999999999999</v>
      </c>
      <c r="GB3" t="n">
        <v>31.836</v>
      </c>
      <c r="GC3" t="n">
        <v>12.06</v>
      </c>
      <c r="GD3" t="n">
        <v>56.783</v>
      </c>
      <c r="GE3" t="n">
        <v>10.435</v>
      </c>
      <c r="GF3" t="n">
        <v>277.565</v>
      </c>
      <c r="GG3" t="n">
        <v>124.739</v>
      </c>
      <c r="GH3" t="n">
        <v>33.304</v>
      </c>
      <c r="GI3" t="n">
        <v>32.522</v>
      </c>
      <c r="GJ3" t="n">
        <v>36.346</v>
      </c>
      <c r="GK3" t="n">
        <v>9.565</v>
      </c>
      <c r="GL3" t="n">
        <v>29.412</v>
      </c>
      <c r="GM3" t="n">
        <v>2.739</v>
      </c>
      <c r="GN3" t="n">
        <v>9.869999999999999</v>
      </c>
      <c r="GO3" t="n">
        <v>90.30800000000001</v>
      </c>
      <c r="GP3" t="n">
        <v>5.609</v>
      </c>
      <c r="GQ3" t="n">
        <v>48.696</v>
      </c>
      <c r="GR3" t="n">
        <v>69.87</v>
      </c>
      <c r="GS3" t="n">
        <v>-6.4</v>
      </c>
      <c r="GT3" t="n">
        <v>-83.435</v>
      </c>
      <c r="GU3" t="n">
        <v>-65.39100000000001</v>
      </c>
      <c r="GV3" t="n">
        <v>-1.565</v>
      </c>
      <c r="GW3" t="n">
        <v>-9.304</v>
      </c>
      <c r="GX3" t="n">
        <v>-12.348</v>
      </c>
      <c r="GY3" t="n">
        <v>-21.652</v>
      </c>
      <c r="GZ3" t="n">
        <v>-4.826</v>
      </c>
      <c r="HA3" t="n">
        <v>-59.696</v>
      </c>
      <c r="HB3" t="n">
        <v>0.913</v>
      </c>
      <c r="HC3" t="n">
        <v>-1.348</v>
      </c>
      <c r="HD3" t="n">
        <v>1.78</v>
      </c>
      <c r="HE3" t="n">
        <v>-0.574</v>
      </c>
      <c r="HF3" t="n">
        <v>1.696</v>
      </c>
      <c r="HG3" t="n">
        <v>-22.913</v>
      </c>
      <c r="HH3" t="n">
        <v>-21.217</v>
      </c>
      <c r="HI3" t="n">
        <v>1.478</v>
      </c>
      <c r="HJ3" t="n">
        <v>-1.261</v>
      </c>
      <c r="HK3" t="n">
        <v>-2.783</v>
      </c>
      <c r="HL3" t="n">
        <v>1.783</v>
      </c>
      <c r="HM3" t="n">
        <v>-3.087</v>
      </c>
      <c r="HN3" t="n">
        <v>0.261</v>
      </c>
      <c r="HO3" t="n">
        <v>-0.87</v>
      </c>
      <c r="HP3" t="n">
        <v>0.435</v>
      </c>
      <c r="HQ3" t="n">
        <v>0.957</v>
      </c>
      <c r="HR3" t="n">
        <v>-15.565</v>
      </c>
      <c r="HS3" t="n">
        <v>-1.217</v>
      </c>
      <c r="HT3" t="n">
        <v>-1.739</v>
      </c>
      <c r="HU3" t="n">
        <v>-2.957</v>
      </c>
      <c r="HV3" t="n">
        <v>1.87</v>
      </c>
      <c r="HW3" t="n">
        <v>-5.913</v>
      </c>
      <c r="HX3" t="n">
        <v>1.435</v>
      </c>
      <c r="HY3" t="n">
        <v>-1.87</v>
      </c>
      <c r="HZ3" t="n">
        <v>1.13</v>
      </c>
      <c r="IA3" t="n">
        <v>0.478</v>
      </c>
      <c r="IB3" t="n">
        <v>-0.08699999999999999</v>
      </c>
      <c r="IC3" t="n">
        <v>-0.652</v>
      </c>
      <c r="ID3" t="n">
        <v>-1.957</v>
      </c>
      <c r="IE3" t="n">
        <v>0.043</v>
      </c>
      <c r="IF3" t="n">
        <v>-0.652</v>
      </c>
      <c r="IG3" t="n">
        <v>-9.093</v>
      </c>
      <c r="IH3" t="n">
        <v>8.266999999999999</v>
      </c>
      <c r="II3" t="n">
        <v>-0.119</v>
      </c>
      <c r="IJ3" t="n">
        <v>0.522</v>
      </c>
      <c r="IK3" t="n">
        <v>6.174</v>
      </c>
      <c r="IL3" t="n">
        <v>-7.87</v>
      </c>
      <c r="IM3" t="n">
        <v>-0.391</v>
      </c>
      <c r="IN3" t="n">
        <v>-3.217</v>
      </c>
      <c r="IO3" t="n">
        <v>2.435</v>
      </c>
      <c r="IP3" t="n">
        <v>1.348</v>
      </c>
      <c r="IQ3" t="n">
        <v>0.217</v>
      </c>
      <c r="IR3" t="n">
        <v>22.435</v>
      </c>
      <c r="IS3" t="n">
        <v>16.826</v>
      </c>
      <c r="IT3" t="n">
        <v>-2.522</v>
      </c>
      <c r="IU3" t="n">
        <v>4.304</v>
      </c>
      <c r="IV3" t="n">
        <v>0.609</v>
      </c>
      <c r="IW3" t="n">
        <v>1.783</v>
      </c>
      <c r="IX3" t="n">
        <v>-1.783</v>
      </c>
      <c r="IY3" t="n">
        <v>-5.13</v>
      </c>
      <c r="IZ3" t="n">
        <v>2.174</v>
      </c>
    </row>
    <row r="4">
      <c r="A4" t="inlineStr">
        <is>
          <t>Brisbane</t>
        </is>
      </c>
      <c r="B4" t="inlineStr">
        <is>
          <t>Bris</t>
        </is>
      </c>
      <c r="C4" t="n">
        <v>27</v>
      </c>
      <c r="D4" t="n">
        <v>37</v>
      </c>
      <c r="E4" t="n">
        <v>26.309</v>
      </c>
      <c r="F4" t="n">
        <v>124.948</v>
      </c>
      <c r="G4" t="n">
        <v>211.678</v>
      </c>
      <c r="H4" t="n">
        <v>1732.037</v>
      </c>
      <c r="I4" t="n">
        <v>1601.667</v>
      </c>
      <c r="J4" t="n">
        <v>20.444</v>
      </c>
      <c r="K4" t="n">
        <v>53.097</v>
      </c>
      <c r="L4" t="n">
        <v>232.63</v>
      </c>
      <c r="M4" t="n">
        <v>128.741</v>
      </c>
      <c r="N4" t="n">
        <v>361.37</v>
      </c>
      <c r="O4" t="n">
        <v>72.697</v>
      </c>
      <c r="P4" t="n">
        <v>67.999</v>
      </c>
      <c r="Q4" t="n">
        <v>81.185</v>
      </c>
      <c r="R4" t="n">
        <v>64.374</v>
      </c>
      <c r="S4" t="n">
        <v>5.843</v>
      </c>
      <c r="T4" t="n">
        <v>56.519</v>
      </c>
      <c r="U4" t="n">
        <v>35.963</v>
      </c>
      <c r="V4" t="n">
        <v>75.155</v>
      </c>
      <c r="W4" t="n">
        <v>6059.037</v>
      </c>
      <c r="X4" t="n">
        <v>16.767</v>
      </c>
      <c r="Y4" t="n">
        <v>53</v>
      </c>
      <c r="Z4" t="n">
        <v>6.818</v>
      </c>
      <c r="AA4" t="n">
        <v>62.593</v>
      </c>
      <c r="AB4" t="n">
        <v>5.773</v>
      </c>
      <c r="AC4" t="n">
        <v>2.622</v>
      </c>
      <c r="AD4" t="n">
        <v>2.432</v>
      </c>
      <c r="AE4" t="n">
        <v>133.556</v>
      </c>
      <c r="AF4" t="n">
        <v>221.815</v>
      </c>
      <c r="AG4" t="n">
        <v>355.37</v>
      </c>
      <c r="AH4" t="n">
        <v>37.582</v>
      </c>
      <c r="AI4" t="n">
        <v>64.593</v>
      </c>
      <c r="AJ4" t="n">
        <v>90.48099999999999</v>
      </c>
      <c r="AK4" t="n">
        <v>17.815</v>
      </c>
      <c r="AL4" t="n">
        <v>23.704</v>
      </c>
      <c r="AM4" t="n">
        <v>66.77800000000001</v>
      </c>
      <c r="AN4" t="n">
        <v>78.926</v>
      </c>
      <c r="AO4" t="n">
        <v>54.741</v>
      </c>
      <c r="AP4" t="n">
        <v>7.222</v>
      </c>
      <c r="AQ4" t="n">
        <v>21.926</v>
      </c>
      <c r="AR4" t="n">
        <v>101.185</v>
      </c>
      <c r="AS4" t="n">
        <v>12.074</v>
      </c>
      <c r="AT4" t="n">
        <v>28.333</v>
      </c>
      <c r="AU4" t="n">
        <v>40.407</v>
      </c>
      <c r="AV4" t="n">
        <v>44.741</v>
      </c>
      <c r="AW4" t="n">
        <v>74.255</v>
      </c>
      <c r="AX4" t="n">
        <v>110.481</v>
      </c>
      <c r="AY4" t="n">
        <v>10.852</v>
      </c>
      <c r="AZ4" t="n">
        <v>13.333</v>
      </c>
      <c r="BA4" t="n">
        <v>23.591</v>
      </c>
      <c r="BB4" t="n">
        <v>17.185</v>
      </c>
      <c r="BC4" t="n">
        <v>8.481</v>
      </c>
      <c r="BD4" t="n">
        <v>23</v>
      </c>
      <c r="BE4" t="n">
        <v>7.926</v>
      </c>
      <c r="BF4" t="n">
        <v>13.519</v>
      </c>
      <c r="BG4" t="n">
        <v>13.296</v>
      </c>
      <c r="BH4" t="n">
        <v>3.037</v>
      </c>
      <c r="BI4" t="n">
        <v>28.741</v>
      </c>
      <c r="BJ4" t="n">
        <v>9.148</v>
      </c>
      <c r="BK4" t="n">
        <v>47.036</v>
      </c>
      <c r="BL4" t="n">
        <v>23.919</v>
      </c>
      <c r="BM4" t="n">
        <v>47.444</v>
      </c>
      <c r="BN4" t="n">
        <v>50.852</v>
      </c>
      <c r="BO4" t="n">
        <v>26.296</v>
      </c>
      <c r="BP4" t="n">
        <v>12.074</v>
      </c>
      <c r="BQ4" t="n">
        <v>28.834</v>
      </c>
      <c r="BR4" t="n">
        <v>93.595</v>
      </c>
      <c r="BS4" t="n">
        <v>-2.224</v>
      </c>
      <c r="BT4" t="n">
        <v>3.257</v>
      </c>
      <c r="BU4" t="n">
        <v>-0.077</v>
      </c>
      <c r="BV4" t="n">
        <v>3.596</v>
      </c>
      <c r="BW4" t="n">
        <v>-0.149</v>
      </c>
      <c r="BX4" t="n">
        <v>2.902</v>
      </c>
      <c r="BY4" t="n">
        <v>-0.002</v>
      </c>
      <c r="BZ4" t="n">
        <v>4.963</v>
      </c>
      <c r="CA4" t="n">
        <v>36.444</v>
      </c>
      <c r="CB4" t="n">
        <v>53</v>
      </c>
      <c r="CC4" t="n">
        <v>35.926</v>
      </c>
      <c r="CD4" t="n">
        <v>47.111</v>
      </c>
      <c r="CE4" t="n">
        <v>11.37</v>
      </c>
      <c r="CF4" t="n">
        <v>23.395</v>
      </c>
      <c r="CG4" t="n">
        <v>27.931</v>
      </c>
      <c r="CH4" t="n">
        <v>13.279</v>
      </c>
      <c r="CI4" t="n">
        <v>35.456</v>
      </c>
      <c r="CJ4" t="n">
        <v>15.173</v>
      </c>
      <c r="CK4" t="n">
        <v>12.111</v>
      </c>
      <c r="CL4" t="n">
        <v>23.547</v>
      </c>
      <c r="CM4" t="n">
        <v>54.556</v>
      </c>
      <c r="CN4" t="n">
        <v>11.148</v>
      </c>
      <c r="CO4" t="n">
        <v>280.556</v>
      </c>
      <c r="CP4" t="n">
        <v>119.963</v>
      </c>
      <c r="CQ4" t="n">
        <v>30.444</v>
      </c>
      <c r="CR4" t="n">
        <v>101.259</v>
      </c>
      <c r="CS4" t="n">
        <v>35.519</v>
      </c>
      <c r="CT4" t="n">
        <v>35.077</v>
      </c>
      <c r="CU4" t="n">
        <v>8.037000000000001</v>
      </c>
      <c r="CV4" t="n">
        <v>22.628</v>
      </c>
      <c r="CW4" t="n">
        <v>4.63</v>
      </c>
      <c r="CX4" t="n">
        <v>18.185</v>
      </c>
      <c r="CY4" t="n">
        <v>16.185</v>
      </c>
      <c r="CZ4" t="n">
        <v>2</v>
      </c>
      <c r="DA4" t="n">
        <v>9.369999999999999</v>
      </c>
      <c r="DB4" t="n">
        <v>84.58499999999999</v>
      </c>
      <c r="DC4" t="n">
        <v>3.741</v>
      </c>
      <c r="DD4" t="n">
        <v>43</v>
      </c>
      <c r="DE4" t="n">
        <v>67.96299999999999</v>
      </c>
      <c r="DF4" t="n">
        <v>194.889</v>
      </c>
      <c r="DG4" t="n">
        <v>1568.111</v>
      </c>
      <c r="DH4" t="n">
        <v>1456.778</v>
      </c>
      <c r="DI4" t="n">
        <v>10.111</v>
      </c>
      <c r="DJ4" t="n">
        <v>199.296</v>
      </c>
      <c r="DK4" t="n">
        <v>141.481</v>
      </c>
      <c r="DL4" t="n">
        <v>340.778</v>
      </c>
      <c r="DM4" t="n">
        <v>72.84</v>
      </c>
      <c r="DN4" t="n">
        <v>66.47499999999999</v>
      </c>
      <c r="DO4" t="n">
        <v>81.806</v>
      </c>
      <c r="DP4" t="n">
        <v>6.246</v>
      </c>
      <c r="DQ4" t="n">
        <v>47.852</v>
      </c>
      <c r="DR4" t="n">
        <v>42.519</v>
      </c>
      <c r="DS4" t="n">
        <v>75.229</v>
      </c>
      <c r="DT4" t="n">
        <v>5787.926</v>
      </c>
      <c r="DU4" t="n">
        <v>16.984</v>
      </c>
      <c r="DV4" t="n">
        <v>58.741</v>
      </c>
      <c r="DW4" t="n">
        <v>5.801</v>
      </c>
      <c r="DX4" t="n">
        <v>64.185</v>
      </c>
      <c r="DY4" t="n">
        <v>5.309</v>
      </c>
      <c r="DZ4" t="n">
        <v>-1.376</v>
      </c>
      <c r="EA4" t="n">
        <v>-1.137</v>
      </c>
      <c r="EB4" t="n">
        <v>125.148</v>
      </c>
      <c r="EC4" t="n">
        <v>205.63</v>
      </c>
      <c r="ED4" t="n">
        <v>330.778</v>
      </c>
      <c r="EE4" t="n">
        <v>37.835</v>
      </c>
      <c r="EF4" t="n">
        <v>62.815</v>
      </c>
      <c r="EG4" t="n">
        <v>84.259</v>
      </c>
      <c r="EH4" t="n">
        <v>12.815</v>
      </c>
      <c r="EI4" t="n">
        <v>21.926</v>
      </c>
      <c r="EJ4" t="n">
        <v>62.333</v>
      </c>
      <c r="EK4" t="n">
        <v>75.852</v>
      </c>
      <c r="EL4" t="n">
        <v>53</v>
      </c>
      <c r="EM4" t="n">
        <v>9.074</v>
      </c>
      <c r="EN4" t="n">
        <v>20.074</v>
      </c>
      <c r="EO4" t="n">
        <v>112.185</v>
      </c>
      <c r="EP4" t="n">
        <v>11.556</v>
      </c>
      <c r="EQ4" t="n">
        <v>24.333</v>
      </c>
      <c r="ER4" t="n">
        <v>35.889</v>
      </c>
      <c r="ES4" t="n">
        <v>40.519</v>
      </c>
      <c r="ET4" t="n">
        <v>72.395</v>
      </c>
      <c r="EU4" t="n">
        <v>82.852</v>
      </c>
      <c r="EV4" t="n">
        <v>9.407</v>
      </c>
      <c r="EW4" t="n">
        <v>10.704</v>
      </c>
      <c r="EX4" t="n">
        <v>22.368</v>
      </c>
      <c r="EY4" t="n">
        <v>14.852</v>
      </c>
      <c r="EZ4" t="n">
        <v>5.778</v>
      </c>
      <c r="FA4" t="n">
        <v>11.148</v>
      </c>
      <c r="FB4" t="n">
        <v>9.519</v>
      </c>
      <c r="FC4" t="n">
        <v>1.778</v>
      </c>
      <c r="FD4" t="n">
        <v>22.519</v>
      </c>
      <c r="FE4" t="n">
        <v>7.778</v>
      </c>
      <c r="FF4" t="n">
        <v>49.507</v>
      </c>
      <c r="FG4" t="n">
        <v>23.297</v>
      </c>
      <c r="FH4" t="n">
        <v>43.189</v>
      </c>
      <c r="FI4" t="n">
        <v>47.059</v>
      </c>
      <c r="FJ4" t="n">
        <v>20.593</v>
      </c>
      <c r="FK4" t="n">
        <v>71.533</v>
      </c>
      <c r="FL4" t="n">
        <v>3.097</v>
      </c>
      <c r="FM4" t="n">
        <v>3.177</v>
      </c>
      <c r="FN4" t="n">
        <v>0.138</v>
      </c>
      <c r="FO4" t="n">
        <v>3.459</v>
      </c>
      <c r="FP4" t="n">
        <v>0.142</v>
      </c>
      <c r="FQ4" t="n">
        <v>2.839</v>
      </c>
      <c r="FR4" t="n">
        <v>0.132</v>
      </c>
      <c r="FS4" t="n">
        <v>5.593</v>
      </c>
      <c r="FT4" t="n">
        <v>32.148</v>
      </c>
      <c r="FU4" t="n">
        <v>38.667</v>
      </c>
      <c r="FV4" t="n">
        <v>32.333</v>
      </c>
      <c r="FW4" t="n">
        <v>31.741</v>
      </c>
      <c r="FX4" t="n">
        <v>12.333</v>
      </c>
      <c r="FY4" t="n">
        <v>18.752</v>
      </c>
      <c r="FZ4" t="n">
        <v>20.698</v>
      </c>
      <c r="GA4" t="n">
        <v>8.319000000000001</v>
      </c>
      <c r="GB4" t="n">
        <v>28.483</v>
      </c>
      <c r="GC4" t="n">
        <v>11.059</v>
      </c>
      <c r="GD4" t="n">
        <v>61.852</v>
      </c>
      <c r="GE4" t="n">
        <v>10.519</v>
      </c>
      <c r="GF4" t="n">
        <v>283.444</v>
      </c>
      <c r="GG4" t="n">
        <v>148.852</v>
      </c>
      <c r="GH4" t="n">
        <v>31.407</v>
      </c>
      <c r="GI4" t="n">
        <v>43.63</v>
      </c>
      <c r="GJ4" t="n">
        <v>43.103</v>
      </c>
      <c r="GK4" t="n">
        <v>9.852</v>
      </c>
      <c r="GL4" t="n">
        <v>22.581</v>
      </c>
      <c r="GM4" t="n">
        <v>3.593</v>
      </c>
      <c r="GN4" t="n">
        <v>13.222</v>
      </c>
      <c r="GO4" t="n">
        <v>89.636</v>
      </c>
      <c r="GP4" t="n">
        <v>6.63</v>
      </c>
      <c r="GQ4" t="n">
        <v>43.778</v>
      </c>
      <c r="GR4" t="n">
        <v>70.148</v>
      </c>
      <c r="GS4" t="n">
        <v>16.789</v>
      </c>
      <c r="GT4" t="n">
        <v>163.926</v>
      </c>
      <c r="GU4" t="n">
        <v>144.889</v>
      </c>
      <c r="GV4" t="n">
        <v>10.333</v>
      </c>
      <c r="GW4" t="n">
        <v>33.333</v>
      </c>
      <c r="GX4" t="n">
        <v>-12.741</v>
      </c>
      <c r="GY4" t="n">
        <v>20.593</v>
      </c>
      <c r="GZ4" t="n">
        <v>8.667</v>
      </c>
      <c r="HA4" t="n">
        <v>271.111</v>
      </c>
      <c r="HB4" t="n">
        <v>-5.741</v>
      </c>
      <c r="HC4" t="n">
        <v>-1.593</v>
      </c>
      <c r="HD4" t="n">
        <v>3.998</v>
      </c>
      <c r="HE4" t="n">
        <v>3.569</v>
      </c>
      <c r="HF4" t="n">
        <v>8.407</v>
      </c>
      <c r="HG4" t="n">
        <v>16.185</v>
      </c>
      <c r="HH4" t="n">
        <v>24.593</v>
      </c>
      <c r="HI4" t="n">
        <v>1.778</v>
      </c>
      <c r="HJ4" t="n">
        <v>6.222</v>
      </c>
      <c r="HK4" t="n">
        <v>5</v>
      </c>
      <c r="HL4" t="n">
        <v>1.778</v>
      </c>
      <c r="HM4" t="n">
        <v>4.444</v>
      </c>
      <c r="HN4" t="n">
        <v>3.074</v>
      </c>
      <c r="HO4" t="n">
        <v>1.741</v>
      </c>
      <c r="HP4" t="n">
        <v>-1.852</v>
      </c>
      <c r="HQ4" t="n">
        <v>1.852</v>
      </c>
      <c r="HR4" t="n">
        <v>-11</v>
      </c>
      <c r="HS4" t="n">
        <v>0.519</v>
      </c>
      <c r="HT4" t="n">
        <v>4</v>
      </c>
      <c r="HU4" t="n">
        <v>4.519</v>
      </c>
      <c r="HV4" t="n">
        <v>4.222</v>
      </c>
      <c r="HW4" t="n">
        <v>27.63</v>
      </c>
      <c r="HX4" t="n">
        <v>1.444</v>
      </c>
      <c r="HY4" t="n">
        <v>2.63</v>
      </c>
      <c r="HZ4" t="n">
        <v>2.333</v>
      </c>
      <c r="IA4" t="n">
        <v>2.704</v>
      </c>
      <c r="IB4" t="n">
        <v>2.37</v>
      </c>
      <c r="IC4" t="n">
        <v>3.778</v>
      </c>
      <c r="ID4" t="n">
        <v>6.222</v>
      </c>
      <c r="IE4" t="n">
        <v>1.37</v>
      </c>
      <c r="IF4" t="n">
        <v>5.704</v>
      </c>
      <c r="IG4" t="n">
        <v>22.062</v>
      </c>
      <c r="IH4" t="n">
        <v>-5.321</v>
      </c>
      <c r="II4" t="n">
        <v>0.08</v>
      </c>
      <c r="IJ4" t="n">
        <v>-0.63</v>
      </c>
      <c r="IK4" t="n">
        <v>4.296</v>
      </c>
      <c r="IL4" t="n">
        <v>14.333</v>
      </c>
      <c r="IM4" t="n">
        <v>3.593</v>
      </c>
      <c r="IN4" t="n">
        <v>15.37</v>
      </c>
      <c r="IO4" t="n">
        <v>-0.963</v>
      </c>
      <c r="IP4" t="n">
        <v>-7.296</v>
      </c>
      <c r="IQ4" t="n">
        <v>0.63</v>
      </c>
      <c r="IR4" t="n">
        <v>-2.889</v>
      </c>
      <c r="IS4" t="n">
        <v>-28.889</v>
      </c>
      <c r="IT4" t="n">
        <v>-0.963</v>
      </c>
      <c r="IU4" t="n">
        <v>-8.111000000000001</v>
      </c>
      <c r="IV4" t="n">
        <v>-1.815</v>
      </c>
      <c r="IW4" t="n">
        <v>1.037</v>
      </c>
      <c r="IX4" t="n">
        <v>-2.889</v>
      </c>
      <c r="IY4" t="n">
        <v>-0.778</v>
      </c>
      <c r="IZ4" t="n">
        <v>-2.185</v>
      </c>
    </row>
    <row r="5">
      <c r="A5" t="inlineStr">
        <is>
          <t>Carlton</t>
        </is>
      </c>
      <c r="B5" t="inlineStr">
        <is>
          <t>Carl</t>
        </is>
      </c>
      <c r="C5" t="n">
        <v>24</v>
      </c>
      <c r="D5" t="n">
        <v>37</v>
      </c>
      <c r="E5" t="n">
        <v>26.069</v>
      </c>
      <c r="F5" t="n">
        <v>92.194</v>
      </c>
      <c r="G5" t="n">
        <v>219.262</v>
      </c>
      <c r="H5" t="n">
        <v>1693.375</v>
      </c>
      <c r="I5" t="n">
        <v>1551.583</v>
      </c>
      <c r="J5" t="n">
        <v>15.75</v>
      </c>
      <c r="K5" t="n">
        <v>47.92</v>
      </c>
      <c r="L5" t="n">
        <v>217.083</v>
      </c>
      <c r="M5" t="n">
        <v>142.083</v>
      </c>
      <c r="N5" t="n">
        <v>359.167</v>
      </c>
      <c r="O5" t="n">
        <v>72.633</v>
      </c>
      <c r="P5" t="n">
        <v>66.372</v>
      </c>
      <c r="Q5" t="n">
        <v>82.199</v>
      </c>
      <c r="R5" t="n">
        <v>60.441</v>
      </c>
      <c r="S5" t="n">
        <v>5.411</v>
      </c>
      <c r="T5" t="n">
        <v>51.708</v>
      </c>
      <c r="U5" t="n">
        <v>39.667</v>
      </c>
      <c r="V5" t="n">
        <v>75.25700000000001</v>
      </c>
      <c r="W5" t="n">
        <v>5861.542</v>
      </c>
      <c r="X5" t="n">
        <v>16.32</v>
      </c>
      <c r="Y5" t="n">
        <v>53.708</v>
      </c>
      <c r="Z5" t="n">
        <v>6.687</v>
      </c>
      <c r="AA5" t="n">
        <v>64.958</v>
      </c>
      <c r="AB5" t="n">
        <v>5.529</v>
      </c>
      <c r="AC5" t="n">
        <v>0.268</v>
      </c>
      <c r="AD5" t="n">
        <v>-0.791</v>
      </c>
      <c r="AE5" t="n">
        <v>137.958</v>
      </c>
      <c r="AF5" t="n">
        <v>214.542</v>
      </c>
      <c r="AG5" t="n">
        <v>352.5</v>
      </c>
      <c r="AH5" t="n">
        <v>39.137</v>
      </c>
      <c r="AI5" t="n">
        <v>65.875</v>
      </c>
      <c r="AJ5" t="n">
        <v>91.417</v>
      </c>
      <c r="AK5" t="n">
        <v>16.625</v>
      </c>
      <c r="AL5" t="n">
        <v>21.957</v>
      </c>
      <c r="AM5" t="n">
        <v>68.95699999999999</v>
      </c>
      <c r="AN5" t="n">
        <v>82.52200000000001</v>
      </c>
      <c r="AO5" t="n">
        <v>58.174</v>
      </c>
      <c r="AP5" t="n">
        <v>9.042999999999999</v>
      </c>
      <c r="AQ5" t="n">
        <v>22.304</v>
      </c>
      <c r="AR5" t="n">
        <v>111.957</v>
      </c>
      <c r="AS5" t="n">
        <v>13.083</v>
      </c>
      <c r="AT5" t="n">
        <v>26.5</v>
      </c>
      <c r="AU5" t="n">
        <v>39.583</v>
      </c>
      <c r="AV5" t="n">
        <v>45.348</v>
      </c>
      <c r="AW5" t="n">
        <v>74.497</v>
      </c>
      <c r="AX5" t="n">
        <v>91.375</v>
      </c>
      <c r="AY5" t="n">
        <v>10.5</v>
      </c>
      <c r="AZ5" t="n">
        <v>11.208</v>
      </c>
      <c r="BA5" t="n">
        <v>21.676</v>
      </c>
      <c r="BB5" t="n">
        <v>15.458</v>
      </c>
      <c r="BC5" t="n">
        <v>6.542</v>
      </c>
      <c r="BD5" t="n">
        <v>33</v>
      </c>
      <c r="BE5" t="n">
        <v>8.333</v>
      </c>
      <c r="BF5" t="n">
        <v>13.625</v>
      </c>
      <c r="BG5" t="n">
        <v>10.833</v>
      </c>
      <c r="BH5" t="n">
        <v>2.5</v>
      </c>
      <c r="BI5" t="n">
        <v>25.458</v>
      </c>
      <c r="BJ5" t="n">
        <v>9.333</v>
      </c>
      <c r="BK5" t="n">
        <v>53.519</v>
      </c>
      <c r="BL5" t="n">
        <v>26.35</v>
      </c>
      <c r="BM5" t="n">
        <v>47.301</v>
      </c>
      <c r="BN5" t="n">
        <v>49.234</v>
      </c>
      <c r="BO5" t="n">
        <v>24.083</v>
      </c>
      <c r="BP5" t="n">
        <v>13.125</v>
      </c>
      <c r="BQ5" t="n">
        <v>27.937</v>
      </c>
      <c r="BR5" t="n">
        <v>83.53400000000001</v>
      </c>
      <c r="BS5" t="n">
        <v>6.336</v>
      </c>
      <c r="BT5" t="n">
        <v>3.295</v>
      </c>
      <c r="BU5" t="n">
        <v>0.25</v>
      </c>
      <c r="BV5" t="n">
        <v>3.69</v>
      </c>
      <c r="BW5" t="n">
        <v>0.298</v>
      </c>
      <c r="BX5" t="n">
        <v>2.816</v>
      </c>
      <c r="BY5" t="n">
        <v>0.192</v>
      </c>
      <c r="BZ5" t="n">
        <v>3.5</v>
      </c>
      <c r="CA5" t="n">
        <v>37.125</v>
      </c>
      <c r="CB5" t="n">
        <v>51.958</v>
      </c>
      <c r="CC5" t="n">
        <v>33.522</v>
      </c>
      <c r="CD5" t="n">
        <v>45.217</v>
      </c>
      <c r="CE5" t="n">
        <v>13.583</v>
      </c>
      <c r="CF5" t="n">
        <v>21.135</v>
      </c>
      <c r="CG5" t="n">
        <v>20.494</v>
      </c>
      <c r="CH5" t="n">
        <v>8.476000000000001</v>
      </c>
      <c r="CI5" t="n">
        <v>29.592</v>
      </c>
      <c r="CJ5" t="n">
        <v>12.288</v>
      </c>
      <c r="CK5" t="n">
        <v>9.667</v>
      </c>
      <c r="CL5" t="n">
        <v>25</v>
      </c>
      <c r="CM5" t="n">
        <v>63.375</v>
      </c>
      <c r="CN5" t="n">
        <v>11.917</v>
      </c>
      <c r="CO5" t="n">
        <v>294.083</v>
      </c>
      <c r="CP5" t="n">
        <v>142.083</v>
      </c>
      <c r="CQ5" t="n">
        <v>29.167</v>
      </c>
      <c r="CR5" t="n">
        <v>99.167</v>
      </c>
      <c r="CS5" t="n">
        <v>32.667</v>
      </c>
      <c r="CT5" t="n">
        <v>32.941</v>
      </c>
      <c r="CU5" t="n">
        <v>10.083</v>
      </c>
      <c r="CV5" t="n">
        <v>30.867</v>
      </c>
      <c r="CW5" t="n">
        <v>6.478</v>
      </c>
      <c r="CX5" t="n">
        <v>18.792</v>
      </c>
      <c r="CY5" t="n">
        <v>17.667</v>
      </c>
      <c r="CZ5" t="n">
        <v>1.125</v>
      </c>
      <c r="DA5" t="n">
        <v>10.583</v>
      </c>
      <c r="DB5" t="n">
        <v>80.709</v>
      </c>
      <c r="DC5" t="n">
        <v>4.625</v>
      </c>
      <c r="DD5" t="n">
        <v>40.833</v>
      </c>
      <c r="DE5" t="n">
        <v>70.833</v>
      </c>
      <c r="DF5" t="n">
        <v>210.333</v>
      </c>
      <c r="DG5" t="n">
        <v>1607.167</v>
      </c>
      <c r="DH5" t="n">
        <v>1502.375</v>
      </c>
      <c r="DI5" t="n">
        <v>14.25</v>
      </c>
      <c r="DJ5" t="n">
        <v>203.625</v>
      </c>
      <c r="DK5" t="n">
        <v>140.667</v>
      </c>
      <c r="DL5" t="n">
        <v>344.292</v>
      </c>
      <c r="DM5" t="n">
        <v>72.092</v>
      </c>
      <c r="DN5" t="n">
        <v>66.626</v>
      </c>
      <c r="DO5" t="n">
        <v>80.006</v>
      </c>
      <c r="DP5" t="n">
        <v>5.433</v>
      </c>
      <c r="DQ5" t="n">
        <v>52.708</v>
      </c>
      <c r="DR5" t="n">
        <v>37.417</v>
      </c>
      <c r="DS5" t="n">
        <v>72.361</v>
      </c>
      <c r="DT5" t="n">
        <v>5708.667</v>
      </c>
      <c r="DU5" t="n">
        <v>16.581</v>
      </c>
      <c r="DV5" t="n">
        <v>58.208</v>
      </c>
      <c r="DW5" t="n">
        <v>5.915</v>
      </c>
      <c r="DX5" t="n">
        <v>65.792</v>
      </c>
      <c r="DY5" t="n">
        <v>5.233</v>
      </c>
      <c r="DZ5" t="n">
        <v>-0.131</v>
      </c>
      <c r="EA5" t="n">
        <v>1.004</v>
      </c>
      <c r="EB5" t="n">
        <v>130.458</v>
      </c>
      <c r="EC5" t="n">
        <v>205.833</v>
      </c>
      <c r="ED5" t="n">
        <v>336.292</v>
      </c>
      <c r="EE5" t="n">
        <v>38.793</v>
      </c>
      <c r="EF5" t="n">
        <v>65.042</v>
      </c>
      <c r="EG5" t="n">
        <v>88.708</v>
      </c>
      <c r="EH5" t="n">
        <v>15.25</v>
      </c>
      <c r="EI5" t="n">
        <v>20.609</v>
      </c>
      <c r="EJ5" t="n">
        <v>68.39100000000001</v>
      </c>
      <c r="EK5" t="n">
        <v>81</v>
      </c>
      <c r="EL5" t="n">
        <v>58.13</v>
      </c>
      <c r="EM5" t="n">
        <v>8.478</v>
      </c>
      <c r="EN5" t="n">
        <v>22.913</v>
      </c>
      <c r="EO5" t="n">
        <v>109.087</v>
      </c>
      <c r="EP5" t="n">
        <v>12.625</v>
      </c>
      <c r="EQ5" t="n">
        <v>25.292</v>
      </c>
      <c r="ER5" t="n">
        <v>37.917</v>
      </c>
      <c r="ES5" t="n">
        <v>40.739</v>
      </c>
      <c r="ET5" t="n">
        <v>75.45399999999999</v>
      </c>
      <c r="EU5" t="n">
        <v>86.708</v>
      </c>
      <c r="EV5" t="n">
        <v>9.958</v>
      </c>
      <c r="EW5" t="n">
        <v>12.292</v>
      </c>
      <c r="EX5" t="n">
        <v>23.32</v>
      </c>
      <c r="EY5" t="n">
        <v>15.208</v>
      </c>
      <c r="EZ5" t="n">
        <v>5</v>
      </c>
      <c r="FA5" t="n">
        <v>12.458</v>
      </c>
      <c r="FB5" t="n">
        <v>10.708</v>
      </c>
      <c r="FC5" t="n">
        <v>2.208</v>
      </c>
      <c r="FD5" t="n">
        <v>25.167</v>
      </c>
      <c r="FE5" t="n">
        <v>8.292</v>
      </c>
      <c r="FF5" t="n">
        <v>49.503</v>
      </c>
      <c r="FG5" t="n">
        <v>23.636</v>
      </c>
      <c r="FH5" t="n">
        <v>43.953</v>
      </c>
      <c r="FI5" t="n">
        <v>47.747</v>
      </c>
      <c r="FJ5" t="n">
        <v>22.875</v>
      </c>
      <c r="FK5" t="n">
        <v>86.062</v>
      </c>
      <c r="FL5" t="n">
        <v>-0.627</v>
      </c>
      <c r="FM5" t="n">
        <v>3.372</v>
      </c>
      <c r="FN5" t="n">
        <v>-0.025</v>
      </c>
      <c r="FO5" t="n">
        <v>3.696</v>
      </c>
      <c r="FP5" t="n">
        <v>0.038</v>
      </c>
      <c r="FQ5" t="n">
        <v>2.973</v>
      </c>
      <c r="FR5" t="n">
        <v>-0.102</v>
      </c>
      <c r="FS5" t="n">
        <v>4.458</v>
      </c>
      <c r="FT5" t="n">
        <v>38</v>
      </c>
      <c r="FU5" t="n">
        <v>43</v>
      </c>
      <c r="FV5" t="n">
        <v>32.478</v>
      </c>
      <c r="FW5" t="n">
        <v>42.435</v>
      </c>
      <c r="FX5" t="n">
        <v>12.333</v>
      </c>
      <c r="FY5" t="n">
        <v>20.811</v>
      </c>
      <c r="FZ5" t="n">
        <v>22.21</v>
      </c>
      <c r="GA5" t="n">
        <v>9.273999999999999</v>
      </c>
      <c r="GB5" t="n">
        <v>31.603</v>
      </c>
      <c r="GC5" t="n">
        <v>12.623</v>
      </c>
      <c r="GD5" t="n">
        <v>66.375</v>
      </c>
      <c r="GE5" t="n">
        <v>12.833</v>
      </c>
      <c r="GF5" t="n">
        <v>303.167</v>
      </c>
      <c r="GG5" t="n">
        <v>142.792</v>
      </c>
      <c r="GH5" t="n">
        <v>32.417</v>
      </c>
      <c r="GI5" t="n">
        <v>39.875</v>
      </c>
      <c r="GJ5" t="n">
        <v>40.21</v>
      </c>
      <c r="GK5" t="n">
        <v>9.375</v>
      </c>
      <c r="GL5" t="n">
        <v>23.511</v>
      </c>
      <c r="GM5" t="n">
        <v>3.304</v>
      </c>
      <c r="GN5" t="n">
        <v>10.792</v>
      </c>
      <c r="GO5" t="n">
        <v>91.12</v>
      </c>
      <c r="GP5" t="n">
        <v>6.458</v>
      </c>
      <c r="GQ5" t="n">
        <v>44.917</v>
      </c>
      <c r="GR5" t="n">
        <v>70.542</v>
      </c>
      <c r="GS5" t="n">
        <v>8.929</v>
      </c>
      <c r="GT5" t="n">
        <v>86.208</v>
      </c>
      <c r="GU5" t="n">
        <v>49.208</v>
      </c>
      <c r="GV5" t="n">
        <v>1.5</v>
      </c>
      <c r="GW5" t="n">
        <v>13.458</v>
      </c>
      <c r="GX5" t="n">
        <v>1.417</v>
      </c>
      <c r="GY5" t="n">
        <v>14.875</v>
      </c>
      <c r="GZ5" t="n">
        <v>-1</v>
      </c>
      <c r="HA5" t="n">
        <v>152.875</v>
      </c>
      <c r="HB5" t="n">
        <v>-4.5</v>
      </c>
      <c r="HC5" t="n">
        <v>-0.833</v>
      </c>
      <c r="HD5" t="n">
        <v>0.399</v>
      </c>
      <c r="HE5" t="n">
        <v>-1.795</v>
      </c>
      <c r="HF5" t="n">
        <v>7.5</v>
      </c>
      <c r="HG5" t="n">
        <v>8.708</v>
      </c>
      <c r="HH5" t="n">
        <v>16.208</v>
      </c>
      <c r="HI5" t="n">
        <v>0.833</v>
      </c>
      <c r="HJ5" t="n">
        <v>2.708</v>
      </c>
      <c r="HK5" t="n">
        <v>1.375</v>
      </c>
      <c r="HL5" t="n">
        <v>1.348</v>
      </c>
      <c r="HM5" t="n">
        <v>0.5649999999999999</v>
      </c>
      <c r="HN5" t="n">
        <v>1.522</v>
      </c>
      <c r="HO5" t="n">
        <v>0.043</v>
      </c>
      <c r="HP5" t="n">
        <v>0.5649999999999999</v>
      </c>
      <c r="HQ5" t="n">
        <v>-0.609</v>
      </c>
      <c r="HR5" t="n">
        <v>2.87</v>
      </c>
      <c r="HS5" t="n">
        <v>0.458</v>
      </c>
      <c r="HT5" t="n">
        <v>1.208</v>
      </c>
      <c r="HU5" t="n">
        <v>1.667</v>
      </c>
      <c r="HV5" t="n">
        <v>4.609</v>
      </c>
      <c r="HW5" t="n">
        <v>4.667</v>
      </c>
      <c r="HX5" t="n">
        <v>0.542</v>
      </c>
      <c r="HY5" t="n">
        <v>-1.083</v>
      </c>
      <c r="HZ5" t="n">
        <v>0.25</v>
      </c>
      <c r="IA5" t="n">
        <v>1.542</v>
      </c>
      <c r="IB5" t="n">
        <v>1.167</v>
      </c>
      <c r="IC5" t="n">
        <v>0.125</v>
      </c>
      <c r="ID5" t="n">
        <v>0.292</v>
      </c>
      <c r="IE5" t="n">
        <v>1.042</v>
      </c>
      <c r="IF5" t="n">
        <v>1.208</v>
      </c>
      <c r="IG5" t="n">
        <v>-2.528</v>
      </c>
      <c r="IH5" t="n">
        <v>6.963</v>
      </c>
      <c r="II5" t="n">
        <v>-0.077</v>
      </c>
      <c r="IJ5" t="n">
        <v>-0.958</v>
      </c>
      <c r="IK5" t="n">
        <v>-0.875</v>
      </c>
      <c r="IL5" t="n">
        <v>8.958</v>
      </c>
      <c r="IM5" t="n">
        <v>1.043</v>
      </c>
      <c r="IN5" t="n">
        <v>2.783</v>
      </c>
      <c r="IO5" t="n">
        <v>1.25</v>
      </c>
      <c r="IP5" t="n">
        <v>-3</v>
      </c>
      <c r="IQ5" t="n">
        <v>-0.917</v>
      </c>
      <c r="IR5" t="n">
        <v>-9.083</v>
      </c>
      <c r="IS5" t="n">
        <v>-0.708</v>
      </c>
      <c r="IT5" t="n">
        <v>-3.25</v>
      </c>
      <c r="IU5" t="n">
        <v>-7.208</v>
      </c>
      <c r="IV5" t="n">
        <v>0.708</v>
      </c>
      <c r="IW5" t="n">
        <v>3.174</v>
      </c>
      <c r="IX5" t="n">
        <v>-1.833</v>
      </c>
      <c r="IY5" t="n">
        <v>-4.083</v>
      </c>
      <c r="IZ5" t="n">
        <v>0.292</v>
      </c>
    </row>
    <row r="6">
      <c r="A6" t="inlineStr">
        <is>
          <t>Gold Coast</t>
        </is>
      </c>
      <c r="B6" t="inlineStr">
        <is>
          <t>GC</t>
        </is>
      </c>
      <c r="C6" t="n">
        <v>23</v>
      </c>
      <c r="D6" t="n">
        <v>38</v>
      </c>
      <c r="E6" t="n">
        <v>24.654</v>
      </c>
      <c r="F6" t="n">
        <v>84.626</v>
      </c>
      <c r="G6" t="n">
        <v>214.043</v>
      </c>
      <c r="H6" t="n">
        <v>1631.87</v>
      </c>
      <c r="I6" t="n">
        <v>1479.261</v>
      </c>
      <c r="J6" t="n">
        <v>15.043</v>
      </c>
      <c r="K6" t="n">
        <v>51.692</v>
      </c>
      <c r="L6" t="n">
        <v>201.826</v>
      </c>
      <c r="M6" t="n">
        <v>145.435</v>
      </c>
      <c r="N6" t="n">
        <v>347.261</v>
      </c>
      <c r="O6" t="n">
        <v>72.53</v>
      </c>
      <c r="P6" t="n">
        <v>66.006</v>
      </c>
      <c r="Q6" t="n">
        <v>81.584</v>
      </c>
      <c r="R6" t="n">
        <v>58.119</v>
      </c>
      <c r="S6" t="n">
        <v>5.734</v>
      </c>
      <c r="T6" t="n">
        <v>56.087</v>
      </c>
      <c r="U6" t="n">
        <v>40</v>
      </c>
      <c r="V6" t="n">
        <v>75.348</v>
      </c>
      <c r="W6" t="n">
        <v>6098.174</v>
      </c>
      <c r="X6" t="n">
        <v>17.561</v>
      </c>
      <c r="Y6" t="n">
        <v>55.478</v>
      </c>
      <c r="Z6" t="n">
        <v>6.259</v>
      </c>
      <c r="AA6" t="n">
        <v>69.565</v>
      </c>
      <c r="AB6" t="n">
        <v>4.992</v>
      </c>
      <c r="AC6" t="n">
        <v>-2.541</v>
      </c>
      <c r="AD6" t="n">
        <v>-1.73</v>
      </c>
      <c r="AE6" t="n">
        <v>131.304</v>
      </c>
      <c r="AF6" t="n">
        <v>209.783</v>
      </c>
      <c r="AG6" t="n">
        <v>341.087</v>
      </c>
      <c r="AH6" t="n">
        <v>38.496</v>
      </c>
      <c r="AI6" t="n">
        <v>71.435</v>
      </c>
      <c r="AJ6" t="n">
        <v>88</v>
      </c>
      <c r="AK6" t="n">
        <v>15.261</v>
      </c>
      <c r="AL6" t="n">
        <v>22.913</v>
      </c>
      <c r="AM6" t="n">
        <v>65.13</v>
      </c>
      <c r="AN6" t="n">
        <v>85.217</v>
      </c>
      <c r="AO6" t="n">
        <v>62</v>
      </c>
      <c r="AP6" t="n">
        <v>9.651999999999999</v>
      </c>
      <c r="AQ6" t="n">
        <v>23.348</v>
      </c>
      <c r="AR6" t="n">
        <v>115.261</v>
      </c>
      <c r="AS6" t="n">
        <v>11.565</v>
      </c>
      <c r="AT6" t="n">
        <v>24</v>
      </c>
      <c r="AU6" t="n">
        <v>35.565</v>
      </c>
      <c r="AV6" t="n">
        <v>39.13</v>
      </c>
      <c r="AW6" t="n">
        <v>77.22199999999999</v>
      </c>
      <c r="AX6" t="n">
        <v>84.739</v>
      </c>
      <c r="AY6" t="n">
        <v>9.260999999999999</v>
      </c>
      <c r="AZ6" t="n">
        <v>10.609</v>
      </c>
      <c r="BA6" t="n">
        <v>18.915</v>
      </c>
      <c r="BB6" t="n">
        <v>18.435</v>
      </c>
      <c r="BC6" t="n">
        <v>5.826</v>
      </c>
      <c r="BD6" t="n">
        <v>31</v>
      </c>
      <c r="BE6" t="n">
        <v>7.609</v>
      </c>
      <c r="BF6" t="n">
        <v>12.217</v>
      </c>
      <c r="BG6" t="n">
        <v>10.391</v>
      </c>
      <c r="BH6" t="n">
        <v>2.043</v>
      </c>
      <c r="BI6" t="n">
        <v>24.478</v>
      </c>
      <c r="BJ6" t="n">
        <v>8.478</v>
      </c>
      <c r="BK6" t="n">
        <v>49.911</v>
      </c>
      <c r="BL6" t="n">
        <v>21.783</v>
      </c>
      <c r="BM6" t="n">
        <v>40.31</v>
      </c>
      <c r="BN6" t="n">
        <v>43.643</v>
      </c>
      <c r="BO6" t="n">
        <v>22.304</v>
      </c>
      <c r="BP6" t="n">
        <v>12.304</v>
      </c>
      <c r="BQ6" t="n">
        <v>28.269</v>
      </c>
      <c r="BR6" t="n">
        <v>79.23699999999999</v>
      </c>
      <c r="BS6" t="n">
        <v>2.416</v>
      </c>
      <c r="BT6" t="n">
        <v>3.237</v>
      </c>
      <c r="BU6" t="n">
        <v>0.099</v>
      </c>
      <c r="BV6" t="n">
        <v>3.545</v>
      </c>
      <c r="BW6" t="n">
        <v>0.015</v>
      </c>
      <c r="BX6" t="n">
        <v>2.843</v>
      </c>
      <c r="BY6" t="n">
        <v>0.206</v>
      </c>
      <c r="BZ6" t="n">
        <v>3.043</v>
      </c>
      <c r="CA6" t="n">
        <v>28.217</v>
      </c>
      <c r="CB6" t="n">
        <v>52.435</v>
      </c>
      <c r="CC6" t="n">
        <v>33.174</v>
      </c>
      <c r="CD6" t="n">
        <v>39.652</v>
      </c>
      <c r="CE6" t="n">
        <v>10.87</v>
      </c>
      <c r="CF6" t="n">
        <v>19.496</v>
      </c>
      <c r="CG6" t="n">
        <v>24.449</v>
      </c>
      <c r="CH6" t="n">
        <v>8.628</v>
      </c>
      <c r="CI6" t="n">
        <v>33.483</v>
      </c>
      <c r="CJ6" t="n">
        <v>12.09</v>
      </c>
      <c r="CK6" t="n">
        <v>11.565</v>
      </c>
      <c r="CL6" t="n">
        <v>21.053</v>
      </c>
      <c r="CM6" t="n">
        <v>59.043</v>
      </c>
      <c r="CN6" t="n">
        <v>10.957</v>
      </c>
      <c r="CO6" t="n">
        <v>299.435</v>
      </c>
      <c r="CP6" t="n">
        <v>136.522</v>
      </c>
      <c r="CQ6" t="n">
        <v>34.478</v>
      </c>
      <c r="CR6" t="n">
        <v>94.13</v>
      </c>
      <c r="CS6" t="n">
        <v>42.043</v>
      </c>
      <c r="CT6" t="n">
        <v>44.665</v>
      </c>
      <c r="CU6" t="n">
        <v>10.957</v>
      </c>
      <c r="CV6" t="n">
        <v>26.06</v>
      </c>
      <c r="CW6" t="n">
        <v>2.913</v>
      </c>
      <c r="CX6" t="n">
        <v>19.565</v>
      </c>
      <c r="CY6" t="n">
        <v>16.913</v>
      </c>
      <c r="CZ6" t="n">
        <v>2.652</v>
      </c>
      <c r="DA6" t="n">
        <v>9.478</v>
      </c>
      <c r="DB6" t="n">
        <v>91.74299999999999</v>
      </c>
      <c r="DC6" t="n">
        <v>5.652</v>
      </c>
      <c r="DD6" t="n">
        <v>47</v>
      </c>
      <c r="DE6" t="n">
        <v>70.696</v>
      </c>
      <c r="DF6" t="n">
        <v>217.07</v>
      </c>
      <c r="DG6" t="n">
        <v>1668.348</v>
      </c>
      <c r="DH6" t="n">
        <v>1531.391</v>
      </c>
      <c r="DI6" t="n">
        <v>14.957</v>
      </c>
      <c r="DJ6" t="n">
        <v>215.87</v>
      </c>
      <c r="DK6" t="n">
        <v>145.087</v>
      </c>
      <c r="DL6" t="n">
        <v>360.957</v>
      </c>
      <c r="DM6" t="n">
        <v>73.36799999999999</v>
      </c>
      <c r="DN6" t="n">
        <v>67.17</v>
      </c>
      <c r="DO6" t="n">
        <v>82.589</v>
      </c>
      <c r="DP6" t="n">
        <v>6.113</v>
      </c>
      <c r="DQ6" t="n">
        <v>53.087</v>
      </c>
      <c r="DR6" t="n">
        <v>42.957</v>
      </c>
      <c r="DS6" t="n">
        <v>76.589</v>
      </c>
      <c r="DT6" t="n">
        <v>6149.348</v>
      </c>
      <c r="DU6" t="n">
        <v>17.036</v>
      </c>
      <c r="DV6" t="n">
        <v>59.696</v>
      </c>
      <c r="DW6" t="n">
        <v>6.047</v>
      </c>
      <c r="DX6" t="n">
        <v>71.39100000000001</v>
      </c>
      <c r="DY6" t="n">
        <v>5.056</v>
      </c>
      <c r="DZ6" t="n">
        <v>-0.677</v>
      </c>
      <c r="EA6" t="n">
        <v>0.366</v>
      </c>
      <c r="EB6" t="n">
        <v>131.913</v>
      </c>
      <c r="EC6" t="n">
        <v>222.304</v>
      </c>
      <c r="ED6" t="n">
        <v>354.217</v>
      </c>
      <c r="EE6" t="n">
        <v>37.241</v>
      </c>
      <c r="EF6" t="n">
        <v>69.652</v>
      </c>
      <c r="EG6" t="n">
        <v>91.47799999999999</v>
      </c>
      <c r="EH6" t="n">
        <v>16.261</v>
      </c>
      <c r="EI6" t="n">
        <v>23.783</v>
      </c>
      <c r="EJ6" t="n">
        <v>67.739</v>
      </c>
      <c r="EK6" t="n">
        <v>83.913</v>
      </c>
      <c r="EL6" t="n">
        <v>61.435</v>
      </c>
      <c r="EM6" t="n">
        <v>8.304</v>
      </c>
      <c r="EN6" t="n">
        <v>23.478</v>
      </c>
      <c r="EO6" t="n">
        <v>115.652</v>
      </c>
      <c r="EP6" t="n">
        <v>12.13</v>
      </c>
      <c r="EQ6" t="n">
        <v>25.348</v>
      </c>
      <c r="ER6" t="n">
        <v>37.478</v>
      </c>
      <c r="ES6" t="n">
        <v>40.391</v>
      </c>
      <c r="ET6" t="n">
        <v>77.61</v>
      </c>
      <c r="EU6" t="n">
        <v>92.261</v>
      </c>
      <c r="EV6" t="n">
        <v>8.957000000000001</v>
      </c>
      <c r="EW6" t="n">
        <v>10.826</v>
      </c>
      <c r="EX6" t="n">
        <v>20.393</v>
      </c>
      <c r="EY6" t="n">
        <v>16.217</v>
      </c>
      <c r="EZ6" t="n">
        <v>8.391</v>
      </c>
      <c r="FA6" t="n">
        <v>12.478</v>
      </c>
      <c r="FB6" t="n">
        <v>9.609</v>
      </c>
      <c r="FC6" t="n">
        <v>1.783</v>
      </c>
      <c r="FD6" t="n">
        <v>23.913</v>
      </c>
      <c r="FE6" t="n">
        <v>8.304</v>
      </c>
      <c r="FF6" t="n">
        <v>52.182</v>
      </c>
      <c r="FG6" t="n">
        <v>23.505</v>
      </c>
      <c r="FH6" t="n">
        <v>41.605</v>
      </c>
      <c r="FI6" t="n">
        <v>45.045</v>
      </c>
      <c r="FJ6" t="n">
        <v>22</v>
      </c>
      <c r="FK6" t="n">
        <v>76.669</v>
      </c>
      <c r="FL6" t="n">
        <v>6.027</v>
      </c>
      <c r="FM6" t="n">
        <v>3.206</v>
      </c>
      <c r="FN6" t="n">
        <v>0.252</v>
      </c>
      <c r="FO6" t="n">
        <v>3.525</v>
      </c>
      <c r="FP6" t="n">
        <v>0.387</v>
      </c>
      <c r="FQ6" t="n">
        <v>2.835</v>
      </c>
      <c r="FR6" t="n">
        <v>0.095</v>
      </c>
      <c r="FS6" t="n">
        <v>4.261</v>
      </c>
      <c r="FT6" t="n">
        <v>30.478</v>
      </c>
      <c r="FU6" t="n">
        <v>49.739</v>
      </c>
      <c r="FV6" t="n">
        <v>32.13</v>
      </c>
      <c r="FW6" t="n">
        <v>42.217</v>
      </c>
      <c r="FX6" t="n">
        <v>10.13</v>
      </c>
      <c r="FY6" t="n">
        <v>19.129</v>
      </c>
      <c r="FZ6" t="n">
        <v>24.366</v>
      </c>
      <c r="GA6" t="n">
        <v>11.111</v>
      </c>
      <c r="GB6" t="n">
        <v>30.7</v>
      </c>
      <c r="GC6" t="n">
        <v>11.715</v>
      </c>
      <c r="GD6" t="n">
        <v>60.565</v>
      </c>
      <c r="GE6" t="n">
        <v>10.174</v>
      </c>
      <c r="GF6" t="n">
        <v>286.478</v>
      </c>
      <c r="GG6" t="n">
        <v>137.826</v>
      </c>
      <c r="GH6" t="n">
        <v>29</v>
      </c>
      <c r="GI6" t="n">
        <v>33.391</v>
      </c>
      <c r="GJ6" t="n">
        <v>35.457</v>
      </c>
      <c r="GK6" t="n">
        <v>8.957000000000001</v>
      </c>
      <c r="GL6" t="n">
        <v>26.823</v>
      </c>
      <c r="GM6" t="n">
        <v>3.043</v>
      </c>
      <c r="GN6" t="n">
        <v>10.13</v>
      </c>
      <c r="GO6" t="n">
        <v>89.7</v>
      </c>
      <c r="GP6" t="n">
        <v>8.087</v>
      </c>
      <c r="GQ6" t="n">
        <v>42.913</v>
      </c>
      <c r="GR6" t="n">
        <v>69</v>
      </c>
      <c r="GS6" t="n">
        <v>-3.026</v>
      </c>
      <c r="GT6" t="n">
        <v>-36.478</v>
      </c>
      <c r="GU6" t="n">
        <v>-52.13</v>
      </c>
      <c r="GV6" t="n">
        <v>0.08699999999999999</v>
      </c>
      <c r="GW6" t="n">
        <v>-14.043</v>
      </c>
      <c r="GX6" t="n">
        <v>0.348</v>
      </c>
      <c r="GY6" t="n">
        <v>-13.696</v>
      </c>
      <c r="GZ6" t="n">
        <v>3</v>
      </c>
      <c r="HA6" t="n">
        <v>-51.174</v>
      </c>
      <c r="HB6" t="n">
        <v>-4.217</v>
      </c>
      <c r="HC6" t="n">
        <v>-1.826</v>
      </c>
      <c r="HD6" t="n">
        <v>-1.864</v>
      </c>
      <c r="HE6" t="n">
        <v>-2.096</v>
      </c>
      <c r="HF6" t="n">
        <v>-0.609</v>
      </c>
      <c r="HG6" t="n">
        <v>-12.522</v>
      </c>
      <c r="HH6" t="n">
        <v>-13.13</v>
      </c>
      <c r="HI6" t="n">
        <v>1.783</v>
      </c>
      <c r="HJ6" t="n">
        <v>-3.478</v>
      </c>
      <c r="HK6" t="n">
        <v>-1</v>
      </c>
      <c r="HL6" t="n">
        <v>-0.87</v>
      </c>
      <c r="HM6" t="n">
        <v>-2.609</v>
      </c>
      <c r="HN6" t="n">
        <v>1.304</v>
      </c>
      <c r="HO6" t="n">
        <v>0.5649999999999999</v>
      </c>
      <c r="HP6" t="n">
        <v>1.348</v>
      </c>
      <c r="HQ6" t="n">
        <v>-0.13</v>
      </c>
      <c r="HR6" t="n">
        <v>-0.391</v>
      </c>
      <c r="HS6" t="n">
        <v>-0.5649999999999999</v>
      </c>
      <c r="HT6" t="n">
        <v>-1.348</v>
      </c>
      <c r="HU6" t="n">
        <v>-1.913</v>
      </c>
      <c r="HV6" t="n">
        <v>-1.261</v>
      </c>
      <c r="HW6" t="n">
        <v>-7.522</v>
      </c>
      <c r="HX6" t="n">
        <v>0.304</v>
      </c>
      <c r="HY6" t="n">
        <v>-0.217</v>
      </c>
      <c r="HZ6" t="n">
        <v>2.217</v>
      </c>
      <c r="IA6" t="n">
        <v>-2.565</v>
      </c>
      <c r="IB6" t="n">
        <v>-0.261</v>
      </c>
      <c r="IC6" t="n">
        <v>0.783</v>
      </c>
      <c r="ID6" t="n">
        <v>0.5649999999999999</v>
      </c>
      <c r="IE6" t="n">
        <v>0.174</v>
      </c>
      <c r="IF6" t="n">
        <v>0.304</v>
      </c>
      <c r="IG6" t="n">
        <v>2.568</v>
      </c>
      <c r="IH6" t="n">
        <v>-3.611</v>
      </c>
      <c r="II6" t="n">
        <v>0.031</v>
      </c>
      <c r="IJ6" t="n">
        <v>-1.217</v>
      </c>
      <c r="IK6" t="n">
        <v>-2.261</v>
      </c>
      <c r="IL6" t="n">
        <v>2.696</v>
      </c>
      <c r="IM6" t="n">
        <v>1.043</v>
      </c>
      <c r="IN6" t="n">
        <v>-2.565</v>
      </c>
      <c r="IO6" t="n">
        <v>0.739</v>
      </c>
      <c r="IP6" t="n">
        <v>-1.522</v>
      </c>
      <c r="IQ6" t="n">
        <v>0.783</v>
      </c>
      <c r="IR6" t="n">
        <v>12.957</v>
      </c>
      <c r="IS6" t="n">
        <v>-1.304</v>
      </c>
      <c r="IT6" t="n">
        <v>5.478</v>
      </c>
      <c r="IU6" t="n">
        <v>8.651999999999999</v>
      </c>
      <c r="IV6" t="n">
        <v>2</v>
      </c>
      <c r="IW6" t="n">
        <v>-0.13</v>
      </c>
      <c r="IX6" t="n">
        <v>-2.435</v>
      </c>
      <c r="IY6" t="n">
        <v>4.087</v>
      </c>
      <c r="IZ6" t="n">
        <v>1.696</v>
      </c>
    </row>
    <row r="7">
      <c r="A7" t="inlineStr">
        <is>
          <t>Richmond</t>
        </is>
      </c>
      <c r="B7" t="inlineStr">
        <is>
          <t>Rich</t>
        </is>
      </c>
      <c r="C7" t="n">
        <v>23</v>
      </c>
      <c r="D7" t="n">
        <v>42</v>
      </c>
      <c r="E7" t="n">
        <v>25.793</v>
      </c>
      <c r="F7" t="n">
        <v>94.94</v>
      </c>
      <c r="G7" t="n">
        <v>186.487</v>
      </c>
      <c r="H7" t="n">
        <v>1498.522</v>
      </c>
      <c r="I7" t="n">
        <v>1394.87</v>
      </c>
      <c r="J7" t="n">
        <v>6.739</v>
      </c>
      <c r="K7" t="n">
        <v>47.027</v>
      </c>
      <c r="L7" t="n">
        <v>199.696</v>
      </c>
      <c r="M7" t="n">
        <v>138.522</v>
      </c>
      <c r="N7" t="n">
        <v>338.217</v>
      </c>
      <c r="O7" t="n">
        <v>71.96299999999999</v>
      </c>
      <c r="P7" t="n">
        <v>65.447</v>
      </c>
      <c r="Q7" t="n">
        <v>81.35599999999999</v>
      </c>
      <c r="R7" t="n">
        <v>59.044</v>
      </c>
      <c r="S7" t="n">
        <v>6.016</v>
      </c>
      <c r="T7" t="n">
        <v>47.87</v>
      </c>
      <c r="U7" t="n">
        <v>41.261</v>
      </c>
      <c r="V7" t="n">
        <v>72.22199999999999</v>
      </c>
      <c r="W7" t="n">
        <v>5648.174</v>
      </c>
      <c r="X7" t="n">
        <v>16.7</v>
      </c>
      <c r="Y7" t="n">
        <v>61.696</v>
      </c>
      <c r="Z7" t="n">
        <v>5.482</v>
      </c>
      <c r="AA7" t="n">
        <v>69</v>
      </c>
      <c r="AB7" t="n">
        <v>4.902</v>
      </c>
      <c r="AC7" t="n">
        <v>-2.929</v>
      </c>
      <c r="AD7" t="n">
        <v>-1.277</v>
      </c>
      <c r="AE7" t="n">
        <v>121.87</v>
      </c>
      <c r="AF7" t="n">
        <v>207.565</v>
      </c>
      <c r="AG7" t="n">
        <v>329.435</v>
      </c>
      <c r="AH7" t="n">
        <v>36.994</v>
      </c>
      <c r="AI7" t="n">
        <v>65.47799999999999</v>
      </c>
      <c r="AJ7" t="n">
        <v>82.95699999999999</v>
      </c>
      <c r="AK7" t="n">
        <v>12.783</v>
      </c>
      <c r="AL7" t="n">
        <v>19.652</v>
      </c>
      <c r="AM7" t="n">
        <v>63.261</v>
      </c>
      <c r="AN7" t="n">
        <v>77.696</v>
      </c>
      <c r="AO7" t="n">
        <v>57.609</v>
      </c>
      <c r="AP7" t="n">
        <v>9.869999999999999</v>
      </c>
      <c r="AQ7" t="n">
        <v>21.783</v>
      </c>
      <c r="AR7" t="n">
        <v>109.391</v>
      </c>
      <c r="AS7" t="n">
        <v>10.913</v>
      </c>
      <c r="AT7" t="n">
        <v>22.261</v>
      </c>
      <c r="AU7" t="n">
        <v>33.174</v>
      </c>
      <c r="AV7" t="n">
        <v>37.348</v>
      </c>
      <c r="AW7" t="n">
        <v>73.34099999999999</v>
      </c>
      <c r="AX7" t="n">
        <v>85.304</v>
      </c>
      <c r="AY7" t="n">
        <v>8.260999999999999</v>
      </c>
      <c r="AZ7" t="n">
        <v>9.478</v>
      </c>
      <c r="BA7" t="n">
        <v>19.8</v>
      </c>
      <c r="BB7" t="n">
        <v>15.652</v>
      </c>
      <c r="BC7" t="n">
        <v>6</v>
      </c>
      <c r="BD7" t="n">
        <v>31</v>
      </c>
      <c r="BE7" t="n">
        <v>6.217</v>
      </c>
      <c r="BF7" t="n">
        <v>9.173999999999999</v>
      </c>
      <c r="BG7" t="n">
        <v>10.391</v>
      </c>
      <c r="BH7" t="n">
        <v>2.696</v>
      </c>
      <c r="BI7" t="n">
        <v>20.565</v>
      </c>
      <c r="BJ7" t="n">
        <v>6.696</v>
      </c>
      <c r="BK7" t="n">
        <v>44.609</v>
      </c>
      <c r="BL7" t="n">
        <v>19.164</v>
      </c>
      <c r="BM7" t="n">
        <v>40.872</v>
      </c>
      <c r="BN7" t="n">
        <v>42.961</v>
      </c>
      <c r="BO7" t="n">
        <v>19.174</v>
      </c>
      <c r="BP7" t="n">
        <v>9.739000000000001</v>
      </c>
      <c r="BQ7" t="n">
        <v>19.196</v>
      </c>
      <c r="BR7" t="n">
        <v>66.25700000000001</v>
      </c>
      <c r="BS7" t="n">
        <v>-3.517</v>
      </c>
      <c r="BT7" t="n">
        <v>3.222</v>
      </c>
      <c r="BU7" t="n">
        <v>-0.171</v>
      </c>
      <c r="BV7" t="n">
        <v>3.494</v>
      </c>
      <c r="BW7" t="n">
        <v>-0.161</v>
      </c>
      <c r="BX7" t="n">
        <v>2.927</v>
      </c>
      <c r="BY7" t="n">
        <v>-0.182</v>
      </c>
      <c r="BZ7" t="n">
        <v>4.043</v>
      </c>
      <c r="CA7" t="n">
        <v>21.913</v>
      </c>
      <c r="CB7" t="n">
        <v>39.478</v>
      </c>
      <c r="CC7" t="n">
        <v>25.739</v>
      </c>
      <c r="CD7" t="n">
        <v>34.304</v>
      </c>
      <c r="CE7" t="n">
        <v>5.391</v>
      </c>
      <c r="CF7" t="n">
        <v>17.749</v>
      </c>
      <c r="CG7" t="n">
        <v>21.036</v>
      </c>
      <c r="CH7" t="n">
        <v>7.928</v>
      </c>
      <c r="CI7" t="n">
        <v>28.801</v>
      </c>
      <c r="CJ7" t="n">
        <v>10.411</v>
      </c>
      <c r="CK7" t="n">
        <v>12.043</v>
      </c>
      <c r="CL7" t="n">
        <v>25.993</v>
      </c>
      <c r="CM7" t="n">
        <v>50.522</v>
      </c>
      <c r="CN7" t="n">
        <v>8.782999999999999</v>
      </c>
      <c r="CO7" t="n">
        <v>290.739</v>
      </c>
      <c r="CP7" t="n">
        <v>139.913</v>
      </c>
      <c r="CQ7" t="n">
        <v>32.087</v>
      </c>
      <c r="CR7" t="n">
        <v>87.652</v>
      </c>
      <c r="CS7" t="n">
        <v>38.826</v>
      </c>
      <c r="CT7" t="n">
        <v>44.296</v>
      </c>
      <c r="CU7" t="n">
        <v>11.261</v>
      </c>
      <c r="CV7" t="n">
        <v>29.003</v>
      </c>
      <c r="CW7" t="n">
        <v>3.304</v>
      </c>
      <c r="CX7" t="n">
        <v>14.87</v>
      </c>
      <c r="CY7" t="n">
        <v>18.565</v>
      </c>
      <c r="CZ7" t="n">
        <v>-3.696</v>
      </c>
      <c r="DA7" t="n">
        <v>11.522</v>
      </c>
      <c r="DB7" t="n">
        <v>87.17</v>
      </c>
      <c r="DC7" t="n">
        <v>7.609</v>
      </c>
      <c r="DD7" t="n">
        <v>44.391</v>
      </c>
      <c r="DE7" t="n">
        <v>70.304</v>
      </c>
      <c r="DF7" t="n">
        <v>225.283</v>
      </c>
      <c r="DG7" t="n">
        <v>1801.739</v>
      </c>
      <c r="DH7" t="n">
        <v>1652.304</v>
      </c>
      <c r="DI7" t="n">
        <v>23.261</v>
      </c>
      <c r="DJ7" t="n">
        <v>230.696</v>
      </c>
      <c r="DK7" t="n">
        <v>149.565</v>
      </c>
      <c r="DL7" t="n">
        <v>380.261</v>
      </c>
      <c r="DM7" t="n">
        <v>75.086</v>
      </c>
      <c r="DN7" t="n">
        <v>68.997</v>
      </c>
      <c r="DO7" t="n">
        <v>84.477</v>
      </c>
      <c r="DP7" t="n">
        <v>7.527</v>
      </c>
      <c r="DQ7" t="n">
        <v>57.13</v>
      </c>
      <c r="DR7" t="n">
        <v>37.609</v>
      </c>
      <c r="DS7" t="n">
        <v>78.565</v>
      </c>
      <c r="DT7" t="n">
        <v>6230.783</v>
      </c>
      <c r="DU7" t="n">
        <v>16.386</v>
      </c>
      <c r="DV7" t="n">
        <v>53.087</v>
      </c>
      <c r="DW7" t="n">
        <v>7.163</v>
      </c>
      <c r="DX7" t="n">
        <v>65.39100000000001</v>
      </c>
      <c r="DY7" t="n">
        <v>5.815</v>
      </c>
      <c r="DZ7" t="n">
        <v>4.131</v>
      </c>
      <c r="EA7" t="n">
        <v>2.852</v>
      </c>
      <c r="EB7" t="n">
        <v>129.739</v>
      </c>
      <c r="EC7" t="n">
        <v>243.217</v>
      </c>
      <c r="ED7" t="n">
        <v>372.957</v>
      </c>
      <c r="EE7" t="n">
        <v>34.787</v>
      </c>
      <c r="EF7" t="n">
        <v>69.04300000000001</v>
      </c>
      <c r="EG7" t="n">
        <v>87.87</v>
      </c>
      <c r="EH7" t="n">
        <v>14.913</v>
      </c>
      <c r="EI7" t="n">
        <v>21.391</v>
      </c>
      <c r="EJ7" t="n">
        <v>66.52200000000001</v>
      </c>
      <c r="EK7" t="n">
        <v>82.652</v>
      </c>
      <c r="EL7" t="n">
        <v>57.913</v>
      </c>
      <c r="EM7" t="n">
        <v>8.782999999999999</v>
      </c>
      <c r="EN7" t="n">
        <v>20.957</v>
      </c>
      <c r="EO7" t="n">
        <v>122.739</v>
      </c>
      <c r="EP7" t="n">
        <v>12.609</v>
      </c>
      <c r="EQ7" t="n">
        <v>23.391</v>
      </c>
      <c r="ER7" t="n">
        <v>36</v>
      </c>
      <c r="ES7" t="n">
        <v>37.957</v>
      </c>
      <c r="ET7" t="n">
        <v>76.976</v>
      </c>
      <c r="EU7" t="n">
        <v>109.826</v>
      </c>
      <c r="EV7" t="n">
        <v>10.261</v>
      </c>
      <c r="EW7" t="n">
        <v>15.087</v>
      </c>
      <c r="EX7" t="n">
        <v>26.408</v>
      </c>
      <c r="EY7" t="n">
        <v>17.478</v>
      </c>
      <c r="EZ7" t="n">
        <v>6.87</v>
      </c>
      <c r="FA7" t="n">
        <v>15.174</v>
      </c>
      <c r="FB7" t="n">
        <v>11.739</v>
      </c>
      <c r="FC7" t="n">
        <v>2.739</v>
      </c>
      <c r="FD7" t="n">
        <v>29.652</v>
      </c>
      <c r="FE7" t="n">
        <v>11.609</v>
      </c>
      <c r="FF7" t="n">
        <v>51.173</v>
      </c>
      <c r="FG7" t="n">
        <v>26.56</v>
      </c>
      <c r="FH7" t="n">
        <v>47.108</v>
      </c>
      <c r="FI7" t="n">
        <v>51.903</v>
      </c>
      <c r="FJ7" t="n">
        <v>26.652</v>
      </c>
      <c r="FK7" t="n">
        <v>98.026</v>
      </c>
      <c r="FL7" t="n">
        <v>2.018</v>
      </c>
      <c r="FM7" t="n">
        <v>3.306</v>
      </c>
      <c r="FN7" t="n">
        <v>0.068</v>
      </c>
      <c r="FO7" t="n">
        <v>3.55</v>
      </c>
      <c r="FP7" t="n">
        <v>0.116</v>
      </c>
      <c r="FQ7" t="n">
        <v>2.935</v>
      </c>
      <c r="FR7" t="n">
        <v>-0.005</v>
      </c>
      <c r="FS7" t="n">
        <v>7.043</v>
      </c>
      <c r="FT7" t="n">
        <v>35.304</v>
      </c>
      <c r="FU7" t="n">
        <v>60.435</v>
      </c>
      <c r="FV7" t="n">
        <v>41.913</v>
      </c>
      <c r="FW7" t="n">
        <v>48</v>
      </c>
      <c r="FX7" t="n">
        <v>12.87</v>
      </c>
      <c r="FY7" t="n">
        <v>23.566</v>
      </c>
      <c r="FZ7" t="n">
        <v>26.498</v>
      </c>
      <c r="GA7" t="n">
        <v>12.097</v>
      </c>
      <c r="GB7" t="n">
        <v>35.119</v>
      </c>
      <c r="GC7" t="n">
        <v>15.459</v>
      </c>
      <c r="GD7" t="n">
        <v>56.217</v>
      </c>
      <c r="GE7" t="n">
        <v>10</v>
      </c>
      <c r="GF7" t="n">
        <v>283.174</v>
      </c>
      <c r="GG7" t="n">
        <v>129.565</v>
      </c>
      <c r="GH7" t="n">
        <v>27.043</v>
      </c>
      <c r="GI7" t="n">
        <v>32.739</v>
      </c>
      <c r="GJ7" t="n">
        <v>37.37</v>
      </c>
      <c r="GK7" t="n">
        <v>9.565</v>
      </c>
      <c r="GL7" t="n">
        <v>29.216</v>
      </c>
      <c r="GM7" t="n">
        <v>2.435</v>
      </c>
      <c r="GN7" t="n">
        <v>10.13</v>
      </c>
      <c r="GO7" t="n">
        <v>88.41200000000001</v>
      </c>
      <c r="GP7" t="n">
        <v>7.478</v>
      </c>
      <c r="GQ7" t="n">
        <v>40.565</v>
      </c>
      <c r="GR7" t="n">
        <v>70.783</v>
      </c>
      <c r="GS7" t="n">
        <v>-38.796</v>
      </c>
      <c r="GT7" t="n">
        <v>-303.217</v>
      </c>
      <c r="GU7" t="n">
        <v>-257.435</v>
      </c>
      <c r="GV7" t="n">
        <v>-16.522</v>
      </c>
      <c r="GW7" t="n">
        <v>-31</v>
      </c>
      <c r="GX7" t="n">
        <v>-11.043</v>
      </c>
      <c r="GY7" t="n">
        <v>-42.043</v>
      </c>
      <c r="GZ7" t="n">
        <v>-9.260999999999999</v>
      </c>
      <c r="HA7" t="n">
        <v>-582.609</v>
      </c>
      <c r="HB7" t="n">
        <v>8.609</v>
      </c>
      <c r="HC7" t="n">
        <v>3.609</v>
      </c>
      <c r="HD7" t="n">
        <v>-7.06</v>
      </c>
      <c r="HE7" t="n">
        <v>-4.129</v>
      </c>
      <c r="HF7" t="n">
        <v>-7.87</v>
      </c>
      <c r="HG7" t="n">
        <v>-35.652</v>
      </c>
      <c r="HH7" t="n">
        <v>-43.522</v>
      </c>
      <c r="HI7" t="n">
        <v>-3.565</v>
      </c>
      <c r="HJ7" t="n">
        <v>-4.913</v>
      </c>
      <c r="HK7" t="n">
        <v>-2.13</v>
      </c>
      <c r="HL7" t="n">
        <v>-1.739</v>
      </c>
      <c r="HM7" t="n">
        <v>-3.261</v>
      </c>
      <c r="HN7" t="n">
        <v>-4.957</v>
      </c>
      <c r="HO7" t="n">
        <v>-0.304</v>
      </c>
      <c r="HP7" t="n">
        <v>1.087</v>
      </c>
      <c r="HQ7" t="n">
        <v>0.826</v>
      </c>
      <c r="HR7" t="n">
        <v>-13.348</v>
      </c>
      <c r="HS7" t="n">
        <v>-1.696</v>
      </c>
      <c r="HT7" t="n">
        <v>-1.13</v>
      </c>
      <c r="HU7" t="n">
        <v>-2.826</v>
      </c>
      <c r="HV7" t="n">
        <v>-0.609</v>
      </c>
      <c r="HW7" t="n">
        <v>-24.522</v>
      </c>
      <c r="HX7" t="n">
        <v>-2</v>
      </c>
      <c r="HY7" t="n">
        <v>-5.609</v>
      </c>
      <c r="HZ7" t="n">
        <v>-1.826</v>
      </c>
      <c r="IA7" t="n">
        <v>-0.87</v>
      </c>
      <c r="IB7" t="n">
        <v>-6</v>
      </c>
      <c r="IC7" t="n">
        <v>-1.348</v>
      </c>
      <c r="ID7" t="n">
        <v>-9.087</v>
      </c>
      <c r="IE7" t="n">
        <v>-4.913</v>
      </c>
      <c r="IF7" t="n">
        <v>-7.478</v>
      </c>
      <c r="IG7" t="n">
        <v>-31.769</v>
      </c>
      <c r="IH7" t="n">
        <v>-5.535</v>
      </c>
      <c r="II7" t="n">
        <v>-0.08400000000000001</v>
      </c>
      <c r="IJ7" t="n">
        <v>-3</v>
      </c>
      <c r="IK7" t="n">
        <v>-13.391</v>
      </c>
      <c r="IL7" t="n">
        <v>-20.957</v>
      </c>
      <c r="IM7" t="n">
        <v>-16.174</v>
      </c>
      <c r="IN7" t="n">
        <v>-13.696</v>
      </c>
      <c r="IO7" t="n">
        <v>-7.478</v>
      </c>
      <c r="IP7" t="n">
        <v>-5.696</v>
      </c>
      <c r="IQ7" t="n">
        <v>-1.217</v>
      </c>
      <c r="IR7" t="n">
        <v>7.565</v>
      </c>
      <c r="IS7" t="n">
        <v>10.348</v>
      </c>
      <c r="IT7" t="n">
        <v>5.043</v>
      </c>
      <c r="IU7" t="n">
        <v>6.087</v>
      </c>
      <c r="IV7" t="n">
        <v>1.696</v>
      </c>
      <c r="IW7" t="n">
        <v>0.87</v>
      </c>
      <c r="IX7" t="n">
        <v>0.13</v>
      </c>
      <c r="IY7" t="n">
        <v>3.826</v>
      </c>
      <c r="IZ7" t="n">
        <v>-0.478</v>
      </c>
    </row>
    <row r="8">
      <c r="A8" t="inlineStr">
        <is>
          <t>Greater Western Sydney</t>
        </is>
      </c>
      <c r="B8" t="inlineStr">
        <is>
          <t>GWS</t>
        </is>
      </c>
      <c r="C8" t="n">
        <v>25</v>
      </c>
      <c r="D8" t="n">
        <v>34</v>
      </c>
      <c r="E8" t="n">
        <v>25.316</v>
      </c>
      <c r="F8" t="n">
        <v>96.303</v>
      </c>
      <c r="G8" t="n">
        <v>219.944</v>
      </c>
      <c r="H8" t="n">
        <v>1715.44</v>
      </c>
      <c r="I8" t="n">
        <v>1573</v>
      </c>
      <c r="J8" t="n">
        <v>16.36</v>
      </c>
      <c r="K8" t="n">
        <v>49.283</v>
      </c>
      <c r="L8" t="n">
        <v>208.88</v>
      </c>
      <c r="M8" t="n">
        <v>163.64</v>
      </c>
      <c r="N8" t="n">
        <v>372.52</v>
      </c>
      <c r="O8" t="n">
        <v>72.941</v>
      </c>
      <c r="P8" t="n">
        <v>67.273</v>
      </c>
      <c r="Q8" t="n">
        <v>80.176</v>
      </c>
      <c r="R8" t="n">
        <v>56.072</v>
      </c>
      <c r="S8" t="n">
        <v>6.508</v>
      </c>
      <c r="T8" t="n">
        <v>50.6</v>
      </c>
      <c r="U8" t="n">
        <v>42.12</v>
      </c>
      <c r="V8" t="n">
        <v>77.086</v>
      </c>
      <c r="W8" t="n">
        <v>5981.72</v>
      </c>
      <c r="X8" t="n">
        <v>16.057</v>
      </c>
      <c r="Y8" t="n">
        <v>59.24</v>
      </c>
      <c r="Z8" t="n">
        <v>6.288</v>
      </c>
      <c r="AA8" t="n">
        <v>67.04000000000001</v>
      </c>
      <c r="AB8" t="n">
        <v>5.557</v>
      </c>
      <c r="AC8" t="n">
        <v>-0.957</v>
      </c>
      <c r="AD8" t="n">
        <v>-0.08699999999999999</v>
      </c>
      <c r="AE8" t="n">
        <v>136.4</v>
      </c>
      <c r="AF8" t="n">
        <v>226.68</v>
      </c>
      <c r="AG8" t="n">
        <v>363.08</v>
      </c>
      <c r="AH8" t="n">
        <v>37.567</v>
      </c>
      <c r="AI8" t="n">
        <v>67.59999999999999</v>
      </c>
      <c r="AJ8" t="n">
        <v>92.95999999999999</v>
      </c>
      <c r="AK8" t="n">
        <v>14.96</v>
      </c>
      <c r="AL8" t="n">
        <v>25.68</v>
      </c>
      <c r="AM8" t="n">
        <v>67.23999999999999</v>
      </c>
      <c r="AN8" t="n">
        <v>85.44</v>
      </c>
      <c r="AO8" t="n">
        <v>61.44</v>
      </c>
      <c r="AP8" t="n">
        <v>8.960000000000001</v>
      </c>
      <c r="AQ8" t="n">
        <v>22.68</v>
      </c>
      <c r="AR8" t="n">
        <v>126.88</v>
      </c>
      <c r="AS8" t="n">
        <v>11.76</v>
      </c>
      <c r="AT8" t="n">
        <v>25.68</v>
      </c>
      <c r="AU8" t="n">
        <v>37.44</v>
      </c>
      <c r="AV8" t="n">
        <v>42.4</v>
      </c>
      <c r="AW8" t="n">
        <v>73.774</v>
      </c>
      <c r="AX8" t="n">
        <v>88.28</v>
      </c>
      <c r="AY8" t="n">
        <v>10.6</v>
      </c>
      <c r="AZ8" t="n">
        <v>13.12</v>
      </c>
      <c r="BA8" t="n">
        <v>25.929</v>
      </c>
      <c r="BB8" t="n">
        <v>13.56</v>
      </c>
      <c r="BC8" t="n">
        <v>6.16</v>
      </c>
      <c r="BD8" t="n">
        <v>26</v>
      </c>
      <c r="BE8" t="n">
        <v>7.52</v>
      </c>
      <c r="BF8" t="n">
        <v>13.2</v>
      </c>
      <c r="BG8" t="n">
        <v>9.44</v>
      </c>
      <c r="BH8" t="n">
        <v>2</v>
      </c>
      <c r="BI8" t="n">
        <v>24.32</v>
      </c>
      <c r="BJ8" t="n">
        <v>9.48</v>
      </c>
      <c r="BK8" t="n">
        <v>54.276</v>
      </c>
      <c r="BL8" t="n">
        <v>26.087</v>
      </c>
      <c r="BM8" t="n">
        <v>44.743</v>
      </c>
      <c r="BN8" t="n">
        <v>48.063</v>
      </c>
      <c r="BO8" t="n">
        <v>22.52</v>
      </c>
      <c r="BP8" t="n">
        <v>10.44</v>
      </c>
      <c r="BQ8" t="n">
        <v>27.203</v>
      </c>
      <c r="BR8" t="n">
        <v>80.45999999999999</v>
      </c>
      <c r="BS8" t="n">
        <v>6.18</v>
      </c>
      <c r="BT8" t="n">
        <v>3.308</v>
      </c>
      <c r="BU8" t="n">
        <v>0.254</v>
      </c>
      <c r="BV8" t="n">
        <v>3.588</v>
      </c>
      <c r="BW8" t="n">
        <v>0.176</v>
      </c>
      <c r="BX8" t="n">
        <v>2.91</v>
      </c>
      <c r="BY8" t="n">
        <v>0.365</v>
      </c>
      <c r="BZ8" t="n">
        <v>4.96</v>
      </c>
      <c r="CA8" t="n">
        <v>35.52</v>
      </c>
      <c r="CB8" t="n">
        <v>48.16</v>
      </c>
      <c r="CC8" t="n">
        <v>33.76</v>
      </c>
      <c r="CD8" t="n">
        <v>42.68</v>
      </c>
      <c r="CE8" t="n">
        <v>12.2</v>
      </c>
      <c r="CF8" t="n">
        <v>19.658</v>
      </c>
      <c r="CG8" t="n">
        <v>20.709</v>
      </c>
      <c r="CH8" t="n">
        <v>9.234999999999999</v>
      </c>
      <c r="CI8" t="n">
        <v>29.314</v>
      </c>
      <c r="CJ8" t="n">
        <v>11.95</v>
      </c>
      <c r="CK8" t="n">
        <v>13.28</v>
      </c>
      <c r="CL8" t="n">
        <v>27.108</v>
      </c>
      <c r="CM8" t="n">
        <v>66.95999999999999</v>
      </c>
      <c r="CN8" t="n">
        <v>11.72</v>
      </c>
      <c r="CO8" t="n">
        <v>297.92</v>
      </c>
      <c r="CP8" t="n">
        <v>145.48</v>
      </c>
      <c r="CQ8" t="n">
        <v>31.36</v>
      </c>
      <c r="CR8" t="n">
        <v>98.2</v>
      </c>
      <c r="CS8" t="n">
        <v>37.96</v>
      </c>
      <c r="CT8" t="n">
        <v>38.656</v>
      </c>
      <c r="CU8" t="n">
        <v>9.84</v>
      </c>
      <c r="CV8" t="n">
        <v>25.922</v>
      </c>
      <c r="CW8" t="n">
        <v>4.16</v>
      </c>
      <c r="CX8" t="n">
        <v>16.28</v>
      </c>
      <c r="CY8" t="n">
        <v>18.2</v>
      </c>
      <c r="CZ8" t="n">
        <v>-1.92</v>
      </c>
      <c r="DA8" t="n">
        <v>11.92</v>
      </c>
      <c r="DB8" t="n">
        <v>93.289</v>
      </c>
      <c r="DC8" t="n">
        <v>7</v>
      </c>
      <c r="DD8" t="n">
        <v>45.24</v>
      </c>
      <c r="DE8" t="n">
        <v>70.52</v>
      </c>
      <c r="DF8" t="n">
        <v>208.188</v>
      </c>
      <c r="DG8" t="n">
        <v>1584.88</v>
      </c>
      <c r="DH8" t="n">
        <v>1449.8</v>
      </c>
      <c r="DI8" t="n">
        <v>13.64</v>
      </c>
      <c r="DJ8" t="n">
        <v>203.44</v>
      </c>
      <c r="DK8" t="n">
        <v>141.36</v>
      </c>
      <c r="DL8" t="n">
        <v>344.8</v>
      </c>
      <c r="DM8" t="n">
        <v>70.53400000000001</v>
      </c>
      <c r="DN8" t="n">
        <v>64.41200000000001</v>
      </c>
      <c r="DO8" t="n">
        <v>79.34399999999999</v>
      </c>
      <c r="DP8" t="n">
        <v>5.149</v>
      </c>
      <c r="DQ8" t="n">
        <v>54.64</v>
      </c>
      <c r="DR8" t="n">
        <v>36.84</v>
      </c>
      <c r="DS8" t="n">
        <v>72.806</v>
      </c>
      <c r="DT8" t="n">
        <v>5858.48</v>
      </c>
      <c r="DU8" t="n">
        <v>16.991</v>
      </c>
      <c r="DV8" t="n">
        <v>52.88</v>
      </c>
      <c r="DW8" t="n">
        <v>6.52</v>
      </c>
      <c r="DX8" t="n">
        <v>67.52</v>
      </c>
      <c r="DY8" t="n">
        <v>5.107</v>
      </c>
      <c r="DZ8" t="n">
        <v>-1.108</v>
      </c>
      <c r="EA8" t="n">
        <v>-0.905</v>
      </c>
      <c r="EB8" t="n">
        <v>135.32</v>
      </c>
      <c r="EC8" t="n">
        <v>201.44</v>
      </c>
      <c r="ED8" t="n">
        <v>336.76</v>
      </c>
      <c r="EE8" t="n">
        <v>40.183</v>
      </c>
      <c r="EF8" t="n">
        <v>67.23999999999999</v>
      </c>
      <c r="EG8" t="n">
        <v>95.08</v>
      </c>
      <c r="EH8" t="n">
        <v>16.36</v>
      </c>
      <c r="EI8" t="n">
        <v>25.16</v>
      </c>
      <c r="EJ8" t="n">
        <v>69.95999999999999</v>
      </c>
      <c r="EK8" t="n">
        <v>81.31999999999999</v>
      </c>
      <c r="EL8" t="n">
        <v>60.4</v>
      </c>
      <c r="EM8" t="n">
        <v>8.359999999999999</v>
      </c>
      <c r="EN8" t="n">
        <v>21.08</v>
      </c>
      <c r="EO8" t="n">
        <v>109.04</v>
      </c>
      <c r="EP8" t="n">
        <v>13</v>
      </c>
      <c r="EQ8" t="n">
        <v>27.56</v>
      </c>
      <c r="ER8" t="n">
        <v>40.56</v>
      </c>
      <c r="ES8" t="n">
        <v>42.88</v>
      </c>
      <c r="ET8" t="n">
        <v>76.679</v>
      </c>
      <c r="EU8" t="n">
        <v>80.64</v>
      </c>
      <c r="EV8" t="n">
        <v>7.52</v>
      </c>
      <c r="EW8" t="n">
        <v>10.2</v>
      </c>
      <c r="EX8" t="n">
        <v>18.668</v>
      </c>
      <c r="EY8" t="n">
        <v>14.48</v>
      </c>
      <c r="EZ8" t="n">
        <v>6.4</v>
      </c>
      <c r="FA8" t="n">
        <v>11.68</v>
      </c>
      <c r="FB8" t="n">
        <v>12.2</v>
      </c>
      <c r="FC8" t="n">
        <v>2.56</v>
      </c>
      <c r="FD8" t="n">
        <v>25.52</v>
      </c>
      <c r="FE8" t="n">
        <v>7.56</v>
      </c>
      <c r="FF8" t="n">
        <v>45.768</v>
      </c>
      <c r="FG8" t="n">
        <v>21.376</v>
      </c>
      <c r="FH8" t="n">
        <v>43.704</v>
      </c>
      <c r="FI8" t="n">
        <v>46.706</v>
      </c>
      <c r="FJ8" t="n">
        <v>23.68</v>
      </c>
      <c r="FK8" t="n">
        <v>81.89100000000001</v>
      </c>
      <c r="FL8" t="n">
        <v>-2.171</v>
      </c>
      <c r="FM8" t="n">
        <v>3.209</v>
      </c>
      <c r="FN8" t="n">
        <v>-0.08500000000000001</v>
      </c>
      <c r="FO8" t="n">
        <v>3.545</v>
      </c>
      <c r="FP8" t="n">
        <v>-0.276</v>
      </c>
      <c r="FQ8" t="n">
        <v>2.854</v>
      </c>
      <c r="FR8" t="n">
        <v>0.117</v>
      </c>
      <c r="FS8" t="n">
        <v>3.64</v>
      </c>
      <c r="FT8" t="n">
        <v>32.6</v>
      </c>
      <c r="FU8" t="n">
        <v>46.04</v>
      </c>
      <c r="FV8" t="n">
        <v>29.64</v>
      </c>
      <c r="FW8" t="n">
        <v>40.68</v>
      </c>
      <c r="FX8" t="n">
        <v>11.96</v>
      </c>
      <c r="FY8" t="n">
        <v>20.537</v>
      </c>
      <c r="FZ8" t="n">
        <v>21.816</v>
      </c>
      <c r="GA8" t="n">
        <v>8.455</v>
      </c>
      <c r="GB8" t="n">
        <v>30.695</v>
      </c>
      <c r="GC8" t="n">
        <v>11.804</v>
      </c>
      <c r="GD8" t="n">
        <v>57.24</v>
      </c>
      <c r="GE8" t="n">
        <v>10.96</v>
      </c>
      <c r="GF8" t="n">
        <v>312</v>
      </c>
      <c r="GG8" t="n">
        <v>136.88</v>
      </c>
      <c r="GH8" t="n">
        <v>30.44</v>
      </c>
      <c r="GI8" t="n">
        <v>36.8</v>
      </c>
      <c r="GJ8" t="n">
        <v>37.49</v>
      </c>
      <c r="GK8" t="n">
        <v>9.199999999999999</v>
      </c>
      <c r="GL8" t="n">
        <v>25</v>
      </c>
      <c r="GM8" t="n">
        <v>3.84</v>
      </c>
      <c r="GN8" t="n">
        <v>9.4</v>
      </c>
      <c r="GO8" t="n">
        <v>93.191</v>
      </c>
      <c r="GP8" t="n">
        <v>4.36</v>
      </c>
      <c r="GQ8" t="n">
        <v>43.68</v>
      </c>
      <c r="GR8" t="n">
        <v>71</v>
      </c>
      <c r="GS8" t="n">
        <v>11.756</v>
      </c>
      <c r="GT8" t="n">
        <v>130.56</v>
      </c>
      <c r="GU8" t="n">
        <v>123.2</v>
      </c>
      <c r="GV8" t="n">
        <v>2.72</v>
      </c>
      <c r="GW8" t="n">
        <v>5.44</v>
      </c>
      <c r="GX8" t="n">
        <v>22.28</v>
      </c>
      <c r="GY8" t="n">
        <v>27.72</v>
      </c>
      <c r="GZ8" t="n">
        <v>-4.04</v>
      </c>
      <c r="HA8" t="n">
        <v>123.24</v>
      </c>
      <c r="HB8" t="n">
        <v>6.36</v>
      </c>
      <c r="HC8" t="n">
        <v>-0.48</v>
      </c>
      <c r="HD8" t="n">
        <v>0.152</v>
      </c>
      <c r="HE8" t="n">
        <v>0.8179999999999999</v>
      </c>
      <c r="HF8" t="n">
        <v>1.08</v>
      </c>
      <c r="HG8" t="n">
        <v>25.24</v>
      </c>
      <c r="HH8" t="n">
        <v>26.32</v>
      </c>
      <c r="HI8" t="n">
        <v>0.36</v>
      </c>
      <c r="HJ8" t="n">
        <v>-2.12</v>
      </c>
      <c r="HK8" t="n">
        <v>-1.4</v>
      </c>
      <c r="HL8" t="n">
        <v>0.52</v>
      </c>
      <c r="HM8" t="n">
        <v>-2.72</v>
      </c>
      <c r="HN8" t="n">
        <v>4.12</v>
      </c>
      <c r="HO8" t="n">
        <v>1.04</v>
      </c>
      <c r="HP8" t="n">
        <v>0.6</v>
      </c>
      <c r="HQ8" t="n">
        <v>1.6</v>
      </c>
      <c r="HR8" t="n">
        <v>17.84</v>
      </c>
      <c r="HS8" t="n">
        <v>-1.24</v>
      </c>
      <c r="HT8" t="n">
        <v>-1.88</v>
      </c>
      <c r="HU8" t="n">
        <v>-3.12</v>
      </c>
      <c r="HV8" t="n">
        <v>-0.48</v>
      </c>
      <c r="HW8" t="n">
        <v>7.64</v>
      </c>
      <c r="HX8" t="n">
        <v>3.08</v>
      </c>
      <c r="HY8" t="n">
        <v>2.92</v>
      </c>
      <c r="HZ8" t="n">
        <v>-0.92</v>
      </c>
      <c r="IA8" t="n">
        <v>-0.24</v>
      </c>
      <c r="IB8" t="n">
        <v>1.52</v>
      </c>
      <c r="IC8" t="n">
        <v>-2.76</v>
      </c>
      <c r="ID8" t="n">
        <v>-1.2</v>
      </c>
      <c r="IE8" t="n">
        <v>1.92</v>
      </c>
      <c r="IF8" t="n">
        <v>-1.16</v>
      </c>
      <c r="IG8" t="n">
        <v>-1.431</v>
      </c>
      <c r="IH8" t="n">
        <v>8.351000000000001</v>
      </c>
      <c r="II8" t="n">
        <v>0.1</v>
      </c>
      <c r="IJ8" t="n">
        <v>1.32</v>
      </c>
      <c r="IK8" t="n">
        <v>2.92</v>
      </c>
      <c r="IL8" t="n">
        <v>2.12</v>
      </c>
      <c r="IM8" t="n">
        <v>4.12</v>
      </c>
      <c r="IN8" t="n">
        <v>2</v>
      </c>
      <c r="IO8" t="n">
        <v>0.24</v>
      </c>
      <c r="IP8" t="n">
        <v>9.720000000000001</v>
      </c>
      <c r="IQ8" t="n">
        <v>0.76</v>
      </c>
      <c r="IR8" t="n">
        <v>-14.08</v>
      </c>
      <c r="IS8" t="n">
        <v>8.6</v>
      </c>
      <c r="IT8" t="n">
        <v>0.92</v>
      </c>
      <c r="IU8" t="n">
        <v>1.16</v>
      </c>
      <c r="IV8" t="n">
        <v>0.64</v>
      </c>
      <c r="IW8" t="n">
        <v>0.32</v>
      </c>
      <c r="IX8" t="n">
        <v>2.64</v>
      </c>
      <c r="IY8" t="n">
        <v>1.56</v>
      </c>
      <c r="IZ8" t="n">
        <v>-0.48</v>
      </c>
    </row>
    <row r="9">
      <c r="A9" t="inlineStr">
        <is>
          <t>Collingwood</t>
        </is>
      </c>
      <c r="B9" t="inlineStr">
        <is>
          <t>Coll</t>
        </is>
      </c>
      <c r="C9" t="n">
        <v>23</v>
      </c>
      <c r="D9" t="n">
        <v>37</v>
      </c>
      <c r="E9" t="n">
        <v>27.508</v>
      </c>
      <c r="F9" t="n">
        <v>128.459</v>
      </c>
      <c r="G9" t="n">
        <v>206.322</v>
      </c>
      <c r="H9" t="n">
        <v>1612.739</v>
      </c>
      <c r="I9" t="n">
        <v>1477.391</v>
      </c>
      <c r="J9" t="n">
        <v>14.609</v>
      </c>
      <c r="K9" t="n">
        <v>51.106</v>
      </c>
      <c r="L9" t="n">
        <v>203.652</v>
      </c>
      <c r="M9" t="n">
        <v>139.087</v>
      </c>
      <c r="N9" t="n">
        <v>342.739</v>
      </c>
      <c r="O9" t="n">
        <v>69.80800000000001</v>
      </c>
      <c r="P9" t="n">
        <v>63.706</v>
      </c>
      <c r="Q9" t="n">
        <v>78.74299999999999</v>
      </c>
      <c r="R9" t="n">
        <v>59.419</v>
      </c>
      <c r="S9" t="n">
        <v>6.276</v>
      </c>
      <c r="T9" t="n">
        <v>49.783</v>
      </c>
      <c r="U9" t="n">
        <v>39.348</v>
      </c>
      <c r="V9" t="n">
        <v>75.166</v>
      </c>
      <c r="W9" t="n">
        <v>5780.739</v>
      </c>
      <c r="X9" t="n">
        <v>16.866</v>
      </c>
      <c r="Y9" t="n">
        <v>61.696</v>
      </c>
      <c r="Z9" t="n">
        <v>5.555</v>
      </c>
      <c r="AA9" t="n">
        <v>64.565</v>
      </c>
      <c r="AB9" t="n">
        <v>5.308</v>
      </c>
      <c r="AC9" t="n">
        <v>-0.27</v>
      </c>
      <c r="AD9" t="n">
        <v>-0.124</v>
      </c>
      <c r="AE9" t="n">
        <v>130.478</v>
      </c>
      <c r="AF9" t="n">
        <v>200</v>
      </c>
      <c r="AG9" t="n">
        <v>330.478</v>
      </c>
      <c r="AH9" t="n">
        <v>39.482</v>
      </c>
      <c r="AI9" t="n">
        <v>66.696</v>
      </c>
      <c r="AJ9" t="n">
        <v>86.47799999999999</v>
      </c>
      <c r="AK9" t="n">
        <v>15.957</v>
      </c>
      <c r="AL9" t="n">
        <v>18.826</v>
      </c>
      <c r="AM9" t="n">
        <v>67.652</v>
      </c>
      <c r="AN9" t="n">
        <v>80.82599999999999</v>
      </c>
      <c r="AO9" t="n">
        <v>57.261</v>
      </c>
      <c r="AP9" t="n">
        <v>10.391</v>
      </c>
      <c r="AQ9" t="n">
        <v>23.435</v>
      </c>
      <c r="AR9" t="n">
        <v>105.435</v>
      </c>
      <c r="AS9" t="n">
        <v>12.565</v>
      </c>
      <c r="AT9" t="n">
        <v>24.783</v>
      </c>
      <c r="AU9" t="n">
        <v>37.348</v>
      </c>
      <c r="AV9" t="n">
        <v>40.696</v>
      </c>
      <c r="AW9" t="n">
        <v>74.57299999999999</v>
      </c>
      <c r="AX9" t="n">
        <v>81.17400000000001</v>
      </c>
      <c r="AY9" t="n">
        <v>9.217000000000001</v>
      </c>
      <c r="AZ9" t="n">
        <v>11.739</v>
      </c>
      <c r="BA9" t="n">
        <v>23.581</v>
      </c>
      <c r="BB9" t="n">
        <v>14.957</v>
      </c>
      <c r="BC9" t="n">
        <v>5.957</v>
      </c>
      <c r="BD9" t="n">
        <v>33</v>
      </c>
      <c r="BE9" t="n">
        <v>8.565</v>
      </c>
      <c r="BF9" t="n">
        <v>12.522</v>
      </c>
      <c r="BG9" t="n">
        <v>11.435</v>
      </c>
      <c r="BH9" t="n">
        <v>2.348</v>
      </c>
      <c r="BI9" t="n">
        <v>26.609</v>
      </c>
      <c r="BJ9" t="n">
        <v>8.913</v>
      </c>
      <c r="BK9" t="n">
        <v>47.059</v>
      </c>
      <c r="BL9" t="n">
        <v>25.153</v>
      </c>
      <c r="BM9" t="n">
        <v>48.122</v>
      </c>
      <c r="BN9" t="n">
        <v>53.45</v>
      </c>
      <c r="BO9" t="n">
        <v>23.826</v>
      </c>
      <c r="BP9" t="n">
        <v>8.522</v>
      </c>
      <c r="BQ9" t="n">
        <v>25</v>
      </c>
      <c r="BR9" t="n">
        <v>83.43600000000001</v>
      </c>
      <c r="BS9" t="n">
        <v>0.782</v>
      </c>
      <c r="BT9" t="n">
        <v>3.136</v>
      </c>
      <c r="BU9" t="n">
        <v>0.029</v>
      </c>
      <c r="BV9" t="n">
        <v>3.421</v>
      </c>
      <c r="BW9" t="n">
        <v>-0.026</v>
      </c>
      <c r="BX9" t="n">
        <v>2.845</v>
      </c>
      <c r="BY9" t="n">
        <v>0.08599999999999999</v>
      </c>
      <c r="BZ9" t="n">
        <v>4.304</v>
      </c>
      <c r="CA9" t="n">
        <v>34.913</v>
      </c>
      <c r="CB9" t="n">
        <v>47.348</v>
      </c>
      <c r="CC9" t="n">
        <v>29.435</v>
      </c>
      <c r="CD9" t="n">
        <v>46.478</v>
      </c>
      <c r="CE9" t="n">
        <v>10.652</v>
      </c>
      <c r="CF9" t="n">
        <v>21.122</v>
      </c>
      <c r="CG9" t="n">
        <v>20.35</v>
      </c>
      <c r="CH9" t="n">
        <v>8.534000000000001</v>
      </c>
      <c r="CI9" t="n">
        <v>29.273</v>
      </c>
      <c r="CJ9" t="n">
        <v>11.232</v>
      </c>
      <c r="CK9" t="n">
        <v>8.869999999999999</v>
      </c>
      <c r="CL9" t="n">
        <v>24.02</v>
      </c>
      <c r="CM9" t="n">
        <v>64</v>
      </c>
      <c r="CN9" t="n">
        <v>11.13</v>
      </c>
      <c r="CO9" t="n">
        <v>306</v>
      </c>
      <c r="CP9" t="n">
        <v>145.478</v>
      </c>
      <c r="CQ9" t="n">
        <v>33.609</v>
      </c>
      <c r="CR9" t="n">
        <v>94.82599999999999</v>
      </c>
      <c r="CS9" t="n">
        <v>41.565</v>
      </c>
      <c r="CT9" t="n">
        <v>43.833</v>
      </c>
      <c r="CU9" t="n">
        <v>11.478</v>
      </c>
      <c r="CV9" t="n">
        <v>27.615</v>
      </c>
      <c r="CW9" t="n">
        <v>2.217</v>
      </c>
      <c r="CX9" t="n">
        <v>18.783</v>
      </c>
      <c r="CY9" t="n">
        <v>18.609</v>
      </c>
      <c r="CZ9" t="n">
        <v>0.174</v>
      </c>
      <c r="DA9" t="n">
        <v>10.435</v>
      </c>
      <c r="DB9" t="n">
        <v>91.667</v>
      </c>
      <c r="DC9" t="n">
        <v>4.304</v>
      </c>
      <c r="DD9" t="n">
        <v>46.435</v>
      </c>
      <c r="DE9" t="n">
        <v>68.217</v>
      </c>
      <c r="DF9" t="n">
        <v>207.804</v>
      </c>
      <c r="DG9" t="n">
        <v>1687.261</v>
      </c>
      <c r="DH9" t="n">
        <v>1549.783</v>
      </c>
      <c r="DI9" t="n">
        <v>15.391</v>
      </c>
      <c r="DJ9" t="n">
        <v>220.391</v>
      </c>
      <c r="DK9" t="n">
        <v>148.826</v>
      </c>
      <c r="DL9" t="n">
        <v>369.217</v>
      </c>
      <c r="DM9" t="n">
        <v>73.422</v>
      </c>
      <c r="DN9" t="n">
        <v>67.982</v>
      </c>
      <c r="DO9" t="n">
        <v>81.47799999999999</v>
      </c>
      <c r="DP9" t="n">
        <v>5.769</v>
      </c>
      <c r="DQ9" t="n">
        <v>52.348</v>
      </c>
      <c r="DR9" t="n">
        <v>36.652</v>
      </c>
      <c r="DS9" t="n">
        <v>73.624</v>
      </c>
      <c r="DT9" t="n">
        <v>5857</v>
      </c>
      <c r="DU9" t="n">
        <v>15.863</v>
      </c>
      <c r="DV9" t="n">
        <v>58.217</v>
      </c>
      <c r="DW9" t="n">
        <v>6.342</v>
      </c>
      <c r="DX9" t="n">
        <v>66.565</v>
      </c>
      <c r="DY9" t="n">
        <v>5.547</v>
      </c>
      <c r="DZ9" t="n">
        <v>0.171</v>
      </c>
      <c r="EA9" t="n">
        <v>0.673</v>
      </c>
      <c r="EB9" t="n">
        <v>131.913</v>
      </c>
      <c r="EC9" t="n">
        <v>227.435</v>
      </c>
      <c r="ED9" t="n">
        <v>359.348</v>
      </c>
      <c r="EE9" t="n">
        <v>36.709</v>
      </c>
      <c r="EF9" t="n">
        <v>64.82599999999999</v>
      </c>
      <c r="EG9" t="n">
        <v>90.913</v>
      </c>
      <c r="EH9" t="n">
        <v>15.522</v>
      </c>
      <c r="EI9" t="n">
        <v>21.522</v>
      </c>
      <c r="EJ9" t="n">
        <v>69.435</v>
      </c>
      <c r="EK9" t="n">
        <v>80.696</v>
      </c>
      <c r="EL9" t="n">
        <v>58.348</v>
      </c>
      <c r="EM9" t="n">
        <v>8.782999999999999</v>
      </c>
      <c r="EN9" t="n">
        <v>23.217</v>
      </c>
      <c r="EO9" t="n">
        <v>117.13</v>
      </c>
      <c r="EP9" t="n">
        <v>12</v>
      </c>
      <c r="EQ9" t="n">
        <v>25.435</v>
      </c>
      <c r="ER9" t="n">
        <v>37.435</v>
      </c>
      <c r="ES9" t="n">
        <v>42.783</v>
      </c>
      <c r="ET9" t="n">
        <v>72.256</v>
      </c>
      <c r="EU9" t="n">
        <v>97.82599999999999</v>
      </c>
      <c r="EV9" t="n">
        <v>9.042999999999999</v>
      </c>
      <c r="EW9" t="n">
        <v>10.87</v>
      </c>
      <c r="EX9" t="n">
        <v>20.764</v>
      </c>
      <c r="EY9" t="n">
        <v>16.174</v>
      </c>
      <c r="EZ9" t="n">
        <v>5.174</v>
      </c>
      <c r="FA9" t="n">
        <v>12.304</v>
      </c>
      <c r="FB9" t="n">
        <v>10.652</v>
      </c>
      <c r="FC9" t="n">
        <v>2.174</v>
      </c>
      <c r="FD9" t="n">
        <v>24.783</v>
      </c>
      <c r="FE9" t="n">
        <v>8.478</v>
      </c>
      <c r="FF9" t="n">
        <v>49.649</v>
      </c>
      <c r="FG9" t="n">
        <v>23.505</v>
      </c>
      <c r="FH9" t="n">
        <v>43.854</v>
      </c>
      <c r="FI9" t="n">
        <v>47.342</v>
      </c>
      <c r="FJ9" t="n">
        <v>22.696</v>
      </c>
      <c r="FK9" t="n">
        <v>78.73</v>
      </c>
      <c r="FL9" t="n">
        <v>3.574</v>
      </c>
      <c r="FM9" t="n">
        <v>3.177</v>
      </c>
      <c r="FN9" t="n">
        <v>0.144</v>
      </c>
      <c r="FO9" t="n">
        <v>3.509</v>
      </c>
      <c r="FP9" t="n">
        <v>0.133</v>
      </c>
      <c r="FQ9" t="n">
        <v>2.811</v>
      </c>
      <c r="FR9" t="n">
        <v>0.156</v>
      </c>
      <c r="FS9" t="n">
        <v>4.913</v>
      </c>
      <c r="FT9" t="n">
        <v>32.826</v>
      </c>
      <c r="FU9" t="n">
        <v>46.739</v>
      </c>
      <c r="FV9" t="n">
        <v>32.783</v>
      </c>
      <c r="FW9" t="n">
        <v>41.478</v>
      </c>
      <c r="FX9" t="n">
        <v>10.217</v>
      </c>
      <c r="FY9" t="n">
        <v>20.32</v>
      </c>
      <c r="FZ9" t="n">
        <v>21.689</v>
      </c>
      <c r="GA9" t="n">
        <v>9.714</v>
      </c>
      <c r="GB9" t="n">
        <v>30.784</v>
      </c>
      <c r="GC9" t="n">
        <v>12.696</v>
      </c>
      <c r="GD9" t="n">
        <v>54.609</v>
      </c>
      <c r="GE9" t="n">
        <v>9.042999999999999</v>
      </c>
      <c r="GF9" t="n">
        <v>284</v>
      </c>
      <c r="GG9" t="n">
        <v>137.652</v>
      </c>
      <c r="GH9" t="n">
        <v>30.391</v>
      </c>
      <c r="GI9" t="n">
        <v>34.348</v>
      </c>
      <c r="GJ9" t="n">
        <v>36.239</v>
      </c>
      <c r="GK9" t="n">
        <v>9.696</v>
      </c>
      <c r="GL9" t="n">
        <v>28.228</v>
      </c>
      <c r="GM9" t="n">
        <v>2.957</v>
      </c>
      <c r="GN9" t="n">
        <v>11.391</v>
      </c>
      <c r="GO9" t="n">
        <v>88.55</v>
      </c>
      <c r="GP9" t="n">
        <v>4.304</v>
      </c>
      <c r="GQ9" t="n">
        <v>43.609</v>
      </c>
      <c r="GR9" t="n">
        <v>69.435</v>
      </c>
      <c r="GS9" t="n">
        <v>-1.483</v>
      </c>
      <c r="GT9" t="n">
        <v>-74.52200000000001</v>
      </c>
      <c r="GU9" t="n">
        <v>-72.39100000000001</v>
      </c>
      <c r="GV9" t="n">
        <v>-0.783</v>
      </c>
      <c r="GW9" t="n">
        <v>-16.739</v>
      </c>
      <c r="GX9" t="n">
        <v>-9.739000000000001</v>
      </c>
      <c r="GY9" t="n">
        <v>-26.478</v>
      </c>
      <c r="GZ9" t="n">
        <v>-2.565</v>
      </c>
      <c r="HA9" t="n">
        <v>-76.261</v>
      </c>
      <c r="HB9" t="n">
        <v>3.478</v>
      </c>
      <c r="HC9" t="n">
        <v>-2</v>
      </c>
      <c r="HD9" t="n">
        <v>-0.44</v>
      </c>
      <c r="HE9" t="n">
        <v>-0.796</v>
      </c>
      <c r="HF9" t="n">
        <v>-1.435</v>
      </c>
      <c r="HG9" t="n">
        <v>-27.435</v>
      </c>
      <c r="HH9" t="n">
        <v>-28.87</v>
      </c>
      <c r="HI9" t="n">
        <v>1.87</v>
      </c>
      <c r="HJ9" t="n">
        <v>-4.435</v>
      </c>
      <c r="HK9" t="n">
        <v>0.435</v>
      </c>
      <c r="HL9" t="n">
        <v>-2.696</v>
      </c>
      <c r="HM9" t="n">
        <v>-1.783</v>
      </c>
      <c r="HN9" t="n">
        <v>0.13</v>
      </c>
      <c r="HO9" t="n">
        <v>-1.087</v>
      </c>
      <c r="HP9" t="n">
        <v>1.609</v>
      </c>
      <c r="HQ9" t="n">
        <v>0.217</v>
      </c>
      <c r="HR9" t="n">
        <v>-11.696</v>
      </c>
      <c r="HS9" t="n">
        <v>0.5649999999999999</v>
      </c>
      <c r="HT9" t="n">
        <v>-0.652</v>
      </c>
      <c r="HU9" t="n">
        <v>-0.08699999999999999</v>
      </c>
      <c r="HV9" t="n">
        <v>-2.087</v>
      </c>
      <c r="HW9" t="n">
        <v>-16.652</v>
      </c>
      <c r="HX9" t="n">
        <v>0.174</v>
      </c>
      <c r="HY9" t="n">
        <v>0.87</v>
      </c>
      <c r="HZ9" t="n">
        <v>-1.217</v>
      </c>
      <c r="IA9" t="n">
        <v>0.783</v>
      </c>
      <c r="IB9" t="n">
        <v>0.217</v>
      </c>
      <c r="IC9" t="n">
        <v>0.783</v>
      </c>
      <c r="ID9" t="n">
        <v>1.826</v>
      </c>
      <c r="IE9" t="n">
        <v>0.435</v>
      </c>
      <c r="IF9" t="n">
        <v>1.13</v>
      </c>
      <c r="IG9" t="n">
        <v>4.705</v>
      </c>
      <c r="IH9" t="n">
        <v>-2.792</v>
      </c>
      <c r="II9" t="n">
        <v>-0.041</v>
      </c>
      <c r="IJ9" t="n">
        <v>-0.609</v>
      </c>
      <c r="IK9" t="n">
        <v>2.087</v>
      </c>
      <c r="IL9" t="n">
        <v>0.609</v>
      </c>
      <c r="IM9" t="n">
        <v>-3.348</v>
      </c>
      <c r="IN9" t="n">
        <v>5</v>
      </c>
      <c r="IO9" t="n">
        <v>0.435</v>
      </c>
      <c r="IP9" t="n">
        <v>9.391</v>
      </c>
      <c r="IQ9" t="n">
        <v>2.087</v>
      </c>
      <c r="IR9" t="n">
        <v>22</v>
      </c>
      <c r="IS9" t="n">
        <v>7.826</v>
      </c>
      <c r="IT9" t="n">
        <v>3.217</v>
      </c>
      <c r="IU9" t="n">
        <v>7.217</v>
      </c>
      <c r="IV9" t="n">
        <v>1.783</v>
      </c>
      <c r="IW9" t="n">
        <v>-0.739</v>
      </c>
      <c r="IX9" t="n">
        <v>0</v>
      </c>
      <c r="IY9" t="n">
        <v>2.826</v>
      </c>
      <c r="IZ9" t="n">
        <v>-1.217</v>
      </c>
    </row>
    <row r="10">
      <c r="A10" t="inlineStr">
        <is>
          <t>Essendon</t>
        </is>
      </c>
      <c r="B10" t="inlineStr">
        <is>
          <t>Ess</t>
        </is>
      </c>
      <c r="C10" t="n">
        <v>23</v>
      </c>
      <c r="D10" t="n">
        <v>35</v>
      </c>
      <c r="E10" t="n">
        <v>25.944</v>
      </c>
      <c r="F10" t="n">
        <v>109.792</v>
      </c>
      <c r="G10" t="n">
        <v>211.03</v>
      </c>
      <c r="H10" t="n">
        <v>1694.522</v>
      </c>
      <c r="I10" t="n">
        <v>1609.087</v>
      </c>
      <c r="J10" t="n">
        <v>14.087</v>
      </c>
      <c r="K10" t="n">
        <v>51.218</v>
      </c>
      <c r="L10" t="n">
        <v>221.348</v>
      </c>
      <c r="M10" t="n">
        <v>159</v>
      </c>
      <c r="N10" t="n">
        <v>380.348</v>
      </c>
      <c r="O10" t="n">
        <v>73.754</v>
      </c>
      <c r="P10" t="n">
        <v>66.51000000000001</v>
      </c>
      <c r="Q10" t="n">
        <v>83.839</v>
      </c>
      <c r="R10" t="n">
        <v>58.196</v>
      </c>
      <c r="S10" t="n">
        <v>7.302</v>
      </c>
      <c r="T10" t="n">
        <v>55.696</v>
      </c>
      <c r="U10" t="n">
        <v>36.565</v>
      </c>
      <c r="V10" t="n">
        <v>72.688</v>
      </c>
      <c r="W10" t="n">
        <v>5885.696</v>
      </c>
      <c r="X10" t="n">
        <v>15.475</v>
      </c>
      <c r="Y10" t="n">
        <v>54.913</v>
      </c>
      <c r="Z10" t="n">
        <v>6.926</v>
      </c>
      <c r="AA10" t="n">
        <v>66.39100000000001</v>
      </c>
      <c r="AB10" t="n">
        <v>5.729</v>
      </c>
      <c r="AC10" t="n">
        <v>-1.772</v>
      </c>
      <c r="AD10" t="n">
        <v>1.412</v>
      </c>
      <c r="AE10" t="n">
        <v>129.043</v>
      </c>
      <c r="AF10" t="n">
        <v>241.478</v>
      </c>
      <c r="AG10" t="n">
        <v>370.522</v>
      </c>
      <c r="AH10" t="n">
        <v>34.828</v>
      </c>
      <c r="AI10" t="n">
        <v>68.60899999999999</v>
      </c>
      <c r="AJ10" t="n">
        <v>86.87</v>
      </c>
      <c r="AK10" t="n">
        <v>15.087</v>
      </c>
      <c r="AL10" t="n">
        <v>21.261</v>
      </c>
      <c r="AM10" t="n">
        <v>65.652</v>
      </c>
      <c r="AN10" t="n">
        <v>83.217</v>
      </c>
      <c r="AO10" t="n">
        <v>59.826</v>
      </c>
      <c r="AP10" t="n">
        <v>10.087</v>
      </c>
      <c r="AQ10" t="n">
        <v>23.13</v>
      </c>
      <c r="AR10" t="n">
        <v>129.783</v>
      </c>
      <c r="AS10" t="n">
        <v>12.957</v>
      </c>
      <c r="AT10" t="n">
        <v>22.565</v>
      </c>
      <c r="AU10" t="n">
        <v>35.522</v>
      </c>
      <c r="AV10" t="n">
        <v>38.435</v>
      </c>
      <c r="AW10" t="n">
        <v>75.566</v>
      </c>
      <c r="AX10" t="n">
        <v>98.87</v>
      </c>
      <c r="AY10" t="n">
        <v>9.348000000000001</v>
      </c>
      <c r="AZ10" t="n">
        <v>12.217</v>
      </c>
      <c r="BA10" t="n">
        <v>21.936</v>
      </c>
      <c r="BB10" t="n">
        <v>15.739</v>
      </c>
      <c r="BC10" t="n">
        <v>9.696</v>
      </c>
      <c r="BD10" t="n">
        <v>29</v>
      </c>
      <c r="BE10" t="n">
        <v>7.652</v>
      </c>
      <c r="BF10" t="n">
        <v>11.957</v>
      </c>
      <c r="BG10" t="n">
        <v>10.522</v>
      </c>
      <c r="BH10" t="n">
        <v>2.391</v>
      </c>
      <c r="BI10" t="n">
        <v>24.435</v>
      </c>
      <c r="BJ10" t="n">
        <v>9</v>
      </c>
      <c r="BK10" t="n">
        <v>48.932</v>
      </c>
      <c r="BL10" t="n">
        <v>21.468</v>
      </c>
      <c r="BM10" t="n">
        <v>40.359</v>
      </c>
      <c r="BN10" t="n">
        <v>43.872</v>
      </c>
      <c r="BO10" t="n">
        <v>22.304</v>
      </c>
      <c r="BP10" t="n">
        <v>9.913</v>
      </c>
      <c r="BQ10" t="n">
        <v>25.439</v>
      </c>
      <c r="BR10" t="n">
        <v>78.998</v>
      </c>
      <c r="BS10" t="n">
        <v>0.871</v>
      </c>
      <c r="BT10" t="n">
        <v>3.233</v>
      </c>
      <c r="BU10" t="n">
        <v>0.036</v>
      </c>
      <c r="BV10" t="n">
        <v>3.491</v>
      </c>
      <c r="BW10" t="n">
        <v>0.124</v>
      </c>
      <c r="BX10" t="n">
        <v>2.906</v>
      </c>
      <c r="BY10" t="n">
        <v>-0.076</v>
      </c>
      <c r="BZ10" t="n">
        <v>3.304</v>
      </c>
      <c r="CA10" t="n">
        <v>33.652</v>
      </c>
      <c r="CB10" t="n">
        <v>45.304</v>
      </c>
      <c r="CC10" t="n">
        <v>32.435</v>
      </c>
      <c r="CD10" t="n">
        <v>36.826</v>
      </c>
      <c r="CE10" t="n">
        <v>13</v>
      </c>
      <c r="CF10" t="n">
        <v>19.93</v>
      </c>
      <c r="CG10" t="n">
        <v>23.146</v>
      </c>
      <c r="CH10" t="n">
        <v>8.773999999999999</v>
      </c>
      <c r="CI10" t="n">
        <v>32.406</v>
      </c>
      <c r="CJ10" t="n">
        <v>12.342</v>
      </c>
      <c r="CK10" t="n">
        <v>12.043</v>
      </c>
      <c r="CL10" t="n">
        <v>32.13</v>
      </c>
      <c r="CM10" t="n">
        <v>59.739</v>
      </c>
      <c r="CN10" t="n">
        <v>11.261</v>
      </c>
      <c r="CO10" t="n">
        <v>293.174</v>
      </c>
      <c r="CP10" t="n">
        <v>134.304</v>
      </c>
      <c r="CQ10" t="n">
        <v>28.043</v>
      </c>
      <c r="CR10" t="n">
        <v>89.87</v>
      </c>
      <c r="CS10" t="n">
        <v>38.739</v>
      </c>
      <c r="CT10" t="n">
        <v>43.106</v>
      </c>
      <c r="CU10" t="n">
        <v>10.957</v>
      </c>
      <c r="CV10" t="n">
        <v>28.283</v>
      </c>
      <c r="CW10" t="n">
        <v>2.174</v>
      </c>
      <c r="CX10" t="n">
        <v>17.609</v>
      </c>
      <c r="CY10" t="n">
        <v>14.913</v>
      </c>
      <c r="CZ10" t="n">
        <v>2.696</v>
      </c>
      <c r="DA10" t="n">
        <v>10.13</v>
      </c>
      <c r="DB10" t="n">
        <v>92.27500000000001</v>
      </c>
      <c r="DC10" t="n">
        <v>8.782999999999999</v>
      </c>
      <c r="DD10" t="n">
        <v>42.217</v>
      </c>
      <c r="DE10" t="n">
        <v>66.783</v>
      </c>
      <c r="DF10" t="n">
        <v>214.791</v>
      </c>
      <c r="DG10" t="n">
        <v>1605.304</v>
      </c>
      <c r="DH10" t="n">
        <v>1494.261</v>
      </c>
      <c r="DI10" t="n">
        <v>15.913</v>
      </c>
      <c r="DJ10" t="n">
        <v>213.217</v>
      </c>
      <c r="DK10" t="n">
        <v>143.087</v>
      </c>
      <c r="DL10" t="n">
        <v>356.304</v>
      </c>
      <c r="DM10" t="n">
        <v>73.093</v>
      </c>
      <c r="DN10" t="n">
        <v>66.721</v>
      </c>
      <c r="DO10" t="n">
        <v>82.589</v>
      </c>
      <c r="DP10" t="n">
        <v>5.964</v>
      </c>
      <c r="DQ10" t="n">
        <v>50.304</v>
      </c>
      <c r="DR10" t="n">
        <v>43.174</v>
      </c>
      <c r="DS10" t="n">
        <v>77.518</v>
      </c>
      <c r="DT10" t="n">
        <v>5964.87</v>
      </c>
      <c r="DU10" t="n">
        <v>16.741</v>
      </c>
      <c r="DV10" t="n">
        <v>57.217</v>
      </c>
      <c r="DW10" t="n">
        <v>6.227</v>
      </c>
      <c r="DX10" t="n">
        <v>68.435</v>
      </c>
      <c r="DY10" t="n">
        <v>5.206</v>
      </c>
      <c r="DZ10" t="n">
        <v>1.593</v>
      </c>
      <c r="EA10" t="n">
        <v>1.403</v>
      </c>
      <c r="EB10" t="n">
        <v>128.957</v>
      </c>
      <c r="EC10" t="n">
        <v>218.826</v>
      </c>
      <c r="ED10" t="n">
        <v>347.783</v>
      </c>
      <c r="EE10" t="n">
        <v>37.08</v>
      </c>
      <c r="EF10" t="n">
        <v>66.52200000000001</v>
      </c>
      <c r="EG10" t="n">
        <v>90.783</v>
      </c>
      <c r="EH10" t="n">
        <v>15.261</v>
      </c>
      <c r="EI10" t="n">
        <v>22.609</v>
      </c>
      <c r="EJ10" t="n">
        <v>68.13</v>
      </c>
      <c r="EK10" t="n">
        <v>80.913</v>
      </c>
      <c r="EL10" t="n">
        <v>59.913</v>
      </c>
      <c r="EM10" t="n">
        <v>8.304</v>
      </c>
      <c r="EN10" t="n">
        <v>22.087</v>
      </c>
      <c r="EO10" t="n">
        <v>114.913</v>
      </c>
      <c r="EP10" t="n">
        <v>11.87</v>
      </c>
      <c r="EQ10" t="n">
        <v>24.435</v>
      </c>
      <c r="ER10" t="n">
        <v>36.304</v>
      </c>
      <c r="ES10" t="n">
        <v>40.174</v>
      </c>
      <c r="ET10" t="n">
        <v>74.56699999999999</v>
      </c>
      <c r="EU10" t="n">
        <v>93</v>
      </c>
      <c r="EV10" t="n">
        <v>9.042999999999999</v>
      </c>
      <c r="EW10" t="n">
        <v>11.826</v>
      </c>
      <c r="EX10" t="n">
        <v>23.509</v>
      </c>
      <c r="EY10" t="n">
        <v>14.348</v>
      </c>
      <c r="EZ10" t="n">
        <v>6.261</v>
      </c>
      <c r="FA10" t="n">
        <v>12.957</v>
      </c>
      <c r="FB10" t="n">
        <v>10.261</v>
      </c>
      <c r="FC10" t="n">
        <v>2.478</v>
      </c>
      <c r="FD10" t="n">
        <v>24.826</v>
      </c>
      <c r="FE10" t="n">
        <v>9.739000000000001</v>
      </c>
      <c r="FF10" t="n">
        <v>52.189</v>
      </c>
      <c r="FG10" t="n">
        <v>25.756</v>
      </c>
      <c r="FH10" t="n">
        <v>46.154</v>
      </c>
      <c r="FI10" t="n">
        <v>49.352</v>
      </c>
      <c r="FJ10" t="n">
        <v>22.652</v>
      </c>
      <c r="FK10" t="n">
        <v>81.252</v>
      </c>
      <c r="FL10" t="n">
        <v>4.269</v>
      </c>
      <c r="FM10" t="n">
        <v>3.267</v>
      </c>
      <c r="FN10" t="n">
        <v>0.172</v>
      </c>
      <c r="FO10" t="n">
        <v>3.589</v>
      </c>
      <c r="FP10" t="n">
        <v>0.163</v>
      </c>
      <c r="FQ10" t="n">
        <v>2.917</v>
      </c>
      <c r="FR10" t="n">
        <v>0.181</v>
      </c>
      <c r="FS10" t="n">
        <v>3.913</v>
      </c>
      <c r="FT10" t="n">
        <v>32.696</v>
      </c>
      <c r="FU10" t="n">
        <v>51.391</v>
      </c>
      <c r="FV10" t="n">
        <v>35.043</v>
      </c>
      <c r="FW10" t="n">
        <v>39.87</v>
      </c>
      <c r="FX10" t="n">
        <v>13.087</v>
      </c>
      <c r="FY10" t="n">
        <v>20.352</v>
      </c>
      <c r="FZ10" t="n">
        <v>23.972</v>
      </c>
      <c r="GA10" t="n">
        <v>10.06</v>
      </c>
      <c r="GB10" t="n">
        <v>30.326</v>
      </c>
      <c r="GC10" t="n">
        <v>12.642</v>
      </c>
      <c r="GD10" t="n">
        <v>52.087</v>
      </c>
      <c r="GE10" t="n">
        <v>8.869999999999999</v>
      </c>
      <c r="GF10" t="n">
        <v>299.652</v>
      </c>
      <c r="GG10" t="n">
        <v>139.87</v>
      </c>
      <c r="GH10" t="n">
        <v>32.174</v>
      </c>
      <c r="GI10" t="n">
        <v>33.478</v>
      </c>
      <c r="GJ10" t="n">
        <v>37.306</v>
      </c>
      <c r="GK10" t="n">
        <v>9.609</v>
      </c>
      <c r="GL10" t="n">
        <v>28.701</v>
      </c>
      <c r="GM10" t="n">
        <v>3</v>
      </c>
      <c r="GN10" t="n">
        <v>10.348</v>
      </c>
      <c r="GO10" t="n">
        <v>87.815</v>
      </c>
      <c r="GP10" t="n">
        <v>6.609</v>
      </c>
      <c r="GQ10" t="n">
        <v>44.957</v>
      </c>
      <c r="GR10" t="n">
        <v>69.783</v>
      </c>
      <c r="GS10" t="n">
        <v>-3.761</v>
      </c>
      <c r="GT10" t="n">
        <v>89.217</v>
      </c>
      <c r="GU10" t="n">
        <v>114.826</v>
      </c>
      <c r="GV10" t="n">
        <v>-1.826</v>
      </c>
      <c r="GW10" t="n">
        <v>8.130000000000001</v>
      </c>
      <c r="GX10" t="n">
        <v>15.913</v>
      </c>
      <c r="GY10" t="n">
        <v>24.043</v>
      </c>
      <c r="GZ10" t="n">
        <v>5.391</v>
      </c>
      <c r="HA10" t="n">
        <v>-79.17400000000001</v>
      </c>
      <c r="HB10" t="n">
        <v>-2.304</v>
      </c>
      <c r="HC10" t="n">
        <v>-2.043</v>
      </c>
      <c r="HD10" t="n">
        <v>-3.365</v>
      </c>
      <c r="HE10" t="n">
        <v>0.008999999999999999</v>
      </c>
      <c r="HF10" t="n">
        <v>0.08699999999999999</v>
      </c>
      <c r="HG10" t="n">
        <v>22.652</v>
      </c>
      <c r="HH10" t="n">
        <v>22.739</v>
      </c>
      <c r="HI10" t="n">
        <v>2.087</v>
      </c>
      <c r="HJ10" t="n">
        <v>-3.913</v>
      </c>
      <c r="HK10" t="n">
        <v>-0.174</v>
      </c>
      <c r="HL10" t="n">
        <v>-1.348</v>
      </c>
      <c r="HM10" t="n">
        <v>-2.478</v>
      </c>
      <c r="HN10" t="n">
        <v>2.304</v>
      </c>
      <c r="HO10" t="n">
        <v>-0.08699999999999999</v>
      </c>
      <c r="HP10" t="n">
        <v>1.783</v>
      </c>
      <c r="HQ10" t="n">
        <v>1.043</v>
      </c>
      <c r="HR10" t="n">
        <v>14.87</v>
      </c>
      <c r="HS10" t="n">
        <v>1.087</v>
      </c>
      <c r="HT10" t="n">
        <v>-1.87</v>
      </c>
      <c r="HU10" t="n">
        <v>-0.783</v>
      </c>
      <c r="HV10" t="n">
        <v>-1.739</v>
      </c>
      <c r="HW10" t="n">
        <v>5.87</v>
      </c>
      <c r="HX10" t="n">
        <v>0.304</v>
      </c>
      <c r="HY10" t="n">
        <v>0.391</v>
      </c>
      <c r="HZ10" t="n">
        <v>1.391</v>
      </c>
      <c r="IA10" t="n">
        <v>3.435</v>
      </c>
      <c r="IB10" t="n">
        <v>-1</v>
      </c>
      <c r="IC10" t="n">
        <v>0.261</v>
      </c>
      <c r="ID10" t="n">
        <v>-0.391</v>
      </c>
      <c r="IE10" t="n">
        <v>-0.739</v>
      </c>
      <c r="IF10" t="n">
        <v>-0.348</v>
      </c>
      <c r="IG10" t="n">
        <v>-2.254</v>
      </c>
      <c r="IH10" t="n">
        <v>-3.398</v>
      </c>
      <c r="II10" t="n">
        <v>-0.034</v>
      </c>
      <c r="IJ10" t="n">
        <v>-0.609</v>
      </c>
      <c r="IK10" t="n">
        <v>0.957</v>
      </c>
      <c r="IL10" t="n">
        <v>-6.087</v>
      </c>
      <c r="IM10" t="n">
        <v>-2.609</v>
      </c>
      <c r="IN10" t="n">
        <v>-3.043</v>
      </c>
      <c r="IO10" t="n">
        <v>-0.08699999999999999</v>
      </c>
      <c r="IP10" t="n">
        <v>7.652</v>
      </c>
      <c r="IQ10" t="n">
        <v>2.391</v>
      </c>
      <c r="IR10" t="n">
        <v>-6.478</v>
      </c>
      <c r="IS10" t="n">
        <v>-5.565</v>
      </c>
      <c r="IT10" t="n">
        <v>-4.13</v>
      </c>
      <c r="IU10" t="n">
        <v>5.261</v>
      </c>
      <c r="IV10" t="n">
        <v>1.348</v>
      </c>
      <c r="IW10" t="n">
        <v>-0.826</v>
      </c>
      <c r="IX10" t="n">
        <v>2.174</v>
      </c>
      <c r="IY10" t="n">
        <v>-2.739</v>
      </c>
      <c r="IZ10" t="n">
        <v>-3</v>
      </c>
    </row>
    <row r="11">
      <c r="A11" t="inlineStr">
        <is>
          <t>Hawthorn</t>
        </is>
      </c>
      <c r="B11" t="inlineStr">
        <is>
          <t>Haw</t>
        </is>
      </c>
      <c r="C11" t="n">
        <v>25</v>
      </c>
      <c r="D11" t="n">
        <v>34</v>
      </c>
      <c r="E11" t="n">
        <v>24.981</v>
      </c>
      <c r="F11" t="n">
        <v>90.967</v>
      </c>
      <c r="G11" t="n">
        <v>210.256</v>
      </c>
      <c r="H11" t="n">
        <v>1691.6</v>
      </c>
      <c r="I11" t="n">
        <v>1534.2</v>
      </c>
      <c r="J11" t="n">
        <v>18.64</v>
      </c>
      <c r="K11" t="n">
        <v>52.068</v>
      </c>
      <c r="L11" t="n">
        <v>210.32</v>
      </c>
      <c r="M11" t="n">
        <v>149.64</v>
      </c>
      <c r="N11" t="n">
        <v>359.96</v>
      </c>
      <c r="O11" t="n">
        <v>74.508</v>
      </c>
      <c r="P11" t="n">
        <v>68.39100000000001</v>
      </c>
      <c r="Q11" t="n">
        <v>83.10599999999999</v>
      </c>
      <c r="R11" t="n">
        <v>58.429</v>
      </c>
      <c r="S11" t="n">
        <v>5.447</v>
      </c>
      <c r="T11" t="n">
        <v>53.92</v>
      </c>
      <c r="U11" t="n">
        <v>35.88</v>
      </c>
      <c r="V11" t="n">
        <v>75.44199999999999</v>
      </c>
      <c r="W11" t="n">
        <v>5927.4</v>
      </c>
      <c r="X11" t="n">
        <v>16.467</v>
      </c>
      <c r="Y11" t="n">
        <v>54.48</v>
      </c>
      <c r="Z11" t="n">
        <v>6.607</v>
      </c>
      <c r="AA11" t="n">
        <v>62.32</v>
      </c>
      <c r="AB11" t="n">
        <v>5.776</v>
      </c>
      <c r="AC11" t="n">
        <v>1.652</v>
      </c>
      <c r="AD11" t="n">
        <v>2.266</v>
      </c>
      <c r="AE11" t="n">
        <v>131.68</v>
      </c>
      <c r="AF11" t="n">
        <v>223.72</v>
      </c>
      <c r="AG11" t="n">
        <v>355.4</v>
      </c>
      <c r="AH11" t="n">
        <v>37.051</v>
      </c>
      <c r="AI11" t="n">
        <v>65.95999999999999</v>
      </c>
      <c r="AJ11" t="n">
        <v>90.84</v>
      </c>
      <c r="AK11" t="n">
        <v>15.16</v>
      </c>
      <c r="AL11" t="n">
        <v>22.12</v>
      </c>
      <c r="AM11" t="n">
        <v>68.72</v>
      </c>
      <c r="AN11" t="n">
        <v>82.04000000000001</v>
      </c>
      <c r="AO11" t="n">
        <v>59.44</v>
      </c>
      <c r="AP11" t="n">
        <v>9.880000000000001</v>
      </c>
      <c r="AQ11" t="n">
        <v>22.68</v>
      </c>
      <c r="AR11" t="n">
        <v>120.64</v>
      </c>
      <c r="AS11" t="n">
        <v>11.6</v>
      </c>
      <c r="AT11" t="n">
        <v>25.12</v>
      </c>
      <c r="AU11" t="n">
        <v>36.72</v>
      </c>
      <c r="AV11" t="n">
        <v>39.64</v>
      </c>
      <c r="AW11" t="n">
        <v>75.883</v>
      </c>
      <c r="AX11" t="n">
        <v>91.04000000000001</v>
      </c>
      <c r="AY11" t="n">
        <v>8.44</v>
      </c>
      <c r="AZ11" t="n">
        <v>12.84</v>
      </c>
      <c r="BA11" t="n">
        <v>23.813</v>
      </c>
      <c r="BB11" t="n">
        <v>15.28</v>
      </c>
      <c r="BC11" t="n">
        <v>6.28</v>
      </c>
      <c r="BD11" t="n">
        <v>27</v>
      </c>
      <c r="BE11" t="n">
        <v>7.92</v>
      </c>
      <c r="BF11" t="n">
        <v>13.24</v>
      </c>
      <c r="BG11" t="n">
        <v>11</v>
      </c>
      <c r="BH11" t="n">
        <v>1.84</v>
      </c>
      <c r="BI11" t="n">
        <v>26.84</v>
      </c>
      <c r="BJ11" t="n">
        <v>9.359999999999999</v>
      </c>
      <c r="BK11" t="n">
        <v>49.329</v>
      </c>
      <c r="BL11" t="n">
        <v>24.555</v>
      </c>
      <c r="BM11" t="n">
        <v>44.955</v>
      </c>
      <c r="BN11" t="n">
        <v>49.777</v>
      </c>
      <c r="BO11" t="n">
        <v>24.04</v>
      </c>
      <c r="BP11" t="n">
        <v>10.44</v>
      </c>
      <c r="BQ11" t="n">
        <v>24.138</v>
      </c>
      <c r="BR11" t="n">
        <v>88.491</v>
      </c>
      <c r="BS11" t="n">
        <v>0.109</v>
      </c>
      <c r="BT11" t="n">
        <v>3.297</v>
      </c>
      <c r="BU11" t="n">
        <v>0.004</v>
      </c>
      <c r="BV11" t="n">
        <v>3.552</v>
      </c>
      <c r="BW11" t="n">
        <v>-0.064</v>
      </c>
      <c r="BX11" t="n">
        <v>2.949</v>
      </c>
      <c r="BY11" t="n">
        <v>0.097</v>
      </c>
      <c r="BZ11" t="n">
        <v>5.36</v>
      </c>
      <c r="CA11" t="n">
        <v>36.04</v>
      </c>
      <c r="CB11" t="n">
        <v>49.04</v>
      </c>
      <c r="CC11" t="n">
        <v>33.6</v>
      </c>
      <c r="CD11" t="n">
        <v>44.84</v>
      </c>
      <c r="CE11" t="n">
        <v>12</v>
      </c>
      <c r="CF11" t="n">
        <v>21.823</v>
      </c>
      <c r="CG11" t="n">
        <v>23.516</v>
      </c>
      <c r="CH11" t="n">
        <v>9.471</v>
      </c>
      <c r="CI11" t="n">
        <v>32.822</v>
      </c>
      <c r="CJ11" t="n">
        <v>13.538</v>
      </c>
      <c r="CK11" t="n">
        <v>9.52</v>
      </c>
      <c r="CL11" t="n">
        <v>21.429</v>
      </c>
      <c r="CM11" t="n">
        <v>60.36</v>
      </c>
      <c r="CN11" t="n">
        <v>11.16</v>
      </c>
      <c r="CO11" t="n">
        <v>281.12</v>
      </c>
      <c r="CP11" t="n">
        <v>129.4</v>
      </c>
      <c r="CQ11" t="n">
        <v>26.76</v>
      </c>
      <c r="CR11" t="n">
        <v>96</v>
      </c>
      <c r="CS11" t="n">
        <v>38.56</v>
      </c>
      <c r="CT11" t="n">
        <v>40.167</v>
      </c>
      <c r="CU11" t="n">
        <v>10.72</v>
      </c>
      <c r="CV11" t="n">
        <v>27.801</v>
      </c>
      <c r="CW11" t="n">
        <v>2.04</v>
      </c>
      <c r="CX11" t="n">
        <v>18.88</v>
      </c>
      <c r="CY11" t="n">
        <v>18.88</v>
      </c>
      <c r="CZ11" t="n">
        <v>0</v>
      </c>
      <c r="DA11" t="n">
        <v>9.56</v>
      </c>
      <c r="DB11" t="n">
        <v>93.724</v>
      </c>
      <c r="DC11" t="n">
        <v>7.64</v>
      </c>
      <c r="DD11" t="n">
        <v>40.28</v>
      </c>
      <c r="DE11" t="n">
        <v>70.88</v>
      </c>
      <c r="DF11" t="n">
        <v>191.444</v>
      </c>
      <c r="DG11" t="n">
        <v>1608.44</v>
      </c>
      <c r="DH11" t="n">
        <v>1507.56</v>
      </c>
      <c r="DI11" t="n">
        <v>11.36</v>
      </c>
      <c r="DJ11" t="n">
        <v>206.52</v>
      </c>
      <c r="DK11" t="n">
        <v>135.52</v>
      </c>
      <c r="DL11" t="n">
        <v>342.04</v>
      </c>
      <c r="DM11" t="n">
        <v>73.184</v>
      </c>
      <c r="DN11" t="n">
        <v>68.02200000000001</v>
      </c>
      <c r="DO11" t="n">
        <v>81.051</v>
      </c>
      <c r="DP11" t="n">
        <v>5.667</v>
      </c>
      <c r="DQ11" t="n">
        <v>47.56</v>
      </c>
      <c r="DR11" t="n">
        <v>39.88</v>
      </c>
      <c r="DS11" t="n">
        <v>73.961</v>
      </c>
      <c r="DT11" t="n">
        <v>5598.28</v>
      </c>
      <c r="DU11" t="n">
        <v>16.367</v>
      </c>
      <c r="DV11" t="n">
        <v>56.84</v>
      </c>
      <c r="DW11" t="n">
        <v>6.018</v>
      </c>
      <c r="DX11" t="n">
        <v>65.64</v>
      </c>
      <c r="DY11" t="n">
        <v>5.211</v>
      </c>
      <c r="DZ11" t="n">
        <v>-2.159</v>
      </c>
      <c r="EA11" t="n">
        <v>-0.644</v>
      </c>
      <c r="EB11" t="n">
        <v>127.2</v>
      </c>
      <c r="EC11" t="n">
        <v>206.64</v>
      </c>
      <c r="ED11" t="n">
        <v>333.84</v>
      </c>
      <c r="EE11" t="n">
        <v>38.102</v>
      </c>
      <c r="EF11" t="n">
        <v>62.52</v>
      </c>
      <c r="EG11" t="n">
        <v>82.44</v>
      </c>
      <c r="EH11" t="n">
        <v>12.52</v>
      </c>
      <c r="EI11" t="n">
        <v>20.52</v>
      </c>
      <c r="EJ11" t="n">
        <v>61.92</v>
      </c>
      <c r="EK11" t="n">
        <v>77.8</v>
      </c>
      <c r="EL11" t="n">
        <v>54.04</v>
      </c>
      <c r="EM11" t="n">
        <v>10.08</v>
      </c>
      <c r="EN11" t="n">
        <v>21.8</v>
      </c>
      <c r="EO11" t="n">
        <v>106.56</v>
      </c>
      <c r="EP11" t="n">
        <v>10.96</v>
      </c>
      <c r="EQ11" t="n">
        <v>25</v>
      </c>
      <c r="ER11" t="n">
        <v>35.96</v>
      </c>
      <c r="ES11" t="n">
        <v>40.32</v>
      </c>
      <c r="ET11" t="n">
        <v>74.405</v>
      </c>
      <c r="EU11" t="n">
        <v>92.44</v>
      </c>
      <c r="EV11" t="n">
        <v>9.800000000000001</v>
      </c>
      <c r="EW11" t="n">
        <v>10.8</v>
      </c>
      <c r="EX11" t="n">
        <v>22.708</v>
      </c>
      <c r="EY11" t="n">
        <v>14.72</v>
      </c>
      <c r="EZ11" t="n">
        <v>5.72</v>
      </c>
      <c r="FA11" t="n">
        <v>11.04</v>
      </c>
      <c r="FB11" t="n">
        <v>9.76</v>
      </c>
      <c r="FC11" t="n">
        <v>2.2</v>
      </c>
      <c r="FD11" t="n">
        <v>22.16</v>
      </c>
      <c r="FE11" t="n">
        <v>8</v>
      </c>
      <c r="FF11" t="n">
        <v>49.819</v>
      </c>
      <c r="FG11" t="n">
        <v>23.213</v>
      </c>
      <c r="FH11" t="n">
        <v>43.734</v>
      </c>
      <c r="FI11" t="n">
        <v>46.594</v>
      </c>
      <c r="FJ11" t="n">
        <v>20.56</v>
      </c>
      <c r="FK11" t="n">
        <v>70.88500000000001</v>
      </c>
      <c r="FL11" t="n">
        <v>2.915</v>
      </c>
      <c r="FM11" t="n">
        <v>3.199</v>
      </c>
      <c r="FN11" t="n">
        <v>0.132</v>
      </c>
      <c r="FO11" t="n">
        <v>3.439</v>
      </c>
      <c r="FP11" t="n">
        <v>0.077</v>
      </c>
      <c r="FQ11" t="n">
        <v>2.885</v>
      </c>
      <c r="FR11" t="n">
        <v>0.203</v>
      </c>
      <c r="FS11" t="n">
        <v>2.32</v>
      </c>
      <c r="FT11" t="n">
        <v>33.16</v>
      </c>
      <c r="FU11" t="n">
        <v>40.52</v>
      </c>
      <c r="FV11" t="n">
        <v>26.12</v>
      </c>
      <c r="FW11" t="n">
        <v>38.96</v>
      </c>
      <c r="FX11" t="n">
        <v>10.92</v>
      </c>
      <c r="FY11" t="n">
        <v>19.265</v>
      </c>
      <c r="FZ11" t="n">
        <v>20.38</v>
      </c>
      <c r="GA11" t="n">
        <v>7.515</v>
      </c>
      <c r="GB11" t="n">
        <v>28.273</v>
      </c>
      <c r="GC11" t="n">
        <v>10.351</v>
      </c>
      <c r="GD11" t="n">
        <v>66.08</v>
      </c>
      <c r="GE11" t="n">
        <v>9.68</v>
      </c>
      <c r="GF11" t="n">
        <v>302.28</v>
      </c>
      <c r="GG11" t="n">
        <v>146.56</v>
      </c>
      <c r="GH11" t="n">
        <v>29.64</v>
      </c>
      <c r="GI11" t="n">
        <v>39.28</v>
      </c>
      <c r="GJ11" t="n">
        <v>40.798</v>
      </c>
      <c r="GK11" t="n">
        <v>11.16</v>
      </c>
      <c r="GL11" t="n">
        <v>28.411</v>
      </c>
      <c r="GM11" t="n">
        <v>3.68</v>
      </c>
      <c r="GN11" t="n">
        <v>10.84</v>
      </c>
      <c r="GO11" t="n">
        <v>90.40600000000001</v>
      </c>
      <c r="GP11" t="n">
        <v>5.72</v>
      </c>
      <c r="GQ11" t="n">
        <v>41</v>
      </c>
      <c r="GR11" t="n">
        <v>70.04000000000001</v>
      </c>
      <c r="GS11" t="n">
        <v>18.812</v>
      </c>
      <c r="GT11" t="n">
        <v>83.16</v>
      </c>
      <c r="GU11" t="n">
        <v>26.64</v>
      </c>
      <c r="GV11" t="n">
        <v>7.28</v>
      </c>
      <c r="GW11" t="n">
        <v>3.8</v>
      </c>
      <c r="GX11" t="n">
        <v>14.12</v>
      </c>
      <c r="GY11" t="n">
        <v>17.92</v>
      </c>
      <c r="GZ11" t="n">
        <v>6.36</v>
      </c>
      <c r="HA11" t="n">
        <v>329.12</v>
      </c>
      <c r="HB11" t="n">
        <v>-2.36</v>
      </c>
      <c r="HC11" t="n">
        <v>-3.32</v>
      </c>
      <c r="HD11" t="n">
        <v>3.811</v>
      </c>
      <c r="HE11" t="n">
        <v>2.91</v>
      </c>
      <c r="HF11" t="n">
        <v>4.48</v>
      </c>
      <c r="HG11" t="n">
        <v>17.08</v>
      </c>
      <c r="HH11" t="n">
        <v>21.56</v>
      </c>
      <c r="HI11" t="n">
        <v>3.44</v>
      </c>
      <c r="HJ11" t="n">
        <v>8.4</v>
      </c>
      <c r="HK11" t="n">
        <v>2.64</v>
      </c>
      <c r="HL11" t="n">
        <v>1.6</v>
      </c>
      <c r="HM11" t="n">
        <v>6.8</v>
      </c>
      <c r="HN11" t="n">
        <v>4.24</v>
      </c>
      <c r="HO11" t="n">
        <v>5.4</v>
      </c>
      <c r="HP11" t="n">
        <v>-0.2</v>
      </c>
      <c r="HQ11" t="n">
        <v>0.88</v>
      </c>
      <c r="HR11" t="n">
        <v>14.08</v>
      </c>
      <c r="HS11" t="n">
        <v>0.64</v>
      </c>
      <c r="HT11" t="n">
        <v>0.12</v>
      </c>
      <c r="HU11" t="n">
        <v>0.76</v>
      </c>
      <c r="HV11" t="n">
        <v>-0.68</v>
      </c>
      <c r="HW11" t="n">
        <v>-1.4</v>
      </c>
      <c r="HX11" t="n">
        <v>-1.36</v>
      </c>
      <c r="HY11" t="n">
        <v>2.04</v>
      </c>
      <c r="HZ11" t="n">
        <v>0.5600000000000001</v>
      </c>
      <c r="IA11" t="n">
        <v>0.5600000000000001</v>
      </c>
      <c r="IB11" t="n">
        <v>2.2</v>
      </c>
      <c r="IC11" t="n">
        <v>1.24</v>
      </c>
      <c r="ID11" t="n">
        <v>4.68</v>
      </c>
      <c r="IE11" t="n">
        <v>1.36</v>
      </c>
      <c r="IF11" t="n">
        <v>3.48</v>
      </c>
      <c r="IG11" t="n">
        <v>17.606</v>
      </c>
      <c r="IH11" t="n">
        <v>-2.806</v>
      </c>
      <c r="II11" t="n">
        <v>0.098</v>
      </c>
      <c r="IJ11" t="n">
        <v>3.04</v>
      </c>
      <c r="IK11" t="n">
        <v>2.88</v>
      </c>
      <c r="IL11" t="n">
        <v>8.52</v>
      </c>
      <c r="IM11" t="n">
        <v>7.48</v>
      </c>
      <c r="IN11" t="n">
        <v>5.88</v>
      </c>
      <c r="IO11" t="n">
        <v>1.08</v>
      </c>
      <c r="IP11" t="n">
        <v>-5.72</v>
      </c>
      <c r="IQ11" t="n">
        <v>1.48</v>
      </c>
      <c r="IR11" t="n">
        <v>-21.16</v>
      </c>
      <c r="IS11" t="n">
        <v>-17.16</v>
      </c>
      <c r="IT11" t="n">
        <v>-2.88</v>
      </c>
      <c r="IU11" t="n">
        <v>-0.72</v>
      </c>
      <c r="IV11" t="n">
        <v>-0.44</v>
      </c>
      <c r="IW11" t="n">
        <v>-1.64</v>
      </c>
      <c r="IX11" t="n">
        <v>1.92</v>
      </c>
      <c r="IY11" t="n">
        <v>-0.72</v>
      </c>
      <c r="IZ11" t="n">
        <v>0.84</v>
      </c>
    </row>
    <row r="12">
      <c r="A12" t="inlineStr">
        <is>
          <t>North Melbourne</t>
        </is>
      </c>
      <c r="B12" t="inlineStr">
        <is>
          <t>NM</t>
        </is>
      </c>
      <c r="C12" t="n">
        <v>23</v>
      </c>
      <c r="D12" t="n">
        <v>39</v>
      </c>
      <c r="E12" t="n">
        <v>24.295</v>
      </c>
      <c r="F12" t="n">
        <v>74.69799999999999</v>
      </c>
      <c r="G12" t="n">
        <v>192.774</v>
      </c>
      <c r="H12" t="n">
        <v>1575.087</v>
      </c>
      <c r="I12" t="n">
        <v>1484.261</v>
      </c>
      <c r="J12" t="n">
        <v>8.565</v>
      </c>
      <c r="K12" t="n">
        <v>43.663</v>
      </c>
      <c r="L12" t="n">
        <v>207.522</v>
      </c>
      <c r="M12" t="n">
        <v>146.13</v>
      </c>
      <c r="N12" t="n">
        <v>353.652</v>
      </c>
      <c r="O12" t="n">
        <v>74.59999999999999</v>
      </c>
      <c r="P12" t="n">
        <v>68.95</v>
      </c>
      <c r="Q12" t="n">
        <v>82.624</v>
      </c>
      <c r="R12" t="n">
        <v>58.68</v>
      </c>
      <c r="S12" t="n">
        <v>5.802</v>
      </c>
      <c r="T12" t="n">
        <v>45.304</v>
      </c>
      <c r="U12" t="n">
        <v>42.13</v>
      </c>
      <c r="V12" t="n">
        <v>71.30200000000001</v>
      </c>
      <c r="W12" t="n">
        <v>5473.348</v>
      </c>
      <c r="X12" t="n">
        <v>15.477</v>
      </c>
      <c r="Y12" t="n">
        <v>55.087</v>
      </c>
      <c r="Z12" t="n">
        <v>6.42</v>
      </c>
      <c r="AA12" t="n">
        <v>67.652</v>
      </c>
      <c r="AB12" t="n">
        <v>5.228</v>
      </c>
      <c r="AC12" t="n">
        <v>-3.01</v>
      </c>
      <c r="AD12" t="n">
        <v>-2.167</v>
      </c>
      <c r="AE12" t="n">
        <v>129.391</v>
      </c>
      <c r="AF12" t="n">
        <v>215.348</v>
      </c>
      <c r="AG12" t="n">
        <v>344.739</v>
      </c>
      <c r="AH12" t="n">
        <v>37.533</v>
      </c>
      <c r="AI12" t="n">
        <v>59.696</v>
      </c>
      <c r="AJ12" t="n">
        <v>87.60899999999999</v>
      </c>
      <c r="AK12" t="n">
        <v>12.913</v>
      </c>
      <c r="AL12" t="n">
        <v>23.5</v>
      </c>
      <c r="AM12" t="n">
        <v>64.59099999999999</v>
      </c>
      <c r="AN12" t="n">
        <v>78.455</v>
      </c>
      <c r="AO12" t="n">
        <v>56.818</v>
      </c>
      <c r="AP12" t="n">
        <v>8.818</v>
      </c>
      <c r="AQ12" t="n">
        <v>21.818</v>
      </c>
      <c r="AR12" t="n">
        <v>117.273</v>
      </c>
      <c r="AS12" t="n">
        <v>12.652</v>
      </c>
      <c r="AT12" t="n">
        <v>24.217</v>
      </c>
      <c r="AU12" t="n">
        <v>36.87</v>
      </c>
      <c r="AV12" t="n">
        <v>42.591</v>
      </c>
      <c r="AW12" t="n">
        <v>74.28</v>
      </c>
      <c r="AX12" t="n">
        <v>88.435</v>
      </c>
      <c r="AY12" t="n">
        <v>8.913</v>
      </c>
      <c r="AZ12" t="n">
        <v>9.696</v>
      </c>
      <c r="BA12" t="n">
        <v>21.401</v>
      </c>
      <c r="BB12" t="n">
        <v>12.609</v>
      </c>
      <c r="BC12" t="n">
        <v>6.087</v>
      </c>
      <c r="BD12" t="n">
        <v>25</v>
      </c>
      <c r="BE12" t="n">
        <v>7.087</v>
      </c>
      <c r="BF12" t="n">
        <v>10.609</v>
      </c>
      <c r="BG12" t="n">
        <v>6.739</v>
      </c>
      <c r="BH12" t="n">
        <v>1.565</v>
      </c>
      <c r="BI12" t="n">
        <v>18.826</v>
      </c>
      <c r="BJ12" t="n">
        <v>7.478</v>
      </c>
      <c r="BK12" t="n">
        <v>56.351</v>
      </c>
      <c r="BL12" t="n">
        <v>23.417</v>
      </c>
      <c r="BM12" t="n">
        <v>38.292</v>
      </c>
      <c r="BN12" t="n">
        <v>41.555</v>
      </c>
      <c r="BO12" t="n">
        <v>17.174</v>
      </c>
      <c r="BP12" t="n">
        <v>10.087</v>
      </c>
      <c r="BQ12" t="n">
        <v>22.845</v>
      </c>
      <c r="BR12" t="n">
        <v>64.83799999999999</v>
      </c>
      <c r="BS12" t="n">
        <v>5.299</v>
      </c>
      <c r="BT12" t="n">
        <v>3.38</v>
      </c>
      <c r="BU12" t="n">
        <v>0.276</v>
      </c>
      <c r="BV12" t="n">
        <v>3.618</v>
      </c>
      <c r="BW12" t="n">
        <v>0.382</v>
      </c>
      <c r="BX12" t="n">
        <v>3.063</v>
      </c>
      <c r="BY12" t="n">
        <v>0.136</v>
      </c>
      <c r="BZ12" t="n">
        <v>1.739</v>
      </c>
      <c r="CA12" t="n">
        <v>26.87</v>
      </c>
      <c r="CB12" t="n">
        <v>41.783</v>
      </c>
      <c r="CC12" t="n">
        <v>27.545</v>
      </c>
      <c r="CD12" t="n">
        <v>34.182</v>
      </c>
      <c r="CE12" t="n">
        <v>9.782999999999999</v>
      </c>
      <c r="CF12" t="n">
        <v>16.168</v>
      </c>
      <c r="CG12" t="n">
        <v>18.053</v>
      </c>
      <c r="CH12" t="n">
        <v>6.491</v>
      </c>
      <c r="CI12" t="n">
        <v>26.953</v>
      </c>
      <c r="CJ12" t="n">
        <v>8.859999999999999</v>
      </c>
      <c r="CK12" t="n">
        <v>11.261</v>
      </c>
      <c r="CL12" t="n">
        <v>29.73</v>
      </c>
      <c r="CM12" t="n">
        <v>58.826</v>
      </c>
      <c r="CN12" t="n">
        <v>8.435</v>
      </c>
      <c r="CO12" t="n">
        <v>290.13</v>
      </c>
      <c r="CP12" t="n">
        <v>154.217</v>
      </c>
      <c r="CQ12" t="n">
        <v>29.087</v>
      </c>
      <c r="CR12" t="n">
        <v>96.652</v>
      </c>
      <c r="CS12" t="n">
        <v>40.043</v>
      </c>
      <c r="CT12" t="n">
        <v>41.43</v>
      </c>
      <c r="CU12" t="n">
        <v>9.869999999999999</v>
      </c>
      <c r="CV12" t="n">
        <v>24.647</v>
      </c>
      <c r="CW12" t="n">
        <v>4.682</v>
      </c>
      <c r="CX12" t="n">
        <v>18.391</v>
      </c>
      <c r="CY12" t="n">
        <v>19.478</v>
      </c>
      <c r="CZ12" t="n">
        <v>-1.087</v>
      </c>
      <c r="DA12" t="n">
        <v>13.174</v>
      </c>
      <c r="DB12" t="n">
        <v>91.089</v>
      </c>
      <c r="DC12" t="n">
        <v>5.304</v>
      </c>
      <c r="DD12" t="n">
        <v>39.348</v>
      </c>
      <c r="DE12" t="n">
        <v>70.087</v>
      </c>
      <c r="DF12" t="n">
        <v>230.57</v>
      </c>
      <c r="DG12" t="n">
        <v>1724.783</v>
      </c>
      <c r="DH12" t="n">
        <v>1545.13</v>
      </c>
      <c r="DI12" t="n">
        <v>21.435</v>
      </c>
      <c r="DJ12" t="n">
        <v>208.957</v>
      </c>
      <c r="DK12" t="n">
        <v>147.087</v>
      </c>
      <c r="DL12" t="n">
        <v>356.043</v>
      </c>
      <c r="DM12" t="n">
        <v>73.745</v>
      </c>
      <c r="DN12" t="n">
        <v>67.749</v>
      </c>
      <c r="DO12" t="n">
        <v>82.264</v>
      </c>
      <c r="DP12" t="n">
        <v>6.052</v>
      </c>
      <c r="DQ12" t="n">
        <v>59.087</v>
      </c>
      <c r="DR12" t="n">
        <v>33.913</v>
      </c>
      <c r="DS12" t="n">
        <v>74.85599999999999</v>
      </c>
      <c r="DT12" t="n">
        <v>5923.87</v>
      </c>
      <c r="DU12" t="n">
        <v>16.638</v>
      </c>
      <c r="DV12" t="n">
        <v>51.217</v>
      </c>
      <c r="DW12" t="n">
        <v>6.952</v>
      </c>
      <c r="DX12" t="n">
        <v>59.478</v>
      </c>
      <c r="DY12" t="n">
        <v>5.986</v>
      </c>
      <c r="DZ12" t="n">
        <v>4.43</v>
      </c>
      <c r="EA12" t="n">
        <v>3.036</v>
      </c>
      <c r="EB12" t="n">
        <v>134.739</v>
      </c>
      <c r="EC12" t="n">
        <v>219.043</v>
      </c>
      <c r="ED12" t="n">
        <v>353.783</v>
      </c>
      <c r="EE12" t="n">
        <v>38.085</v>
      </c>
      <c r="EF12" t="n">
        <v>67.739</v>
      </c>
      <c r="EG12" t="n">
        <v>92.435</v>
      </c>
      <c r="EH12" t="n">
        <v>19.174</v>
      </c>
      <c r="EI12" t="n">
        <v>23.773</v>
      </c>
      <c r="EJ12" t="n">
        <v>68.545</v>
      </c>
      <c r="EK12" t="n">
        <v>85.136</v>
      </c>
      <c r="EL12" t="n">
        <v>59.455</v>
      </c>
      <c r="EM12" t="n">
        <v>7.909</v>
      </c>
      <c r="EN12" t="n">
        <v>23.591</v>
      </c>
      <c r="EO12" t="n">
        <v>117.318</v>
      </c>
      <c r="EP12" t="n">
        <v>13.13</v>
      </c>
      <c r="EQ12" t="n">
        <v>24.609</v>
      </c>
      <c r="ER12" t="n">
        <v>37.739</v>
      </c>
      <c r="ES12" t="n">
        <v>39.455</v>
      </c>
      <c r="ET12" t="n">
        <v>77.88</v>
      </c>
      <c r="EU12" t="n">
        <v>91.39100000000001</v>
      </c>
      <c r="EV12" t="n">
        <v>10.652</v>
      </c>
      <c r="EW12" t="n">
        <v>15.043</v>
      </c>
      <c r="EX12" t="n">
        <v>25.46</v>
      </c>
      <c r="EY12" t="n">
        <v>16.087</v>
      </c>
      <c r="EZ12" t="n">
        <v>8.173999999999999</v>
      </c>
      <c r="FA12" t="n">
        <v>16.261</v>
      </c>
      <c r="FB12" t="n">
        <v>13.304</v>
      </c>
      <c r="FC12" t="n">
        <v>2.826</v>
      </c>
      <c r="FD12" t="n">
        <v>31.478</v>
      </c>
      <c r="FE12" t="n">
        <v>11.304</v>
      </c>
      <c r="FF12" t="n">
        <v>51.657</v>
      </c>
      <c r="FG12" t="n">
        <v>27.52</v>
      </c>
      <c r="FH12" t="n">
        <v>50.037</v>
      </c>
      <c r="FI12" t="n">
        <v>53.274</v>
      </c>
      <c r="FJ12" t="n">
        <v>29.087</v>
      </c>
      <c r="FK12" t="n">
        <v>102.336</v>
      </c>
      <c r="FL12" t="n">
        <v>4.527</v>
      </c>
      <c r="FM12" t="n">
        <v>3.292</v>
      </c>
      <c r="FN12" t="n">
        <v>0.146</v>
      </c>
      <c r="FO12" t="n">
        <v>3.578</v>
      </c>
      <c r="FP12" t="n">
        <v>0.272</v>
      </c>
      <c r="FQ12" t="n">
        <v>2.929</v>
      </c>
      <c r="FR12" t="n">
        <v>-0.015</v>
      </c>
      <c r="FS12" t="n">
        <v>2.652</v>
      </c>
      <c r="FT12" t="n">
        <v>43.957</v>
      </c>
      <c r="FU12" t="n">
        <v>64.261</v>
      </c>
      <c r="FV12" t="n">
        <v>43.364</v>
      </c>
      <c r="FW12" t="n">
        <v>49.864</v>
      </c>
      <c r="FX12" t="n">
        <v>17.174</v>
      </c>
      <c r="FY12" t="n">
        <v>26.053</v>
      </c>
      <c r="FZ12" t="n">
        <v>28.986</v>
      </c>
      <c r="GA12" t="n">
        <v>13.474</v>
      </c>
      <c r="GB12" t="n">
        <v>38.876</v>
      </c>
      <c r="GC12" t="n">
        <v>17.808</v>
      </c>
      <c r="GD12" t="n">
        <v>60.957</v>
      </c>
      <c r="GE12" t="n">
        <v>12.609</v>
      </c>
      <c r="GF12" t="n">
        <v>292.522</v>
      </c>
      <c r="GG12" t="n">
        <v>122.696</v>
      </c>
      <c r="GH12" t="n">
        <v>30.217</v>
      </c>
      <c r="GI12" t="n">
        <v>33.739</v>
      </c>
      <c r="GJ12" t="n">
        <v>35.002</v>
      </c>
      <c r="GK12" t="n">
        <v>8.348000000000001</v>
      </c>
      <c r="GL12" t="n">
        <v>24.742</v>
      </c>
      <c r="GM12" t="n">
        <v>2.318</v>
      </c>
      <c r="GN12" t="n">
        <v>6.609</v>
      </c>
      <c r="GO12" t="n">
        <v>85.526</v>
      </c>
      <c r="GP12" t="n">
        <v>6.696</v>
      </c>
      <c r="GQ12" t="n">
        <v>43.304</v>
      </c>
      <c r="GR12" t="n">
        <v>70.565</v>
      </c>
      <c r="GS12" t="n">
        <v>-37.796</v>
      </c>
      <c r="GT12" t="n">
        <v>-149.696</v>
      </c>
      <c r="GU12" t="n">
        <v>-60.87</v>
      </c>
      <c r="GV12" t="n">
        <v>-12.87</v>
      </c>
      <c r="GW12" t="n">
        <v>-1.435</v>
      </c>
      <c r="GX12" t="n">
        <v>-0.957</v>
      </c>
      <c r="GY12" t="n">
        <v>-2.391</v>
      </c>
      <c r="GZ12" t="n">
        <v>-13.783</v>
      </c>
      <c r="HA12" t="n">
        <v>-450.522</v>
      </c>
      <c r="HB12" t="n">
        <v>3.87</v>
      </c>
      <c r="HC12" t="n">
        <v>8.173999999999999</v>
      </c>
      <c r="HD12" t="n">
        <v>-7.439</v>
      </c>
      <c r="HE12" t="n">
        <v>-5.203</v>
      </c>
      <c r="HF12" t="n">
        <v>-5.348</v>
      </c>
      <c r="HG12" t="n">
        <v>-3.696</v>
      </c>
      <c r="HH12" t="n">
        <v>-9.042999999999999</v>
      </c>
      <c r="HI12" t="n">
        <v>-8.042999999999999</v>
      </c>
      <c r="HJ12" t="n">
        <v>-4.826</v>
      </c>
      <c r="HK12" t="n">
        <v>-6.261</v>
      </c>
      <c r="HL12" t="n">
        <v>-0.273</v>
      </c>
      <c r="HM12" t="n">
        <v>-3.955</v>
      </c>
      <c r="HN12" t="n">
        <v>-6.682</v>
      </c>
      <c r="HO12" t="n">
        <v>-2.636</v>
      </c>
      <c r="HP12" t="n">
        <v>0.909</v>
      </c>
      <c r="HQ12" t="n">
        <v>-1.773</v>
      </c>
      <c r="HR12" t="n">
        <v>-0.045</v>
      </c>
      <c r="HS12" t="n">
        <v>-0.478</v>
      </c>
      <c r="HT12" t="n">
        <v>-0.391</v>
      </c>
      <c r="HU12" t="n">
        <v>-0.87</v>
      </c>
      <c r="HV12" t="n">
        <v>3.136</v>
      </c>
      <c r="HW12" t="n">
        <v>-2.957</v>
      </c>
      <c r="HX12" t="n">
        <v>-1.739</v>
      </c>
      <c r="HY12" t="n">
        <v>-5.348</v>
      </c>
      <c r="HZ12" t="n">
        <v>-3.478</v>
      </c>
      <c r="IA12" t="n">
        <v>-2.087</v>
      </c>
      <c r="IB12" t="n">
        <v>-5.652</v>
      </c>
      <c r="IC12" t="n">
        <v>-6.565</v>
      </c>
      <c r="ID12" t="n">
        <v>-12.652</v>
      </c>
      <c r="IE12" t="n">
        <v>-3.826</v>
      </c>
      <c r="IF12" t="n">
        <v>-11.913</v>
      </c>
      <c r="IG12" t="n">
        <v>-37.499</v>
      </c>
      <c r="IH12" t="n">
        <v>0.771</v>
      </c>
      <c r="II12" t="n">
        <v>0.089</v>
      </c>
      <c r="IJ12" t="n">
        <v>-0.913</v>
      </c>
      <c r="IK12" t="n">
        <v>-17.087</v>
      </c>
      <c r="IL12" t="n">
        <v>-22.478</v>
      </c>
      <c r="IM12" t="n">
        <v>-15.818</v>
      </c>
      <c r="IN12" t="n">
        <v>-15.682</v>
      </c>
      <c r="IO12" t="n">
        <v>-7.391</v>
      </c>
      <c r="IP12" t="n">
        <v>-2.13</v>
      </c>
      <c r="IQ12" t="n">
        <v>-4.174</v>
      </c>
      <c r="IR12" t="n">
        <v>-2.391</v>
      </c>
      <c r="IS12" t="n">
        <v>31.522</v>
      </c>
      <c r="IT12" t="n">
        <v>-1.13</v>
      </c>
      <c r="IU12" t="n">
        <v>6.304</v>
      </c>
      <c r="IV12" t="n">
        <v>1.522</v>
      </c>
      <c r="IW12" t="n">
        <v>2.364</v>
      </c>
      <c r="IX12" t="n">
        <v>-1.391</v>
      </c>
      <c r="IY12" t="n">
        <v>-3.957</v>
      </c>
      <c r="IZ12" t="n">
        <v>-0.478</v>
      </c>
    </row>
    <row r="13">
      <c r="A13" t="inlineStr">
        <is>
          <t>St Kilda</t>
        </is>
      </c>
      <c r="B13" t="inlineStr">
        <is>
          <t>St K</t>
        </is>
      </c>
      <c r="C13" t="n">
        <v>23</v>
      </c>
      <c r="D13" t="n">
        <v>38</v>
      </c>
      <c r="E13" t="n">
        <v>25.628</v>
      </c>
      <c r="F13" t="n">
        <v>100.178</v>
      </c>
      <c r="G13" t="n">
        <v>200.965</v>
      </c>
      <c r="H13" t="n">
        <v>1644.652</v>
      </c>
      <c r="I13" t="n">
        <v>1577</v>
      </c>
      <c r="J13" t="n">
        <v>13.174</v>
      </c>
      <c r="K13" t="n">
        <v>50.412</v>
      </c>
      <c r="L13" t="n">
        <v>226.478</v>
      </c>
      <c r="M13" t="n">
        <v>137.913</v>
      </c>
      <c r="N13" t="n">
        <v>364.391</v>
      </c>
      <c r="O13" t="n">
        <v>72.64</v>
      </c>
      <c r="P13" t="n">
        <v>66.827</v>
      </c>
      <c r="Q13" t="n">
        <v>82.188</v>
      </c>
      <c r="R13" t="n">
        <v>62.152</v>
      </c>
      <c r="S13" t="n">
        <v>6.095</v>
      </c>
      <c r="T13" t="n">
        <v>49</v>
      </c>
      <c r="U13" t="n">
        <v>37.87</v>
      </c>
      <c r="V13" t="n">
        <v>75.608</v>
      </c>
      <c r="W13" t="n">
        <v>5792.217</v>
      </c>
      <c r="X13" t="n">
        <v>15.896</v>
      </c>
      <c r="Y13" t="n">
        <v>56.217</v>
      </c>
      <c r="Z13" t="n">
        <v>6.482</v>
      </c>
      <c r="AA13" t="n">
        <v>67.304</v>
      </c>
      <c r="AB13" t="n">
        <v>5.414</v>
      </c>
      <c r="AC13" t="n">
        <v>1.63</v>
      </c>
      <c r="AD13" t="n">
        <v>2.287</v>
      </c>
      <c r="AE13" t="n">
        <v>130.87</v>
      </c>
      <c r="AF13" t="n">
        <v>225.696</v>
      </c>
      <c r="AG13" t="n">
        <v>356.565</v>
      </c>
      <c r="AH13" t="n">
        <v>36.703</v>
      </c>
      <c r="AI13" t="n">
        <v>66.435</v>
      </c>
      <c r="AJ13" t="n">
        <v>91.39100000000001</v>
      </c>
      <c r="AK13" t="n">
        <v>15.913</v>
      </c>
      <c r="AL13" t="n">
        <v>24.087</v>
      </c>
      <c r="AM13" t="n">
        <v>67.348</v>
      </c>
      <c r="AN13" t="n">
        <v>85.739</v>
      </c>
      <c r="AO13" t="n">
        <v>62.435</v>
      </c>
      <c r="AP13" t="n">
        <v>6.652</v>
      </c>
      <c r="AQ13" t="n">
        <v>25</v>
      </c>
      <c r="AR13" t="n">
        <v>109.696</v>
      </c>
      <c r="AS13" t="n">
        <v>10.043</v>
      </c>
      <c r="AT13" t="n">
        <v>23.783</v>
      </c>
      <c r="AU13" t="n">
        <v>33.826</v>
      </c>
      <c r="AV13" t="n">
        <v>36.348</v>
      </c>
      <c r="AW13" t="n">
        <v>76.675</v>
      </c>
      <c r="AX13" t="n">
        <v>104.609</v>
      </c>
      <c r="AY13" t="n">
        <v>9.913</v>
      </c>
      <c r="AZ13" t="n">
        <v>12.478</v>
      </c>
      <c r="BA13" t="n">
        <v>25.466</v>
      </c>
      <c r="BB13" t="n">
        <v>15.261</v>
      </c>
      <c r="BC13" t="n">
        <v>6.087</v>
      </c>
      <c r="BD13" t="n">
        <v>27</v>
      </c>
      <c r="BE13" t="n">
        <v>6.957</v>
      </c>
      <c r="BF13" t="n">
        <v>11.043</v>
      </c>
      <c r="BG13" t="n">
        <v>9.739000000000001</v>
      </c>
      <c r="BH13" t="n">
        <v>2.348</v>
      </c>
      <c r="BI13" t="n">
        <v>23.087</v>
      </c>
      <c r="BJ13" t="n">
        <v>8</v>
      </c>
      <c r="BK13" t="n">
        <v>47.834</v>
      </c>
      <c r="BL13" t="n">
        <v>22.538</v>
      </c>
      <c r="BM13" t="n">
        <v>42.413</v>
      </c>
      <c r="BN13" t="n">
        <v>47.116</v>
      </c>
      <c r="BO13" t="n">
        <v>20.609</v>
      </c>
      <c r="BP13" t="n">
        <v>11.304</v>
      </c>
      <c r="BQ13" t="n">
        <v>26.923</v>
      </c>
      <c r="BR13" t="n">
        <v>77.381</v>
      </c>
      <c r="BS13" t="n">
        <v>-3.729</v>
      </c>
      <c r="BT13" t="n">
        <v>3.352</v>
      </c>
      <c r="BU13" t="n">
        <v>-0.162</v>
      </c>
      <c r="BV13" t="n">
        <v>3.592</v>
      </c>
      <c r="BW13" t="n">
        <v>-0.174</v>
      </c>
      <c r="BX13" t="n">
        <v>3.012</v>
      </c>
      <c r="BY13" t="n">
        <v>-0.144</v>
      </c>
      <c r="BZ13" t="n">
        <v>2.261</v>
      </c>
      <c r="CA13" t="n">
        <v>23.304</v>
      </c>
      <c r="CB13" t="n">
        <v>50.435</v>
      </c>
      <c r="CC13" t="n">
        <v>37.174</v>
      </c>
      <c r="CD13" t="n">
        <v>31.478</v>
      </c>
      <c r="CE13" t="n">
        <v>7.348</v>
      </c>
      <c r="CF13" t="n">
        <v>19.059</v>
      </c>
      <c r="CG13" t="n">
        <v>24.567</v>
      </c>
      <c r="CH13" t="n">
        <v>10.846</v>
      </c>
      <c r="CI13" t="n">
        <v>32.307</v>
      </c>
      <c r="CJ13" t="n">
        <v>13.565</v>
      </c>
      <c r="CK13" t="n">
        <v>10.696</v>
      </c>
      <c r="CL13" t="n">
        <v>26.016</v>
      </c>
      <c r="CM13" t="n">
        <v>59.696</v>
      </c>
      <c r="CN13" t="n">
        <v>11.043</v>
      </c>
      <c r="CO13" t="n">
        <v>294.739</v>
      </c>
      <c r="CP13" t="n">
        <v>139.13</v>
      </c>
      <c r="CQ13" t="n">
        <v>29.957</v>
      </c>
      <c r="CR13" t="n">
        <v>88.82599999999999</v>
      </c>
      <c r="CS13" t="n">
        <v>29.565</v>
      </c>
      <c r="CT13" t="n">
        <v>33.284</v>
      </c>
      <c r="CU13" t="n">
        <v>7.522</v>
      </c>
      <c r="CV13" t="n">
        <v>25.441</v>
      </c>
      <c r="CW13" t="n">
        <v>3.478</v>
      </c>
      <c r="CX13" t="n">
        <v>17.174</v>
      </c>
      <c r="CY13" t="n">
        <v>17.174</v>
      </c>
      <c r="CZ13" t="n">
        <v>0</v>
      </c>
      <c r="DA13" t="n">
        <v>10.174</v>
      </c>
      <c r="DB13" t="n">
        <v>93.59</v>
      </c>
      <c r="DC13" t="n">
        <v>5.565</v>
      </c>
      <c r="DD13" t="n">
        <v>42.652</v>
      </c>
      <c r="DE13" t="n">
        <v>70.47799999999999</v>
      </c>
      <c r="DF13" t="n">
        <v>201.391</v>
      </c>
      <c r="DG13" t="n">
        <v>1655.391</v>
      </c>
      <c r="DH13" t="n">
        <v>1560.609</v>
      </c>
      <c r="DI13" t="n">
        <v>16.826</v>
      </c>
      <c r="DJ13" t="n">
        <v>220.304</v>
      </c>
      <c r="DK13" t="n">
        <v>140.478</v>
      </c>
      <c r="DL13" t="n">
        <v>360.783</v>
      </c>
      <c r="DM13" t="n">
        <v>74.331</v>
      </c>
      <c r="DN13" t="n">
        <v>68.877</v>
      </c>
      <c r="DO13" t="n">
        <v>82.88500000000001</v>
      </c>
      <c r="DP13" t="n">
        <v>6.044</v>
      </c>
      <c r="DQ13" t="n">
        <v>50.087</v>
      </c>
      <c r="DR13" t="n">
        <v>37.391</v>
      </c>
      <c r="DS13" t="n">
        <v>76.309</v>
      </c>
      <c r="DT13" t="n">
        <v>5790.435</v>
      </c>
      <c r="DU13" t="n">
        <v>16.05</v>
      </c>
      <c r="DV13" t="n">
        <v>52.348</v>
      </c>
      <c r="DW13" t="n">
        <v>6.892</v>
      </c>
      <c r="DX13" t="n">
        <v>66.435</v>
      </c>
      <c r="DY13" t="n">
        <v>5.431</v>
      </c>
      <c r="DZ13" t="n">
        <v>0.26</v>
      </c>
      <c r="EA13" t="n">
        <v>0.067</v>
      </c>
      <c r="EB13" t="n">
        <v>127.957</v>
      </c>
      <c r="EC13" t="n">
        <v>223.261</v>
      </c>
      <c r="ED13" t="n">
        <v>351.217</v>
      </c>
      <c r="EE13" t="n">
        <v>36.432</v>
      </c>
      <c r="EF13" t="n">
        <v>67.47799999999999</v>
      </c>
      <c r="EG13" t="n">
        <v>86.435</v>
      </c>
      <c r="EH13" t="n">
        <v>14.13</v>
      </c>
      <c r="EI13" t="n">
        <v>24.087</v>
      </c>
      <c r="EJ13" t="n">
        <v>62.304</v>
      </c>
      <c r="EK13" t="n">
        <v>82.652</v>
      </c>
      <c r="EL13" t="n">
        <v>59.565</v>
      </c>
      <c r="EM13" t="n">
        <v>9.260999999999999</v>
      </c>
      <c r="EN13" t="n">
        <v>22.478</v>
      </c>
      <c r="EO13" t="n">
        <v>113.435</v>
      </c>
      <c r="EP13" t="n">
        <v>10.957</v>
      </c>
      <c r="EQ13" t="n">
        <v>23.696</v>
      </c>
      <c r="ER13" t="n">
        <v>34.652</v>
      </c>
      <c r="ES13" t="n">
        <v>38.217</v>
      </c>
      <c r="ET13" t="n">
        <v>76.56399999999999</v>
      </c>
      <c r="EU13" t="n">
        <v>100.13</v>
      </c>
      <c r="EV13" t="n">
        <v>9.913</v>
      </c>
      <c r="EW13" t="n">
        <v>11.696</v>
      </c>
      <c r="EX13" t="n">
        <v>23.351</v>
      </c>
      <c r="EY13" t="n">
        <v>16.478</v>
      </c>
      <c r="EZ13" t="n">
        <v>7.348</v>
      </c>
      <c r="FA13" t="n">
        <v>11</v>
      </c>
      <c r="FB13" t="n">
        <v>10.435</v>
      </c>
      <c r="FC13" t="n">
        <v>1.913</v>
      </c>
      <c r="FD13" t="n">
        <v>23.609</v>
      </c>
      <c r="FE13" t="n">
        <v>8.042999999999999</v>
      </c>
      <c r="FF13" t="n">
        <v>46.593</v>
      </c>
      <c r="FG13" t="n">
        <v>21.962</v>
      </c>
      <c r="FH13" t="n">
        <v>42.795</v>
      </c>
      <c r="FI13" t="n">
        <v>47.135</v>
      </c>
      <c r="FJ13" t="n">
        <v>21</v>
      </c>
      <c r="FK13" t="n">
        <v>76.33499999999999</v>
      </c>
      <c r="FL13" t="n">
        <v>-1.813</v>
      </c>
      <c r="FM13" t="n">
        <v>3.233</v>
      </c>
      <c r="FN13" t="n">
        <v>-0.077</v>
      </c>
      <c r="FO13" t="n">
        <v>3.511</v>
      </c>
      <c r="FP13" t="n">
        <v>-0.196</v>
      </c>
      <c r="FQ13" t="n">
        <v>2.877</v>
      </c>
      <c r="FR13" t="n">
        <v>0.077</v>
      </c>
      <c r="FS13" t="n">
        <v>3.435</v>
      </c>
      <c r="FT13" t="n">
        <v>28.478</v>
      </c>
      <c r="FU13" t="n">
        <v>44.522</v>
      </c>
      <c r="FV13" t="n">
        <v>31.957</v>
      </c>
      <c r="FW13" t="n">
        <v>34.652</v>
      </c>
      <c r="FX13" t="n">
        <v>9.826000000000001</v>
      </c>
      <c r="FY13" t="n">
        <v>19.182</v>
      </c>
      <c r="FZ13" t="n">
        <v>22.388</v>
      </c>
      <c r="GA13" t="n">
        <v>9.08</v>
      </c>
      <c r="GB13" t="n">
        <v>31.654</v>
      </c>
      <c r="GC13" t="n">
        <v>12.945</v>
      </c>
      <c r="GD13" t="n">
        <v>59.783</v>
      </c>
      <c r="GE13" t="n">
        <v>9.042999999999999</v>
      </c>
      <c r="GF13" t="n">
        <v>286.957</v>
      </c>
      <c r="GG13" t="n">
        <v>128.739</v>
      </c>
      <c r="GH13" t="n">
        <v>31.043</v>
      </c>
      <c r="GI13" t="n">
        <v>38.913</v>
      </c>
      <c r="GJ13" t="n">
        <v>43.701</v>
      </c>
      <c r="GK13" t="n">
        <v>10.565</v>
      </c>
      <c r="GL13" t="n">
        <v>27.151</v>
      </c>
      <c r="GM13" t="n">
        <v>2.87</v>
      </c>
      <c r="GN13" t="n">
        <v>9.739000000000001</v>
      </c>
      <c r="GO13" t="n">
        <v>87.054</v>
      </c>
      <c r="GP13" t="n">
        <v>7.043</v>
      </c>
      <c r="GQ13" t="n">
        <v>42.522</v>
      </c>
      <c r="GR13" t="n">
        <v>68.913</v>
      </c>
      <c r="GS13" t="n">
        <v>-0.426</v>
      </c>
      <c r="GT13" t="n">
        <v>-10.739</v>
      </c>
      <c r="GU13" t="n">
        <v>16.391</v>
      </c>
      <c r="GV13" t="n">
        <v>-3.652</v>
      </c>
      <c r="GW13" t="n">
        <v>6.174</v>
      </c>
      <c r="GX13" t="n">
        <v>-2.565</v>
      </c>
      <c r="GY13" t="n">
        <v>3.609</v>
      </c>
      <c r="GZ13" t="n">
        <v>-1.087</v>
      </c>
      <c r="HA13" t="n">
        <v>1.783</v>
      </c>
      <c r="HB13" t="n">
        <v>3.87</v>
      </c>
      <c r="HC13" t="n">
        <v>0.87</v>
      </c>
      <c r="HD13" t="n">
        <v>1.37</v>
      </c>
      <c r="HE13" t="n">
        <v>2.22</v>
      </c>
      <c r="HF13" t="n">
        <v>2.913</v>
      </c>
      <c r="HG13" t="n">
        <v>2.435</v>
      </c>
      <c r="HH13" t="n">
        <v>5.348</v>
      </c>
      <c r="HI13" t="n">
        <v>-1.043</v>
      </c>
      <c r="HJ13" t="n">
        <v>4.957</v>
      </c>
      <c r="HK13" t="n">
        <v>1.783</v>
      </c>
      <c r="HL13" t="n">
        <v>0</v>
      </c>
      <c r="HM13" t="n">
        <v>5.043</v>
      </c>
      <c r="HN13" t="n">
        <v>3.087</v>
      </c>
      <c r="HO13" t="n">
        <v>2.87</v>
      </c>
      <c r="HP13" t="n">
        <v>-2.609</v>
      </c>
      <c r="HQ13" t="n">
        <v>2.522</v>
      </c>
      <c r="HR13" t="n">
        <v>-3.739</v>
      </c>
      <c r="HS13" t="n">
        <v>-0.913</v>
      </c>
      <c r="HT13" t="n">
        <v>0.08699999999999999</v>
      </c>
      <c r="HU13" t="n">
        <v>-0.826</v>
      </c>
      <c r="HV13" t="n">
        <v>-1.87</v>
      </c>
      <c r="HW13" t="n">
        <v>4.478</v>
      </c>
      <c r="HX13" t="n">
        <v>0</v>
      </c>
      <c r="HY13" t="n">
        <v>0.783</v>
      </c>
      <c r="HZ13" t="n">
        <v>-1.217</v>
      </c>
      <c r="IA13" t="n">
        <v>-1.261</v>
      </c>
      <c r="IB13" t="n">
        <v>0.043</v>
      </c>
      <c r="IC13" t="n">
        <v>-0.696</v>
      </c>
      <c r="ID13" t="n">
        <v>-0.522</v>
      </c>
      <c r="IE13" t="n">
        <v>-0.043</v>
      </c>
      <c r="IF13" t="n">
        <v>-0.391</v>
      </c>
      <c r="IG13" t="n">
        <v>1.046</v>
      </c>
      <c r="IH13" t="n">
        <v>-1.916</v>
      </c>
      <c r="II13" t="n">
        <v>0.118</v>
      </c>
      <c r="IJ13" t="n">
        <v>-1.174</v>
      </c>
      <c r="IK13" t="n">
        <v>-5.174</v>
      </c>
      <c r="IL13" t="n">
        <v>5.913</v>
      </c>
      <c r="IM13" t="n">
        <v>5.217</v>
      </c>
      <c r="IN13" t="n">
        <v>-3.174</v>
      </c>
      <c r="IO13" t="n">
        <v>-2.478</v>
      </c>
      <c r="IP13" t="n">
        <v>-0.08699999999999999</v>
      </c>
      <c r="IQ13" t="n">
        <v>2</v>
      </c>
      <c r="IR13" t="n">
        <v>7.783</v>
      </c>
      <c r="IS13" t="n">
        <v>10.391</v>
      </c>
      <c r="IT13" t="n">
        <v>-1.087</v>
      </c>
      <c r="IU13" t="n">
        <v>-9.348000000000001</v>
      </c>
      <c r="IV13" t="n">
        <v>-3.043</v>
      </c>
      <c r="IW13" t="n">
        <v>0.609</v>
      </c>
      <c r="IX13" t="n">
        <v>-1.478</v>
      </c>
      <c r="IY13" t="n">
        <v>0.13</v>
      </c>
      <c r="IZ13" t="n">
        <v>1.565</v>
      </c>
    </row>
    <row r="14">
      <c r="A14" t="inlineStr">
        <is>
          <t>Geelong</t>
        </is>
      </c>
      <c r="B14" t="inlineStr">
        <is>
          <t>Geel</t>
        </is>
      </c>
      <c r="C14" t="n">
        <v>25</v>
      </c>
      <c r="D14" t="n">
        <v>35</v>
      </c>
      <c r="E14" t="n">
        <v>27.066</v>
      </c>
      <c r="F14" t="n">
        <v>128.381</v>
      </c>
      <c r="G14" t="n">
        <v>220.476</v>
      </c>
      <c r="H14" t="n">
        <v>1645.6</v>
      </c>
      <c r="I14" t="n">
        <v>1532.72</v>
      </c>
      <c r="J14" t="n">
        <v>17.12</v>
      </c>
      <c r="K14" t="n">
        <v>51.494</v>
      </c>
      <c r="L14" t="n">
        <v>215.88</v>
      </c>
      <c r="M14" t="n">
        <v>134.52</v>
      </c>
      <c r="N14" t="n">
        <v>350.4</v>
      </c>
      <c r="O14" t="n">
        <v>69.63500000000001</v>
      </c>
      <c r="P14" t="n">
        <v>64.017</v>
      </c>
      <c r="Q14" t="n">
        <v>78.65000000000001</v>
      </c>
      <c r="R14" t="n">
        <v>61.61</v>
      </c>
      <c r="S14" t="n">
        <v>5.371</v>
      </c>
      <c r="T14" t="n">
        <v>54.64</v>
      </c>
      <c r="U14" t="n">
        <v>39.52</v>
      </c>
      <c r="V14" t="n">
        <v>75.248</v>
      </c>
      <c r="W14" t="n">
        <v>6208.04</v>
      </c>
      <c r="X14" t="n">
        <v>17.717</v>
      </c>
      <c r="Y14" t="n">
        <v>58.92</v>
      </c>
      <c r="Z14" t="n">
        <v>5.947</v>
      </c>
      <c r="AA14" t="n">
        <v>67.52</v>
      </c>
      <c r="AB14" t="n">
        <v>5.19</v>
      </c>
      <c r="AC14" t="n">
        <v>0.462</v>
      </c>
      <c r="AD14" t="n">
        <v>1.169</v>
      </c>
      <c r="AE14" t="n">
        <v>135.64</v>
      </c>
      <c r="AF14" t="n">
        <v>203</v>
      </c>
      <c r="AG14" t="n">
        <v>338.64</v>
      </c>
      <c r="AH14" t="n">
        <v>40.054</v>
      </c>
      <c r="AI14" t="n">
        <v>71.28</v>
      </c>
      <c r="AJ14" t="n">
        <v>95.52</v>
      </c>
      <c r="AK14" t="n">
        <v>16.6</v>
      </c>
      <c r="AL14" t="n">
        <v>24.16</v>
      </c>
      <c r="AM14" t="n">
        <v>71.40000000000001</v>
      </c>
      <c r="AN14" t="n">
        <v>84.88</v>
      </c>
      <c r="AO14" t="n">
        <v>62.24</v>
      </c>
      <c r="AP14" t="n">
        <v>7.52</v>
      </c>
      <c r="AQ14" t="n">
        <v>24.08</v>
      </c>
      <c r="AR14" t="n">
        <v>102.36</v>
      </c>
      <c r="AS14" t="n">
        <v>12.96</v>
      </c>
      <c r="AT14" t="n">
        <v>26.08</v>
      </c>
      <c r="AU14" t="n">
        <v>39.04</v>
      </c>
      <c r="AV14" t="n">
        <v>42.72</v>
      </c>
      <c r="AW14" t="n">
        <v>75.562</v>
      </c>
      <c r="AX14" t="n">
        <v>88.04000000000001</v>
      </c>
      <c r="AY14" t="n">
        <v>9.76</v>
      </c>
      <c r="AZ14" t="n">
        <v>13.4</v>
      </c>
      <c r="BA14" t="n">
        <v>24.524</v>
      </c>
      <c r="BB14" t="n">
        <v>16.92</v>
      </c>
      <c r="BC14" t="n">
        <v>6</v>
      </c>
      <c r="BD14" t="n">
        <v>28</v>
      </c>
      <c r="BE14" t="n">
        <v>8.52</v>
      </c>
      <c r="BF14" t="n">
        <v>14.12</v>
      </c>
      <c r="BG14" t="n">
        <v>10.76</v>
      </c>
      <c r="BH14" t="n">
        <v>2.36</v>
      </c>
      <c r="BI14" t="n">
        <v>26.96</v>
      </c>
      <c r="BJ14" t="n">
        <v>9.800000000000001</v>
      </c>
      <c r="BK14" t="n">
        <v>52.374</v>
      </c>
      <c r="BL14" t="n">
        <v>25.842</v>
      </c>
      <c r="BM14" t="n">
        <v>45.534</v>
      </c>
      <c r="BN14" t="n">
        <v>49.341</v>
      </c>
      <c r="BO14" t="n">
        <v>24.76</v>
      </c>
      <c r="BP14" t="n">
        <v>11.12</v>
      </c>
      <c r="BQ14" t="n">
        <v>25.899</v>
      </c>
      <c r="BR14" t="n">
        <v>87.803</v>
      </c>
      <c r="BS14" t="n">
        <v>5.317</v>
      </c>
      <c r="BT14" t="n">
        <v>3.257</v>
      </c>
      <c r="BU14" t="n">
        <v>0.197</v>
      </c>
      <c r="BV14" t="n">
        <v>3.514</v>
      </c>
      <c r="BW14" t="n">
        <v>0.007</v>
      </c>
      <c r="BX14" t="n">
        <v>2.963</v>
      </c>
      <c r="BY14" t="n">
        <v>0.414</v>
      </c>
      <c r="BZ14" t="n">
        <v>5.64</v>
      </c>
      <c r="CA14" t="n">
        <v>39.32</v>
      </c>
      <c r="CB14" t="n">
        <v>50.52</v>
      </c>
      <c r="CC14" t="n">
        <v>37.24</v>
      </c>
      <c r="CD14" t="n">
        <v>44.04</v>
      </c>
      <c r="CE14" t="n">
        <v>14.2</v>
      </c>
      <c r="CF14" t="n">
        <v>20.914</v>
      </c>
      <c r="CG14" t="n">
        <v>22.189</v>
      </c>
      <c r="CH14" t="n">
        <v>10.563</v>
      </c>
      <c r="CI14" t="n">
        <v>30.319</v>
      </c>
      <c r="CJ14" t="n">
        <v>12.885</v>
      </c>
      <c r="CK14" t="n">
        <v>10.2</v>
      </c>
      <c r="CL14" t="n">
        <v>24.314</v>
      </c>
      <c r="CM14" t="n">
        <v>63.64</v>
      </c>
      <c r="CN14" t="n">
        <v>10.76</v>
      </c>
      <c r="CO14" t="n">
        <v>304.4</v>
      </c>
      <c r="CP14" t="n">
        <v>142.72</v>
      </c>
      <c r="CQ14" t="n">
        <v>31.76</v>
      </c>
      <c r="CR14" t="n">
        <v>103.72</v>
      </c>
      <c r="CS14" t="n">
        <v>37.64</v>
      </c>
      <c r="CT14" t="n">
        <v>36.29</v>
      </c>
      <c r="CU14" t="n">
        <v>8.800000000000001</v>
      </c>
      <c r="CV14" t="n">
        <v>23.379</v>
      </c>
      <c r="CW14" t="n">
        <v>2.72</v>
      </c>
      <c r="CX14" t="n">
        <v>16.28</v>
      </c>
      <c r="CY14" t="n">
        <v>16.56</v>
      </c>
      <c r="CZ14" t="n">
        <v>-0.28</v>
      </c>
      <c r="DA14" t="n">
        <v>10.24</v>
      </c>
      <c r="DB14" t="n">
        <v>85.15600000000001</v>
      </c>
      <c r="DC14" t="n">
        <v>6.64</v>
      </c>
      <c r="DD14" t="n">
        <v>45.84</v>
      </c>
      <c r="DE14" t="n">
        <v>69.23999999999999</v>
      </c>
      <c r="DF14" t="n">
        <v>213.672</v>
      </c>
      <c r="DG14" t="n">
        <v>1654.68</v>
      </c>
      <c r="DH14" t="n">
        <v>1577.04</v>
      </c>
      <c r="DI14" t="n">
        <v>12.88</v>
      </c>
      <c r="DJ14" t="n">
        <v>219.6</v>
      </c>
      <c r="DK14" t="n">
        <v>143.72</v>
      </c>
      <c r="DL14" t="n">
        <v>363.32</v>
      </c>
      <c r="DM14" t="n">
        <v>70.836</v>
      </c>
      <c r="DN14" t="n">
        <v>64.098</v>
      </c>
      <c r="DO14" t="n">
        <v>81.13</v>
      </c>
      <c r="DP14" t="n">
        <v>5.709</v>
      </c>
      <c r="DQ14" t="n">
        <v>52.52</v>
      </c>
      <c r="DR14" t="n">
        <v>39.72</v>
      </c>
      <c r="DS14" t="n">
        <v>72.694</v>
      </c>
      <c r="DT14" t="n">
        <v>6118.96</v>
      </c>
      <c r="DU14" t="n">
        <v>16.842</v>
      </c>
      <c r="DV14" t="n">
        <v>58.44</v>
      </c>
      <c r="DW14" t="n">
        <v>6.217</v>
      </c>
      <c r="DX14" t="n">
        <v>71.12</v>
      </c>
      <c r="DY14" t="n">
        <v>5.109</v>
      </c>
      <c r="DZ14" t="n">
        <v>-0.976</v>
      </c>
      <c r="EA14" t="n">
        <v>-1.675</v>
      </c>
      <c r="EB14" t="n">
        <v>136.72</v>
      </c>
      <c r="EC14" t="n">
        <v>216.68</v>
      </c>
      <c r="ED14" t="n">
        <v>353.4</v>
      </c>
      <c r="EE14" t="n">
        <v>38.687</v>
      </c>
      <c r="EF14" t="n">
        <v>67.56</v>
      </c>
      <c r="EG14" t="n">
        <v>91.23999999999999</v>
      </c>
      <c r="EH14" t="n">
        <v>15.32</v>
      </c>
      <c r="EI14" t="n">
        <v>24.12</v>
      </c>
      <c r="EJ14" t="n">
        <v>67.12</v>
      </c>
      <c r="EK14" t="n">
        <v>82.04000000000001</v>
      </c>
      <c r="EL14" t="n">
        <v>58.96</v>
      </c>
      <c r="EM14" t="n">
        <v>11.24</v>
      </c>
      <c r="EN14" t="n">
        <v>22.88</v>
      </c>
      <c r="EO14" t="n">
        <v>113.2</v>
      </c>
      <c r="EP14" t="n">
        <v>12.64</v>
      </c>
      <c r="EQ14" t="n">
        <v>28.16</v>
      </c>
      <c r="ER14" t="n">
        <v>40.8</v>
      </c>
      <c r="ES14" t="n">
        <v>46.04</v>
      </c>
      <c r="ET14" t="n">
        <v>74.80500000000001</v>
      </c>
      <c r="EU14" t="n">
        <v>91.95999999999999</v>
      </c>
      <c r="EV14" t="n">
        <v>10.04</v>
      </c>
      <c r="EW14" t="n">
        <v>11.8</v>
      </c>
      <c r="EX14" t="n">
        <v>22.468</v>
      </c>
      <c r="EY14" t="n">
        <v>16.6</v>
      </c>
      <c r="EZ14" t="n">
        <v>5</v>
      </c>
      <c r="FA14" t="n">
        <v>12.12</v>
      </c>
      <c r="FB14" t="n">
        <v>10.36</v>
      </c>
      <c r="FC14" t="n">
        <v>2.48</v>
      </c>
      <c r="FD14" t="n">
        <v>24.4</v>
      </c>
      <c r="FE14" t="n">
        <v>8.800000000000001</v>
      </c>
      <c r="FF14" t="n">
        <v>49.672</v>
      </c>
      <c r="FG14" t="n">
        <v>23.077</v>
      </c>
      <c r="FH14" t="n">
        <v>42.803</v>
      </c>
      <c r="FI14" t="n">
        <v>46.458</v>
      </c>
      <c r="FJ14" t="n">
        <v>22.08</v>
      </c>
      <c r="FK14" t="n">
        <v>78.81399999999999</v>
      </c>
      <c r="FL14" t="n">
        <v>1.786</v>
      </c>
      <c r="FM14" t="n">
        <v>3.23</v>
      </c>
      <c r="FN14" t="n">
        <v>0.073</v>
      </c>
      <c r="FO14" t="n">
        <v>3.579</v>
      </c>
      <c r="FP14" t="n">
        <v>-0.014</v>
      </c>
      <c r="FQ14" t="n">
        <v>2.874</v>
      </c>
      <c r="FR14" t="n">
        <v>0.162</v>
      </c>
      <c r="FS14" t="n">
        <v>2.8</v>
      </c>
      <c r="FT14" t="n">
        <v>35.48</v>
      </c>
      <c r="FU14" t="n">
        <v>44.8</v>
      </c>
      <c r="FV14" t="n">
        <v>33.24</v>
      </c>
      <c r="FW14" t="n">
        <v>38.24</v>
      </c>
      <c r="FX14" t="n">
        <v>11.6</v>
      </c>
      <c r="FY14" t="n">
        <v>18.976</v>
      </c>
      <c r="FZ14" t="n">
        <v>21.218</v>
      </c>
      <c r="GA14" t="n">
        <v>8.840999999999999</v>
      </c>
      <c r="GB14" t="n">
        <v>30.061</v>
      </c>
      <c r="GC14" t="n">
        <v>12.081</v>
      </c>
      <c r="GD14" t="n">
        <v>65.23999999999999</v>
      </c>
      <c r="GE14" t="n">
        <v>13.16</v>
      </c>
      <c r="GF14" t="n">
        <v>301.04</v>
      </c>
      <c r="GG14" t="n">
        <v>150.92</v>
      </c>
      <c r="GH14" t="n">
        <v>30.4</v>
      </c>
      <c r="GI14" t="n">
        <v>45.4</v>
      </c>
      <c r="GJ14" t="n">
        <v>43.789</v>
      </c>
      <c r="GK14" t="n">
        <v>12.88</v>
      </c>
      <c r="GL14" t="n">
        <v>28.37</v>
      </c>
      <c r="GM14" t="n">
        <v>4.4</v>
      </c>
      <c r="GN14" t="n">
        <v>10.6</v>
      </c>
      <c r="GO14" t="n">
        <v>91.321</v>
      </c>
      <c r="GP14" t="n">
        <v>4.48</v>
      </c>
      <c r="GQ14" t="n">
        <v>43.44</v>
      </c>
      <c r="GR14" t="n">
        <v>71</v>
      </c>
      <c r="GS14" t="n">
        <v>6.804</v>
      </c>
      <c r="GT14" t="n">
        <v>-9.08</v>
      </c>
      <c r="GU14" t="n">
        <v>-44.32</v>
      </c>
      <c r="GV14" t="n">
        <v>4.24</v>
      </c>
      <c r="GW14" t="n">
        <v>-3.72</v>
      </c>
      <c r="GX14" t="n">
        <v>-9.199999999999999</v>
      </c>
      <c r="GY14" t="n">
        <v>-12.92</v>
      </c>
      <c r="GZ14" t="n">
        <v>2.12</v>
      </c>
      <c r="HA14" t="n">
        <v>89.08</v>
      </c>
      <c r="HB14" t="n">
        <v>0.48</v>
      </c>
      <c r="HC14" t="n">
        <v>-3.6</v>
      </c>
      <c r="HD14" t="n">
        <v>1.439</v>
      </c>
      <c r="HE14" t="n">
        <v>2.844</v>
      </c>
      <c r="HF14" t="n">
        <v>-1.08</v>
      </c>
      <c r="HG14" t="n">
        <v>-13.68</v>
      </c>
      <c r="HH14" t="n">
        <v>-14.76</v>
      </c>
      <c r="HI14" t="n">
        <v>3.72</v>
      </c>
      <c r="HJ14" t="n">
        <v>4.28</v>
      </c>
      <c r="HK14" t="n">
        <v>1.28</v>
      </c>
      <c r="HL14" t="n">
        <v>0.04</v>
      </c>
      <c r="HM14" t="n">
        <v>4.28</v>
      </c>
      <c r="HN14" t="n">
        <v>2.84</v>
      </c>
      <c r="HO14" t="n">
        <v>3.28</v>
      </c>
      <c r="HP14" t="n">
        <v>-3.72</v>
      </c>
      <c r="HQ14" t="n">
        <v>1.2</v>
      </c>
      <c r="HR14" t="n">
        <v>-10.84</v>
      </c>
      <c r="HS14" t="n">
        <v>0.32</v>
      </c>
      <c r="HT14" t="n">
        <v>-2.08</v>
      </c>
      <c r="HU14" t="n">
        <v>-1.76</v>
      </c>
      <c r="HV14" t="n">
        <v>-3.32</v>
      </c>
      <c r="HW14" t="n">
        <v>-3.92</v>
      </c>
      <c r="HX14" t="n">
        <v>-0.28</v>
      </c>
      <c r="HY14" t="n">
        <v>1.6</v>
      </c>
      <c r="HZ14" t="n">
        <v>0.32</v>
      </c>
      <c r="IA14" t="n">
        <v>1</v>
      </c>
      <c r="IB14" t="n">
        <v>2</v>
      </c>
      <c r="IC14" t="n">
        <v>0.4</v>
      </c>
      <c r="ID14" t="n">
        <v>2.56</v>
      </c>
      <c r="IE14" t="n">
        <v>1</v>
      </c>
      <c r="IF14" t="n">
        <v>2.68</v>
      </c>
      <c r="IG14" t="n">
        <v>8.989000000000001</v>
      </c>
      <c r="IH14" t="n">
        <v>3.531</v>
      </c>
      <c r="II14" t="n">
        <v>0.027</v>
      </c>
      <c r="IJ14" t="n">
        <v>2.84</v>
      </c>
      <c r="IK14" t="n">
        <v>3.84</v>
      </c>
      <c r="IL14" t="n">
        <v>5.72</v>
      </c>
      <c r="IM14" t="n">
        <v>4</v>
      </c>
      <c r="IN14" t="n">
        <v>5.8</v>
      </c>
      <c r="IO14" t="n">
        <v>2.6</v>
      </c>
      <c r="IP14" t="n">
        <v>-1.6</v>
      </c>
      <c r="IQ14" t="n">
        <v>-2.4</v>
      </c>
      <c r="IR14" t="n">
        <v>3.36</v>
      </c>
      <c r="IS14" t="n">
        <v>-8.199999999999999</v>
      </c>
      <c r="IT14" t="n">
        <v>1.36</v>
      </c>
      <c r="IU14" t="n">
        <v>-7.76</v>
      </c>
      <c r="IV14" t="n">
        <v>-4.08</v>
      </c>
      <c r="IW14" t="n">
        <v>-1.68</v>
      </c>
      <c r="IX14" t="n">
        <v>2.16</v>
      </c>
      <c r="IY14" t="n">
        <v>2.4</v>
      </c>
      <c r="IZ14" t="n">
        <v>-1.76</v>
      </c>
    </row>
    <row r="15">
      <c r="A15" t="inlineStr">
        <is>
          <t>Adelaide</t>
        </is>
      </c>
      <c r="B15" t="inlineStr">
        <is>
          <t>Adel</t>
        </is>
      </c>
      <c r="C15" t="n">
        <v>23</v>
      </c>
      <c r="D15" t="n">
        <v>39</v>
      </c>
      <c r="E15" t="n">
        <v>24.796</v>
      </c>
      <c r="F15" t="n">
        <v>79.703</v>
      </c>
      <c r="G15" t="n">
        <v>206.174</v>
      </c>
      <c r="H15" t="n">
        <v>1656.13</v>
      </c>
      <c r="I15" t="n">
        <v>1539.826</v>
      </c>
      <c r="J15" t="n">
        <v>12.87</v>
      </c>
      <c r="K15" t="n">
        <v>47.648</v>
      </c>
      <c r="L15" t="n">
        <v>213</v>
      </c>
      <c r="M15" t="n">
        <v>147.87</v>
      </c>
      <c r="N15" t="n">
        <v>360.87</v>
      </c>
      <c r="O15" t="n">
        <v>73.072</v>
      </c>
      <c r="P15" t="n">
        <v>66.381</v>
      </c>
      <c r="Q15" t="n">
        <v>82.711</v>
      </c>
      <c r="R15" t="n">
        <v>59.024</v>
      </c>
      <c r="S15" t="n">
        <v>5.616</v>
      </c>
      <c r="T15" t="n">
        <v>49.348</v>
      </c>
      <c r="U15" t="n">
        <v>40.522</v>
      </c>
      <c r="V15" t="n">
        <v>76.645</v>
      </c>
      <c r="W15" t="n">
        <v>5837.739</v>
      </c>
      <c r="X15" t="n">
        <v>16.177</v>
      </c>
      <c r="Y15" t="n">
        <v>58.13</v>
      </c>
      <c r="Z15" t="n">
        <v>6.208</v>
      </c>
      <c r="AA15" t="n">
        <v>67.17400000000001</v>
      </c>
      <c r="AB15" t="n">
        <v>5.372</v>
      </c>
      <c r="AC15" t="n">
        <v>1.334</v>
      </c>
      <c r="AD15" t="n">
        <v>-1.188</v>
      </c>
      <c r="AE15" t="n">
        <v>136.957</v>
      </c>
      <c r="AF15" t="n">
        <v>213.957</v>
      </c>
      <c r="AG15" t="n">
        <v>350.913</v>
      </c>
      <c r="AH15" t="n">
        <v>39.029</v>
      </c>
      <c r="AI15" t="n">
        <v>66.261</v>
      </c>
      <c r="AJ15" t="n">
        <v>93.13</v>
      </c>
      <c r="AK15" t="n">
        <v>14.348</v>
      </c>
      <c r="AL15" t="n">
        <v>24.682</v>
      </c>
      <c r="AM15" t="n">
        <v>68.136</v>
      </c>
      <c r="AN15" t="n">
        <v>85.318</v>
      </c>
      <c r="AO15" t="n">
        <v>61.182</v>
      </c>
      <c r="AP15" t="n">
        <v>11.818</v>
      </c>
      <c r="AQ15" t="n">
        <v>24.227</v>
      </c>
      <c r="AR15" t="n">
        <v>119.409</v>
      </c>
      <c r="AS15" t="n">
        <v>11.217</v>
      </c>
      <c r="AT15" t="n">
        <v>26.696</v>
      </c>
      <c r="AU15" t="n">
        <v>37.913</v>
      </c>
      <c r="AV15" t="n">
        <v>42.273</v>
      </c>
      <c r="AW15" t="n">
        <v>72.366</v>
      </c>
      <c r="AX15" t="n">
        <v>87.95699999999999</v>
      </c>
      <c r="AY15" t="n">
        <v>9.869999999999999</v>
      </c>
      <c r="AZ15" t="n">
        <v>11.043</v>
      </c>
      <c r="BA15" t="n">
        <v>22.379</v>
      </c>
      <c r="BB15" t="n">
        <v>14.087</v>
      </c>
      <c r="BC15" t="n">
        <v>5.913</v>
      </c>
      <c r="BD15" t="n">
        <v>28</v>
      </c>
      <c r="BE15" t="n">
        <v>7.478</v>
      </c>
      <c r="BF15" t="n">
        <v>12.13</v>
      </c>
      <c r="BG15" t="n">
        <v>10.087</v>
      </c>
      <c r="BH15" t="n">
        <v>2.826</v>
      </c>
      <c r="BI15" t="n">
        <v>22.913</v>
      </c>
      <c r="BJ15" t="n">
        <v>8.826000000000001</v>
      </c>
      <c r="BK15" t="n">
        <v>52.941</v>
      </c>
      <c r="BL15" t="n">
        <v>24.581</v>
      </c>
      <c r="BM15" t="n">
        <v>45.022</v>
      </c>
      <c r="BN15" t="n">
        <v>46.432</v>
      </c>
      <c r="BO15" t="n">
        <v>21.826</v>
      </c>
      <c r="BP15" t="n">
        <v>12.261</v>
      </c>
      <c r="BQ15" t="n">
        <v>30.142</v>
      </c>
      <c r="BR15" t="n">
        <v>76.00700000000001</v>
      </c>
      <c r="BS15" t="n">
        <v>5.22</v>
      </c>
      <c r="BT15" t="n">
        <v>3.279</v>
      </c>
      <c r="BU15" t="n">
        <v>0.225</v>
      </c>
      <c r="BV15" t="n">
        <v>3.545</v>
      </c>
      <c r="BW15" t="n">
        <v>0.437</v>
      </c>
      <c r="BX15" t="n">
        <v>2.965</v>
      </c>
      <c r="BY15" t="n">
        <v>-0.025</v>
      </c>
      <c r="BZ15" t="n">
        <v>5.696</v>
      </c>
      <c r="CA15" t="n">
        <v>32.957</v>
      </c>
      <c r="CB15" t="n">
        <v>44.217</v>
      </c>
      <c r="CC15" t="n">
        <v>34.818</v>
      </c>
      <c r="CD15" t="n">
        <v>36.409</v>
      </c>
      <c r="CE15" t="n">
        <v>12.217</v>
      </c>
      <c r="CF15" t="n">
        <v>19.414</v>
      </c>
      <c r="CG15" t="n">
        <v>20.483</v>
      </c>
      <c r="CH15" t="n">
        <v>9.157999999999999</v>
      </c>
      <c r="CI15" t="n">
        <v>27.615</v>
      </c>
      <c r="CJ15" t="n">
        <v>11.558</v>
      </c>
      <c r="CK15" t="n">
        <v>12.913</v>
      </c>
      <c r="CL15" t="n">
        <v>23.569</v>
      </c>
      <c r="CM15" t="n">
        <v>63.522</v>
      </c>
      <c r="CN15" t="n">
        <v>9.869999999999999</v>
      </c>
      <c r="CO15" t="n">
        <v>292.217</v>
      </c>
      <c r="CP15" t="n">
        <v>147.826</v>
      </c>
      <c r="CQ15" t="n">
        <v>33.739</v>
      </c>
      <c r="CR15" t="n">
        <v>101.043</v>
      </c>
      <c r="CS15" t="n">
        <v>45.652</v>
      </c>
      <c r="CT15" t="n">
        <v>45.181</v>
      </c>
      <c r="CU15" t="n">
        <v>12.652</v>
      </c>
      <c r="CV15" t="n">
        <v>27.714</v>
      </c>
      <c r="CW15" t="n">
        <v>1.455</v>
      </c>
      <c r="CX15" t="n">
        <v>19.348</v>
      </c>
      <c r="CY15" t="n">
        <v>19.435</v>
      </c>
      <c r="CZ15" t="n">
        <v>-0.08699999999999999</v>
      </c>
      <c r="DA15" t="n">
        <v>12.087</v>
      </c>
      <c r="DB15" t="n">
        <v>85.61199999999999</v>
      </c>
      <c r="DC15" t="n">
        <v>3.391</v>
      </c>
      <c r="DD15" t="n">
        <v>45.348</v>
      </c>
      <c r="DE15" t="n">
        <v>70.47799999999999</v>
      </c>
      <c r="DF15" t="n">
        <v>204.43</v>
      </c>
      <c r="DG15" t="n">
        <v>1643.217</v>
      </c>
      <c r="DH15" t="n">
        <v>1507.87</v>
      </c>
      <c r="DI15" t="n">
        <v>17.13</v>
      </c>
      <c r="DJ15" t="n">
        <v>213.348</v>
      </c>
      <c r="DK15" t="n">
        <v>137.652</v>
      </c>
      <c r="DL15" t="n">
        <v>351</v>
      </c>
      <c r="DM15" t="n">
        <v>71.27500000000001</v>
      </c>
      <c r="DN15" t="n">
        <v>64.56100000000001</v>
      </c>
      <c r="DO15" t="n">
        <v>81.68000000000001</v>
      </c>
      <c r="DP15" t="n">
        <v>5.526</v>
      </c>
      <c r="DQ15" t="n">
        <v>52.87</v>
      </c>
      <c r="DR15" t="n">
        <v>36.435</v>
      </c>
      <c r="DS15" t="n">
        <v>73.833</v>
      </c>
      <c r="DT15" t="n">
        <v>5926.043</v>
      </c>
      <c r="DU15" t="n">
        <v>16.883</v>
      </c>
      <c r="DV15" t="n">
        <v>55.217</v>
      </c>
      <c r="DW15" t="n">
        <v>6.357</v>
      </c>
      <c r="DX15" t="n">
        <v>66.13</v>
      </c>
      <c r="DY15" t="n">
        <v>5.308</v>
      </c>
      <c r="DZ15" t="n">
        <v>-2.087</v>
      </c>
      <c r="EA15" t="n">
        <v>-1.786</v>
      </c>
      <c r="EB15" t="n">
        <v>138.348</v>
      </c>
      <c r="EC15" t="n">
        <v>203.304</v>
      </c>
      <c r="ED15" t="n">
        <v>341.652</v>
      </c>
      <c r="EE15" t="n">
        <v>40.494</v>
      </c>
      <c r="EF15" t="n">
        <v>67.348</v>
      </c>
      <c r="EG15" t="n">
        <v>95.87</v>
      </c>
      <c r="EH15" t="n">
        <v>18.304</v>
      </c>
      <c r="EI15" t="n">
        <v>24.409</v>
      </c>
      <c r="EJ15" t="n">
        <v>71.40900000000001</v>
      </c>
      <c r="EK15" t="n">
        <v>84.364</v>
      </c>
      <c r="EL15" t="n">
        <v>61.5</v>
      </c>
      <c r="EM15" t="n">
        <v>9.5</v>
      </c>
      <c r="EN15" t="n">
        <v>25.5</v>
      </c>
      <c r="EO15" t="n">
        <v>109.182</v>
      </c>
      <c r="EP15" t="n">
        <v>12.043</v>
      </c>
      <c r="EQ15" t="n">
        <v>28.565</v>
      </c>
      <c r="ER15" t="n">
        <v>40.609</v>
      </c>
      <c r="ES15" t="n">
        <v>44.273</v>
      </c>
      <c r="ET15" t="n">
        <v>74.435</v>
      </c>
      <c r="EU15" t="n">
        <v>84.565</v>
      </c>
      <c r="EV15" t="n">
        <v>9.522</v>
      </c>
      <c r="EW15" t="n">
        <v>10.174</v>
      </c>
      <c r="EX15" t="n">
        <v>19.243</v>
      </c>
      <c r="EY15" t="n">
        <v>15.826</v>
      </c>
      <c r="EZ15" t="n">
        <v>7.391</v>
      </c>
      <c r="FA15" t="n">
        <v>11.913</v>
      </c>
      <c r="FB15" t="n">
        <v>12.13</v>
      </c>
      <c r="FC15" t="n">
        <v>3.13</v>
      </c>
      <c r="FD15" t="n">
        <v>25.696</v>
      </c>
      <c r="FE15" t="n">
        <v>8.042999999999999</v>
      </c>
      <c r="FF15" t="n">
        <v>46.362</v>
      </c>
      <c r="FG15" t="n">
        <v>22.533</v>
      </c>
      <c r="FH15" t="n">
        <v>45.477</v>
      </c>
      <c r="FI15" t="n">
        <v>48.602</v>
      </c>
      <c r="FJ15" t="n">
        <v>23.652</v>
      </c>
      <c r="FK15" t="n">
        <v>82.157</v>
      </c>
      <c r="FL15" t="n">
        <v>-1.475</v>
      </c>
      <c r="FM15" t="n">
        <v>3.233</v>
      </c>
      <c r="FN15" t="n">
        <v>-0.058</v>
      </c>
      <c r="FO15" t="n">
        <v>3.626</v>
      </c>
      <c r="FP15" t="n">
        <v>0.05</v>
      </c>
      <c r="FQ15" t="n">
        <v>2.819</v>
      </c>
      <c r="FR15" t="n">
        <v>-0.172</v>
      </c>
      <c r="FS15" t="n">
        <v>4.174</v>
      </c>
      <c r="FT15" t="n">
        <v>34.391</v>
      </c>
      <c r="FU15" t="n">
        <v>45.043</v>
      </c>
      <c r="FV15" t="n">
        <v>27.591</v>
      </c>
      <c r="FW15" t="n">
        <v>44.545</v>
      </c>
      <c r="FX15" t="n">
        <v>11.13</v>
      </c>
      <c r="FY15" t="n">
        <v>20.491</v>
      </c>
      <c r="FZ15" t="n">
        <v>20.833</v>
      </c>
      <c r="GA15" t="n">
        <v>8.957000000000001</v>
      </c>
      <c r="GB15" t="n">
        <v>29.604</v>
      </c>
      <c r="GC15" t="n">
        <v>10.848</v>
      </c>
      <c r="GD15" t="n">
        <v>64.261</v>
      </c>
      <c r="GE15" t="n">
        <v>11.652</v>
      </c>
      <c r="GF15" t="n">
        <v>305.391</v>
      </c>
      <c r="GG15" t="n">
        <v>133.826</v>
      </c>
      <c r="GH15" t="n">
        <v>36.522</v>
      </c>
      <c r="GI15" t="n">
        <v>39.913</v>
      </c>
      <c r="GJ15" t="n">
        <v>39.518</v>
      </c>
      <c r="GK15" t="n">
        <v>10.478</v>
      </c>
      <c r="GL15" t="n">
        <v>26.253</v>
      </c>
      <c r="GM15" t="n">
        <v>2.091</v>
      </c>
      <c r="GN15" t="n">
        <v>9.869999999999999</v>
      </c>
      <c r="GO15" t="n">
        <v>92.06999999999999</v>
      </c>
      <c r="GP15" t="n">
        <v>6.261</v>
      </c>
      <c r="GQ15" t="n">
        <v>49.609</v>
      </c>
      <c r="GR15" t="n">
        <v>69.39100000000001</v>
      </c>
      <c r="GS15" t="n">
        <v>1.743</v>
      </c>
      <c r="GT15" t="n">
        <v>12.913</v>
      </c>
      <c r="GU15" t="n">
        <v>31.957</v>
      </c>
      <c r="GV15" t="n">
        <v>-4.261</v>
      </c>
      <c r="GW15" t="n">
        <v>-0.348</v>
      </c>
      <c r="GX15" t="n">
        <v>10.217</v>
      </c>
      <c r="GY15" t="n">
        <v>9.869999999999999</v>
      </c>
      <c r="GZ15" t="n">
        <v>-3.522</v>
      </c>
      <c r="HA15" t="n">
        <v>-88.304</v>
      </c>
      <c r="HB15" t="n">
        <v>2.913</v>
      </c>
      <c r="HC15" t="n">
        <v>1.043</v>
      </c>
      <c r="HD15" t="n">
        <v>3.421</v>
      </c>
      <c r="HE15" t="n">
        <v>0.598</v>
      </c>
      <c r="HF15" t="n">
        <v>-1.391</v>
      </c>
      <c r="HG15" t="n">
        <v>10.652</v>
      </c>
      <c r="HH15" t="n">
        <v>9.260999999999999</v>
      </c>
      <c r="HI15" t="n">
        <v>-1.087</v>
      </c>
      <c r="HJ15" t="n">
        <v>-2.739</v>
      </c>
      <c r="HK15" t="n">
        <v>-3.957</v>
      </c>
      <c r="HL15" t="n">
        <v>0.273</v>
      </c>
      <c r="HM15" t="n">
        <v>-3.273</v>
      </c>
      <c r="HN15" t="n">
        <v>0.955</v>
      </c>
      <c r="HO15" t="n">
        <v>-0.318</v>
      </c>
      <c r="HP15" t="n">
        <v>2.318</v>
      </c>
      <c r="HQ15" t="n">
        <v>-1.273</v>
      </c>
      <c r="HR15" t="n">
        <v>10.227</v>
      </c>
      <c r="HS15" t="n">
        <v>-0.826</v>
      </c>
      <c r="HT15" t="n">
        <v>-1.87</v>
      </c>
      <c r="HU15" t="n">
        <v>-2.696</v>
      </c>
      <c r="HV15" t="n">
        <v>-2</v>
      </c>
      <c r="HW15" t="n">
        <v>3.391</v>
      </c>
      <c r="HX15" t="n">
        <v>0.348</v>
      </c>
      <c r="HY15" t="n">
        <v>0.87</v>
      </c>
      <c r="HZ15" t="n">
        <v>-1.739</v>
      </c>
      <c r="IA15" t="n">
        <v>-1.478</v>
      </c>
      <c r="IB15" t="n">
        <v>0.217</v>
      </c>
      <c r="IC15" t="n">
        <v>-2.043</v>
      </c>
      <c r="ID15" t="n">
        <v>-2.783</v>
      </c>
      <c r="IE15" t="n">
        <v>0.783</v>
      </c>
      <c r="IF15" t="n">
        <v>-1.826</v>
      </c>
      <c r="IG15" t="n">
        <v>-6.149</v>
      </c>
      <c r="IH15" t="n">
        <v>6.695</v>
      </c>
      <c r="II15" t="n">
        <v>0.045</v>
      </c>
      <c r="IJ15" t="n">
        <v>1.522</v>
      </c>
      <c r="IK15" t="n">
        <v>-1.435</v>
      </c>
      <c r="IL15" t="n">
        <v>-0.826</v>
      </c>
      <c r="IM15" t="n">
        <v>7.227</v>
      </c>
      <c r="IN15" t="n">
        <v>-8.135999999999999</v>
      </c>
      <c r="IO15" t="n">
        <v>1.087</v>
      </c>
      <c r="IP15" t="n">
        <v>-0.739</v>
      </c>
      <c r="IQ15" t="n">
        <v>-1.783</v>
      </c>
      <c r="IR15" t="n">
        <v>-13.174</v>
      </c>
      <c r="IS15" t="n">
        <v>14</v>
      </c>
      <c r="IT15" t="n">
        <v>-2.783</v>
      </c>
      <c r="IU15" t="n">
        <v>5.739</v>
      </c>
      <c r="IV15" t="n">
        <v>2.174</v>
      </c>
      <c r="IW15" t="n">
        <v>-0.636</v>
      </c>
      <c r="IX15" t="n">
        <v>-2.87</v>
      </c>
      <c r="IY15" t="n">
        <v>-4.261</v>
      </c>
      <c r="IZ15" t="n">
        <v>1.087</v>
      </c>
    </row>
    <row r="16">
      <c r="A16" t="inlineStr">
        <is>
          <t>Western Bulldogs</t>
        </is>
      </c>
      <c r="B16" t="inlineStr">
        <is>
          <t>WB</t>
        </is>
      </c>
      <c r="C16" t="n">
        <v>24</v>
      </c>
      <c r="D16" t="n">
        <v>36</v>
      </c>
      <c r="E16" t="n">
        <v>26.218</v>
      </c>
      <c r="F16" t="n">
        <v>109.801</v>
      </c>
      <c r="G16" t="n">
        <v>214.633</v>
      </c>
      <c r="H16" t="n">
        <v>1695.292</v>
      </c>
      <c r="I16" t="n">
        <v>1578.208</v>
      </c>
      <c r="J16" t="n">
        <v>18.125</v>
      </c>
      <c r="K16" t="n">
        <v>53.575</v>
      </c>
      <c r="L16" t="n">
        <v>216.833</v>
      </c>
      <c r="M16" t="n">
        <v>154.083</v>
      </c>
      <c r="N16" t="n">
        <v>370.917</v>
      </c>
      <c r="O16" t="n">
        <v>73.38800000000001</v>
      </c>
      <c r="P16" t="n">
        <v>66.468</v>
      </c>
      <c r="Q16" t="n">
        <v>83.126</v>
      </c>
      <c r="R16" t="n">
        <v>58.459</v>
      </c>
      <c r="S16" t="n">
        <v>6.221</v>
      </c>
      <c r="T16" t="n">
        <v>56.625</v>
      </c>
      <c r="U16" t="n">
        <v>35.083</v>
      </c>
      <c r="V16" t="n">
        <v>74.38200000000001</v>
      </c>
      <c r="W16" t="n">
        <v>5996.667</v>
      </c>
      <c r="X16" t="n">
        <v>16.167</v>
      </c>
      <c r="Y16" t="n">
        <v>53.625</v>
      </c>
      <c r="Z16" t="n">
        <v>6.917</v>
      </c>
      <c r="AA16" t="n">
        <v>65.167</v>
      </c>
      <c r="AB16" t="n">
        <v>5.692</v>
      </c>
      <c r="AC16" t="n">
        <v>0.385</v>
      </c>
      <c r="AD16" t="n">
        <v>1.977</v>
      </c>
      <c r="AE16" t="n">
        <v>135.958</v>
      </c>
      <c r="AF16" t="n">
        <v>231</v>
      </c>
      <c r="AG16" t="n">
        <v>366.958</v>
      </c>
      <c r="AH16" t="n">
        <v>37.05</v>
      </c>
      <c r="AI16" t="n">
        <v>67.208</v>
      </c>
      <c r="AJ16" t="n">
        <v>92.625</v>
      </c>
      <c r="AK16" t="n">
        <v>19.292</v>
      </c>
      <c r="AL16" t="n">
        <v>22.87</v>
      </c>
      <c r="AM16" t="n">
        <v>69.652</v>
      </c>
      <c r="AN16" t="n">
        <v>85.652</v>
      </c>
      <c r="AO16" t="n">
        <v>59.957</v>
      </c>
      <c r="AP16" t="n">
        <v>9.042999999999999</v>
      </c>
      <c r="AQ16" t="n">
        <v>22.739</v>
      </c>
      <c r="AR16" t="n">
        <v>124.609</v>
      </c>
      <c r="AS16" t="n">
        <v>12.417</v>
      </c>
      <c r="AT16" t="n">
        <v>27.5</v>
      </c>
      <c r="AU16" t="n">
        <v>39.917</v>
      </c>
      <c r="AV16" t="n">
        <v>38.957</v>
      </c>
      <c r="AW16" t="n">
        <v>79.688</v>
      </c>
      <c r="AX16" t="n">
        <v>97.5</v>
      </c>
      <c r="AY16" t="n">
        <v>11.125</v>
      </c>
      <c r="AZ16" t="n">
        <v>12.292</v>
      </c>
      <c r="BA16" t="n">
        <v>21.707</v>
      </c>
      <c r="BB16" t="n">
        <v>16.958</v>
      </c>
      <c r="BC16" t="n">
        <v>5.958</v>
      </c>
      <c r="BD16" t="n">
        <v>27</v>
      </c>
      <c r="BE16" t="n">
        <v>7.875</v>
      </c>
      <c r="BF16" t="n">
        <v>13.375</v>
      </c>
      <c r="BG16" t="n">
        <v>12.792</v>
      </c>
      <c r="BH16" t="n">
        <v>2.75</v>
      </c>
      <c r="BI16" t="n">
        <v>28.5</v>
      </c>
      <c r="BJ16" t="n">
        <v>8.833</v>
      </c>
      <c r="BK16" t="n">
        <v>46.93</v>
      </c>
      <c r="BL16" t="n">
        <v>23.62</v>
      </c>
      <c r="BM16" t="n">
        <v>46.21</v>
      </c>
      <c r="BN16" t="n">
        <v>50.331</v>
      </c>
      <c r="BO16" t="n">
        <v>25.75</v>
      </c>
      <c r="BP16" t="n">
        <v>9.667</v>
      </c>
      <c r="BQ16" t="n">
        <v>27.155</v>
      </c>
      <c r="BR16" t="n">
        <v>93.61799999999999</v>
      </c>
      <c r="BS16" t="n">
        <v>-5.227</v>
      </c>
      <c r="BT16" t="n">
        <v>3.344</v>
      </c>
      <c r="BU16" t="n">
        <v>-0.187</v>
      </c>
      <c r="BV16" t="n">
        <v>3.747</v>
      </c>
      <c r="BW16" t="n">
        <v>-0.228</v>
      </c>
      <c r="BX16" t="n">
        <v>2.878</v>
      </c>
      <c r="BY16" t="n">
        <v>-0.139</v>
      </c>
      <c r="BZ16" t="n">
        <v>5.125</v>
      </c>
      <c r="CA16" t="n">
        <v>37.958</v>
      </c>
      <c r="CB16" t="n">
        <v>49.958</v>
      </c>
      <c r="CC16" t="n">
        <v>31.174</v>
      </c>
      <c r="CD16" t="n">
        <v>47</v>
      </c>
      <c r="CE16" t="n">
        <v>13.792</v>
      </c>
      <c r="CF16" t="n">
        <v>22.146</v>
      </c>
      <c r="CG16" t="n">
        <v>26.667</v>
      </c>
      <c r="CH16" t="n">
        <v>10.545</v>
      </c>
      <c r="CI16" t="n">
        <v>34.237</v>
      </c>
      <c r="CJ16" t="n">
        <v>13.365</v>
      </c>
      <c r="CK16" t="n">
        <v>9.333</v>
      </c>
      <c r="CL16" t="n">
        <v>30.357</v>
      </c>
      <c r="CM16" t="n">
        <v>59.417</v>
      </c>
      <c r="CN16" t="n">
        <v>12.208</v>
      </c>
      <c r="CO16" t="n">
        <v>284.917</v>
      </c>
      <c r="CP16" t="n">
        <v>120.208</v>
      </c>
      <c r="CQ16" t="n">
        <v>28.833</v>
      </c>
      <c r="CR16" t="n">
        <v>97.708</v>
      </c>
      <c r="CS16" t="n">
        <v>34.167</v>
      </c>
      <c r="CT16" t="n">
        <v>34.968</v>
      </c>
      <c r="CU16" t="n">
        <v>9.458</v>
      </c>
      <c r="CV16" t="n">
        <v>27.683</v>
      </c>
      <c r="CW16" t="n">
        <v>1.957</v>
      </c>
      <c r="CX16" t="n">
        <v>17.167</v>
      </c>
      <c r="CY16" t="n">
        <v>17.542</v>
      </c>
      <c r="CZ16" t="n">
        <v>-0.375</v>
      </c>
      <c r="DA16" t="n">
        <v>9.042</v>
      </c>
      <c r="DB16" t="n">
        <v>91.244</v>
      </c>
      <c r="DC16" t="n">
        <v>7.042</v>
      </c>
      <c r="DD16" t="n">
        <v>44.375</v>
      </c>
      <c r="DE16" t="n">
        <v>71.167</v>
      </c>
      <c r="DF16" t="n">
        <v>196.871</v>
      </c>
      <c r="DG16" t="n">
        <v>1605.375</v>
      </c>
      <c r="DH16" t="n">
        <v>1520.708</v>
      </c>
      <c r="DI16" t="n">
        <v>11.875</v>
      </c>
      <c r="DJ16" t="n">
        <v>212.083</v>
      </c>
      <c r="DK16" t="n">
        <v>140.875</v>
      </c>
      <c r="DL16" t="n">
        <v>352.958</v>
      </c>
      <c r="DM16" t="n">
        <v>71.208</v>
      </c>
      <c r="DN16" t="n">
        <v>65.678</v>
      </c>
      <c r="DO16" t="n">
        <v>79.533</v>
      </c>
      <c r="DP16" t="n">
        <v>5.94</v>
      </c>
      <c r="DQ16" t="n">
        <v>47.167</v>
      </c>
      <c r="DR16" t="n">
        <v>42.792</v>
      </c>
      <c r="DS16" t="n">
        <v>75.56999999999999</v>
      </c>
      <c r="DT16" t="n">
        <v>5792.583</v>
      </c>
      <c r="DU16" t="n">
        <v>16.412</v>
      </c>
      <c r="DV16" t="n">
        <v>58.125</v>
      </c>
      <c r="DW16" t="n">
        <v>6.072</v>
      </c>
      <c r="DX16" t="n">
        <v>67.208</v>
      </c>
      <c r="DY16" t="n">
        <v>5.252</v>
      </c>
      <c r="DZ16" t="n">
        <v>0.28</v>
      </c>
      <c r="EA16" t="n">
        <v>0.058</v>
      </c>
      <c r="EB16" t="n">
        <v>134.208</v>
      </c>
      <c r="EC16" t="n">
        <v>210.25</v>
      </c>
      <c r="ED16" t="n">
        <v>344.458</v>
      </c>
      <c r="EE16" t="n">
        <v>38.962</v>
      </c>
      <c r="EF16" t="n">
        <v>65.375</v>
      </c>
      <c r="EG16" t="n">
        <v>88.583</v>
      </c>
      <c r="EH16" t="n">
        <v>12.917</v>
      </c>
      <c r="EI16" t="n">
        <v>22.696</v>
      </c>
      <c r="EJ16" t="n">
        <v>66.435</v>
      </c>
      <c r="EK16" t="n">
        <v>82.565</v>
      </c>
      <c r="EL16" t="n">
        <v>59.174</v>
      </c>
      <c r="EM16" t="n">
        <v>12.087</v>
      </c>
      <c r="EN16" t="n">
        <v>23.696</v>
      </c>
      <c r="EO16" t="n">
        <v>108.522</v>
      </c>
      <c r="EP16" t="n">
        <v>11.458</v>
      </c>
      <c r="EQ16" t="n">
        <v>24.958</v>
      </c>
      <c r="ER16" t="n">
        <v>36.417</v>
      </c>
      <c r="ES16" t="n">
        <v>45.304</v>
      </c>
      <c r="ET16" t="n">
        <v>71.881</v>
      </c>
      <c r="EU16" t="n">
        <v>92.292</v>
      </c>
      <c r="EV16" t="n">
        <v>10.083</v>
      </c>
      <c r="EW16" t="n">
        <v>11.625</v>
      </c>
      <c r="EX16" t="n">
        <v>24.647</v>
      </c>
      <c r="EY16" t="n">
        <v>15.5</v>
      </c>
      <c r="EZ16" t="n">
        <v>5.542</v>
      </c>
      <c r="FA16" t="n">
        <v>11.208</v>
      </c>
      <c r="FB16" t="n">
        <v>9.208</v>
      </c>
      <c r="FC16" t="n">
        <v>1.292</v>
      </c>
      <c r="FD16" t="n">
        <v>22.333</v>
      </c>
      <c r="FE16" t="n">
        <v>8.167</v>
      </c>
      <c r="FF16" t="n">
        <v>50.187</v>
      </c>
      <c r="FG16" t="n">
        <v>23.763</v>
      </c>
      <c r="FH16" t="n">
        <v>43.286</v>
      </c>
      <c r="FI16" t="n">
        <v>47.35</v>
      </c>
      <c r="FJ16" t="n">
        <v>20.292</v>
      </c>
      <c r="FK16" t="n">
        <v>75.634</v>
      </c>
      <c r="FL16" t="n">
        <v>1.061</v>
      </c>
      <c r="FM16" t="n">
        <v>3.314</v>
      </c>
      <c r="FN16" t="n">
        <v>0.046</v>
      </c>
      <c r="FO16" t="n">
        <v>3.588</v>
      </c>
      <c r="FP16" t="n">
        <v>-0.07000000000000001</v>
      </c>
      <c r="FQ16" t="n">
        <v>2.921</v>
      </c>
      <c r="FR16" t="n">
        <v>0.213</v>
      </c>
      <c r="FS16" t="n">
        <v>4.958</v>
      </c>
      <c r="FT16" t="n">
        <v>28.833</v>
      </c>
      <c r="FU16" t="n">
        <v>42.667</v>
      </c>
      <c r="FV16" t="n">
        <v>32.783</v>
      </c>
      <c r="FW16" t="n">
        <v>35.913</v>
      </c>
      <c r="FX16" t="n">
        <v>9.125</v>
      </c>
      <c r="FY16" t="n">
        <v>18.421</v>
      </c>
      <c r="FZ16" t="n">
        <v>20.216</v>
      </c>
      <c r="GA16" t="n">
        <v>9.037000000000001</v>
      </c>
      <c r="GB16" t="n">
        <v>28.846</v>
      </c>
      <c r="GC16" t="n">
        <v>11.974</v>
      </c>
      <c r="GD16" t="n">
        <v>59.625</v>
      </c>
      <c r="GE16" t="n">
        <v>8.667</v>
      </c>
      <c r="GF16" t="n">
        <v>304.333</v>
      </c>
      <c r="GG16" t="n">
        <v>160.25</v>
      </c>
      <c r="GH16" t="n">
        <v>29.708</v>
      </c>
      <c r="GI16" t="n">
        <v>46.125</v>
      </c>
      <c r="GJ16" t="n">
        <v>47.227</v>
      </c>
      <c r="GK16" t="n">
        <v>13.542</v>
      </c>
      <c r="GL16" t="n">
        <v>29.359</v>
      </c>
      <c r="GM16" t="n">
        <v>3.652</v>
      </c>
      <c r="GN16" t="n">
        <v>12.667</v>
      </c>
      <c r="GO16" t="n">
        <v>91.11799999999999</v>
      </c>
      <c r="GP16" t="n">
        <v>5.333</v>
      </c>
      <c r="GQ16" t="n">
        <v>41.458</v>
      </c>
      <c r="GR16" t="n">
        <v>70.208</v>
      </c>
      <c r="GS16" t="n">
        <v>17.762</v>
      </c>
      <c r="GT16" t="n">
        <v>89.917</v>
      </c>
      <c r="GU16" t="n">
        <v>57.5</v>
      </c>
      <c r="GV16" t="n">
        <v>6.25</v>
      </c>
      <c r="GW16" t="n">
        <v>4.75</v>
      </c>
      <c r="GX16" t="n">
        <v>13.208</v>
      </c>
      <c r="GY16" t="n">
        <v>17.958</v>
      </c>
      <c r="GZ16" t="n">
        <v>9.458</v>
      </c>
      <c r="HA16" t="n">
        <v>204.083</v>
      </c>
      <c r="HB16" t="n">
        <v>-4.5</v>
      </c>
      <c r="HC16" t="n">
        <v>-2.042</v>
      </c>
      <c r="HD16" t="n">
        <v>0.105</v>
      </c>
      <c r="HE16" t="n">
        <v>1.919</v>
      </c>
      <c r="HF16" t="n">
        <v>1.75</v>
      </c>
      <c r="HG16" t="n">
        <v>20.75</v>
      </c>
      <c r="HH16" t="n">
        <v>22.5</v>
      </c>
      <c r="HI16" t="n">
        <v>1.833</v>
      </c>
      <c r="HJ16" t="n">
        <v>4.042</v>
      </c>
      <c r="HK16" t="n">
        <v>6.375</v>
      </c>
      <c r="HL16" t="n">
        <v>0.174</v>
      </c>
      <c r="HM16" t="n">
        <v>3.217</v>
      </c>
      <c r="HN16" t="n">
        <v>3.087</v>
      </c>
      <c r="HO16" t="n">
        <v>0.783</v>
      </c>
      <c r="HP16" t="n">
        <v>-3.043</v>
      </c>
      <c r="HQ16" t="n">
        <v>-0.957</v>
      </c>
      <c r="HR16" t="n">
        <v>16.087</v>
      </c>
      <c r="HS16" t="n">
        <v>0.958</v>
      </c>
      <c r="HT16" t="n">
        <v>2.542</v>
      </c>
      <c r="HU16" t="n">
        <v>3.5</v>
      </c>
      <c r="HV16" t="n">
        <v>-6.348</v>
      </c>
      <c r="HW16" t="n">
        <v>5.208</v>
      </c>
      <c r="HX16" t="n">
        <v>1.042</v>
      </c>
      <c r="HY16" t="n">
        <v>0.667</v>
      </c>
      <c r="HZ16" t="n">
        <v>1.458</v>
      </c>
      <c r="IA16" t="n">
        <v>0.417</v>
      </c>
      <c r="IB16" t="n">
        <v>2.167</v>
      </c>
      <c r="IC16" t="n">
        <v>3.583</v>
      </c>
      <c r="ID16" t="n">
        <v>6.167</v>
      </c>
      <c r="IE16" t="n">
        <v>0.667</v>
      </c>
      <c r="IF16" t="n">
        <v>5.458</v>
      </c>
      <c r="IG16" t="n">
        <v>17.984</v>
      </c>
      <c r="IH16" t="n">
        <v>-6.288</v>
      </c>
      <c r="II16" t="n">
        <v>0.03</v>
      </c>
      <c r="IJ16" t="n">
        <v>0.167</v>
      </c>
      <c r="IK16" t="n">
        <v>9.125</v>
      </c>
      <c r="IL16" t="n">
        <v>7.292</v>
      </c>
      <c r="IM16" t="n">
        <v>-1.609</v>
      </c>
      <c r="IN16" t="n">
        <v>11.087</v>
      </c>
      <c r="IO16" t="n">
        <v>4.667</v>
      </c>
      <c r="IP16" t="n">
        <v>-0.208</v>
      </c>
      <c r="IQ16" t="n">
        <v>3.542</v>
      </c>
      <c r="IR16" t="n">
        <v>-19.417</v>
      </c>
      <c r="IS16" t="n">
        <v>-40.042</v>
      </c>
      <c r="IT16" t="n">
        <v>-0.875</v>
      </c>
      <c r="IU16" t="n">
        <v>-11.958</v>
      </c>
      <c r="IV16" t="n">
        <v>-4.083</v>
      </c>
      <c r="IW16" t="n">
        <v>-1.696</v>
      </c>
      <c r="IX16" t="n">
        <v>1.708</v>
      </c>
      <c r="IY16" t="n">
        <v>2.917</v>
      </c>
      <c r="IZ16" t="n">
        <v>0.958</v>
      </c>
    </row>
    <row r="17">
      <c r="A17" t="inlineStr">
        <is>
          <t>Port Adelaide</t>
        </is>
      </c>
      <c r="B17" t="inlineStr">
        <is>
          <t>Port</t>
        </is>
      </c>
      <c r="C17" t="n">
        <v>26</v>
      </c>
      <c r="D17" t="n">
        <v>34</v>
      </c>
      <c r="E17" t="n">
        <v>25.701</v>
      </c>
      <c r="F17" t="n">
        <v>100.433</v>
      </c>
      <c r="G17" t="n">
        <v>202.75</v>
      </c>
      <c r="H17" t="n">
        <v>1684.808</v>
      </c>
      <c r="I17" t="n">
        <v>1534.423</v>
      </c>
      <c r="J17" t="n">
        <v>16.808</v>
      </c>
      <c r="K17" t="n">
        <v>52.98</v>
      </c>
      <c r="L17" t="n">
        <v>218.731</v>
      </c>
      <c r="M17" t="n">
        <v>125.808</v>
      </c>
      <c r="N17" t="n">
        <v>344.538</v>
      </c>
      <c r="O17" t="n">
        <v>71.66800000000001</v>
      </c>
      <c r="P17" t="n">
        <v>65.87</v>
      </c>
      <c r="Q17" t="n">
        <v>81.749</v>
      </c>
      <c r="R17" t="n">
        <v>63.485</v>
      </c>
      <c r="S17" t="n">
        <v>5.761</v>
      </c>
      <c r="T17" t="n">
        <v>54.577</v>
      </c>
      <c r="U17" t="n">
        <v>37.038</v>
      </c>
      <c r="V17" t="n">
        <v>75.648</v>
      </c>
      <c r="W17" t="n">
        <v>5996.654</v>
      </c>
      <c r="X17" t="n">
        <v>17.405</v>
      </c>
      <c r="Y17" t="n">
        <v>54.538</v>
      </c>
      <c r="Z17" t="n">
        <v>6.317</v>
      </c>
      <c r="AA17" t="n">
        <v>65.19199999999999</v>
      </c>
      <c r="AB17" t="n">
        <v>5.285</v>
      </c>
      <c r="AC17" t="n">
        <v>2.164</v>
      </c>
      <c r="AD17" t="n">
        <v>0.643</v>
      </c>
      <c r="AE17" t="n">
        <v>129.654</v>
      </c>
      <c r="AF17" t="n">
        <v>203.615</v>
      </c>
      <c r="AG17" t="n">
        <v>333.269</v>
      </c>
      <c r="AH17" t="n">
        <v>38.904</v>
      </c>
      <c r="AI17" t="n">
        <v>65.077</v>
      </c>
      <c r="AJ17" t="n">
        <v>86.538</v>
      </c>
      <c r="AK17" t="n">
        <v>15.192</v>
      </c>
      <c r="AL17" t="n">
        <v>20.6</v>
      </c>
      <c r="AM17" t="n">
        <v>65.48</v>
      </c>
      <c r="AN17" t="n">
        <v>81.2</v>
      </c>
      <c r="AO17" t="n">
        <v>57.84</v>
      </c>
      <c r="AP17" t="n">
        <v>10.88</v>
      </c>
      <c r="AQ17" t="n">
        <v>20.72</v>
      </c>
      <c r="AR17" t="n">
        <v>100.88</v>
      </c>
      <c r="AS17" t="n">
        <v>12.5</v>
      </c>
      <c r="AT17" t="n">
        <v>25</v>
      </c>
      <c r="AU17" t="n">
        <v>37.5</v>
      </c>
      <c r="AV17" t="n">
        <v>41.48</v>
      </c>
      <c r="AW17" t="n">
        <v>75.60299999999999</v>
      </c>
      <c r="AX17" t="n">
        <v>94.76900000000001</v>
      </c>
      <c r="AY17" t="n">
        <v>9.962</v>
      </c>
      <c r="AZ17" t="n">
        <v>13.115</v>
      </c>
      <c r="BA17" t="n">
        <v>24.031</v>
      </c>
      <c r="BB17" t="n">
        <v>16</v>
      </c>
      <c r="BC17" t="n">
        <v>7.192</v>
      </c>
      <c r="BD17" t="n">
        <v>29</v>
      </c>
      <c r="BE17" t="n">
        <v>7.692</v>
      </c>
      <c r="BF17" t="n">
        <v>11.923</v>
      </c>
      <c r="BG17" t="n">
        <v>13.038</v>
      </c>
      <c r="BH17" t="n">
        <v>2.192</v>
      </c>
      <c r="BI17" t="n">
        <v>28</v>
      </c>
      <c r="BJ17" t="n">
        <v>8.692</v>
      </c>
      <c r="BK17" t="n">
        <v>42.582</v>
      </c>
      <c r="BL17" t="n">
        <v>21.846</v>
      </c>
      <c r="BM17" t="n">
        <v>45.736</v>
      </c>
      <c r="BN17" t="n">
        <v>51.304</v>
      </c>
      <c r="BO17" t="n">
        <v>24.654</v>
      </c>
      <c r="BP17" t="n">
        <v>11.692</v>
      </c>
      <c r="BQ17" t="n">
        <v>30.921</v>
      </c>
      <c r="BR17" t="n">
        <v>85.748</v>
      </c>
      <c r="BS17" t="n">
        <v>-3.108</v>
      </c>
      <c r="BT17" t="n">
        <v>3.08</v>
      </c>
      <c r="BU17" t="n">
        <v>-0.112</v>
      </c>
      <c r="BV17" t="n">
        <v>3.366</v>
      </c>
      <c r="BW17" t="n">
        <v>-0.138</v>
      </c>
      <c r="BX17" t="n">
        <v>2.759</v>
      </c>
      <c r="BY17" t="n">
        <v>-0.082</v>
      </c>
      <c r="BZ17" t="n">
        <v>5.923</v>
      </c>
      <c r="CA17" t="n">
        <v>34.538</v>
      </c>
      <c r="CB17" t="n">
        <v>44.115</v>
      </c>
      <c r="CC17" t="n">
        <v>33.6</v>
      </c>
      <c r="CD17" t="n">
        <v>38.04</v>
      </c>
      <c r="CE17" t="n">
        <v>12.615</v>
      </c>
      <c r="CF17" t="n">
        <v>22.523</v>
      </c>
      <c r="CG17" t="n">
        <v>26.593</v>
      </c>
      <c r="CH17" t="n">
        <v>11.784</v>
      </c>
      <c r="CI17" t="n">
        <v>34.693</v>
      </c>
      <c r="CJ17" t="n">
        <v>14.151</v>
      </c>
      <c r="CK17" t="n">
        <v>12.615</v>
      </c>
      <c r="CL17" t="n">
        <v>31.098</v>
      </c>
      <c r="CM17" t="n">
        <v>64.73099999999999</v>
      </c>
      <c r="CN17" t="n">
        <v>13.231</v>
      </c>
      <c r="CO17" t="n">
        <v>289.923</v>
      </c>
      <c r="CP17" t="n">
        <v>132.269</v>
      </c>
      <c r="CQ17" t="n">
        <v>31</v>
      </c>
      <c r="CR17" t="n">
        <v>92.19199999999999</v>
      </c>
      <c r="CS17" t="n">
        <v>40.962</v>
      </c>
      <c r="CT17" t="n">
        <v>44.431</v>
      </c>
      <c r="CU17" t="n">
        <v>12.115</v>
      </c>
      <c r="CV17" t="n">
        <v>29.577</v>
      </c>
      <c r="CW17" t="n">
        <v>2.2</v>
      </c>
      <c r="CX17" t="n">
        <v>18.308</v>
      </c>
      <c r="CY17" t="n">
        <v>19.462</v>
      </c>
      <c r="CZ17" t="n">
        <v>-1.154</v>
      </c>
      <c r="DA17" t="n">
        <v>10.269</v>
      </c>
      <c r="DB17" t="n">
        <v>95.88</v>
      </c>
      <c r="DC17" t="n">
        <v>6.692</v>
      </c>
      <c r="DD17" t="n">
        <v>43.692</v>
      </c>
      <c r="DE17" t="n">
        <v>67.80800000000001</v>
      </c>
      <c r="DF17" t="n">
        <v>197.754</v>
      </c>
      <c r="DG17" t="n">
        <v>1615.269</v>
      </c>
      <c r="DH17" t="n">
        <v>1448.423</v>
      </c>
      <c r="DI17" t="n">
        <v>13.192</v>
      </c>
      <c r="DJ17" t="n">
        <v>203.654</v>
      </c>
      <c r="DK17" t="n">
        <v>137.615</v>
      </c>
      <c r="DL17" t="n">
        <v>341.269</v>
      </c>
      <c r="DM17" t="n">
        <v>70.73099999999999</v>
      </c>
      <c r="DN17" t="n">
        <v>64.551</v>
      </c>
      <c r="DO17" t="n">
        <v>79.877</v>
      </c>
      <c r="DP17" t="n">
        <v>5.272</v>
      </c>
      <c r="DQ17" t="n">
        <v>48.962</v>
      </c>
      <c r="DR17" t="n">
        <v>41.423</v>
      </c>
      <c r="DS17" t="n">
        <v>75.899</v>
      </c>
      <c r="DT17" t="n">
        <v>5833.192</v>
      </c>
      <c r="DU17" t="n">
        <v>17.093</v>
      </c>
      <c r="DV17" t="n">
        <v>55.115</v>
      </c>
      <c r="DW17" t="n">
        <v>6.192</v>
      </c>
      <c r="DX17" t="n">
        <v>64.962</v>
      </c>
      <c r="DY17" t="n">
        <v>5.253</v>
      </c>
      <c r="DZ17" t="n">
        <v>-0.578</v>
      </c>
      <c r="EA17" t="n">
        <v>0.062</v>
      </c>
      <c r="EB17" t="n">
        <v>132.615</v>
      </c>
      <c r="EC17" t="n">
        <v>199.577</v>
      </c>
      <c r="ED17" t="n">
        <v>332.192</v>
      </c>
      <c r="EE17" t="n">
        <v>39.921</v>
      </c>
      <c r="EF17" t="n">
        <v>65.462</v>
      </c>
      <c r="EG17" t="n">
        <v>90.30800000000001</v>
      </c>
      <c r="EH17" t="n">
        <v>13.808</v>
      </c>
      <c r="EI17" t="n">
        <v>22.72</v>
      </c>
      <c r="EJ17" t="n">
        <v>67.2</v>
      </c>
      <c r="EK17" t="n">
        <v>85.72</v>
      </c>
      <c r="EL17" t="n">
        <v>60.88</v>
      </c>
      <c r="EM17" t="n">
        <v>7.8</v>
      </c>
      <c r="EN17" t="n">
        <v>22.6</v>
      </c>
      <c r="EO17" t="n">
        <v>106.8</v>
      </c>
      <c r="EP17" t="n">
        <v>10.692</v>
      </c>
      <c r="EQ17" t="n">
        <v>24.077</v>
      </c>
      <c r="ER17" t="n">
        <v>34.769</v>
      </c>
      <c r="ES17" t="n">
        <v>37.96</v>
      </c>
      <c r="ET17" t="n">
        <v>76.08</v>
      </c>
      <c r="EU17" t="n">
        <v>82.30800000000001</v>
      </c>
      <c r="EV17" t="n">
        <v>9.385</v>
      </c>
      <c r="EW17" t="n">
        <v>9.577</v>
      </c>
      <c r="EX17" t="n">
        <v>19.56</v>
      </c>
      <c r="EY17" t="n">
        <v>14.231</v>
      </c>
      <c r="EZ17" t="n">
        <v>7</v>
      </c>
      <c r="FA17" t="n">
        <v>11.462</v>
      </c>
      <c r="FB17" t="n">
        <v>10.346</v>
      </c>
      <c r="FC17" t="n">
        <v>2.077</v>
      </c>
      <c r="FD17" t="n">
        <v>22.769</v>
      </c>
      <c r="FE17" t="n">
        <v>8.077</v>
      </c>
      <c r="FF17" t="n">
        <v>50.338</v>
      </c>
      <c r="FG17" t="n">
        <v>23.409</v>
      </c>
      <c r="FH17" t="n">
        <v>44.54</v>
      </c>
      <c r="FI17" t="n">
        <v>46.504</v>
      </c>
      <c r="FJ17" t="n">
        <v>21.692</v>
      </c>
      <c r="FK17" t="n">
        <v>74.253</v>
      </c>
      <c r="FL17" t="n">
        <v>3.707</v>
      </c>
      <c r="FM17" t="n">
        <v>3.234</v>
      </c>
      <c r="FN17" t="n">
        <v>0.161</v>
      </c>
      <c r="FO17" t="n">
        <v>3.561</v>
      </c>
      <c r="FP17" t="n">
        <v>0.139</v>
      </c>
      <c r="FQ17" t="n">
        <v>2.876</v>
      </c>
      <c r="FR17" t="n">
        <v>0.186</v>
      </c>
      <c r="FS17" t="n">
        <v>5</v>
      </c>
      <c r="FT17" t="n">
        <v>29.615</v>
      </c>
      <c r="FU17" t="n">
        <v>44.5</v>
      </c>
      <c r="FV17" t="n">
        <v>32.16</v>
      </c>
      <c r="FW17" t="n">
        <v>38.8</v>
      </c>
      <c r="FX17" t="n">
        <v>8.654</v>
      </c>
      <c r="FY17" t="n">
        <v>19.775</v>
      </c>
      <c r="FZ17" t="n">
        <v>22.617</v>
      </c>
      <c r="GA17" t="n">
        <v>9.439</v>
      </c>
      <c r="GB17" t="n">
        <v>29.988</v>
      </c>
      <c r="GC17" t="n">
        <v>11.771</v>
      </c>
      <c r="GD17" t="n">
        <v>59.808</v>
      </c>
      <c r="GE17" t="n">
        <v>9.731</v>
      </c>
      <c r="GF17" t="n">
        <v>278.308</v>
      </c>
      <c r="GG17" t="n">
        <v>139.654</v>
      </c>
      <c r="GH17" t="n">
        <v>31.077</v>
      </c>
      <c r="GI17" t="n">
        <v>34.5</v>
      </c>
      <c r="GJ17" t="n">
        <v>37.437</v>
      </c>
      <c r="GK17" t="n">
        <v>8.692</v>
      </c>
      <c r="GL17" t="n">
        <v>25.195</v>
      </c>
      <c r="GM17" t="n">
        <v>3</v>
      </c>
      <c r="GN17" t="n">
        <v>12.615</v>
      </c>
      <c r="GO17" t="n">
        <v>90.54900000000001</v>
      </c>
      <c r="GP17" t="n">
        <v>6.038</v>
      </c>
      <c r="GQ17" t="n">
        <v>43.462</v>
      </c>
      <c r="GR17" t="n">
        <v>69.19199999999999</v>
      </c>
      <c r="GS17" t="n">
        <v>4.996</v>
      </c>
      <c r="GT17" t="n">
        <v>69.538</v>
      </c>
      <c r="GU17" t="n">
        <v>86</v>
      </c>
      <c r="GV17" t="n">
        <v>3.615</v>
      </c>
      <c r="GW17" t="n">
        <v>15.077</v>
      </c>
      <c r="GX17" t="n">
        <v>-11.808</v>
      </c>
      <c r="GY17" t="n">
        <v>3.269</v>
      </c>
      <c r="GZ17" t="n">
        <v>5.615</v>
      </c>
      <c r="HA17" t="n">
        <v>163.462</v>
      </c>
      <c r="HB17" t="n">
        <v>-0.577</v>
      </c>
      <c r="HC17" t="n">
        <v>0.231</v>
      </c>
      <c r="HD17" t="n">
        <v>2.742</v>
      </c>
      <c r="HE17" t="n">
        <v>0.581</v>
      </c>
      <c r="HF17" t="n">
        <v>-2.962</v>
      </c>
      <c r="HG17" t="n">
        <v>4.038</v>
      </c>
      <c r="HH17" t="n">
        <v>1.077</v>
      </c>
      <c r="HI17" t="n">
        <v>-0.385</v>
      </c>
      <c r="HJ17" t="n">
        <v>-3.769</v>
      </c>
      <c r="HK17" t="n">
        <v>1.385</v>
      </c>
      <c r="HL17" t="n">
        <v>-2.12</v>
      </c>
      <c r="HM17" t="n">
        <v>-1.72</v>
      </c>
      <c r="HN17" t="n">
        <v>-4.52</v>
      </c>
      <c r="HO17" t="n">
        <v>-3.04</v>
      </c>
      <c r="HP17" t="n">
        <v>3.08</v>
      </c>
      <c r="HQ17" t="n">
        <v>-1.88</v>
      </c>
      <c r="HR17" t="n">
        <v>-5.92</v>
      </c>
      <c r="HS17" t="n">
        <v>1.808</v>
      </c>
      <c r="HT17" t="n">
        <v>0.923</v>
      </c>
      <c r="HU17" t="n">
        <v>2.731</v>
      </c>
      <c r="HV17" t="n">
        <v>3.52</v>
      </c>
      <c r="HW17" t="n">
        <v>12.462</v>
      </c>
      <c r="HX17" t="n">
        <v>0.577</v>
      </c>
      <c r="HY17" t="n">
        <v>3.538</v>
      </c>
      <c r="HZ17" t="n">
        <v>1.769</v>
      </c>
      <c r="IA17" t="n">
        <v>0.192</v>
      </c>
      <c r="IB17" t="n">
        <v>0.462</v>
      </c>
      <c r="IC17" t="n">
        <v>2.692</v>
      </c>
      <c r="ID17" t="n">
        <v>5.231</v>
      </c>
      <c r="IE17" t="n">
        <v>0.615</v>
      </c>
      <c r="IF17" t="n">
        <v>2.962</v>
      </c>
      <c r="IG17" t="n">
        <v>11.495</v>
      </c>
      <c r="IH17" t="n">
        <v>-6.815</v>
      </c>
      <c r="II17" t="n">
        <v>-0.154</v>
      </c>
      <c r="IJ17" t="n">
        <v>0.923</v>
      </c>
      <c r="IK17" t="n">
        <v>4.923</v>
      </c>
      <c r="IL17" t="n">
        <v>-0.385</v>
      </c>
      <c r="IM17" t="n">
        <v>1.44</v>
      </c>
      <c r="IN17" t="n">
        <v>-0.76</v>
      </c>
      <c r="IO17" t="n">
        <v>3.962</v>
      </c>
      <c r="IP17" t="n">
        <v>4.923</v>
      </c>
      <c r="IQ17" t="n">
        <v>3.5</v>
      </c>
      <c r="IR17" t="n">
        <v>11.615</v>
      </c>
      <c r="IS17" t="n">
        <v>-7.385</v>
      </c>
      <c r="IT17" t="n">
        <v>-0.077</v>
      </c>
      <c r="IU17" t="n">
        <v>6.462</v>
      </c>
      <c r="IV17" t="n">
        <v>3.423</v>
      </c>
      <c r="IW17" t="n">
        <v>-0.8</v>
      </c>
      <c r="IX17" t="n">
        <v>0.654</v>
      </c>
      <c r="IY17" t="n">
        <v>0.231</v>
      </c>
      <c r="IZ17" t="n">
        <v>-1.385</v>
      </c>
    </row>
    <row r="18">
      <c r="A18" t="inlineStr">
        <is>
          <t>West Coast</t>
        </is>
      </c>
      <c r="B18" t="inlineStr">
        <is>
          <t>WC</t>
        </is>
      </c>
      <c r="C18" t="n">
        <v>23</v>
      </c>
      <c r="D18" t="n">
        <v>40</v>
      </c>
      <c r="E18" t="n">
        <v>25.41</v>
      </c>
      <c r="F18" t="n">
        <v>95.599</v>
      </c>
      <c r="G18" t="n">
        <v>184.1</v>
      </c>
      <c r="H18" t="n">
        <v>1500.13</v>
      </c>
      <c r="I18" t="n">
        <v>1360.783</v>
      </c>
      <c r="J18" t="n">
        <v>8.130000000000001</v>
      </c>
      <c r="K18" t="n">
        <v>47.085</v>
      </c>
      <c r="L18" t="n">
        <v>190.913</v>
      </c>
      <c r="M18" t="n">
        <v>124.913</v>
      </c>
      <c r="N18" t="n">
        <v>315.826</v>
      </c>
      <c r="O18" t="n">
        <v>72.70099999999999</v>
      </c>
      <c r="P18" t="n">
        <v>67.479</v>
      </c>
      <c r="Q18" t="n">
        <v>80.682</v>
      </c>
      <c r="R18" t="n">
        <v>60.449</v>
      </c>
      <c r="S18" t="n">
        <v>5.073</v>
      </c>
      <c r="T18" t="n">
        <v>46.087</v>
      </c>
      <c r="U18" t="n">
        <v>38.217</v>
      </c>
      <c r="V18" t="n">
        <v>70.54600000000001</v>
      </c>
      <c r="W18" t="n">
        <v>5448.13</v>
      </c>
      <c r="X18" t="n">
        <v>17.25</v>
      </c>
      <c r="Y18" t="n">
        <v>50.261</v>
      </c>
      <c r="Z18" t="n">
        <v>6.284</v>
      </c>
      <c r="AA18" t="n">
        <v>61.174</v>
      </c>
      <c r="AB18" t="n">
        <v>5.163</v>
      </c>
      <c r="AC18" t="n">
        <v>-0.855</v>
      </c>
      <c r="AD18" t="n">
        <v>-1.311</v>
      </c>
      <c r="AE18" t="n">
        <v>122.565</v>
      </c>
      <c r="AF18" t="n">
        <v>186.304</v>
      </c>
      <c r="AG18" t="n">
        <v>308.87</v>
      </c>
      <c r="AH18" t="n">
        <v>39.682</v>
      </c>
      <c r="AI18" t="n">
        <v>59.696</v>
      </c>
      <c r="AJ18" t="n">
        <v>84.696</v>
      </c>
      <c r="AK18" t="n">
        <v>12.957</v>
      </c>
      <c r="AL18" t="n">
        <v>23.909</v>
      </c>
      <c r="AM18" t="n">
        <v>60.955</v>
      </c>
      <c r="AN18" t="n">
        <v>75.364</v>
      </c>
      <c r="AO18" t="n">
        <v>53.045</v>
      </c>
      <c r="AP18" t="n">
        <v>6.136</v>
      </c>
      <c r="AQ18" t="n">
        <v>20.818</v>
      </c>
      <c r="AR18" t="n">
        <v>97.455</v>
      </c>
      <c r="AS18" t="n">
        <v>11.217</v>
      </c>
      <c r="AT18" t="n">
        <v>23.87</v>
      </c>
      <c r="AU18" t="n">
        <v>35.087</v>
      </c>
      <c r="AV18" t="n">
        <v>37.5</v>
      </c>
      <c r="AW18" t="n">
        <v>75.273</v>
      </c>
      <c r="AX18" t="n">
        <v>84.304</v>
      </c>
      <c r="AY18" t="n">
        <v>10.304</v>
      </c>
      <c r="AZ18" t="n">
        <v>10.217</v>
      </c>
      <c r="BA18" t="n">
        <v>22.17</v>
      </c>
      <c r="BB18" t="n">
        <v>14.87</v>
      </c>
      <c r="BC18" t="n">
        <v>6.957</v>
      </c>
      <c r="BD18" t="n">
        <v>28</v>
      </c>
      <c r="BE18" t="n">
        <v>6.391</v>
      </c>
      <c r="BF18" t="n">
        <v>9.957000000000001</v>
      </c>
      <c r="BG18" t="n">
        <v>9.565</v>
      </c>
      <c r="BH18" t="n">
        <v>1.739</v>
      </c>
      <c r="BI18" t="n">
        <v>21.783</v>
      </c>
      <c r="BJ18" t="n">
        <v>6.826</v>
      </c>
      <c r="BK18" t="n">
        <v>45.709</v>
      </c>
      <c r="BL18" t="n">
        <v>21.604</v>
      </c>
      <c r="BM18" t="n">
        <v>42.358</v>
      </c>
      <c r="BN18" t="n">
        <v>47.264</v>
      </c>
      <c r="BO18" t="n">
        <v>19.391</v>
      </c>
      <c r="BP18" t="n">
        <v>9.739000000000001</v>
      </c>
      <c r="BQ18" t="n">
        <v>22.768</v>
      </c>
      <c r="BR18" t="n">
        <v>70.76300000000001</v>
      </c>
      <c r="BS18" t="n">
        <v>-1.627</v>
      </c>
      <c r="BT18" t="n">
        <v>3.217</v>
      </c>
      <c r="BU18" t="n">
        <v>-0.074</v>
      </c>
      <c r="BV18" t="n">
        <v>3.498</v>
      </c>
      <c r="BW18" t="n">
        <v>0.015</v>
      </c>
      <c r="BX18" t="n">
        <v>2.834</v>
      </c>
      <c r="BY18" t="n">
        <v>-0.195</v>
      </c>
      <c r="BZ18" t="n">
        <v>4.043</v>
      </c>
      <c r="CA18" t="n">
        <v>30.652</v>
      </c>
      <c r="CB18" t="n">
        <v>34.609</v>
      </c>
      <c r="CC18" t="n">
        <v>25.818</v>
      </c>
      <c r="CD18" t="n">
        <v>33.591</v>
      </c>
      <c r="CE18" t="n">
        <v>11.087</v>
      </c>
      <c r="CF18" t="n">
        <v>19.048</v>
      </c>
      <c r="CG18" t="n">
        <v>19.858</v>
      </c>
      <c r="CH18" t="n">
        <v>7.683</v>
      </c>
      <c r="CI18" t="n">
        <v>28.981</v>
      </c>
      <c r="CJ18" t="n">
        <v>10.976</v>
      </c>
      <c r="CK18" t="n">
        <v>9.217000000000001</v>
      </c>
      <c r="CL18" t="n">
        <v>32.075</v>
      </c>
      <c r="CM18" t="n">
        <v>55.957</v>
      </c>
      <c r="CN18" t="n">
        <v>9.435</v>
      </c>
      <c r="CO18" t="n">
        <v>290.13</v>
      </c>
      <c r="CP18" t="n">
        <v>141.435</v>
      </c>
      <c r="CQ18" t="n">
        <v>27.957</v>
      </c>
      <c r="CR18" t="n">
        <v>95.304</v>
      </c>
      <c r="CS18" t="n">
        <v>30.565</v>
      </c>
      <c r="CT18" t="n">
        <v>32.071</v>
      </c>
      <c r="CU18" t="n">
        <v>6.957</v>
      </c>
      <c r="CV18" t="n">
        <v>22.76</v>
      </c>
      <c r="CW18" t="n">
        <v>3</v>
      </c>
      <c r="CX18" t="n">
        <v>16.957</v>
      </c>
      <c r="CY18" t="n">
        <v>17.87</v>
      </c>
      <c r="CZ18" t="n">
        <v>-0.913</v>
      </c>
      <c r="DA18" t="n">
        <v>11</v>
      </c>
      <c r="DB18" t="n">
        <v>88.93300000000001</v>
      </c>
      <c r="DC18" t="n">
        <v>7.13</v>
      </c>
      <c r="DD18" t="n">
        <v>38.652</v>
      </c>
      <c r="DE18" t="n">
        <v>71.47799999999999</v>
      </c>
      <c r="DF18" t="n">
        <v>222.491</v>
      </c>
      <c r="DG18" t="n">
        <v>1800.043</v>
      </c>
      <c r="DH18" t="n">
        <v>1611.652</v>
      </c>
      <c r="DI18" t="n">
        <v>21.87</v>
      </c>
      <c r="DJ18" t="n">
        <v>218.217</v>
      </c>
      <c r="DK18" t="n">
        <v>150.522</v>
      </c>
      <c r="DL18" t="n">
        <v>368.739</v>
      </c>
      <c r="DM18" t="n">
        <v>73.65900000000001</v>
      </c>
      <c r="DN18" t="n">
        <v>67.922</v>
      </c>
      <c r="DO18" t="n">
        <v>81.976</v>
      </c>
      <c r="DP18" t="n">
        <v>6.59</v>
      </c>
      <c r="DQ18" t="n">
        <v>54.174</v>
      </c>
      <c r="DR18" t="n">
        <v>35.652</v>
      </c>
      <c r="DS18" t="n">
        <v>77.358</v>
      </c>
      <c r="DT18" t="n">
        <v>5975</v>
      </c>
      <c r="DU18" t="n">
        <v>16.204</v>
      </c>
      <c r="DV18" t="n">
        <v>50.565</v>
      </c>
      <c r="DW18" t="n">
        <v>7.292</v>
      </c>
      <c r="DX18" t="n">
        <v>59.609</v>
      </c>
      <c r="DY18" t="n">
        <v>6.186</v>
      </c>
      <c r="DZ18" t="n">
        <v>4.513</v>
      </c>
      <c r="EA18" t="n">
        <v>4.063</v>
      </c>
      <c r="EB18" t="n">
        <v>131.522</v>
      </c>
      <c r="EC18" t="n">
        <v>228.739</v>
      </c>
      <c r="ED18" t="n">
        <v>360.261</v>
      </c>
      <c r="EE18" t="n">
        <v>36.507</v>
      </c>
      <c r="EF18" t="n">
        <v>61.348</v>
      </c>
      <c r="EG18" t="n">
        <v>85.652</v>
      </c>
      <c r="EH18" t="n">
        <v>16.13</v>
      </c>
      <c r="EI18" t="n">
        <v>24.136</v>
      </c>
      <c r="EJ18" t="n">
        <v>60.727</v>
      </c>
      <c r="EK18" t="n">
        <v>79.045</v>
      </c>
      <c r="EL18" t="n">
        <v>56.136</v>
      </c>
      <c r="EM18" t="n">
        <v>11.545</v>
      </c>
      <c r="EN18" t="n">
        <v>22.545</v>
      </c>
      <c r="EO18" t="n">
        <v>118.773</v>
      </c>
      <c r="EP18" t="n">
        <v>12.783</v>
      </c>
      <c r="EQ18" t="n">
        <v>26.522</v>
      </c>
      <c r="ER18" t="n">
        <v>39.304</v>
      </c>
      <c r="ES18" t="n">
        <v>42.955</v>
      </c>
      <c r="ET18" t="n">
        <v>76.402</v>
      </c>
      <c r="EU18" t="n">
        <v>98.913</v>
      </c>
      <c r="EV18" t="n">
        <v>10.826</v>
      </c>
      <c r="EW18" t="n">
        <v>15.304</v>
      </c>
      <c r="EX18" t="n">
        <v>28.25</v>
      </c>
      <c r="EY18" t="n">
        <v>14.261</v>
      </c>
      <c r="EZ18" t="n">
        <v>9.522</v>
      </c>
      <c r="FA18" t="n">
        <v>15.087</v>
      </c>
      <c r="FB18" t="n">
        <v>11.174</v>
      </c>
      <c r="FC18" t="n">
        <v>1.826</v>
      </c>
      <c r="FD18" t="n">
        <v>28.435</v>
      </c>
      <c r="FE18" t="n">
        <v>11.13</v>
      </c>
      <c r="FF18" t="n">
        <v>53.058</v>
      </c>
      <c r="FG18" t="n">
        <v>27.849</v>
      </c>
      <c r="FH18" t="n">
        <v>48.475</v>
      </c>
      <c r="FI18" t="n">
        <v>52.488</v>
      </c>
      <c r="FJ18" t="n">
        <v>26.13</v>
      </c>
      <c r="FK18" t="n">
        <v>96.09</v>
      </c>
      <c r="FL18" t="n">
        <v>4.001</v>
      </c>
      <c r="FM18" t="n">
        <v>3.377</v>
      </c>
      <c r="FN18" t="n">
        <v>0.141</v>
      </c>
      <c r="FO18" t="n">
        <v>3.648</v>
      </c>
      <c r="FP18" t="n">
        <v>0.136</v>
      </c>
      <c r="FQ18" t="n">
        <v>3.011</v>
      </c>
      <c r="FR18" t="n">
        <v>0.147</v>
      </c>
      <c r="FS18" t="n">
        <v>4</v>
      </c>
      <c r="FT18" t="n">
        <v>44</v>
      </c>
      <c r="FU18" t="n">
        <v>53.696</v>
      </c>
      <c r="FV18" t="n">
        <v>41.909</v>
      </c>
      <c r="FW18" t="n">
        <v>45.273</v>
      </c>
      <c r="FX18" t="n">
        <v>14.609</v>
      </c>
      <c r="FY18" t="n">
        <v>24.393</v>
      </c>
      <c r="FZ18" t="n">
        <v>26.938</v>
      </c>
      <c r="GA18" t="n">
        <v>13.232</v>
      </c>
      <c r="GB18" t="n">
        <v>35.432</v>
      </c>
      <c r="GC18" t="n">
        <v>15.543</v>
      </c>
      <c r="GD18" t="n">
        <v>62.261</v>
      </c>
      <c r="GE18" t="n">
        <v>12.478</v>
      </c>
      <c r="GF18" t="n">
        <v>266.174</v>
      </c>
      <c r="GG18" t="n">
        <v>118.957</v>
      </c>
      <c r="GH18" t="n">
        <v>29.652</v>
      </c>
      <c r="GI18" t="n">
        <v>43.043</v>
      </c>
      <c r="GJ18" t="n">
        <v>45.185</v>
      </c>
      <c r="GK18" t="n">
        <v>12.652</v>
      </c>
      <c r="GL18" t="n">
        <v>29.394</v>
      </c>
      <c r="GM18" t="n">
        <v>4.045</v>
      </c>
      <c r="GN18" t="n">
        <v>9.435</v>
      </c>
      <c r="GO18" t="n">
        <v>89.86199999999999</v>
      </c>
      <c r="GP18" t="n">
        <v>9.042999999999999</v>
      </c>
      <c r="GQ18" t="n">
        <v>41.13</v>
      </c>
      <c r="GR18" t="n">
        <v>70.261</v>
      </c>
      <c r="GS18" t="n">
        <v>-38.391</v>
      </c>
      <c r="GT18" t="n">
        <v>-299.913</v>
      </c>
      <c r="GU18" t="n">
        <v>-250.87</v>
      </c>
      <c r="GV18" t="n">
        <v>-13.739</v>
      </c>
      <c r="GW18" t="n">
        <v>-27.304</v>
      </c>
      <c r="GX18" t="n">
        <v>-25.609</v>
      </c>
      <c r="GY18" t="n">
        <v>-52.913</v>
      </c>
      <c r="GZ18" t="n">
        <v>-8.087</v>
      </c>
      <c r="HA18" t="n">
        <v>-526.87</v>
      </c>
      <c r="HB18" t="n">
        <v>-0.304</v>
      </c>
      <c r="HC18" t="n">
        <v>1.565</v>
      </c>
      <c r="HD18" t="n">
        <v>-5.368</v>
      </c>
      <c r="HE18" t="n">
        <v>-5.374</v>
      </c>
      <c r="HF18" t="n">
        <v>-8.957000000000001</v>
      </c>
      <c r="HG18" t="n">
        <v>-42.435</v>
      </c>
      <c r="HH18" t="n">
        <v>-51.391</v>
      </c>
      <c r="HI18" t="n">
        <v>-1.652</v>
      </c>
      <c r="HJ18" t="n">
        <v>-0.957</v>
      </c>
      <c r="HK18" t="n">
        <v>-3.174</v>
      </c>
      <c r="HL18" t="n">
        <v>-0.227</v>
      </c>
      <c r="HM18" t="n">
        <v>0.227</v>
      </c>
      <c r="HN18" t="n">
        <v>-3.682</v>
      </c>
      <c r="HO18" t="n">
        <v>-3.091</v>
      </c>
      <c r="HP18" t="n">
        <v>-5.409</v>
      </c>
      <c r="HQ18" t="n">
        <v>-1.727</v>
      </c>
      <c r="HR18" t="n">
        <v>-21.318</v>
      </c>
      <c r="HS18" t="n">
        <v>-1.565</v>
      </c>
      <c r="HT18" t="n">
        <v>-2.652</v>
      </c>
      <c r="HU18" t="n">
        <v>-4.217</v>
      </c>
      <c r="HV18" t="n">
        <v>-5.455</v>
      </c>
      <c r="HW18" t="n">
        <v>-14.609</v>
      </c>
      <c r="HX18" t="n">
        <v>-0.522</v>
      </c>
      <c r="HY18" t="n">
        <v>-5.087</v>
      </c>
      <c r="HZ18" t="n">
        <v>0.609</v>
      </c>
      <c r="IA18" t="n">
        <v>-2.565</v>
      </c>
      <c r="IB18" t="n">
        <v>-5.13</v>
      </c>
      <c r="IC18" t="n">
        <v>-1.609</v>
      </c>
      <c r="ID18" t="n">
        <v>-6.652</v>
      </c>
      <c r="IE18" t="n">
        <v>-4.304</v>
      </c>
      <c r="IF18" t="n">
        <v>-6.739</v>
      </c>
      <c r="IG18" t="n">
        <v>-25.327</v>
      </c>
      <c r="IH18" t="n">
        <v>-5.627</v>
      </c>
      <c r="II18" t="n">
        <v>-0.16</v>
      </c>
      <c r="IJ18" t="n">
        <v>0.043</v>
      </c>
      <c r="IK18" t="n">
        <v>-13.348</v>
      </c>
      <c r="IL18" t="n">
        <v>-19.087</v>
      </c>
      <c r="IM18" t="n">
        <v>-16.091</v>
      </c>
      <c r="IN18" t="n">
        <v>-11.682</v>
      </c>
      <c r="IO18" t="n">
        <v>-3.522</v>
      </c>
      <c r="IP18" t="n">
        <v>-6.304</v>
      </c>
      <c r="IQ18" t="n">
        <v>-3.043</v>
      </c>
      <c r="IR18" t="n">
        <v>23.957</v>
      </c>
      <c r="IS18" t="n">
        <v>22.478</v>
      </c>
      <c r="IT18" t="n">
        <v>-1.696</v>
      </c>
      <c r="IU18" t="n">
        <v>-12.478</v>
      </c>
      <c r="IV18" t="n">
        <v>-5.696</v>
      </c>
      <c r="IW18" t="n">
        <v>-1.045</v>
      </c>
      <c r="IX18" t="n">
        <v>-1.913</v>
      </c>
      <c r="IY18" t="n">
        <v>-2.478</v>
      </c>
      <c r="IZ18" t="n">
        <v>1.217</v>
      </c>
    </row>
    <row r="19">
      <c r="A19" t="inlineStr">
        <is>
          <t>Fremantle</t>
        </is>
      </c>
      <c r="B19" t="inlineStr">
        <is>
          <t>Frem</t>
        </is>
      </c>
      <c r="C19" t="n">
        <v>23</v>
      </c>
      <c r="D19" t="n">
        <v>36</v>
      </c>
      <c r="E19" t="n">
        <v>25.025</v>
      </c>
      <c r="F19" t="n">
        <v>87.023</v>
      </c>
      <c r="G19" t="n">
        <v>208.796</v>
      </c>
      <c r="H19" t="n">
        <v>1687.391</v>
      </c>
      <c r="I19" t="n">
        <v>1541.609</v>
      </c>
      <c r="J19" t="n">
        <v>17.826</v>
      </c>
      <c r="K19" t="n">
        <v>50.218</v>
      </c>
      <c r="L19" t="n">
        <v>206.391</v>
      </c>
      <c r="M19" t="n">
        <v>160.783</v>
      </c>
      <c r="N19" t="n">
        <v>367.174</v>
      </c>
      <c r="O19" t="n">
        <v>75.749</v>
      </c>
      <c r="P19" t="n">
        <v>68.886</v>
      </c>
      <c r="Q19" t="n">
        <v>84.559</v>
      </c>
      <c r="R19" t="n">
        <v>56.211</v>
      </c>
      <c r="S19" t="n">
        <v>6.214</v>
      </c>
      <c r="T19" t="n">
        <v>51.043</v>
      </c>
      <c r="U19" t="n">
        <v>37.522</v>
      </c>
      <c r="V19" t="n">
        <v>75.968</v>
      </c>
      <c r="W19" t="n">
        <v>5760.522</v>
      </c>
      <c r="X19" t="n">
        <v>15.689</v>
      </c>
      <c r="Y19" t="n">
        <v>48.696</v>
      </c>
      <c r="Z19" t="n">
        <v>7.54</v>
      </c>
      <c r="AA19" t="n">
        <v>63.565</v>
      </c>
      <c r="AB19" t="n">
        <v>5.776</v>
      </c>
      <c r="AC19" t="n">
        <v>0.865</v>
      </c>
      <c r="AD19" t="n">
        <v>0.77</v>
      </c>
      <c r="AE19" t="n">
        <v>126.957</v>
      </c>
      <c r="AF19" t="n">
        <v>235.087</v>
      </c>
      <c r="AG19" t="n">
        <v>362.043</v>
      </c>
      <c r="AH19" t="n">
        <v>35.067</v>
      </c>
      <c r="AI19" t="n">
        <v>59.913</v>
      </c>
      <c r="AJ19" t="n">
        <v>86.95699999999999</v>
      </c>
      <c r="AK19" t="n">
        <v>14.13</v>
      </c>
      <c r="AL19" t="n">
        <v>21.609</v>
      </c>
      <c r="AM19" t="n">
        <v>65.348</v>
      </c>
      <c r="AN19" t="n">
        <v>75.52200000000001</v>
      </c>
      <c r="AO19" t="n">
        <v>54.522</v>
      </c>
      <c r="AP19" t="n">
        <v>10.522</v>
      </c>
      <c r="AQ19" t="n">
        <v>19.87</v>
      </c>
      <c r="AR19" t="n">
        <v>132.739</v>
      </c>
      <c r="AS19" t="n">
        <v>12.174</v>
      </c>
      <c r="AT19" t="n">
        <v>27.652</v>
      </c>
      <c r="AU19" t="n">
        <v>39.826</v>
      </c>
      <c r="AV19" t="n">
        <v>42.522</v>
      </c>
      <c r="AW19" t="n">
        <v>79.039</v>
      </c>
      <c r="AX19" t="n">
        <v>93.087</v>
      </c>
      <c r="AY19" t="n">
        <v>7.87</v>
      </c>
      <c r="AZ19" t="n">
        <v>12.435</v>
      </c>
      <c r="BA19" t="n">
        <v>24.361</v>
      </c>
      <c r="BB19" t="n">
        <v>12.826</v>
      </c>
      <c r="BC19" t="n">
        <v>5.304</v>
      </c>
      <c r="BD19" t="n">
        <v>25</v>
      </c>
      <c r="BE19" t="n">
        <v>7.913</v>
      </c>
      <c r="BF19" t="n">
        <v>12.435</v>
      </c>
      <c r="BG19" t="n">
        <v>10.783</v>
      </c>
      <c r="BH19" t="n">
        <v>1.391</v>
      </c>
      <c r="BI19" t="n">
        <v>25.565</v>
      </c>
      <c r="BJ19" t="n">
        <v>9.304</v>
      </c>
      <c r="BK19" t="n">
        <v>48.639</v>
      </c>
      <c r="BL19" t="n">
        <v>24.361</v>
      </c>
      <c r="BM19" t="n">
        <v>45.486</v>
      </c>
      <c r="BN19" t="n">
        <v>50.085</v>
      </c>
      <c r="BO19" t="n">
        <v>23.13</v>
      </c>
      <c r="BP19" t="n">
        <v>10.304</v>
      </c>
      <c r="BQ19" t="n">
        <v>27.426</v>
      </c>
      <c r="BR19" t="n">
        <v>85.45999999999999</v>
      </c>
      <c r="BS19" t="n">
        <v>-1.46</v>
      </c>
      <c r="BT19" t="n">
        <v>3.343</v>
      </c>
      <c r="BU19" t="n">
        <v>-0.057</v>
      </c>
      <c r="BV19" t="n">
        <v>3.704</v>
      </c>
      <c r="BW19" t="n">
        <v>0.047</v>
      </c>
      <c r="BX19" t="n">
        <v>2.858</v>
      </c>
      <c r="BY19" t="n">
        <v>-0.197</v>
      </c>
      <c r="BZ19" t="n">
        <v>2.957</v>
      </c>
      <c r="CA19" t="n">
        <v>34.652</v>
      </c>
      <c r="CB19" t="n">
        <v>47.783</v>
      </c>
      <c r="CC19" t="n">
        <v>35.609</v>
      </c>
      <c r="CD19" t="n">
        <v>39</v>
      </c>
      <c r="CE19" t="n">
        <v>10.783</v>
      </c>
      <c r="CF19" t="n">
        <v>21.405</v>
      </c>
      <c r="CG19" t="n">
        <v>23.131</v>
      </c>
      <c r="CH19" t="n">
        <v>10.748</v>
      </c>
      <c r="CI19" t="n">
        <v>31.973</v>
      </c>
      <c r="CJ19" t="n">
        <v>13.887</v>
      </c>
      <c r="CK19" t="n">
        <v>10.13</v>
      </c>
      <c r="CL19" t="n">
        <v>30.043</v>
      </c>
      <c r="CM19" t="n">
        <v>58.13</v>
      </c>
      <c r="CN19" t="n">
        <v>10.652</v>
      </c>
      <c r="CO19" t="n">
        <v>280.391</v>
      </c>
      <c r="CP19" t="n">
        <v>133.913</v>
      </c>
      <c r="CQ19" t="n">
        <v>26.391</v>
      </c>
      <c r="CR19" t="n">
        <v>93.82599999999999</v>
      </c>
      <c r="CS19" t="n">
        <v>37.609</v>
      </c>
      <c r="CT19" t="n">
        <v>40.083</v>
      </c>
      <c r="CU19" t="n">
        <v>11.13</v>
      </c>
      <c r="CV19" t="n">
        <v>29.595</v>
      </c>
      <c r="CW19" t="n">
        <v>2.783</v>
      </c>
      <c r="CX19" t="n">
        <v>18.217</v>
      </c>
      <c r="CY19" t="n">
        <v>16.913</v>
      </c>
      <c r="CZ19" t="n">
        <v>1.304</v>
      </c>
      <c r="DA19" t="n">
        <v>10.261</v>
      </c>
      <c r="DB19" t="n">
        <v>90.678</v>
      </c>
      <c r="DC19" t="n">
        <v>7.913</v>
      </c>
      <c r="DD19" t="n">
        <v>38.174</v>
      </c>
      <c r="DE19" t="n">
        <v>71.60899999999999</v>
      </c>
      <c r="DF19" t="n">
        <v>195.122</v>
      </c>
      <c r="DG19" t="n">
        <v>1613.13</v>
      </c>
      <c r="DH19" t="n">
        <v>1503.739</v>
      </c>
      <c r="DI19" t="n">
        <v>12.174</v>
      </c>
      <c r="DJ19" t="n">
        <v>209.652</v>
      </c>
      <c r="DK19" t="n">
        <v>137.174</v>
      </c>
      <c r="DL19" t="n">
        <v>346.826</v>
      </c>
      <c r="DM19" t="n">
        <v>73.724</v>
      </c>
      <c r="DN19" t="n">
        <v>68.416</v>
      </c>
      <c r="DO19" t="n">
        <v>81.83799999999999</v>
      </c>
      <c r="DP19" t="n">
        <v>5.966</v>
      </c>
      <c r="DQ19" t="n">
        <v>49.391</v>
      </c>
      <c r="DR19" t="n">
        <v>37.87</v>
      </c>
      <c r="DS19" t="n">
        <v>74.191</v>
      </c>
      <c r="DT19" t="n">
        <v>5600.174</v>
      </c>
      <c r="DU19" t="n">
        <v>16.147</v>
      </c>
      <c r="DV19" t="n">
        <v>51.609</v>
      </c>
      <c r="DW19" t="n">
        <v>6.72</v>
      </c>
      <c r="DX19" t="n">
        <v>59.609</v>
      </c>
      <c r="DY19" t="n">
        <v>5.818</v>
      </c>
      <c r="DZ19" t="n">
        <v>-1.639</v>
      </c>
      <c r="EA19" t="n">
        <v>1.269</v>
      </c>
      <c r="EB19" t="n">
        <v>123.826</v>
      </c>
      <c r="EC19" t="n">
        <v>215.13</v>
      </c>
      <c r="ED19" t="n">
        <v>338.957</v>
      </c>
      <c r="EE19" t="n">
        <v>36.532</v>
      </c>
      <c r="EF19" t="n">
        <v>63.696</v>
      </c>
      <c r="EG19" t="n">
        <v>82.696</v>
      </c>
      <c r="EH19" t="n">
        <v>14.217</v>
      </c>
      <c r="EI19" t="n">
        <v>20.13</v>
      </c>
      <c r="EJ19" t="n">
        <v>62.565</v>
      </c>
      <c r="EK19" t="n">
        <v>79.565</v>
      </c>
      <c r="EL19" t="n">
        <v>56.957</v>
      </c>
      <c r="EM19" t="n">
        <v>9.913</v>
      </c>
      <c r="EN19" t="n">
        <v>22.174</v>
      </c>
      <c r="EO19" t="n">
        <v>109.652</v>
      </c>
      <c r="EP19" t="n">
        <v>10.087</v>
      </c>
      <c r="EQ19" t="n">
        <v>22.609</v>
      </c>
      <c r="ER19" t="n">
        <v>32.696</v>
      </c>
      <c r="ES19" t="n">
        <v>37.391</v>
      </c>
      <c r="ET19" t="n">
        <v>72.907</v>
      </c>
      <c r="EU19" t="n">
        <v>95.783</v>
      </c>
      <c r="EV19" t="n">
        <v>9.478</v>
      </c>
      <c r="EW19" t="n">
        <v>10.435</v>
      </c>
      <c r="EX19" t="n">
        <v>21.127</v>
      </c>
      <c r="EY19" t="n">
        <v>13.957</v>
      </c>
      <c r="EZ19" t="n">
        <v>6.522</v>
      </c>
      <c r="FA19" t="n">
        <v>11</v>
      </c>
      <c r="FB19" t="n">
        <v>10.304</v>
      </c>
      <c r="FC19" t="n">
        <v>1.87</v>
      </c>
      <c r="FD19" t="n">
        <v>22.522</v>
      </c>
      <c r="FE19" t="n">
        <v>7.565</v>
      </c>
      <c r="FF19" t="n">
        <v>48.842</v>
      </c>
      <c r="FG19" t="n">
        <v>22.271</v>
      </c>
      <c r="FH19" t="n">
        <v>43.134</v>
      </c>
      <c r="FI19" t="n">
        <v>45.599</v>
      </c>
      <c r="FJ19" t="n">
        <v>21.043</v>
      </c>
      <c r="FK19" t="n">
        <v>73.732</v>
      </c>
      <c r="FL19" t="n">
        <v>0.702</v>
      </c>
      <c r="FM19" t="n">
        <v>3.274</v>
      </c>
      <c r="FN19" t="n">
        <v>0.031</v>
      </c>
      <c r="FO19" t="n">
        <v>3.605</v>
      </c>
      <c r="FP19" t="n">
        <v>0.08799999999999999</v>
      </c>
      <c r="FQ19" t="n">
        <v>2.893</v>
      </c>
      <c r="FR19" t="n">
        <v>-0.034</v>
      </c>
      <c r="FS19" t="n">
        <v>4.783</v>
      </c>
      <c r="FT19" t="n">
        <v>30.565</v>
      </c>
      <c r="FU19" t="n">
        <v>40.957</v>
      </c>
      <c r="FV19" t="n">
        <v>27.522</v>
      </c>
      <c r="FW19" t="n">
        <v>38.652</v>
      </c>
      <c r="FX19" t="n">
        <v>10.13</v>
      </c>
      <c r="FY19" t="n">
        <v>20.133</v>
      </c>
      <c r="FZ19" t="n">
        <v>23.884</v>
      </c>
      <c r="GA19" t="n">
        <v>9.396000000000001</v>
      </c>
      <c r="GB19" t="n">
        <v>31.355</v>
      </c>
      <c r="GC19" t="n">
        <v>11.351</v>
      </c>
      <c r="GD19" t="n">
        <v>59.087</v>
      </c>
      <c r="GE19" t="n">
        <v>13.174</v>
      </c>
      <c r="GF19" t="n">
        <v>302.174</v>
      </c>
      <c r="GG19" t="n">
        <v>135.435</v>
      </c>
      <c r="GH19" t="n">
        <v>30.087</v>
      </c>
      <c r="GI19" t="n">
        <v>39.913</v>
      </c>
      <c r="GJ19" t="n">
        <v>42.579</v>
      </c>
      <c r="GK19" t="n">
        <v>10.913</v>
      </c>
      <c r="GL19" t="n">
        <v>27.342</v>
      </c>
      <c r="GM19" t="n">
        <v>3.261</v>
      </c>
      <c r="GN19" t="n">
        <v>10.522</v>
      </c>
      <c r="GO19" t="n">
        <v>84.711</v>
      </c>
      <c r="GP19" t="n">
        <v>7.13</v>
      </c>
      <c r="GQ19" t="n">
        <v>40.739</v>
      </c>
      <c r="GR19" t="n">
        <v>69.435</v>
      </c>
      <c r="GS19" t="n">
        <v>13.674</v>
      </c>
      <c r="GT19" t="n">
        <v>74.261</v>
      </c>
      <c r="GU19" t="n">
        <v>37.87</v>
      </c>
      <c r="GV19" t="n">
        <v>5.652</v>
      </c>
      <c r="GW19" t="n">
        <v>-3.261</v>
      </c>
      <c r="GX19" t="n">
        <v>23.609</v>
      </c>
      <c r="GY19" t="n">
        <v>20.348</v>
      </c>
      <c r="GZ19" t="n">
        <v>1.652</v>
      </c>
      <c r="HA19" t="n">
        <v>160.348</v>
      </c>
      <c r="HB19" t="n">
        <v>-2.913</v>
      </c>
      <c r="HC19" t="n">
        <v>3.957</v>
      </c>
      <c r="HD19" t="n">
        <v>2.504</v>
      </c>
      <c r="HE19" t="n">
        <v>-0.499</v>
      </c>
      <c r="HF19" t="n">
        <v>3.13</v>
      </c>
      <c r="HG19" t="n">
        <v>19.957</v>
      </c>
      <c r="HH19" t="n">
        <v>23.087</v>
      </c>
      <c r="HI19" t="n">
        <v>-3.783</v>
      </c>
      <c r="HJ19" t="n">
        <v>4.261</v>
      </c>
      <c r="HK19" t="n">
        <v>-0.08699999999999999</v>
      </c>
      <c r="HL19" t="n">
        <v>1.478</v>
      </c>
      <c r="HM19" t="n">
        <v>2.783</v>
      </c>
      <c r="HN19" t="n">
        <v>-4.043</v>
      </c>
      <c r="HO19" t="n">
        <v>-2.435</v>
      </c>
      <c r="HP19" t="n">
        <v>0.609</v>
      </c>
      <c r="HQ19" t="n">
        <v>-2.304</v>
      </c>
      <c r="HR19" t="n">
        <v>23.087</v>
      </c>
      <c r="HS19" t="n">
        <v>2.087</v>
      </c>
      <c r="HT19" t="n">
        <v>5.043</v>
      </c>
      <c r="HU19" t="n">
        <v>7.13</v>
      </c>
      <c r="HV19" t="n">
        <v>5.13</v>
      </c>
      <c r="HW19" t="n">
        <v>-2.696</v>
      </c>
      <c r="HX19" t="n">
        <v>-1.609</v>
      </c>
      <c r="HY19" t="n">
        <v>2</v>
      </c>
      <c r="HZ19" t="n">
        <v>-1.13</v>
      </c>
      <c r="IA19" t="n">
        <v>-1.217</v>
      </c>
      <c r="IB19" t="n">
        <v>1.435</v>
      </c>
      <c r="IC19" t="n">
        <v>0.478</v>
      </c>
      <c r="ID19" t="n">
        <v>3.043</v>
      </c>
      <c r="IE19" t="n">
        <v>1.739</v>
      </c>
      <c r="IF19" t="n">
        <v>2.087</v>
      </c>
      <c r="IG19" t="n">
        <v>11.728</v>
      </c>
      <c r="IH19" t="n">
        <v>-2.163</v>
      </c>
      <c r="II19" t="n">
        <v>0.06900000000000001</v>
      </c>
      <c r="IJ19" t="n">
        <v>-1.826</v>
      </c>
      <c r="IK19" t="n">
        <v>4.087</v>
      </c>
      <c r="IL19" t="n">
        <v>6.826</v>
      </c>
      <c r="IM19" t="n">
        <v>8.087</v>
      </c>
      <c r="IN19" t="n">
        <v>0.348</v>
      </c>
      <c r="IO19" t="n">
        <v>0.652</v>
      </c>
      <c r="IP19" t="n">
        <v>-0.957</v>
      </c>
      <c r="IQ19" t="n">
        <v>-2.522</v>
      </c>
      <c r="IR19" t="n">
        <v>-21.783</v>
      </c>
      <c r="IS19" t="n">
        <v>-1.522</v>
      </c>
      <c r="IT19" t="n">
        <v>-3.696</v>
      </c>
      <c r="IU19" t="n">
        <v>-2.304</v>
      </c>
      <c r="IV19" t="n">
        <v>0.217</v>
      </c>
      <c r="IW19" t="n">
        <v>-0.478</v>
      </c>
      <c r="IX19" t="n">
        <v>0.783</v>
      </c>
      <c r="IY19" t="n">
        <v>-2.565</v>
      </c>
      <c r="IZ19" t="n">
        <v>2.174</v>
      </c>
    </row>
    <row r="20">
      <c r="A20" t="inlineStr">
        <is>
          <t>Average</t>
        </is>
      </c>
      <c r="B20" t="inlineStr">
        <is>
          <t>AFL</t>
        </is>
      </c>
      <c r="C20" t="n">
        <v>216</v>
      </c>
      <c r="D20" t="n">
        <v>36.556</v>
      </c>
      <c r="E20" t="n">
        <v>25.712</v>
      </c>
      <c r="F20" t="n">
        <v>102.074</v>
      </c>
      <c r="G20" t="n">
        <v>207.351</v>
      </c>
      <c r="H20" t="n">
        <v>1650.074</v>
      </c>
      <c r="I20" t="n">
        <v>1524.688</v>
      </c>
      <c r="J20" t="n">
        <v>15.035</v>
      </c>
      <c r="K20" t="n">
        <v>50</v>
      </c>
      <c r="L20" t="n">
        <v>212.736</v>
      </c>
      <c r="M20" t="n">
        <v>142.449</v>
      </c>
      <c r="N20" t="n">
        <v>355.185</v>
      </c>
      <c r="O20" t="n">
        <v>72.649</v>
      </c>
      <c r="P20" t="n">
        <v>66.664</v>
      </c>
      <c r="Q20" t="n">
        <v>81.587</v>
      </c>
      <c r="R20" t="n">
        <v>59.894</v>
      </c>
      <c r="S20" t="n">
        <v>5.922</v>
      </c>
      <c r="T20" t="n">
        <v>51.845</v>
      </c>
      <c r="U20" t="n">
        <v>38.819</v>
      </c>
      <c r="V20" t="n">
        <v>74.876</v>
      </c>
      <c r="W20" t="n">
        <v>5862.822</v>
      </c>
      <c r="X20" t="n">
        <v>16.506</v>
      </c>
      <c r="Y20" t="n">
        <v>55.609</v>
      </c>
      <c r="Z20" t="n">
        <v>6.387</v>
      </c>
      <c r="AA20" t="n">
        <v>65.866</v>
      </c>
      <c r="AB20" t="n">
        <v>5.393</v>
      </c>
      <c r="AC20" t="n">
        <v>0.047</v>
      </c>
      <c r="AD20" t="n">
        <v>0.439</v>
      </c>
      <c r="AE20" t="n">
        <v>131.211</v>
      </c>
      <c r="AF20" t="n">
        <v>215.861</v>
      </c>
      <c r="AG20" t="n">
        <v>347.072</v>
      </c>
      <c r="AH20" t="n">
        <v>37.805</v>
      </c>
      <c r="AI20" t="n">
        <v>66.023</v>
      </c>
      <c r="AJ20" t="n">
        <v>89.155</v>
      </c>
      <c r="AK20" t="n">
        <v>15.111</v>
      </c>
      <c r="AL20" t="n">
        <v>22.531</v>
      </c>
      <c r="AM20" t="n">
        <v>66.58499999999999</v>
      </c>
      <c r="AN20" t="n">
        <v>81.749</v>
      </c>
      <c r="AO20" t="n">
        <v>58.624</v>
      </c>
      <c r="AP20" t="n">
        <v>9.192</v>
      </c>
      <c r="AQ20" t="n">
        <v>22.531</v>
      </c>
      <c r="AR20" t="n">
        <v>112.784</v>
      </c>
      <c r="AS20" t="n">
        <v>11.951</v>
      </c>
      <c r="AT20" t="n">
        <v>25.104</v>
      </c>
      <c r="AU20" t="n">
        <v>37.056</v>
      </c>
      <c r="AV20" t="n">
        <v>40.761</v>
      </c>
      <c r="AW20" t="n">
        <v>75.13800000000001</v>
      </c>
      <c r="AX20" t="n">
        <v>92.384</v>
      </c>
      <c r="AY20" t="n">
        <v>9.597</v>
      </c>
      <c r="AZ20" t="n">
        <v>11.792</v>
      </c>
      <c r="BA20" t="n">
        <v>22.744</v>
      </c>
      <c r="BB20" t="n">
        <v>15.384</v>
      </c>
      <c r="BC20" t="n">
        <v>6.611</v>
      </c>
      <c r="BD20" t="n">
        <v>28.056</v>
      </c>
      <c r="BE20" t="n">
        <v>7.667</v>
      </c>
      <c r="BF20" t="n">
        <v>12.285</v>
      </c>
      <c r="BG20" t="n">
        <v>10.738</v>
      </c>
      <c r="BH20" t="n">
        <v>2.227</v>
      </c>
      <c r="BI20" t="n">
        <v>24.914</v>
      </c>
      <c r="BJ20" t="n">
        <v>8.722</v>
      </c>
      <c r="BK20" t="n">
        <v>49.308</v>
      </c>
      <c r="BL20" t="n">
        <v>23.695</v>
      </c>
      <c r="BM20" t="n">
        <v>44.408</v>
      </c>
      <c r="BN20" t="n">
        <v>48.056</v>
      </c>
      <c r="BO20" t="n">
        <v>22.759</v>
      </c>
      <c r="BP20" t="n">
        <v>10.778</v>
      </c>
      <c r="BQ20" t="n">
        <v>26.675</v>
      </c>
      <c r="BR20" t="n">
        <v>80.956</v>
      </c>
      <c r="BS20" t="n">
        <v>1.408</v>
      </c>
      <c r="BT20" t="n">
        <v>3.248</v>
      </c>
      <c r="BU20" t="n">
        <v>0.056</v>
      </c>
      <c r="BV20" t="n">
        <v>3.548</v>
      </c>
      <c r="BW20" t="n">
        <v>0.056</v>
      </c>
      <c r="BX20" t="n">
        <v>2.886</v>
      </c>
      <c r="BY20" t="n">
        <v>0.057</v>
      </c>
      <c r="BZ20" t="n">
        <v>4.125</v>
      </c>
      <c r="CA20" t="n">
        <v>33.181</v>
      </c>
      <c r="CB20" t="n">
        <v>47.141</v>
      </c>
      <c r="CC20" t="n">
        <v>32.782</v>
      </c>
      <c r="CD20" t="n">
        <v>40.448</v>
      </c>
      <c r="CE20" t="n">
        <v>11.319</v>
      </c>
      <c r="CF20" t="n">
        <v>20.436</v>
      </c>
      <c r="CG20" t="n">
        <v>22.721</v>
      </c>
      <c r="CH20" t="n">
        <v>9.553000000000001</v>
      </c>
      <c r="CI20" t="n">
        <v>31.085</v>
      </c>
      <c r="CJ20" t="n">
        <v>12.431</v>
      </c>
      <c r="CK20" t="n">
        <v>10.778</v>
      </c>
      <c r="CL20" t="n">
        <v>26.675</v>
      </c>
      <c r="CM20" t="n">
        <v>59.972</v>
      </c>
      <c r="CN20" t="n">
        <v>10.792</v>
      </c>
      <c r="CO20" t="n">
        <v>291.843</v>
      </c>
      <c r="CP20" t="n">
        <v>137.544</v>
      </c>
      <c r="CQ20" t="n">
        <v>30.678</v>
      </c>
      <c r="CR20" t="n">
        <v>95.072</v>
      </c>
      <c r="CS20" t="n">
        <v>37.718</v>
      </c>
      <c r="CT20" t="n">
        <v>39.673</v>
      </c>
      <c r="CU20" t="n">
        <v>10.169</v>
      </c>
      <c r="CV20" t="n">
        <v>26.961</v>
      </c>
      <c r="CW20" t="n">
        <v>3.183</v>
      </c>
      <c r="CX20" t="n">
        <v>17.748</v>
      </c>
      <c r="CY20" t="n">
        <v>17.75</v>
      </c>
      <c r="CZ20" t="n">
        <v>-0.002</v>
      </c>
      <c r="DA20" t="n">
        <v>10.581</v>
      </c>
      <c r="DB20" t="n">
        <v>89.696</v>
      </c>
      <c r="DC20" t="n">
        <v>6.167</v>
      </c>
      <c r="DD20" t="n">
        <v>43.403</v>
      </c>
      <c r="DE20" t="n">
        <v>69.986</v>
      </c>
      <c r="DF20" t="n">
        <v>207.351</v>
      </c>
      <c r="DG20" t="n">
        <v>1650.074</v>
      </c>
      <c r="DH20" t="n">
        <v>1524.688</v>
      </c>
      <c r="DI20" t="n">
        <v>15.035</v>
      </c>
      <c r="DJ20" t="n">
        <v>212.736</v>
      </c>
      <c r="DK20" t="n">
        <v>142.449</v>
      </c>
      <c r="DL20" t="n">
        <v>355.185</v>
      </c>
      <c r="DM20" t="n">
        <v>72.649</v>
      </c>
      <c r="DN20" t="n">
        <v>66.664</v>
      </c>
      <c r="DO20" t="n">
        <v>81.587</v>
      </c>
      <c r="DP20" t="n">
        <v>5.922</v>
      </c>
      <c r="DQ20" t="n">
        <v>51.845</v>
      </c>
      <c r="DR20" t="n">
        <v>38.819</v>
      </c>
      <c r="DS20" t="n">
        <v>74.876</v>
      </c>
      <c r="DT20" t="n">
        <v>5862.822</v>
      </c>
      <c r="DU20" t="n">
        <v>16.506</v>
      </c>
      <c r="DV20" t="n">
        <v>55.609</v>
      </c>
      <c r="DW20" t="n">
        <v>6.387</v>
      </c>
      <c r="DX20" t="n">
        <v>65.866</v>
      </c>
      <c r="DY20" t="n">
        <v>5.393</v>
      </c>
      <c r="DZ20" t="n">
        <v>0.047</v>
      </c>
      <c r="EA20" t="n">
        <v>0.439</v>
      </c>
      <c r="EB20" t="n">
        <v>131.211</v>
      </c>
      <c r="EC20" t="n">
        <v>215.861</v>
      </c>
      <c r="ED20" t="n">
        <v>347.072</v>
      </c>
      <c r="EE20" t="n">
        <v>37.805</v>
      </c>
      <c r="EF20" t="n">
        <v>66.023</v>
      </c>
      <c r="EG20" t="n">
        <v>89.155</v>
      </c>
      <c r="EH20" t="n">
        <v>15.111</v>
      </c>
      <c r="EI20" t="n">
        <v>22.531</v>
      </c>
      <c r="EJ20" t="n">
        <v>66.58499999999999</v>
      </c>
      <c r="EK20" t="n">
        <v>81.749</v>
      </c>
      <c r="EL20" t="n">
        <v>58.624</v>
      </c>
      <c r="EM20" t="n">
        <v>9.192</v>
      </c>
      <c r="EN20" t="n">
        <v>22.531</v>
      </c>
      <c r="EO20" t="n">
        <v>112.784</v>
      </c>
      <c r="EP20" t="n">
        <v>11.951</v>
      </c>
      <c r="EQ20" t="n">
        <v>25.104</v>
      </c>
      <c r="ER20" t="n">
        <v>37.056</v>
      </c>
      <c r="ES20" t="n">
        <v>40.761</v>
      </c>
      <c r="ET20" t="n">
        <v>75.13800000000001</v>
      </c>
      <c r="EU20" t="n">
        <v>92.384</v>
      </c>
      <c r="EV20" t="n">
        <v>9.597</v>
      </c>
      <c r="EW20" t="n">
        <v>11.792</v>
      </c>
      <c r="EX20" t="n">
        <v>22.744</v>
      </c>
      <c r="EY20" t="n">
        <v>15.384</v>
      </c>
      <c r="EZ20" t="n">
        <v>6.611</v>
      </c>
      <c r="FA20" t="n">
        <v>12.285</v>
      </c>
      <c r="FB20" t="n">
        <v>10.738</v>
      </c>
      <c r="FC20" t="n">
        <v>2.227</v>
      </c>
      <c r="FD20" t="n">
        <v>24.914</v>
      </c>
      <c r="FE20" t="n">
        <v>8.722</v>
      </c>
      <c r="FF20" t="n">
        <v>49.308</v>
      </c>
      <c r="FG20" t="n">
        <v>23.695</v>
      </c>
      <c r="FH20" t="n">
        <v>44.408</v>
      </c>
      <c r="FI20" t="n">
        <v>48.056</v>
      </c>
      <c r="FJ20" t="n">
        <v>22.759</v>
      </c>
      <c r="FK20" t="n">
        <v>80.956</v>
      </c>
      <c r="FL20" t="n">
        <v>1.408</v>
      </c>
      <c r="FM20" t="n">
        <v>3.248</v>
      </c>
      <c r="FN20" t="n">
        <v>0.056</v>
      </c>
      <c r="FO20" t="n">
        <v>3.548</v>
      </c>
      <c r="FP20" t="n">
        <v>0.056</v>
      </c>
      <c r="FQ20" t="n">
        <v>2.886</v>
      </c>
      <c r="FR20" t="n">
        <v>0.057</v>
      </c>
      <c r="FS20" t="n">
        <v>4.125</v>
      </c>
      <c r="FT20" t="n">
        <v>33.181</v>
      </c>
      <c r="FU20" t="n">
        <v>47.141</v>
      </c>
      <c r="FV20" t="n">
        <v>32.782</v>
      </c>
      <c r="FW20" t="n">
        <v>40.448</v>
      </c>
      <c r="FX20" t="n">
        <v>11.319</v>
      </c>
      <c r="FY20" t="n">
        <v>20.436</v>
      </c>
      <c r="FZ20" t="n">
        <v>22.721</v>
      </c>
      <c r="GA20" t="n">
        <v>9.553000000000001</v>
      </c>
      <c r="GB20" t="n">
        <v>31.085</v>
      </c>
      <c r="GC20" t="n">
        <v>12.431</v>
      </c>
      <c r="GD20" t="n">
        <v>59.972</v>
      </c>
      <c r="GE20" t="n">
        <v>10.792</v>
      </c>
      <c r="GF20" t="n">
        <v>291.843</v>
      </c>
      <c r="GG20" t="n">
        <v>137.544</v>
      </c>
      <c r="GH20" t="n">
        <v>30.678</v>
      </c>
      <c r="GI20" t="n">
        <v>37.718</v>
      </c>
      <c r="GJ20" t="n">
        <v>39.673</v>
      </c>
      <c r="GK20" t="n">
        <v>10.169</v>
      </c>
      <c r="GL20" t="n">
        <v>26.961</v>
      </c>
      <c r="GM20" t="n">
        <v>3.183</v>
      </c>
      <c r="GN20" t="n">
        <v>10.581</v>
      </c>
      <c r="GO20" t="n">
        <v>89.696</v>
      </c>
      <c r="GP20" t="n">
        <v>6.167</v>
      </c>
      <c r="GQ20" t="n">
        <v>43.403</v>
      </c>
      <c r="GR20" t="n">
        <v>69.986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0</v>
      </c>
      <c r="HE20" t="n">
        <v>0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0</v>
      </c>
      <c r="HP20" t="n">
        <v>0</v>
      </c>
      <c r="HQ20" t="n">
        <v>0</v>
      </c>
      <c r="HR20" t="n">
        <v>0</v>
      </c>
      <c r="HS20" t="n">
        <v>0</v>
      </c>
      <c r="HT20" t="n">
        <v>0</v>
      </c>
      <c r="HU20" t="n">
        <v>0</v>
      </c>
      <c r="HV20" t="n">
        <v>0</v>
      </c>
      <c r="HW20" t="n">
        <v>0</v>
      </c>
      <c r="HX20" t="n">
        <v>0</v>
      </c>
      <c r="HY20" t="n">
        <v>0</v>
      </c>
      <c r="HZ20" t="n">
        <v>0</v>
      </c>
      <c r="IA20" t="n">
        <v>0</v>
      </c>
      <c r="IB20" t="n">
        <v>0</v>
      </c>
      <c r="IC20" t="n">
        <v>0</v>
      </c>
      <c r="ID20" t="n">
        <v>0</v>
      </c>
      <c r="IE20" t="n">
        <v>0</v>
      </c>
      <c r="IF20" t="n">
        <v>0</v>
      </c>
      <c r="IG20" t="n">
        <v>0</v>
      </c>
      <c r="IH20" t="n">
        <v>0</v>
      </c>
      <c r="II20" t="n">
        <v>0</v>
      </c>
      <c r="IJ20" t="n">
        <v>0</v>
      </c>
      <c r="IK20" t="n">
        <v>0</v>
      </c>
      <c r="IL20" t="n">
        <v>0</v>
      </c>
      <c r="IM20" t="n">
        <v>0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Z20"/>
  <sheetViews>
    <sheetView workbookViewId="0">
      <selection activeCell="G25" sqref="G25"/>
    </sheetView>
  </sheetViews>
  <sheetFormatPr baseColWidth="10" defaultRowHeight="16"/>
  <sheetData>
    <row r="1">
      <c r="A1" t="inlineStr">
        <is>
          <t>Team</t>
        </is>
      </c>
      <c r="B1" t="inlineStr">
        <is>
          <t>Abbreviation</t>
        </is>
      </c>
      <c r="C1" t="inlineStr">
        <is>
          <t>Matches</t>
        </is>
      </c>
      <c r="D1" t="inlineStr">
        <is>
          <t>Players</t>
        </is>
      </c>
      <c r="E1" t="inlineStr">
        <is>
          <t>Age</t>
        </is>
      </c>
      <c r="F1" t="inlineStr">
        <is>
          <t>Experience</t>
        </is>
      </c>
      <c r="G1" t="inlineStr">
        <is>
          <t>RatingPoints</t>
        </is>
      </c>
      <c r="H1" t="inlineStr">
        <is>
          <t>Supercoach</t>
        </is>
      </c>
      <c r="I1" t="inlineStr">
        <is>
          <t>DreamTeamPoints</t>
        </is>
      </c>
      <c r="J1" t="inlineStr">
        <is>
          <t>CoachesVotes</t>
        </is>
      </c>
      <c r="K1" t="inlineStr">
        <is>
          <t>ForwardHalf</t>
        </is>
      </c>
      <c r="L1" t="inlineStr">
        <is>
          <t>Kicks</t>
        </is>
      </c>
      <c r="M1" t="inlineStr">
        <is>
          <t>Handballs</t>
        </is>
      </c>
      <c r="N1" t="inlineStr">
        <is>
          <t>Disposals</t>
        </is>
      </c>
      <c r="O1" t="inlineStr">
        <is>
          <t>DisposalEfficiency</t>
        </is>
      </c>
      <c r="P1" t="inlineStr">
        <is>
          <t>KickingEfficiency</t>
        </is>
      </c>
      <c r="Q1" t="inlineStr">
        <is>
          <t>HandballEfficiency</t>
        </is>
      </c>
      <c r="R1" t="inlineStr">
        <is>
          <t>KickPercentage</t>
        </is>
      </c>
      <c r="S1" t="inlineStr">
        <is>
          <t>DisposalsPerOppositionTackle</t>
        </is>
      </c>
      <c r="T1" t="inlineStr">
        <is>
          <t>Inside50s</t>
        </is>
      </c>
      <c r="U1" t="inlineStr">
        <is>
          <t>Rebound50s</t>
        </is>
      </c>
      <c r="V1" t="inlineStr">
        <is>
          <t>Rebound50sPerOppositionInside50s</t>
        </is>
      </c>
      <c r="W1" t="inlineStr">
        <is>
          <t>MetresGained</t>
        </is>
      </c>
      <c r="X1" t="inlineStr">
        <is>
          <t>MetresGainedPerDisposal</t>
        </is>
      </c>
      <c r="Y1" t="inlineStr">
        <is>
          <t>Clangers</t>
        </is>
      </c>
      <c r="Z1" t="inlineStr">
        <is>
          <t>DisposalsPerClanger</t>
        </is>
      </c>
      <c r="AA1" t="inlineStr">
        <is>
          <t>Turnovers</t>
        </is>
      </c>
      <c r="AB1" t="inlineStr">
        <is>
          <t>DisposalsPerTurnover</t>
        </is>
      </c>
      <c r="AC1" t="inlineStr">
        <is>
          <t>ThreatRating</t>
        </is>
      </c>
      <c r="AD1" t="inlineStr">
        <is>
          <t>RetentionRating</t>
        </is>
      </c>
      <c r="AE1" t="inlineStr">
        <is>
          <t>ContestedPossessions</t>
        </is>
      </c>
      <c r="AF1" t="inlineStr">
        <is>
          <t>UncontestedPossessions</t>
        </is>
      </c>
      <c r="AG1" t="inlineStr">
        <is>
          <t>TotalPossessions</t>
        </is>
      </c>
      <c r="AH1" t="inlineStr">
        <is>
          <t>ContestedPossessionRate</t>
        </is>
      </c>
      <c r="AI1" t="inlineStr">
        <is>
          <t>Intercepts</t>
        </is>
      </c>
      <c r="AJ1" t="inlineStr">
        <is>
          <t>GroundBallGets</t>
        </is>
      </c>
      <c r="AK1" t="inlineStr">
        <is>
          <t>GroundBallGetsForward50</t>
        </is>
      </c>
      <c r="AL1" t="inlineStr">
        <is>
          <t>HardBallGets</t>
        </is>
      </c>
      <c r="AM1" t="inlineStr">
        <is>
          <t>LooseBallGets</t>
        </is>
      </c>
      <c r="AN1" t="inlineStr">
        <is>
          <t>PostClearanceContestedPossessions</t>
        </is>
      </c>
      <c r="AO1" t="inlineStr">
        <is>
          <t>PostClearanceGroundBallGets</t>
        </is>
      </c>
      <c r="AP1" t="inlineStr">
        <is>
          <t>GathersFromHitout</t>
        </is>
      </c>
      <c r="AQ1" t="inlineStr">
        <is>
          <t>CrumbingPossessions</t>
        </is>
      </c>
      <c r="AR1" t="inlineStr">
        <is>
          <t>HandballReceives</t>
        </is>
      </c>
      <c r="AS1" t="inlineStr">
        <is>
          <t>CentreClearances</t>
        </is>
      </c>
      <c r="AT1" t="inlineStr">
        <is>
          <t>StoppageClearances</t>
        </is>
      </c>
      <c r="AU1" t="inlineStr">
        <is>
          <t>TotalClearances</t>
        </is>
      </c>
      <c r="AV1" t="inlineStr">
        <is>
          <t>FirstPossessions</t>
        </is>
      </c>
      <c r="AW1" t="inlineStr">
        <is>
          <t>FirstPossessionToClearance</t>
        </is>
      </c>
      <c r="AX1" t="inlineStr">
        <is>
          <t>Marks</t>
        </is>
      </c>
      <c r="AY1" t="inlineStr">
        <is>
          <t>ContestedMarks</t>
        </is>
      </c>
      <c r="AZ1" t="inlineStr">
        <is>
          <t>MarksInside50</t>
        </is>
      </c>
      <c r="BA1" t="inlineStr">
        <is>
          <t>MarksInside50PerInside50</t>
        </is>
      </c>
      <c r="BB1" t="inlineStr">
        <is>
          <t>InterceptMarks</t>
        </is>
      </c>
      <c r="BC1" t="inlineStr">
        <is>
          <t>MarksOnLead</t>
        </is>
      </c>
      <c r="BD1" t="inlineStr">
        <is>
          <t>GoalScorers_Total</t>
        </is>
      </c>
      <c r="BE1" t="inlineStr">
        <is>
          <t>GoalScorers</t>
        </is>
      </c>
      <c r="BF1" t="inlineStr">
        <is>
          <t>Goals</t>
        </is>
      </c>
      <c r="BG1" t="inlineStr">
        <is>
          <t>Behinds</t>
        </is>
      </c>
      <c r="BH1" t="inlineStr">
        <is>
          <t>RushedBehinds</t>
        </is>
      </c>
      <c r="BI1" t="inlineStr">
        <is>
          <t>ShotsAtGoal</t>
        </is>
      </c>
      <c r="BJ1" t="inlineStr">
        <is>
          <t>GoalAssists</t>
        </is>
      </c>
      <c r="BK1" t="inlineStr">
        <is>
          <t>GoalAccuracy</t>
        </is>
      </c>
      <c r="BL1" t="inlineStr">
        <is>
          <t>GoalsPerInside50</t>
        </is>
      </c>
      <c r="BM1" t="inlineStr">
        <is>
          <t>ScoringShotsPerInside50</t>
        </is>
      </c>
      <c r="BN1" t="inlineStr">
        <is>
          <t>ShotsPerInside50</t>
        </is>
      </c>
      <c r="BO1" t="inlineStr">
        <is>
          <t>ScoreLaunches</t>
        </is>
      </c>
      <c r="BP1" t="inlineStr">
        <is>
          <t>ContestOffensiveOneOnOnes</t>
        </is>
      </c>
      <c r="BQ1" t="inlineStr">
        <is>
          <t>ContestOffensiveWinPercentage</t>
        </is>
      </c>
      <c r="BR1" t="inlineStr">
        <is>
          <t>xScore</t>
        </is>
      </c>
      <c r="BS1" t="inlineStr">
        <is>
          <t>xScoreRating</t>
        </is>
      </c>
      <c r="BT1" t="inlineStr">
        <is>
          <t>xScorePerShot</t>
        </is>
      </c>
      <c r="BU1" t="inlineStr">
        <is>
          <t>xScoreRatingPerShot</t>
        </is>
      </c>
      <c r="BV1" t="inlineStr">
        <is>
          <t>xScorePerShot_Set</t>
        </is>
      </c>
      <c r="BW1" t="inlineStr">
        <is>
          <t>xScoreRatingPerShot_Set</t>
        </is>
      </c>
      <c r="BX1" t="inlineStr">
        <is>
          <t>xScorePerShot_General</t>
        </is>
      </c>
      <c r="BY1" t="inlineStr">
        <is>
          <t>xScoreRatingPerShot_General</t>
        </is>
      </c>
      <c r="BZ1" t="inlineStr">
        <is>
          <t>PointsFromKickIn</t>
        </is>
      </c>
      <c r="CA1" t="inlineStr">
        <is>
          <t>PointsFromStoppage</t>
        </is>
      </c>
      <c r="CB1" t="inlineStr">
        <is>
          <t>PointsFromTurnover</t>
        </is>
      </c>
      <c r="CC1" t="inlineStr">
        <is>
          <t>PointsFromDefensiveHalf</t>
        </is>
      </c>
      <c r="CD1" t="inlineStr">
        <is>
          <t>PointsFromForwardHalf</t>
        </is>
      </c>
      <c r="CE1" t="inlineStr">
        <is>
          <t>PointsFromCentreBounce</t>
        </is>
      </c>
      <c r="CF1" t="inlineStr">
        <is>
          <t>ChainToScore</t>
        </is>
      </c>
      <c r="CG1" t="inlineStr">
        <is>
          <t>D50ToF50</t>
        </is>
      </c>
      <c r="CH1" t="inlineStr">
        <is>
          <t>D50ToScore</t>
        </is>
      </c>
      <c r="CI1" t="inlineStr">
        <is>
          <t>DefHalfToF50</t>
        </is>
      </c>
      <c r="CJ1" t="inlineStr">
        <is>
          <t>DefHalfToScore</t>
        </is>
      </c>
      <c r="CK1" t="inlineStr">
        <is>
          <t>ContestDefensiveOneOnOnes</t>
        </is>
      </c>
      <c r="CL1" t="inlineStr">
        <is>
          <t>ContestDefensiveLossPercentage</t>
        </is>
      </c>
      <c r="CM1" t="inlineStr">
        <is>
          <t>Tackles</t>
        </is>
      </c>
      <c r="CN1" t="inlineStr">
        <is>
          <t>TacklesInside50</t>
        </is>
      </c>
      <c r="CO1" t="inlineStr">
        <is>
          <t>PressureActs</t>
        </is>
      </c>
      <c r="CP1" t="inlineStr">
        <is>
          <t>PressureActsDefensiveHalf</t>
        </is>
      </c>
      <c r="CQ1" t="inlineStr">
        <is>
          <t>Spoils</t>
        </is>
      </c>
      <c r="CR1" t="inlineStr">
        <is>
          <t>RuckContests</t>
        </is>
      </c>
      <c r="CS1" t="inlineStr">
        <is>
          <t>Hitouts</t>
        </is>
      </c>
      <c r="CT1" t="inlineStr">
        <is>
          <t>HitoutsWinPercentage</t>
        </is>
      </c>
      <c r="CU1" t="inlineStr">
        <is>
          <t>HitoutsToAdvantage</t>
        </is>
      </c>
      <c r="CV1" t="inlineStr">
        <is>
          <t>HitoutsToAdvantagePercentage</t>
        </is>
      </c>
      <c r="CW1" t="inlineStr">
        <is>
          <t>RuckHardBallGets</t>
        </is>
      </c>
      <c r="CX1" t="inlineStr">
        <is>
          <t>FreesFor</t>
        </is>
      </c>
      <c r="CY1" t="inlineStr">
        <is>
          <t>FreesAgainst</t>
        </is>
      </c>
      <c r="CZ1" t="inlineStr">
        <is>
          <t>FreesDiff</t>
        </is>
      </c>
      <c r="DA1" t="inlineStr">
        <is>
          <t>KickIns</t>
        </is>
      </c>
      <c r="DB1" t="inlineStr">
        <is>
          <t>KickInsPlayOnPercentage</t>
        </is>
      </c>
      <c r="DC1" t="inlineStr">
        <is>
          <t>Bounces</t>
        </is>
      </c>
      <c r="DD1" t="inlineStr">
        <is>
          <t>OnePercenters</t>
        </is>
      </c>
      <c r="DE1" t="inlineStr">
        <is>
          <t>InterchangeCount</t>
        </is>
      </c>
      <c r="DF1" t="inlineStr">
        <is>
          <t>RatingPoints_Opposition</t>
        </is>
      </c>
      <c r="DG1" t="inlineStr">
        <is>
          <t>Supercoach_Opposition</t>
        </is>
      </c>
      <c r="DH1" t="inlineStr">
        <is>
          <t>DreamTeamPoints_Opposition</t>
        </is>
      </c>
      <c r="DI1" t="inlineStr">
        <is>
          <t>CoachesVotes_Opposition</t>
        </is>
      </c>
      <c r="DJ1" t="inlineStr">
        <is>
          <t>Kicks_Opposition</t>
        </is>
      </c>
      <c r="DK1" t="inlineStr">
        <is>
          <t>Handballs_Opposition</t>
        </is>
      </c>
      <c r="DL1" t="inlineStr">
        <is>
          <t>Disposals_Opposition</t>
        </is>
      </c>
      <c r="DM1" t="inlineStr">
        <is>
          <t>DisposalEfficiency_Opposition</t>
        </is>
      </c>
      <c r="DN1" t="inlineStr">
        <is>
          <t>KickingEfficiency_Opposition</t>
        </is>
      </c>
      <c r="DO1" t="inlineStr">
        <is>
          <t>HandballEfficiency_Opposition</t>
        </is>
      </c>
      <c r="DP1" t="inlineStr">
        <is>
          <t>OppositionDisposalsPerTackle</t>
        </is>
      </c>
      <c r="DQ1" t="inlineStr">
        <is>
          <t>Inside50s_Opposition</t>
        </is>
      </c>
      <c r="DR1" t="inlineStr">
        <is>
          <t>Rebound50s_Opposition</t>
        </is>
      </c>
      <c r="DS1" t="inlineStr">
        <is>
          <t>OppositionRebound50sPerInside50s</t>
        </is>
      </c>
      <c r="DT1" t="inlineStr">
        <is>
          <t>MetresGained_Opposition</t>
        </is>
      </c>
      <c r="DU1" t="inlineStr">
        <is>
          <t>MetresGainedPerDisposal_Opposition</t>
        </is>
      </c>
      <c r="DV1" t="inlineStr">
        <is>
          <t>Clangers_Opposition</t>
        </is>
      </c>
      <c r="DW1" t="inlineStr">
        <is>
          <t>DisposalsPerClanger_Opposition</t>
        </is>
      </c>
      <c r="DX1" t="inlineStr">
        <is>
          <t>Turnovers_Opposition</t>
        </is>
      </c>
      <c r="DY1" t="inlineStr">
        <is>
          <t>DisposalsPerTurnover_Opposition</t>
        </is>
      </c>
      <c r="DZ1" t="inlineStr">
        <is>
          <t>ThreatRating_Opposition</t>
        </is>
      </c>
      <c r="EA1" t="inlineStr">
        <is>
          <t>RetentionRating_Opposition</t>
        </is>
      </c>
      <c r="EB1" t="inlineStr">
        <is>
          <t>ContestedPossessions_Opposition</t>
        </is>
      </c>
      <c r="EC1" t="inlineStr">
        <is>
          <t>UncontestedPossessions_Opposition</t>
        </is>
      </c>
      <c r="ED1" t="inlineStr">
        <is>
          <t>TotalPossessions_Opposition</t>
        </is>
      </c>
      <c r="EE1" t="inlineStr">
        <is>
          <t>ContestedPossessionRate_Opposition</t>
        </is>
      </c>
      <c r="EF1" t="inlineStr">
        <is>
          <t>Intercepts_Opposition</t>
        </is>
      </c>
      <c r="EG1" t="inlineStr">
        <is>
          <t>GroundBallGets_Opposition</t>
        </is>
      </c>
      <c r="EH1" t="inlineStr">
        <is>
          <t>GroundBallGetsForward50_Opposition</t>
        </is>
      </c>
      <c r="EI1" t="inlineStr">
        <is>
          <t>HardBallGets_Opposition</t>
        </is>
      </c>
      <c r="EJ1" t="inlineStr">
        <is>
          <t>LooseBallGets_Opposition</t>
        </is>
      </c>
      <c r="EK1" t="inlineStr">
        <is>
          <t>PostClearanceContestedPossessions_Opposition</t>
        </is>
      </c>
      <c r="EL1" t="inlineStr">
        <is>
          <t>PostClearanceGroundBallGets_Opposition</t>
        </is>
      </c>
      <c r="EM1" t="inlineStr">
        <is>
          <t>GathersFromHitout_Opposition</t>
        </is>
      </c>
      <c r="EN1" t="inlineStr">
        <is>
          <t>CrumbingPossessions_Opposition</t>
        </is>
      </c>
      <c r="EO1" t="inlineStr">
        <is>
          <t>HandballReceives_Opposition</t>
        </is>
      </c>
      <c r="EP1" t="inlineStr">
        <is>
          <t>CentreClearances_Opposition</t>
        </is>
      </c>
      <c r="EQ1" t="inlineStr">
        <is>
          <t>StoppageClearances_Opposition</t>
        </is>
      </c>
      <c r="ER1" t="inlineStr">
        <is>
          <t>TotalClearances_Opposition</t>
        </is>
      </c>
      <c r="ES1" t="inlineStr">
        <is>
          <t>FirstPossessions_Opposition</t>
        </is>
      </c>
      <c r="ET1" t="inlineStr">
        <is>
          <t>FirstPossessionToClearance_Opposition</t>
        </is>
      </c>
      <c r="EU1" t="inlineStr">
        <is>
          <t>Marks_Opposition</t>
        </is>
      </c>
      <c r="EV1" t="inlineStr">
        <is>
          <t>ContestedMarks_Opposition</t>
        </is>
      </c>
      <c r="EW1" t="inlineStr">
        <is>
          <t>MarksInside50_Opposition</t>
        </is>
      </c>
      <c r="EX1" t="inlineStr">
        <is>
          <t>MarksInside50PerInside50_Opposition</t>
        </is>
      </c>
      <c r="EY1" t="inlineStr">
        <is>
          <t>InterceptMarks_Opposition</t>
        </is>
      </c>
      <c r="EZ1" t="inlineStr">
        <is>
          <t>MarksOnLead_Opposition</t>
        </is>
      </c>
      <c r="FA1" t="inlineStr">
        <is>
          <t>Goals_Opposition</t>
        </is>
      </c>
      <c r="FB1" t="inlineStr">
        <is>
          <t>Behinds_Opposition</t>
        </is>
      </c>
      <c r="FC1" t="inlineStr">
        <is>
          <t>RushedBehinds_Opposition</t>
        </is>
      </c>
      <c r="FD1" t="inlineStr">
        <is>
          <t>ShotsAtGoal_Opposition</t>
        </is>
      </c>
      <c r="FE1" t="inlineStr">
        <is>
          <t>GoalAssists_Opposition</t>
        </is>
      </c>
      <c r="FF1" t="inlineStr">
        <is>
          <t>GoalAccuracy_Opposition</t>
        </is>
      </c>
      <c r="FG1" t="inlineStr">
        <is>
          <t>GoalsPerInside50_Opposition</t>
        </is>
      </c>
      <c r="FH1" t="inlineStr">
        <is>
          <t>ScoringShotsPerInside50_Opposition</t>
        </is>
      </c>
      <c r="FI1" t="inlineStr">
        <is>
          <t>ShotsPerInside50_Opposition</t>
        </is>
      </c>
      <c r="FJ1" t="inlineStr">
        <is>
          <t>ScoreLaunches_Opposition</t>
        </is>
      </c>
      <c r="FK1" t="inlineStr">
        <is>
          <t>xScore_Opposition</t>
        </is>
      </c>
      <c r="FL1" t="inlineStr">
        <is>
          <t>xScoreRating_Opposition</t>
        </is>
      </c>
      <c r="FM1" t="inlineStr">
        <is>
          <t>xScorePerShot_Opposition</t>
        </is>
      </c>
      <c r="FN1" t="inlineStr">
        <is>
          <t>xScoreRatingPerShot_Opposition</t>
        </is>
      </c>
      <c r="FO1" t="inlineStr">
        <is>
          <t>xScorePerShot_Set_Opposition</t>
        </is>
      </c>
      <c r="FP1" t="inlineStr">
        <is>
          <t>xScoreRatingPerShot_Set_Opposition</t>
        </is>
      </c>
      <c r="FQ1" t="inlineStr">
        <is>
          <t>xScorePerShot_General_Opposition</t>
        </is>
      </c>
      <c r="FR1" t="inlineStr">
        <is>
          <t>xScoreRatingPerShot_General_Opposition</t>
        </is>
      </c>
      <c r="FS1" t="inlineStr">
        <is>
          <t>PointsFromKickIn_Opposition</t>
        </is>
      </c>
      <c r="FT1" t="inlineStr">
        <is>
          <t>PointsFromStoppage_Opposition</t>
        </is>
      </c>
      <c r="FU1" t="inlineStr">
        <is>
          <t>PointsFromTurnover_Opposition</t>
        </is>
      </c>
      <c r="FV1" t="inlineStr">
        <is>
          <t>PointsFromDefensiveHalf_Opposition</t>
        </is>
      </c>
      <c r="FW1" t="inlineStr">
        <is>
          <t>PointsFromForwardHalf_Opposition</t>
        </is>
      </c>
      <c r="FX1" t="inlineStr">
        <is>
          <t>PointsFromCentreBounce_Opposition</t>
        </is>
      </c>
      <c r="FY1" t="inlineStr">
        <is>
          <t>ChainToScore_Opposition</t>
        </is>
      </c>
      <c r="FZ1" t="inlineStr">
        <is>
          <t>D50ToF50_Opposition</t>
        </is>
      </c>
      <c r="GA1" t="inlineStr">
        <is>
          <t>D50ToScore_Opposition</t>
        </is>
      </c>
      <c r="GB1" t="inlineStr">
        <is>
          <t>DefHalfToF50_Opposition</t>
        </is>
      </c>
      <c r="GC1" t="inlineStr">
        <is>
          <t>DefHalfToScore_Opposition</t>
        </is>
      </c>
      <c r="GD1" t="inlineStr">
        <is>
          <t>Tackles_Opposition</t>
        </is>
      </c>
      <c r="GE1" t="inlineStr">
        <is>
          <t>TacklesInside50_Opposition</t>
        </is>
      </c>
      <c r="GF1" t="inlineStr">
        <is>
          <t>PressureActs_Opposition</t>
        </is>
      </c>
      <c r="GG1" t="inlineStr">
        <is>
          <t>PressureActsDefensiveHalf_Opposition</t>
        </is>
      </c>
      <c r="GH1" t="inlineStr">
        <is>
          <t>Spoils_Opposition</t>
        </is>
      </c>
      <c r="GI1" t="inlineStr">
        <is>
          <t>Hitouts_Opposition</t>
        </is>
      </c>
      <c r="GJ1" t="inlineStr">
        <is>
          <t>HitoutsWinPercentage_Opposition</t>
        </is>
      </c>
      <c r="GK1" t="inlineStr">
        <is>
          <t>HitoutsToAdvantage_Opposition</t>
        </is>
      </c>
      <c r="GL1" t="inlineStr">
        <is>
          <t>HitoutsToAdvantagePercentage_Opposition</t>
        </is>
      </c>
      <c r="GM1" t="inlineStr">
        <is>
          <t>RuckHardBallGets_Opposition</t>
        </is>
      </c>
      <c r="GN1" t="inlineStr">
        <is>
          <t>KickIns_Opposition</t>
        </is>
      </c>
      <c r="GO1" t="inlineStr">
        <is>
          <t>KickInsPlayOnPercentage_Opposition</t>
        </is>
      </c>
      <c r="GP1" t="inlineStr">
        <is>
          <t>Bounces_Opposition</t>
        </is>
      </c>
      <c r="GQ1" t="inlineStr">
        <is>
          <t>OnePercenters_Opposition</t>
        </is>
      </c>
      <c r="GR1" t="inlineStr">
        <is>
          <t>InterchangeCount_Opposition</t>
        </is>
      </c>
      <c r="GS1" t="inlineStr">
        <is>
          <t>RatingPoints_Diff</t>
        </is>
      </c>
      <c r="GT1" t="inlineStr">
        <is>
          <t>Supercoach_Diff</t>
        </is>
      </c>
      <c r="GU1" t="inlineStr">
        <is>
          <t>DreamTeamPoints_Diff</t>
        </is>
      </c>
      <c r="GV1" t="inlineStr">
        <is>
          <t>CoachesVotes_Diff</t>
        </is>
      </c>
      <c r="GW1" t="inlineStr">
        <is>
          <t>Kicks_Diff</t>
        </is>
      </c>
      <c r="GX1" t="inlineStr">
        <is>
          <t>Handballs_Diff</t>
        </is>
      </c>
      <c r="GY1" t="inlineStr">
        <is>
          <t>Disposals_Diff</t>
        </is>
      </c>
      <c r="GZ1" t="inlineStr">
        <is>
          <t>Inside50s_Diff</t>
        </is>
      </c>
      <c r="HA1" t="inlineStr">
        <is>
          <t>MetresGained_Diff</t>
        </is>
      </c>
      <c r="HB1" t="inlineStr">
        <is>
          <t>Clangers_Diff</t>
        </is>
      </c>
      <c r="HC1" t="inlineStr">
        <is>
          <t>Turnovers_Diff</t>
        </is>
      </c>
      <c r="HD1" t="inlineStr">
        <is>
          <t>ThreatRating_Diff</t>
        </is>
      </c>
      <c r="HE1" t="inlineStr">
        <is>
          <t>RetentionRating_Diff</t>
        </is>
      </c>
      <c r="HF1" t="inlineStr">
        <is>
          <t>ContestedPossessions_Diff</t>
        </is>
      </c>
      <c r="HG1" t="inlineStr">
        <is>
          <t>UncontestedPossessions_Diff</t>
        </is>
      </c>
      <c r="HH1" t="inlineStr">
        <is>
          <t>TotalPossessions_Diff</t>
        </is>
      </c>
      <c r="HI1" t="inlineStr">
        <is>
          <t>Intercepts_Diff</t>
        </is>
      </c>
      <c r="HJ1" t="inlineStr">
        <is>
          <t>GroundBallGets_Diff</t>
        </is>
      </c>
      <c r="HK1" t="inlineStr">
        <is>
          <t>GroundBallGetsForward50_Diff</t>
        </is>
      </c>
      <c r="HL1" t="inlineStr">
        <is>
          <t>HardBallGets_Diff</t>
        </is>
      </c>
      <c r="HM1" t="inlineStr">
        <is>
          <t>LooseBallGets_Diff</t>
        </is>
      </c>
      <c r="HN1" t="inlineStr">
        <is>
          <t>PostClearanceContestedPossessions_Diff</t>
        </is>
      </c>
      <c r="HO1" t="inlineStr">
        <is>
          <t>PostClearanceGroundBallGets_Diff</t>
        </is>
      </c>
      <c r="HP1" t="inlineStr">
        <is>
          <t>GathersFromHitout_Diff</t>
        </is>
      </c>
      <c r="HQ1" t="inlineStr">
        <is>
          <t>CrumbingPossessions_Diff</t>
        </is>
      </c>
      <c r="HR1" t="inlineStr">
        <is>
          <t>HandballReceives_Diff</t>
        </is>
      </c>
      <c r="HS1" t="inlineStr">
        <is>
          <t>CentreClearances_Diff</t>
        </is>
      </c>
      <c r="HT1" t="inlineStr">
        <is>
          <t>StoppageClearances_Diff</t>
        </is>
      </c>
      <c r="HU1" t="inlineStr">
        <is>
          <t>TotalClearances_Diff</t>
        </is>
      </c>
      <c r="HV1" t="inlineStr">
        <is>
          <t>FirstPossessions_Diff</t>
        </is>
      </c>
      <c r="HW1" t="inlineStr">
        <is>
          <t>Marks_Diff</t>
        </is>
      </c>
      <c r="HX1" t="inlineStr">
        <is>
          <t>ContestedMarks_Diff</t>
        </is>
      </c>
      <c r="HY1" t="inlineStr">
        <is>
          <t>MarksInside50_Diff</t>
        </is>
      </c>
      <c r="HZ1" t="inlineStr">
        <is>
          <t>InterceptMarks_Diff</t>
        </is>
      </c>
      <c r="IA1" t="inlineStr">
        <is>
          <t>MarksOnLead_Diff</t>
        </is>
      </c>
      <c r="IB1" t="inlineStr">
        <is>
          <t>Goals_Diff</t>
        </is>
      </c>
      <c r="IC1" t="inlineStr">
        <is>
          <t>Behinds_Diff</t>
        </is>
      </c>
      <c r="ID1" t="inlineStr">
        <is>
          <t>ShotsAtGoal_Diff</t>
        </is>
      </c>
      <c r="IE1" t="inlineStr">
        <is>
          <t>GoalAssists_Diff</t>
        </is>
      </c>
      <c r="IF1" t="inlineStr">
        <is>
          <t>ScoreLaunches_Diff</t>
        </is>
      </c>
      <c r="IG1" t="inlineStr">
        <is>
          <t>xScore_Diff</t>
        </is>
      </c>
      <c r="IH1" t="inlineStr">
        <is>
          <t>xScoreRating_Diff</t>
        </is>
      </c>
      <c r="II1" t="inlineStr">
        <is>
          <t>xScorePerShot_Diff</t>
        </is>
      </c>
      <c r="IJ1" t="inlineStr">
        <is>
          <t>PointsFromKickIn_Diff</t>
        </is>
      </c>
      <c r="IK1" t="inlineStr">
        <is>
          <t>PointsFromStoppage_Diff</t>
        </is>
      </c>
      <c r="IL1" t="inlineStr">
        <is>
          <t>PointsFromTurnover_Diff</t>
        </is>
      </c>
      <c r="IM1" t="inlineStr">
        <is>
          <t>PointsFromDefensiveHalf_Diff</t>
        </is>
      </c>
      <c r="IN1" t="inlineStr">
        <is>
          <t>PointsFromForwardHalf_Diff</t>
        </is>
      </c>
      <c r="IO1" t="inlineStr">
        <is>
          <t>PointsFromCentreBounce_Diff</t>
        </is>
      </c>
      <c r="IP1" t="inlineStr">
        <is>
          <t>Tackles_Diff</t>
        </is>
      </c>
      <c r="IQ1" t="inlineStr">
        <is>
          <t>TacklesInside50_Diff</t>
        </is>
      </c>
      <c r="IR1" t="inlineStr">
        <is>
          <t>PressureActs_Diff</t>
        </is>
      </c>
      <c r="IS1" t="inlineStr">
        <is>
          <t>PressureActsDefensiveHalf_Diff</t>
        </is>
      </c>
      <c r="IT1" t="inlineStr">
        <is>
          <t>Spoils_Diff</t>
        </is>
      </c>
      <c r="IU1" t="inlineStr">
        <is>
          <t>Hitouts_Diff</t>
        </is>
      </c>
      <c r="IV1" t="inlineStr">
        <is>
          <t>HitoutsToAdvantage_Diff</t>
        </is>
      </c>
      <c r="IW1" t="inlineStr">
        <is>
          <t>RuckHardBallGets_Diff</t>
        </is>
      </c>
      <c r="IX1" t="inlineStr">
        <is>
          <t>Bounces_Diff</t>
        </is>
      </c>
      <c r="IY1" t="inlineStr">
        <is>
          <t>OnePercenters_Diff</t>
        </is>
      </c>
      <c r="IZ1" t="inlineStr">
        <is>
          <t>InterchangeCount_Diff</t>
        </is>
      </c>
    </row>
    <row r="2">
      <c r="A2" t="inlineStr">
        <is>
          <t>Richmond</t>
        </is>
      </c>
      <c r="B2" t="inlineStr">
        <is>
          <t>Rich</t>
        </is>
      </c>
      <c r="C2" t="n">
        <v>23</v>
      </c>
      <c r="D2" t="n">
        <v>36</v>
      </c>
      <c r="E2" t="n">
        <v>26.742</v>
      </c>
      <c r="F2" t="n">
        <v>119.518</v>
      </c>
      <c r="G2" t="n">
        <v>210.874</v>
      </c>
      <c r="H2" t="n">
        <v>1611.174</v>
      </c>
      <c r="I2" t="n">
        <v>1494.565</v>
      </c>
      <c r="J2" t="n">
        <v>14</v>
      </c>
      <c r="K2" t="n">
        <v>49.396</v>
      </c>
      <c r="L2" t="n">
        <v>212.87</v>
      </c>
      <c r="M2" t="n">
        <v>142.87</v>
      </c>
      <c r="N2" t="n">
        <v>355.739</v>
      </c>
      <c r="O2" t="n">
        <v>70.79000000000001</v>
      </c>
      <c r="P2" t="n">
        <v>63.297</v>
      </c>
      <c r="Q2" t="n">
        <v>81.95399999999999</v>
      </c>
      <c r="R2" t="n">
        <v>59.839</v>
      </c>
      <c r="S2" t="n">
        <v>6.029</v>
      </c>
      <c r="T2" t="n">
        <v>52.739</v>
      </c>
      <c r="U2" t="n">
        <v>43.87</v>
      </c>
      <c r="V2" t="n">
        <v>76.788</v>
      </c>
      <c r="W2" t="n">
        <v>6128.783</v>
      </c>
      <c r="X2" t="n">
        <v>17.228</v>
      </c>
      <c r="Y2" t="n">
        <v>65.39100000000001</v>
      </c>
      <c r="Z2" t="n">
        <v>5.44</v>
      </c>
      <c r="AA2" t="n">
        <v>72.783</v>
      </c>
      <c r="AB2" t="n">
        <v>4.888</v>
      </c>
      <c r="AC2" t="n">
        <v>-1.003</v>
      </c>
      <c r="AD2" t="n">
        <v>-1.488</v>
      </c>
      <c r="AE2" t="n">
        <v>135.783</v>
      </c>
      <c r="AF2" t="n">
        <v>211.391</v>
      </c>
      <c r="AG2" t="n">
        <v>347.174</v>
      </c>
      <c r="AH2" t="n">
        <v>39.111</v>
      </c>
      <c r="AI2" t="n">
        <v>72.913</v>
      </c>
      <c r="AJ2" t="n">
        <v>92.435</v>
      </c>
      <c r="AK2" t="n">
        <v>15.522</v>
      </c>
      <c r="AL2" t="n">
        <v>24.957</v>
      </c>
      <c r="AM2" t="n">
        <v>67.348</v>
      </c>
      <c r="AN2" t="n">
        <v>87.783</v>
      </c>
      <c r="AO2" t="n">
        <v>63.217</v>
      </c>
      <c r="AP2" t="n">
        <v>11.217</v>
      </c>
      <c r="AQ2" t="n">
        <v>24.913</v>
      </c>
      <c r="AR2" t="n">
        <v>112.87</v>
      </c>
      <c r="AS2" t="n">
        <v>11.087</v>
      </c>
      <c r="AT2" t="n">
        <v>24.652</v>
      </c>
      <c r="AU2" t="n">
        <v>35.739</v>
      </c>
      <c r="AV2" t="n">
        <v>40</v>
      </c>
      <c r="AW2" t="n">
        <v>73.152</v>
      </c>
      <c r="AX2" t="n">
        <v>84.696</v>
      </c>
      <c r="AY2" t="n">
        <v>11.087</v>
      </c>
      <c r="AZ2" t="n">
        <v>13.261</v>
      </c>
      <c r="BA2" t="n">
        <v>25.144</v>
      </c>
      <c r="BB2" t="n">
        <v>18.174</v>
      </c>
      <c r="BC2" t="n">
        <v>5.739</v>
      </c>
      <c r="BD2" t="n">
        <v>30</v>
      </c>
      <c r="BE2" t="n">
        <v>7.913</v>
      </c>
      <c r="BF2" t="n">
        <v>11.522</v>
      </c>
      <c r="BG2" t="n">
        <v>11.565</v>
      </c>
      <c r="BH2" t="n">
        <v>2.565</v>
      </c>
      <c r="BI2" t="n">
        <v>25.826</v>
      </c>
      <c r="BJ2" t="n">
        <v>7.913</v>
      </c>
      <c r="BK2" t="n">
        <v>44.613</v>
      </c>
      <c r="BL2" t="n">
        <v>21.847</v>
      </c>
      <c r="BM2" t="n">
        <v>43.776</v>
      </c>
      <c r="BN2" t="n">
        <v>48.969</v>
      </c>
      <c r="BO2" t="n">
        <v>22.913</v>
      </c>
      <c r="BP2" t="n">
        <v>14.522</v>
      </c>
      <c r="BQ2" t="n">
        <v>28.443</v>
      </c>
      <c r="BR2" t="n">
        <v>80.801</v>
      </c>
      <c r="BS2" t="n">
        <v>-2.671</v>
      </c>
      <c r="BT2" t="n">
        <v>3.129</v>
      </c>
      <c r="BU2" t="n">
        <v>-0.103</v>
      </c>
      <c r="BV2" t="n">
        <v>3.429</v>
      </c>
      <c r="BW2" t="n">
        <v>-0.212</v>
      </c>
      <c r="BX2" t="n">
        <v>2.781</v>
      </c>
      <c r="BY2" t="n">
        <v>0.023</v>
      </c>
      <c r="BZ2" t="n">
        <v>1.957</v>
      </c>
      <c r="CA2" t="n">
        <v>31.913</v>
      </c>
      <c r="CB2" t="n">
        <v>46.826</v>
      </c>
      <c r="CC2" t="n">
        <v>28.87</v>
      </c>
      <c r="CD2" t="n">
        <v>43.565</v>
      </c>
      <c r="CE2" t="n">
        <v>8.260999999999999</v>
      </c>
      <c r="CF2" t="n">
        <v>19.554</v>
      </c>
      <c r="CG2" t="n">
        <v>20.985</v>
      </c>
      <c r="CH2" t="n">
        <v>8.786</v>
      </c>
      <c r="CI2" t="n">
        <v>30.292</v>
      </c>
      <c r="CJ2" t="n">
        <v>11.51</v>
      </c>
      <c r="CK2" t="n">
        <v>14.783</v>
      </c>
      <c r="CL2" t="n">
        <v>22.941</v>
      </c>
      <c r="CM2" t="n">
        <v>58.652</v>
      </c>
      <c r="CN2" t="n">
        <v>10.565</v>
      </c>
      <c r="CO2" t="n">
        <v>299.739</v>
      </c>
      <c r="CP2" t="n">
        <v>146.652</v>
      </c>
      <c r="CQ2" t="n">
        <v>36</v>
      </c>
      <c r="CR2" t="n">
        <v>93.304</v>
      </c>
      <c r="CS2" t="n">
        <v>42.13</v>
      </c>
      <c r="CT2" t="n">
        <v>45.154</v>
      </c>
      <c r="CU2" t="n">
        <v>12.826</v>
      </c>
      <c r="CV2" t="n">
        <v>30.444</v>
      </c>
      <c r="CW2" t="n">
        <v>2.696</v>
      </c>
      <c r="CX2" t="n">
        <v>15.522</v>
      </c>
      <c r="CY2" t="n">
        <v>18.13</v>
      </c>
      <c r="CZ2" t="n">
        <v>-2.609</v>
      </c>
      <c r="DA2" t="n">
        <v>11.13</v>
      </c>
      <c r="DB2" t="n">
        <v>82.422</v>
      </c>
      <c r="DC2" t="n">
        <v>7.826</v>
      </c>
      <c r="DD2" t="n">
        <v>51.957</v>
      </c>
      <c r="DE2" t="n">
        <v>70.87</v>
      </c>
      <c r="DF2" t="n">
        <v>216.996</v>
      </c>
      <c r="DG2" t="n">
        <v>1688.087</v>
      </c>
      <c r="DH2" t="n">
        <v>1569.696</v>
      </c>
      <c r="DI2" t="n">
        <v>16</v>
      </c>
      <c r="DJ2" t="n">
        <v>223.652</v>
      </c>
      <c r="DK2" t="n">
        <v>146.391</v>
      </c>
      <c r="DL2" t="n">
        <v>370.043</v>
      </c>
      <c r="DM2" t="n">
        <v>72.224</v>
      </c>
      <c r="DN2" t="n">
        <v>64.833</v>
      </c>
      <c r="DO2" t="n">
        <v>83.51600000000001</v>
      </c>
      <c r="DP2" t="n">
        <v>6.309</v>
      </c>
      <c r="DQ2" t="n">
        <v>57.13</v>
      </c>
      <c r="DR2" t="n">
        <v>40.478</v>
      </c>
      <c r="DS2" t="n">
        <v>76.752</v>
      </c>
      <c r="DT2" t="n">
        <v>6212.522</v>
      </c>
      <c r="DU2" t="n">
        <v>16.789</v>
      </c>
      <c r="DV2" t="n">
        <v>60.739</v>
      </c>
      <c r="DW2" t="n">
        <v>6.092</v>
      </c>
      <c r="DX2" t="n">
        <v>72.913</v>
      </c>
      <c r="DY2" t="n">
        <v>5.075</v>
      </c>
      <c r="DZ2" t="n">
        <v>0.047</v>
      </c>
      <c r="EA2" t="n">
        <v>-1.022</v>
      </c>
      <c r="EB2" t="n">
        <v>137.609</v>
      </c>
      <c r="EC2" t="n">
        <v>225.435</v>
      </c>
      <c r="ED2" t="n">
        <v>363.043</v>
      </c>
      <c r="EE2" t="n">
        <v>37.904</v>
      </c>
      <c r="EF2" t="n">
        <v>72.913</v>
      </c>
      <c r="EG2" t="n">
        <v>94.783</v>
      </c>
      <c r="EH2" t="n">
        <v>15.87</v>
      </c>
      <c r="EI2" t="n">
        <v>26.609</v>
      </c>
      <c r="EJ2" t="n">
        <v>68.217</v>
      </c>
      <c r="EK2" t="n">
        <v>87.95699999999999</v>
      </c>
      <c r="EL2" t="n">
        <v>63.13</v>
      </c>
      <c r="EM2" t="n">
        <v>8.696</v>
      </c>
      <c r="EN2" t="n">
        <v>25.174</v>
      </c>
      <c r="EO2" t="n">
        <v>119.261</v>
      </c>
      <c r="EP2" t="n">
        <v>13.13</v>
      </c>
      <c r="EQ2" t="n">
        <v>24.652</v>
      </c>
      <c r="ER2" t="n">
        <v>37.783</v>
      </c>
      <c r="ES2" t="n">
        <v>40.478</v>
      </c>
      <c r="ET2" t="n">
        <v>76.584</v>
      </c>
      <c r="EU2" t="n">
        <v>93.913</v>
      </c>
      <c r="EV2" t="n">
        <v>10.565</v>
      </c>
      <c r="EW2" t="n">
        <v>11.87</v>
      </c>
      <c r="EX2" t="n">
        <v>20.776</v>
      </c>
      <c r="EY2" t="n">
        <v>16.435</v>
      </c>
      <c r="EZ2" t="n">
        <v>6.391</v>
      </c>
      <c r="FA2" t="n">
        <v>12.478</v>
      </c>
      <c r="FB2" t="n">
        <v>11.348</v>
      </c>
      <c r="FC2" t="n">
        <v>2.739</v>
      </c>
      <c r="FD2" t="n">
        <v>26.957</v>
      </c>
      <c r="FE2" t="n">
        <v>8.130000000000001</v>
      </c>
      <c r="FF2" t="n">
        <v>46.29</v>
      </c>
      <c r="FG2" t="n">
        <v>21.842</v>
      </c>
      <c r="FH2" t="n">
        <v>41.705</v>
      </c>
      <c r="FI2" t="n">
        <v>47.184</v>
      </c>
      <c r="FJ2" t="n">
        <v>23.696</v>
      </c>
      <c r="FK2" t="n">
        <v>86.459</v>
      </c>
      <c r="FL2" t="n">
        <v>-3.242</v>
      </c>
      <c r="FM2" t="n">
        <v>3.207</v>
      </c>
      <c r="FN2" t="n">
        <v>-0.12</v>
      </c>
      <c r="FO2" t="n">
        <v>3.551</v>
      </c>
      <c r="FP2" t="n">
        <v>-0.005</v>
      </c>
      <c r="FQ2" t="n">
        <v>2.821</v>
      </c>
      <c r="FR2" t="n">
        <v>-0.25</v>
      </c>
      <c r="FS2" t="n">
        <v>3.087</v>
      </c>
      <c r="FT2" t="n">
        <v>32.174</v>
      </c>
      <c r="FU2" t="n">
        <v>50.957</v>
      </c>
      <c r="FV2" t="n">
        <v>30.13</v>
      </c>
      <c r="FW2" t="n">
        <v>44</v>
      </c>
      <c r="FX2" t="n">
        <v>12.087</v>
      </c>
      <c r="FY2" t="n">
        <v>19.761</v>
      </c>
      <c r="FZ2" t="n">
        <v>22.048</v>
      </c>
      <c r="GA2" t="n">
        <v>9.718</v>
      </c>
      <c r="GB2" t="n">
        <v>31.028</v>
      </c>
      <c r="GC2" t="n">
        <v>11.833</v>
      </c>
      <c r="GD2" t="n">
        <v>59</v>
      </c>
      <c r="GE2" t="n">
        <v>10.826</v>
      </c>
      <c r="GF2" t="n">
        <v>298.913</v>
      </c>
      <c r="GG2" t="n">
        <v>138.391</v>
      </c>
      <c r="GH2" t="n">
        <v>33.13</v>
      </c>
      <c r="GI2" t="n">
        <v>33.174</v>
      </c>
      <c r="GJ2" t="n">
        <v>35.604</v>
      </c>
      <c r="GK2" t="n">
        <v>9.609</v>
      </c>
      <c r="GL2" t="n">
        <v>28.965</v>
      </c>
      <c r="GM2" t="n">
        <v>3.043</v>
      </c>
      <c r="GN2" t="n">
        <v>11.435</v>
      </c>
      <c r="GO2" t="n">
        <v>85.17100000000001</v>
      </c>
      <c r="GP2" t="n">
        <v>7.783</v>
      </c>
      <c r="GQ2" t="n">
        <v>49.739</v>
      </c>
      <c r="GR2" t="n">
        <v>69.652</v>
      </c>
      <c r="GS2" t="n">
        <v>-6.122</v>
      </c>
      <c r="GT2" t="n">
        <v>-76.913</v>
      </c>
      <c r="GU2" t="n">
        <v>-75.13</v>
      </c>
      <c r="GV2" t="n">
        <v>-2</v>
      </c>
      <c r="GW2" t="n">
        <v>-10.783</v>
      </c>
      <c r="GX2" t="n">
        <v>-3.522</v>
      </c>
      <c r="GY2" t="n">
        <v>-14.304</v>
      </c>
      <c r="GZ2" t="n">
        <v>-4.391</v>
      </c>
      <c r="HA2" t="n">
        <v>-83.739</v>
      </c>
      <c r="HB2" t="n">
        <v>4.652</v>
      </c>
      <c r="HC2" t="n">
        <v>-0.13</v>
      </c>
      <c r="HD2" t="n">
        <v>-1.05</v>
      </c>
      <c r="HE2" t="n">
        <v>-0.466</v>
      </c>
      <c r="HF2" t="n">
        <v>-1.826</v>
      </c>
      <c r="HG2" t="n">
        <v>-14.043</v>
      </c>
      <c r="HH2" t="n">
        <v>-15.87</v>
      </c>
      <c r="HI2" t="n">
        <v>0</v>
      </c>
      <c r="HJ2" t="n">
        <v>-2.348</v>
      </c>
      <c r="HK2" t="n">
        <v>-0.348</v>
      </c>
      <c r="HL2" t="n">
        <v>-1.652</v>
      </c>
      <c r="HM2" t="n">
        <v>-0.87</v>
      </c>
      <c r="HN2" t="n">
        <v>-0.174</v>
      </c>
      <c r="HO2" t="n">
        <v>0.08699999999999999</v>
      </c>
      <c r="HP2" t="n">
        <v>2.522</v>
      </c>
      <c r="HQ2" t="n">
        <v>-0.261</v>
      </c>
      <c r="HR2" t="n">
        <v>-6.391</v>
      </c>
      <c r="HS2" t="n">
        <v>-2.043</v>
      </c>
      <c r="HT2" t="n">
        <v>0</v>
      </c>
      <c r="HU2" t="n">
        <v>-2.043</v>
      </c>
      <c r="HV2" t="n">
        <v>-0.478</v>
      </c>
      <c r="HW2" t="n">
        <v>-9.217000000000001</v>
      </c>
      <c r="HX2" t="n">
        <v>0.522</v>
      </c>
      <c r="HY2" t="n">
        <v>1.391</v>
      </c>
      <c r="HZ2" t="n">
        <v>1.739</v>
      </c>
      <c r="IA2" t="n">
        <v>-0.652</v>
      </c>
      <c r="IB2" t="n">
        <v>-0.957</v>
      </c>
      <c r="IC2" t="n">
        <v>0.217</v>
      </c>
      <c r="ID2" t="n">
        <v>-1.13</v>
      </c>
      <c r="IE2" t="n">
        <v>-0.217</v>
      </c>
      <c r="IF2" t="n">
        <v>-0.783</v>
      </c>
      <c r="IG2" t="n">
        <v>-5.658</v>
      </c>
      <c r="IH2" t="n">
        <v>0.571</v>
      </c>
      <c r="II2" t="n">
        <v>-0.079</v>
      </c>
      <c r="IJ2" t="n">
        <v>-1.13</v>
      </c>
      <c r="IK2" t="n">
        <v>-0.261</v>
      </c>
      <c r="IL2" t="n">
        <v>-4.13</v>
      </c>
      <c r="IM2" t="n">
        <v>-1.261</v>
      </c>
      <c r="IN2" t="n">
        <v>-0.435</v>
      </c>
      <c r="IO2" t="n">
        <v>-3.826</v>
      </c>
      <c r="IP2" t="n">
        <v>-0.348</v>
      </c>
      <c r="IQ2" t="n">
        <v>-0.261</v>
      </c>
      <c r="IR2" t="n">
        <v>0.826</v>
      </c>
      <c r="IS2" t="n">
        <v>8.260999999999999</v>
      </c>
      <c r="IT2" t="n">
        <v>2.87</v>
      </c>
      <c r="IU2" t="n">
        <v>8.957000000000001</v>
      </c>
      <c r="IV2" t="n">
        <v>3.217</v>
      </c>
      <c r="IW2" t="n">
        <v>-0.348</v>
      </c>
      <c r="IX2" t="n">
        <v>0.043</v>
      </c>
      <c r="IY2" t="n">
        <v>2.217</v>
      </c>
      <c r="IZ2" t="n">
        <v>1.217</v>
      </c>
    </row>
    <row r="3">
      <c r="A3" t="inlineStr">
        <is>
          <t>Carlton</t>
        </is>
      </c>
      <c r="B3" t="inlineStr">
        <is>
          <t>Carl</t>
        </is>
      </c>
      <c r="C3" t="n">
        <v>26</v>
      </c>
      <c r="D3" t="n">
        <v>37</v>
      </c>
      <c r="E3" t="n">
        <v>25.791</v>
      </c>
      <c r="F3" t="n">
        <v>88.794</v>
      </c>
      <c r="G3" t="n">
        <v>210.527</v>
      </c>
      <c r="H3" t="n">
        <v>1701.769</v>
      </c>
      <c r="I3" t="n">
        <v>1584.846</v>
      </c>
      <c r="J3" t="n">
        <v>16.385</v>
      </c>
      <c r="K3" t="n">
        <v>50.698</v>
      </c>
      <c r="L3" t="n">
        <v>221.731</v>
      </c>
      <c r="M3" t="n">
        <v>154.808</v>
      </c>
      <c r="N3" t="n">
        <v>376.538</v>
      </c>
      <c r="O3" t="n">
        <v>73.238</v>
      </c>
      <c r="P3" t="n">
        <v>65.863</v>
      </c>
      <c r="Q3" t="n">
        <v>83.801</v>
      </c>
      <c r="R3" t="n">
        <v>58.887</v>
      </c>
      <c r="S3" t="n">
        <v>6.081</v>
      </c>
      <c r="T3" t="n">
        <v>53.462</v>
      </c>
      <c r="U3" t="n">
        <v>40.769</v>
      </c>
      <c r="V3" t="n">
        <v>78.45999999999999</v>
      </c>
      <c r="W3" t="n">
        <v>6036.462</v>
      </c>
      <c r="X3" t="n">
        <v>16.031</v>
      </c>
      <c r="Y3" t="n">
        <v>58.192</v>
      </c>
      <c r="Z3" t="n">
        <v>6.471</v>
      </c>
      <c r="AA3" t="n">
        <v>70.69199999999999</v>
      </c>
      <c r="AB3" t="n">
        <v>5.326</v>
      </c>
      <c r="AC3" t="n">
        <v>-0.661</v>
      </c>
      <c r="AD3" t="n">
        <v>-1.09</v>
      </c>
      <c r="AE3" t="n">
        <v>142.423</v>
      </c>
      <c r="AF3" t="n">
        <v>227.846</v>
      </c>
      <c r="AG3" t="n">
        <v>370.269</v>
      </c>
      <c r="AH3" t="n">
        <v>38.465</v>
      </c>
      <c r="AI3" t="n">
        <v>72.30800000000001</v>
      </c>
      <c r="AJ3" t="n">
        <v>94.73099999999999</v>
      </c>
      <c r="AK3" t="n">
        <v>15.308</v>
      </c>
      <c r="AL3" t="n">
        <v>31.115</v>
      </c>
      <c r="AM3" t="n">
        <v>63.654</v>
      </c>
      <c r="AN3" t="n">
        <v>90.11499999999999</v>
      </c>
      <c r="AO3" t="n">
        <v>61.923</v>
      </c>
      <c r="AP3" t="n">
        <v>10.346</v>
      </c>
      <c r="AQ3" t="n">
        <v>23.885</v>
      </c>
      <c r="AR3" t="n">
        <v>126.885</v>
      </c>
      <c r="AS3" t="n">
        <v>11.154</v>
      </c>
      <c r="AT3" t="n">
        <v>26.615</v>
      </c>
      <c r="AU3" t="n">
        <v>37.769</v>
      </c>
      <c r="AV3" t="n">
        <v>42</v>
      </c>
      <c r="AW3" t="n">
        <v>73.99299999999999</v>
      </c>
      <c r="AX3" t="n">
        <v>94</v>
      </c>
      <c r="AY3" t="n">
        <v>13.115</v>
      </c>
      <c r="AZ3" t="n">
        <v>11.423</v>
      </c>
      <c r="BA3" t="n">
        <v>21.367</v>
      </c>
      <c r="BB3" t="n">
        <v>19.115</v>
      </c>
      <c r="BC3" t="n">
        <v>7.308</v>
      </c>
      <c r="BD3" t="n">
        <v>27</v>
      </c>
      <c r="BE3" t="n">
        <v>7.115</v>
      </c>
      <c r="BF3" t="n">
        <v>11.769</v>
      </c>
      <c r="BG3" t="n">
        <v>11.385</v>
      </c>
      <c r="BH3" t="n">
        <v>2.731</v>
      </c>
      <c r="BI3" t="n">
        <v>25</v>
      </c>
      <c r="BJ3" t="n">
        <v>8.538</v>
      </c>
      <c r="BK3" t="n">
        <v>47.077</v>
      </c>
      <c r="BL3" t="n">
        <v>22.014</v>
      </c>
      <c r="BM3" t="n">
        <v>43.309</v>
      </c>
      <c r="BN3" t="n">
        <v>46.763</v>
      </c>
      <c r="BO3" t="n">
        <v>22.962</v>
      </c>
      <c r="BP3" t="n">
        <v>15.654</v>
      </c>
      <c r="BQ3" t="n">
        <v>28.747</v>
      </c>
      <c r="BR3" t="n">
        <v>79.93600000000001</v>
      </c>
      <c r="BS3" t="n">
        <v>-0.898</v>
      </c>
      <c r="BT3" t="n">
        <v>3.197</v>
      </c>
      <c r="BU3" t="n">
        <v>-0.036</v>
      </c>
      <c r="BV3" t="n">
        <v>3.487</v>
      </c>
      <c r="BW3" t="n">
        <v>0.08699999999999999</v>
      </c>
      <c r="BX3" t="n">
        <v>2.813</v>
      </c>
      <c r="BY3" t="n">
        <v>-0.2</v>
      </c>
      <c r="BZ3" t="n">
        <v>3.654</v>
      </c>
      <c r="CA3" t="n">
        <v>35.231</v>
      </c>
      <c r="CB3" t="n">
        <v>43.115</v>
      </c>
      <c r="CC3" t="n">
        <v>32.615</v>
      </c>
      <c r="CD3" t="n">
        <v>37.346</v>
      </c>
      <c r="CE3" t="n">
        <v>12.038</v>
      </c>
      <c r="CF3" t="n">
        <v>19.396</v>
      </c>
      <c r="CG3" t="n">
        <v>20.616</v>
      </c>
      <c r="CH3" t="n">
        <v>8.776999999999999</v>
      </c>
      <c r="CI3" t="n">
        <v>29.204</v>
      </c>
      <c r="CJ3" t="n">
        <v>12.193</v>
      </c>
      <c r="CK3" t="n">
        <v>12.731</v>
      </c>
      <c r="CL3" t="n">
        <v>24.169</v>
      </c>
      <c r="CM3" t="n">
        <v>61.769</v>
      </c>
      <c r="CN3" t="n">
        <v>10.385</v>
      </c>
      <c r="CO3" t="n">
        <v>302.154</v>
      </c>
      <c r="CP3" t="n">
        <v>138.462</v>
      </c>
      <c r="CQ3" t="n">
        <v>33.423</v>
      </c>
      <c r="CR3" t="n">
        <v>93.38500000000001</v>
      </c>
      <c r="CS3" t="n">
        <v>35.154</v>
      </c>
      <c r="CT3" t="n">
        <v>37.644</v>
      </c>
      <c r="CU3" t="n">
        <v>11</v>
      </c>
      <c r="CV3" t="n">
        <v>31.291</v>
      </c>
      <c r="CW3" t="n">
        <v>3.577</v>
      </c>
      <c r="CX3" t="n">
        <v>19.385</v>
      </c>
      <c r="CY3" t="n">
        <v>17.692</v>
      </c>
      <c r="CZ3" t="n">
        <v>1.692</v>
      </c>
      <c r="DA3" t="n">
        <v>10.692</v>
      </c>
      <c r="DB3" t="n">
        <v>80.21599999999999</v>
      </c>
      <c r="DC3" t="n">
        <v>5.346</v>
      </c>
      <c r="DD3" t="n">
        <v>47.115</v>
      </c>
      <c r="DE3" t="n">
        <v>71.038</v>
      </c>
      <c r="DF3" t="n">
        <v>200.808</v>
      </c>
      <c r="DG3" t="n">
        <v>1599</v>
      </c>
      <c r="DH3" t="n">
        <v>1513.346</v>
      </c>
      <c r="DI3" t="n">
        <v>13.615</v>
      </c>
      <c r="DJ3" t="n">
        <v>212.115</v>
      </c>
      <c r="DK3" t="n">
        <v>146.692</v>
      </c>
      <c r="DL3" t="n">
        <v>358.808</v>
      </c>
      <c r="DM3" t="n">
        <v>72.376</v>
      </c>
      <c r="DN3" t="n">
        <v>65.621</v>
      </c>
      <c r="DO3" t="n">
        <v>82.145</v>
      </c>
      <c r="DP3" t="n">
        <v>5.809</v>
      </c>
      <c r="DQ3" t="n">
        <v>51.962</v>
      </c>
      <c r="DR3" t="n">
        <v>40.923</v>
      </c>
      <c r="DS3" t="n">
        <v>76.547</v>
      </c>
      <c r="DT3" t="n">
        <v>5901.615</v>
      </c>
      <c r="DU3" t="n">
        <v>16.448</v>
      </c>
      <c r="DV3" t="n">
        <v>60.923</v>
      </c>
      <c r="DW3" t="n">
        <v>5.89</v>
      </c>
      <c r="DX3" t="n">
        <v>72.19199999999999</v>
      </c>
      <c r="DY3" t="n">
        <v>4.97</v>
      </c>
      <c r="DZ3" t="n">
        <v>-0.758</v>
      </c>
      <c r="EA3" t="n">
        <v>-1.266</v>
      </c>
      <c r="EB3" t="n">
        <v>133.346</v>
      </c>
      <c r="EC3" t="n">
        <v>217.423</v>
      </c>
      <c r="ED3" t="n">
        <v>350.769</v>
      </c>
      <c r="EE3" t="n">
        <v>38.015</v>
      </c>
      <c r="EF3" t="n">
        <v>70.76900000000001</v>
      </c>
      <c r="EG3" t="n">
        <v>90.154</v>
      </c>
      <c r="EH3" t="n">
        <v>14.385</v>
      </c>
      <c r="EI3" t="n">
        <v>27.462</v>
      </c>
      <c r="EJ3" t="n">
        <v>62.692</v>
      </c>
      <c r="EK3" t="n">
        <v>85.346</v>
      </c>
      <c r="EL3" t="n">
        <v>61.346</v>
      </c>
      <c r="EM3" t="n">
        <v>9.846</v>
      </c>
      <c r="EN3" t="n">
        <v>26.308</v>
      </c>
      <c r="EO3" t="n">
        <v>117.462</v>
      </c>
      <c r="EP3" t="n">
        <v>10.885</v>
      </c>
      <c r="EQ3" t="n">
        <v>25.115</v>
      </c>
      <c r="ER3" t="n">
        <v>36</v>
      </c>
      <c r="ES3" t="n">
        <v>39.231</v>
      </c>
      <c r="ET3" t="n">
        <v>72.941</v>
      </c>
      <c r="EU3" t="n">
        <v>89.11499999999999</v>
      </c>
      <c r="EV3" t="n">
        <v>10.269</v>
      </c>
      <c r="EW3" t="n">
        <v>11.462</v>
      </c>
      <c r="EX3" t="n">
        <v>22.058</v>
      </c>
      <c r="EY3" t="n">
        <v>17.231</v>
      </c>
      <c r="EZ3" t="n">
        <v>5.038</v>
      </c>
      <c r="FA3" t="n">
        <v>10.462</v>
      </c>
      <c r="FB3" t="n">
        <v>10.885</v>
      </c>
      <c r="FC3" t="n">
        <v>2.654</v>
      </c>
      <c r="FD3" t="n">
        <v>22.808</v>
      </c>
      <c r="FE3" t="n">
        <v>8.077</v>
      </c>
      <c r="FF3" t="n">
        <v>45.868</v>
      </c>
      <c r="FG3" t="n">
        <v>20.133</v>
      </c>
      <c r="FH3" t="n">
        <v>41.081</v>
      </c>
      <c r="FI3" t="n">
        <v>43.893</v>
      </c>
      <c r="FJ3" t="n">
        <v>21.077</v>
      </c>
      <c r="FK3" t="n">
        <v>75.128</v>
      </c>
      <c r="FL3" t="n">
        <v>-4.128</v>
      </c>
      <c r="FM3" t="n">
        <v>3.294</v>
      </c>
      <c r="FN3" t="n">
        <v>-0.181</v>
      </c>
      <c r="FO3" t="n">
        <v>3.623</v>
      </c>
      <c r="FP3" t="n">
        <v>-0.089</v>
      </c>
      <c r="FQ3" t="n">
        <v>2.892</v>
      </c>
      <c r="FR3" t="n">
        <v>-0.293</v>
      </c>
      <c r="FS3" t="n">
        <v>3.5</v>
      </c>
      <c r="FT3" t="n">
        <v>25.308</v>
      </c>
      <c r="FU3" t="n">
        <v>44.846</v>
      </c>
      <c r="FV3" t="n">
        <v>32.423</v>
      </c>
      <c r="FW3" t="n">
        <v>31.769</v>
      </c>
      <c r="FX3" t="n">
        <v>9.462</v>
      </c>
      <c r="FY3" t="n">
        <v>18.245</v>
      </c>
      <c r="FZ3" t="n">
        <v>19.421</v>
      </c>
      <c r="GA3" t="n">
        <v>8.052</v>
      </c>
      <c r="GB3" t="n">
        <v>29.097</v>
      </c>
      <c r="GC3" t="n">
        <v>12.636</v>
      </c>
      <c r="GD3" t="n">
        <v>61.923</v>
      </c>
      <c r="GE3" t="n">
        <v>10</v>
      </c>
      <c r="GF3" t="n">
        <v>308.923</v>
      </c>
      <c r="GG3" t="n">
        <v>144.423</v>
      </c>
      <c r="GH3" t="n">
        <v>33.923</v>
      </c>
      <c r="GI3" t="n">
        <v>38.038</v>
      </c>
      <c r="GJ3" t="n">
        <v>40.8</v>
      </c>
      <c r="GK3" t="n">
        <v>11.077</v>
      </c>
      <c r="GL3" t="n">
        <v>29.12</v>
      </c>
      <c r="GM3" t="n">
        <v>2.808</v>
      </c>
      <c r="GN3" t="n">
        <v>11.231</v>
      </c>
      <c r="GO3" t="n">
        <v>88.699</v>
      </c>
      <c r="GP3" t="n">
        <v>4.615</v>
      </c>
      <c r="GQ3" t="n">
        <v>48.846</v>
      </c>
      <c r="GR3" t="n">
        <v>71.038</v>
      </c>
      <c r="GS3" t="n">
        <v>9.718999999999999</v>
      </c>
      <c r="GT3" t="n">
        <v>102.769</v>
      </c>
      <c r="GU3" t="n">
        <v>71.5</v>
      </c>
      <c r="GV3" t="n">
        <v>2.769</v>
      </c>
      <c r="GW3" t="n">
        <v>9.615</v>
      </c>
      <c r="GX3" t="n">
        <v>8.115</v>
      </c>
      <c r="GY3" t="n">
        <v>17.731</v>
      </c>
      <c r="GZ3" t="n">
        <v>1.5</v>
      </c>
      <c r="HA3" t="n">
        <v>134.846</v>
      </c>
      <c r="HB3" t="n">
        <v>-2.731</v>
      </c>
      <c r="HC3" t="n">
        <v>-1.5</v>
      </c>
      <c r="HD3" t="n">
        <v>0.097</v>
      </c>
      <c r="HE3" t="n">
        <v>0.176</v>
      </c>
      <c r="HF3" t="n">
        <v>9.077</v>
      </c>
      <c r="HG3" t="n">
        <v>10.423</v>
      </c>
      <c r="HH3" t="n">
        <v>19.5</v>
      </c>
      <c r="HI3" t="n">
        <v>1.538</v>
      </c>
      <c r="HJ3" t="n">
        <v>4.577</v>
      </c>
      <c r="HK3" t="n">
        <v>0.923</v>
      </c>
      <c r="HL3" t="n">
        <v>3.654</v>
      </c>
      <c r="HM3" t="n">
        <v>0.962</v>
      </c>
      <c r="HN3" t="n">
        <v>4.769</v>
      </c>
      <c r="HO3" t="n">
        <v>0.577</v>
      </c>
      <c r="HP3" t="n">
        <v>0.5</v>
      </c>
      <c r="HQ3" t="n">
        <v>-2.423</v>
      </c>
      <c r="HR3" t="n">
        <v>9.423</v>
      </c>
      <c r="HS3" t="n">
        <v>0.269</v>
      </c>
      <c r="HT3" t="n">
        <v>1.5</v>
      </c>
      <c r="HU3" t="n">
        <v>1.769</v>
      </c>
      <c r="HV3" t="n">
        <v>2.769</v>
      </c>
      <c r="HW3" t="n">
        <v>4.885</v>
      </c>
      <c r="HX3" t="n">
        <v>2.846</v>
      </c>
      <c r="HY3" t="n">
        <v>-0.038</v>
      </c>
      <c r="HZ3" t="n">
        <v>1.885</v>
      </c>
      <c r="IA3" t="n">
        <v>2.269</v>
      </c>
      <c r="IB3" t="n">
        <v>1.308</v>
      </c>
      <c r="IC3" t="n">
        <v>0.5</v>
      </c>
      <c r="ID3" t="n">
        <v>2.192</v>
      </c>
      <c r="IE3" t="n">
        <v>0.462</v>
      </c>
      <c r="IF3" t="n">
        <v>1.885</v>
      </c>
      <c r="IG3" t="n">
        <v>4.808</v>
      </c>
      <c r="IH3" t="n">
        <v>3.23</v>
      </c>
      <c r="II3" t="n">
        <v>-0.097</v>
      </c>
      <c r="IJ3" t="n">
        <v>0.154</v>
      </c>
      <c r="IK3" t="n">
        <v>9.923</v>
      </c>
      <c r="IL3" t="n">
        <v>-1.731</v>
      </c>
      <c r="IM3" t="n">
        <v>0.192</v>
      </c>
      <c r="IN3" t="n">
        <v>5.577</v>
      </c>
      <c r="IO3" t="n">
        <v>2.577</v>
      </c>
      <c r="IP3" t="n">
        <v>-0.154</v>
      </c>
      <c r="IQ3" t="n">
        <v>0.385</v>
      </c>
      <c r="IR3" t="n">
        <v>-6.769</v>
      </c>
      <c r="IS3" t="n">
        <v>-5.962</v>
      </c>
      <c r="IT3" t="n">
        <v>-0.5</v>
      </c>
      <c r="IU3" t="n">
        <v>-2.885</v>
      </c>
      <c r="IV3" t="n">
        <v>-0.077</v>
      </c>
      <c r="IW3" t="n">
        <v>0.769</v>
      </c>
      <c r="IX3" t="n">
        <v>0.731</v>
      </c>
      <c r="IY3" t="n">
        <v>-1.731</v>
      </c>
      <c r="IZ3" t="n">
        <v>0</v>
      </c>
    </row>
    <row r="4">
      <c r="A4" t="inlineStr">
        <is>
          <t>Collingwood</t>
        </is>
      </c>
      <c r="B4" t="inlineStr">
        <is>
          <t>Coll</t>
        </is>
      </c>
      <c r="C4" t="n">
        <v>26</v>
      </c>
      <c r="D4" t="n">
        <v>37</v>
      </c>
      <c r="E4" t="n">
        <v>27.221</v>
      </c>
      <c r="F4" t="n">
        <v>125.055</v>
      </c>
      <c r="G4" t="n">
        <v>213.8</v>
      </c>
      <c r="H4" t="n">
        <v>1709</v>
      </c>
      <c r="I4" t="n">
        <v>1561.269</v>
      </c>
      <c r="J4" t="n">
        <v>19.808</v>
      </c>
      <c r="K4" t="n">
        <v>50.6</v>
      </c>
      <c r="L4" t="n">
        <v>213.538</v>
      </c>
      <c r="M4" t="n">
        <v>150.654</v>
      </c>
      <c r="N4" t="n">
        <v>364.192</v>
      </c>
      <c r="O4" t="n">
        <v>73.04900000000001</v>
      </c>
      <c r="P4" t="n">
        <v>66.913</v>
      </c>
      <c r="Q4" t="n">
        <v>81.746</v>
      </c>
      <c r="R4" t="n">
        <v>58.633</v>
      </c>
      <c r="S4" t="n">
        <v>6.495</v>
      </c>
      <c r="T4" t="n">
        <v>52.692</v>
      </c>
      <c r="U4" t="n">
        <v>38.692</v>
      </c>
      <c r="V4" t="n">
        <v>77.804</v>
      </c>
      <c r="W4" t="n">
        <v>5915.5</v>
      </c>
      <c r="X4" t="n">
        <v>16.243</v>
      </c>
      <c r="Y4" t="n">
        <v>58.962</v>
      </c>
      <c r="Z4" t="n">
        <v>6.177</v>
      </c>
      <c r="AA4" t="n">
        <v>66.69199999999999</v>
      </c>
      <c r="AB4" t="n">
        <v>5.461</v>
      </c>
      <c r="AC4" t="n">
        <v>-0.08699999999999999</v>
      </c>
      <c r="AD4" t="n">
        <v>0.175</v>
      </c>
      <c r="AE4" t="n">
        <v>132.385</v>
      </c>
      <c r="AF4" t="n">
        <v>221.538</v>
      </c>
      <c r="AG4" t="n">
        <v>353.923</v>
      </c>
      <c r="AH4" t="n">
        <v>37.405</v>
      </c>
      <c r="AI4" t="n">
        <v>68.538</v>
      </c>
      <c r="AJ4" t="n">
        <v>88.88500000000001</v>
      </c>
      <c r="AK4" t="n">
        <v>13.346</v>
      </c>
      <c r="AL4" t="n">
        <v>23.846</v>
      </c>
      <c r="AM4" t="n">
        <v>65.038</v>
      </c>
      <c r="AN4" t="n">
        <v>83.38500000000001</v>
      </c>
      <c r="AO4" t="n">
        <v>58.154</v>
      </c>
      <c r="AP4" t="n">
        <v>9.538</v>
      </c>
      <c r="AQ4" t="n">
        <v>22.654</v>
      </c>
      <c r="AR4" t="n">
        <v>118.5</v>
      </c>
      <c r="AS4" t="n">
        <v>11.577</v>
      </c>
      <c r="AT4" t="n">
        <v>25.346</v>
      </c>
      <c r="AU4" t="n">
        <v>36.923</v>
      </c>
      <c r="AV4" t="n">
        <v>40.692</v>
      </c>
      <c r="AW4" t="n">
        <v>74.669</v>
      </c>
      <c r="AX4" t="n">
        <v>89.962</v>
      </c>
      <c r="AY4" t="n">
        <v>10.615</v>
      </c>
      <c r="AZ4" t="n">
        <v>12.808</v>
      </c>
      <c r="BA4" t="n">
        <v>24.307</v>
      </c>
      <c r="BB4" t="n">
        <v>17.269</v>
      </c>
      <c r="BC4" t="n">
        <v>7.5</v>
      </c>
      <c r="BD4" t="n">
        <v>25</v>
      </c>
      <c r="BE4" t="n">
        <v>8.577</v>
      </c>
      <c r="BF4" t="n">
        <v>13.308</v>
      </c>
      <c r="BG4" t="n">
        <v>10.538</v>
      </c>
      <c r="BH4" t="n">
        <v>2.769</v>
      </c>
      <c r="BI4" t="n">
        <v>25.346</v>
      </c>
      <c r="BJ4" t="n">
        <v>9.731</v>
      </c>
      <c r="BK4" t="n">
        <v>52.504</v>
      </c>
      <c r="BL4" t="n">
        <v>25.255</v>
      </c>
      <c r="BM4" t="n">
        <v>45.255</v>
      </c>
      <c r="BN4" t="n">
        <v>48.102</v>
      </c>
      <c r="BO4" t="n">
        <v>23.615</v>
      </c>
      <c r="BP4" t="n">
        <v>10.192</v>
      </c>
      <c r="BQ4" t="n">
        <v>26.038</v>
      </c>
      <c r="BR4" t="n">
        <v>83.262</v>
      </c>
      <c r="BS4" t="n">
        <v>4.354</v>
      </c>
      <c r="BT4" t="n">
        <v>3.285</v>
      </c>
      <c r="BU4" t="n">
        <v>0.172</v>
      </c>
      <c r="BV4" t="n">
        <v>3.521</v>
      </c>
      <c r="BW4" t="n">
        <v>0.253</v>
      </c>
      <c r="BX4" t="n">
        <v>2.991</v>
      </c>
      <c r="BY4" t="n">
        <v>0.07099999999999999</v>
      </c>
      <c r="BZ4" t="n">
        <v>3.231</v>
      </c>
      <c r="CA4" t="n">
        <v>35.769</v>
      </c>
      <c r="CB4" t="n">
        <v>51.385</v>
      </c>
      <c r="CC4" t="n">
        <v>39.692</v>
      </c>
      <c r="CD4" t="n">
        <v>37.115</v>
      </c>
      <c r="CE4" t="n">
        <v>13.577</v>
      </c>
      <c r="CF4" t="n">
        <v>20.771</v>
      </c>
      <c r="CG4" t="n">
        <v>21.549</v>
      </c>
      <c r="CH4" t="n">
        <v>9.840999999999999</v>
      </c>
      <c r="CI4" t="n">
        <v>31.835</v>
      </c>
      <c r="CJ4" t="n">
        <v>13.945</v>
      </c>
      <c r="CK4" t="n">
        <v>10.731</v>
      </c>
      <c r="CL4" t="n">
        <v>24.373</v>
      </c>
      <c r="CM4" t="n">
        <v>64.11499999999999</v>
      </c>
      <c r="CN4" t="n">
        <v>9.5</v>
      </c>
      <c r="CO4" t="n">
        <v>298.462</v>
      </c>
      <c r="CP4" t="n">
        <v>140.923</v>
      </c>
      <c r="CQ4" t="n">
        <v>31.692</v>
      </c>
      <c r="CR4" t="n">
        <v>93.038</v>
      </c>
      <c r="CS4" t="n">
        <v>38.115</v>
      </c>
      <c r="CT4" t="n">
        <v>40.967</v>
      </c>
      <c r="CU4" t="n">
        <v>10.615</v>
      </c>
      <c r="CV4" t="n">
        <v>27.851</v>
      </c>
      <c r="CW4" t="n">
        <v>1.615</v>
      </c>
      <c r="CX4" t="n">
        <v>18.154</v>
      </c>
      <c r="CY4" t="n">
        <v>17.038</v>
      </c>
      <c r="CZ4" t="n">
        <v>1.115</v>
      </c>
      <c r="DA4" t="n">
        <v>10.615</v>
      </c>
      <c r="DB4" t="n">
        <v>93.116</v>
      </c>
      <c r="DC4" t="n">
        <v>6.769</v>
      </c>
      <c r="DD4" t="n">
        <v>48.538</v>
      </c>
      <c r="DE4" t="n">
        <v>69.11499999999999</v>
      </c>
      <c r="DF4" t="n">
        <v>194.285</v>
      </c>
      <c r="DG4" t="n">
        <v>1591.192</v>
      </c>
      <c r="DH4" t="n">
        <v>1499.692</v>
      </c>
      <c r="DI4" t="n">
        <v>10.769</v>
      </c>
      <c r="DJ4" t="n">
        <v>211.231</v>
      </c>
      <c r="DK4" t="n">
        <v>146.654</v>
      </c>
      <c r="DL4" t="n">
        <v>357.885</v>
      </c>
      <c r="DM4" t="n">
        <v>72.52</v>
      </c>
      <c r="DN4" t="n">
        <v>66.679</v>
      </c>
      <c r="DO4" t="n">
        <v>80.934</v>
      </c>
      <c r="DP4" t="n">
        <v>5.582</v>
      </c>
      <c r="DQ4" t="n">
        <v>49.731</v>
      </c>
      <c r="DR4" t="n">
        <v>38.615</v>
      </c>
      <c r="DS4" t="n">
        <v>73.285</v>
      </c>
      <c r="DT4" t="n">
        <v>5647.308</v>
      </c>
      <c r="DU4" t="n">
        <v>15.78</v>
      </c>
      <c r="DV4" t="n">
        <v>59.731</v>
      </c>
      <c r="DW4" t="n">
        <v>5.992</v>
      </c>
      <c r="DX4" t="n">
        <v>68.19199999999999</v>
      </c>
      <c r="DY4" t="n">
        <v>5.248</v>
      </c>
      <c r="DZ4" t="n">
        <v>-0.095</v>
      </c>
      <c r="EA4" t="n">
        <v>-0.352</v>
      </c>
      <c r="EB4" t="n">
        <v>131.808</v>
      </c>
      <c r="EC4" t="n">
        <v>217.5</v>
      </c>
      <c r="ED4" t="n">
        <v>349.308</v>
      </c>
      <c r="EE4" t="n">
        <v>37.734</v>
      </c>
      <c r="EF4" t="n">
        <v>66.846</v>
      </c>
      <c r="EG4" t="n">
        <v>90.654</v>
      </c>
      <c r="EH4" t="n">
        <v>13.923</v>
      </c>
      <c r="EI4" t="n">
        <v>26.846</v>
      </c>
      <c r="EJ4" t="n">
        <v>63.846</v>
      </c>
      <c r="EK4" t="n">
        <v>83.23099999999999</v>
      </c>
      <c r="EL4" t="n">
        <v>60.115</v>
      </c>
      <c r="EM4" t="n">
        <v>9.577</v>
      </c>
      <c r="EN4" t="n">
        <v>24.5</v>
      </c>
      <c r="EO4" t="n">
        <v>115.154</v>
      </c>
      <c r="EP4" t="n">
        <v>11.731</v>
      </c>
      <c r="EQ4" t="n">
        <v>25</v>
      </c>
      <c r="ER4" t="n">
        <v>36.731</v>
      </c>
      <c r="ES4" t="n">
        <v>40.154</v>
      </c>
      <c r="ET4" t="n">
        <v>75.383</v>
      </c>
      <c r="EU4" t="n">
        <v>92.61499999999999</v>
      </c>
      <c r="EV4" t="n">
        <v>10.269</v>
      </c>
      <c r="EW4" t="n">
        <v>11.231</v>
      </c>
      <c r="EX4" t="n">
        <v>22.583</v>
      </c>
      <c r="EY4" t="n">
        <v>15.231</v>
      </c>
      <c r="EZ4" t="n">
        <v>3.692</v>
      </c>
      <c r="FA4" t="n">
        <v>10.269</v>
      </c>
      <c r="FB4" t="n">
        <v>10.808</v>
      </c>
      <c r="FC4" t="n">
        <v>1.885</v>
      </c>
      <c r="FD4" t="n">
        <v>23.154</v>
      </c>
      <c r="FE4" t="n">
        <v>7.423</v>
      </c>
      <c r="FF4" t="n">
        <v>44.352</v>
      </c>
      <c r="FG4" t="n">
        <v>20.65</v>
      </c>
      <c r="FH4" t="n">
        <v>42.382</v>
      </c>
      <c r="FI4" t="n">
        <v>46.558</v>
      </c>
      <c r="FJ4" t="n">
        <v>20.731</v>
      </c>
      <c r="FK4" t="n">
        <v>73.886</v>
      </c>
      <c r="FL4" t="n">
        <v>-3.348</v>
      </c>
      <c r="FM4" t="n">
        <v>3.191</v>
      </c>
      <c r="FN4" t="n">
        <v>-0.145</v>
      </c>
      <c r="FO4" t="n">
        <v>3.481</v>
      </c>
      <c r="FP4" t="n">
        <v>-0.055</v>
      </c>
      <c r="FQ4" t="n">
        <v>2.853</v>
      </c>
      <c r="FR4" t="n">
        <v>-0.249</v>
      </c>
      <c r="FS4" t="n">
        <v>3.577</v>
      </c>
      <c r="FT4" t="n">
        <v>28.231</v>
      </c>
      <c r="FU4" t="n">
        <v>40.615</v>
      </c>
      <c r="FV4" t="n">
        <v>27.962</v>
      </c>
      <c r="FW4" t="n">
        <v>34</v>
      </c>
      <c r="FX4" t="n">
        <v>10.462</v>
      </c>
      <c r="FY4" t="n">
        <v>18.548</v>
      </c>
      <c r="FZ4" t="n">
        <v>19.567</v>
      </c>
      <c r="GA4" t="n">
        <v>8.358000000000001</v>
      </c>
      <c r="GB4" t="n">
        <v>29.418</v>
      </c>
      <c r="GC4" t="n">
        <v>11.298</v>
      </c>
      <c r="GD4" t="n">
        <v>56.077</v>
      </c>
      <c r="GE4" t="n">
        <v>8.962</v>
      </c>
      <c r="GF4" t="n">
        <v>296.5</v>
      </c>
      <c r="GG4" t="n">
        <v>138.5</v>
      </c>
      <c r="GH4" t="n">
        <v>32.269</v>
      </c>
      <c r="GI4" t="n">
        <v>37.423</v>
      </c>
      <c r="GJ4" t="n">
        <v>40.257</v>
      </c>
      <c r="GK4" t="n">
        <v>10.654</v>
      </c>
      <c r="GL4" t="n">
        <v>28.469</v>
      </c>
      <c r="GM4" t="n">
        <v>3.269</v>
      </c>
      <c r="GN4" t="n">
        <v>10.423</v>
      </c>
      <c r="GO4" t="n">
        <v>82.288</v>
      </c>
      <c r="GP4" t="n">
        <v>3.692</v>
      </c>
      <c r="GQ4" t="n">
        <v>45.192</v>
      </c>
      <c r="GR4" t="n">
        <v>69.19199999999999</v>
      </c>
      <c r="GS4" t="n">
        <v>19.515</v>
      </c>
      <c r="GT4" t="n">
        <v>117.808</v>
      </c>
      <c r="GU4" t="n">
        <v>61.577</v>
      </c>
      <c r="GV4" t="n">
        <v>9.038</v>
      </c>
      <c r="GW4" t="n">
        <v>2.308</v>
      </c>
      <c r="GX4" t="n">
        <v>4</v>
      </c>
      <c r="GY4" t="n">
        <v>6.308</v>
      </c>
      <c r="GZ4" t="n">
        <v>2.962</v>
      </c>
      <c r="HA4" t="n">
        <v>268.192</v>
      </c>
      <c r="HB4" t="n">
        <v>-0.769</v>
      </c>
      <c r="HC4" t="n">
        <v>-1.5</v>
      </c>
      <c r="HD4" t="n">
        <v>0.007</v>
      </c>
      <c r="HE4" t="n">
        <v>0.528</v>
      </c>
      <c r="HF4" t="n">
        <v>0.577</v>
      </c>
      <c r="HG4" t="n">
        <v>4.038</v>
      </c>
      <c r="HH4" t="n">
        <v>4.615</v>
      </c>
      <c r="HI4" t="n">
        <v>1.692</v>
      </c>
      <c r="HJ4" t="n">
        <v>-1.769</v>
      </c>
      <c r="HK4" t="n">
        <v>-0.577</v>
      </c>
      <c r="HL4" t="n">
        <v>-3</v>
      </c>
      <c r="HM4" t="n">
        <v>1.192</v>
      </c>
      <c r="HN4" t="n">
        <v>0.154</v>
      </c>
      <c r="HO4" t="n">
        <v>-1.962</v>
      </c>
      <c r="HP4" t="n">
        <v>-0.038</v>
      </c>
      <c r="HQ4" t="n">
        <v>-1.846</v>
      </c>
      <c r="HR4" t="n">
        <v>3.346</v>
      </c>
      <c r="HS4" t="n">
        <v>-0.154</v>
      </c>
      <c r="HT4" t="n">
        <v>0.346</v>
      </c>
      <c r="HU4" t="n">
        <v>0.192</v>
      </c>
      <c r="HV4" t="n">
        <v>0.538</v>
      </c>
      <c r="HW4" t="n">
        <v>-2.654</v>
      </c>
      <c r="HX4" t="n">
        <v>0.346</v>
      </c>
      <c r="HY4" t="n">
        <v>1.577</v>
      </c>
      <c r="HZ4" t="n">
        <v>2.038</v>
      </c>
      <c r="IA4" t="n">
        <v>3.808</v>
      </c>
      <c r="IB4" t="n">
        <v>3.038</v>
      </c>
      <c r="IC4" t="n">
        <v>-0.269</v>
      </c>
      <c r="ID4" t="n">
        <v>2.192</v>
      </c>
      <c r="IE4" t="n">
        <v>2.308</v>
      </c>
      <c r="IF4" t="n">
        <v>2.885</v>
      </c>
      <c r="IG4" t="n">
        <v>9.375999999999999</v>
      </c>
      <c r="IH4" t="n">
        <v>7.701</v>
      </c>
      <c r="II4" t="n">
        <v>0.094</v>
      </c>
      <c r="IJ4" t="n">
        <v>-0.346</v>
      </c>
      <c r="IK4" t="n">
        <v>7.538</v>
      </c>
      <c r="IL4" t="n">
        <v>10.769</v>
      </c>
      <c r="IM4" t="n">
        <v>11.731</v>
      </c>
      <c r="IN4" t="n">
        <v>3.115</v>
      </c>
      <c r="IO4" t="n">
        <v>3.115</v>
      </c>
      <c r="IP4" t="n">
        <v>8.038</v>
      </c>
      <c r="IQ4" t="n">
        <v>0.538</v>
      </c>
      <c r="IR4" t="n">
        <v>1.962</v>
      </c>
      <c r="IS4" t="n">
        <v>2.423</v>
      </c>
      <c r="IT4" t="n">
        <v>-0.577</v>
      </c>
      <c r="IU4" t="n">
        <v>0.6919999999999999</v>
      </c>
      <c r="IV4" t="n">
        <v>-0.038</v>
      </c>
      <c r="IW4" t="n">
        <v>-1.654</v>
      </c>
      <c r="IX4" t="n">
        <v>3.077</v>
      </c>
      <c r="IY4" t="n">
        <v>3.346</v>
      </c>
      <c r="IZ4" t="n">
        <v>-0.077</v>
      </c>
    </row>
    <row r="5">
      <c r="A5" t="inlineStr">
        <is>
          <t>Geelong</t>
        </is>
      </c>
      <c r="B5" t="inlineStr">
        <is>
          <t>Geel</t>
        </is>
      </c>
      <c r="C5" t="n">
        <v>23</v>
      </c>
      <c r="D5" t="n">
        <v>38</v>
      </c>
      <c r="E5" t="n">
        <v>27.36</v>
      </c>
      <c r="F5" t="n">
        <v>133.764</v>
      </c>
      <c r="G5" t="n">
        <v>205.261</v>
      </c>
      <c r="H5" t="n">
        <v>1642.348</v>
      </c>
      <c r="I5" t="n">
        <v>1510.87</v>
      </c>
      <c r="J5" t="n">
        <v>14.348</v>
      </c>
      <c r="K5" t="n">
        <v>50.692</v>
      </c>
      <c r="L5" t="n">
        <v>210.739</v>
      </c>
      <c r="M5" t="n">
        <v>134.739</v>
      </c>
      <c r="N5" t="n">
        <v>345.478</v>
      </c>
      <c r="O5" t="n">
        <v>70.816</v>
      </c>
      <c r="P5" t="n">
        <v>64.947</v>
      </c>
      <c r="Q5" t="n">
        <v>79.994</v>
      </c>
      <c r="R5" t="n">
        <v>60.999</v>
      </c>
      <c r="S5" t="n">
        <v>5.347</v>
      </c>
      <c r="T5" t="n">
        <v>53.217</v>
      </c>
      <c r="U5" t="n">
        <v>36.478</v>
      </c>
      <c r="V5" t="n">
        <v>74.64400000000001</v>
      </c>
      <c r="W5" t="n">
        <v>5850.435</v>
      </c>
      <c r="X5" t="n">
        <v>16.934</v>
      </c>
      <c r="Y5" t="n">
        <v>58.348</v>
      </c>
      <c r="Z5" t="n">
        <v>5.921</v>
      </c>
      <c r="AA5" t="n">
        <v>67.52200000000001</v>
      </c>
      <c r="AB5" t="n">
        <v>5.117</v>
      </c>
      <c r="AC5" t="n">
        <v>1.428</v>
      </c>
      <c r="AD5" t="n">
        <v>0.888</v>
      </c>
      <c r="AE5" t="n">
        <v>132.739</v>
      </c>
      <c r="AF5" t="n">
        <v>202.435</v>
      </c>
      <c r="AG5" t="n">
        <v>335.174</v>
      </c>
      <c r="AH5" t="n">
        <v>39.603</v>
      </c>
      <c r="AI5" t="n">
        <v>68.652</v>
      </c>
      <c r="AJ5" t="n">
        <v>92.47799999999999</v>
      </c>
      <c r="AK5" t="n">
        <v>13.87</v>
      </c>
      <c r="AL5" t="n">
        <v>26.913</v>
      </c>
      <c r="AM5" t="n">
        <v>65.565</v>
      </c>
      <c r="AN5" t="n">
        <v>84.565</v>
      </c>
      <c r="AO5" t="n">
        <v>60.565</v>
      </c>
      <c r="AP5" t="n">
        <v>8.130000000000001</v>
      </c>
      <c r="AQ5" t="n">
        <v>22.217</v>
      </c>
      <c r="AR5" t="n">
        <v>104.087</v>
      </c>
      <c r="AS5" t="n">
        <v>11.783</v>
      </c>
      <c r="AT5" t="n">
        <v>23.739</v>
      </c>
      <c r="AU5" t="n">
        <v>35.522</v>
      </c>
      <c r="AV5" t="n">
        <v>39.043</v>
      </c>
      <c r="AW5" t="n">
        <v>73.051</v>
      </c>
      <c r="AX5" t="n">
        <v>91.39100000000001</v>
      </c>
      <c r="AY5" t="n">
        <v>11.348</v>
      </c>
      <c r="AZ5" t="n">
        <v>14.478</v>
      </c>
      <c r="BA5" t="n">
        <v>27.206</v>
      </c>
      <c r="BB5" t="n">
        <v>17.87</v>
      </c>
      <c r="BC5" t="n">
        <v>7.522</v>
      </c>
      <c r="BD5" t="n">
        <v>25</v>
      </c>
      <c r="BE5" t="n">
        <v>7.826</v>
      </c>
      <c r="BF5" t="n">
        <v>13.304</v>
      </c>
      <c r="BG5" t="n">
        <v>10.957</v>
      </c>
      <c r="BH5" t="n">
        <v>2.435</v>
      </c>
      <c r="BI5" t="n">
        <v>26.522</v>
      </c>
      <c r="BJ5" t="n">
        <v>9.826000000000001</v>
      </c>
      <c r="BK5" t="n">
        <v>50.164</v>
      </c>
      <c r="BL5" t="n">
        <v>25</v>
      </c>
      <c r="BM5" t="n">
        <v>45.588</v>
      </c>
      <c r="BN5" t="n">
        <v>49.837</v>
      </c>
      <c r="BO5" t="n">
        <v>23.783</v>
      </c>
      <c r="BP5" t="n">
        <v>12.261</v>
      </c>
      <c r="BQ5" t="n">
        <v>30.142</v>
      </c>
      <c r="BR5" t="n">
        <v>85.7</v>
      </c>
      <c r="BS5" t="n">
        <v>2.647</v>
      </c>
      <c r="BT5" t="n">
        <v>3.231</v>
      </c>
      <c r="BU5" t="n">
        <v>0.1</v>
      </c>
      <c r="BV5" t="n">
        <v>3.403</v>
      </c>
      <c r="BW5" t="n">
        <v>0.172</v>
      </c>
      <c r="BX5" t="n">
        <v>2.978</v>
      </c>
      <c r="BY5" t="n">
        <v>-0.007</v>
      </c>
      <c r="BZ5" t="n">
        <v>3.696</v>
      </c>
      <c r="CA5" t="n">
        <v>34.217</v>
      </c>
      <c r="CB5" t="n">
        <v>52.87</v>
      </c>
      <c r="CC5" t="n">
        <v>33.739</v>
      </c>
      <c r="CD5" t="n">
        <v>46.957</v>
      </c>
      <c r="CE5" t="n">
        <v>10.087</v>
      </c>
      <c r="CF5" t="n">
        <v>21.089</v>
      </c>
      <c r="CG5" t="n">
        <v>20.235</v>
      </c>
      <c r="CH5" t="n">
        <v>9.294</v>
      </c>
      <c r="CI5" t="n">
        <v>29.954</v>
      </c>
      <c r="CJ5" t="n">
        <v>13.163</v>
      </c>
      <c r="CK5" t="n">
        <v>10.652</v>
      </c>
      <c r="CL5" t="n">
        <v>24.49</v>
      </c>
      <c r="CM5" t="n">
        <v>60.957</v>
      </c>
      <c r="CN5" t="n">
        <v>9.304</v>
      </c>
      <c r="CO5" t="n">
        <v>296.522</v>
      </c>
      <c r="CP5" t="n">
        <v>138.435</v>
      </c>
      <c r="CQ5" t="n">
        <v>29.043</v>
      </c>
      <c r="CR5" t="n">
        <v>96.565</v>
      </c>
      <c r="CS5" t="n">
        <v>38.043</v>
      </c>
      <c r="CT5" t="n">
        <v>39.397</v>
      </c>
      <c r="CU5" t="n">
        <v>8.782999999999999</v>
      </c>
      <c r="CV5" t="n">
        <v>23.086</v>
      </c>
      <c r="CW5" t="n">
        <v>2.261</v>
      </c>
      <c r="CX5" t="n">
        <v>16.957</v>
      </c>
      <c r="CY5" t="n">
        <v>17.435</v>
      </c>
      <c r="CZ5" t="n">
        <v>-0.478</v>
      </c>
      <c r="DA5" t="n">
        <v>10.435</v>
      </c>
      <c r="DB5" t="n">
        <v>88.333</v>
      </c>
      <c r="DC5" t="n">
        <v>5.087</v>
      </c>
      <c r="DD5" t="n">
        <v>41.391</v>
      </c>
      <c r="DE5" t="n">
        <v>72.17400000000001</v>
      </c>
      <c r="DF5" t="n">
        <v>197.109</v>
      </c>
      <c r="DG5" t="n">
        <v>1657.478</v>
      </c>
      <c r="DH5" t="n">
        <v>1550.13</v>
      </c>
      <c r="DI5" t="n">
        <v>15.652</v>
      </c>
      <c r="DJ5" t="n">
        <v>214.435</v>
      </c>
      <c r="DK5" t="n">
        <v>143.957</v>
      </c>
      <c r="DL5" t="n">
        <v>358.391</v>
      </c>
      <c r="DM5" t="n">
        <v>71.37</v>
      </c>
      <c r="DN5" t="n">
        <v>64.376</v>
      </c>
      <c r="DO5" t="n">
        <v>81.788</v>
      </c>
      <c r="DP5" t="n">
        <v>5.879</v>
      </c>
      <c r="DQ5" t="n">
        <v>48.87</v>
      </c>
      <c r="DR5" t="n">
        <v>39.217</v>
      </c>
      <c r="DS5" t="n">
        <v>73.693</v>
      </c>
      <c r="DT5" t="n">
        <v>5749.043</v>
      </c>
      <c r="DU5" t="n">
        <v>16.041</v>
      </c>
      <c r="DV5" t="n">
        <v>60.087</v>
      </c>
      <c r="DW5" t="n">
        <v>5.965</v>
      </c>
      <c r="DX5" t="n">
        <v>68.652</v>
      </c>
      <c r="DY5" t="n">
        <v>5.22</v>
      </c>
      <c r="DZ5" t="n">
        <v>0.485</v>
      </c>
      <c r="EA5" t="n">
        <v>-0.477</v>
      </c>
      <c r="EB5" t="n">
        <v>132.783</v>
      </c>
      <c r="EC5" t="n">
        <v>218.087</v>
      </c>
      <c r="ED5" t="n">
        <v>350.87</v>
      </c>
      <c r="EE5" t="n">
        <v>37.844</v>
      </c>
      <c r="EF5" t="n">
        <v>67.87</v>
      </c>
      <c r="EG5" t="n">
        <v>90.87</v>
      </c>
      <c r="EH5" t="n">
        <v>14.174</v>
      </c>
      <c r="EI5" t="n">
        <v>27.696</v>
      </c>
      <c r="EJ5" t="n">
        <v>63.174</v>
      </c>
      <c r="EK5" t="n">
        <v>81.47799999999999</v>
      </c>
      <c r="EL5" t="n">
        <v>59.174</v>
      </c>
      <c r="EM5" t="n">
        <v>10.217</v>
      </c>
      <c r="EN5" t="n">
        <v>21.478</v>
      </c>
      <c r="EO5" t="n">
        <v>114.348</v>
      </c>
      <c r="EP5" t="n">
        <v>11.478</v>
      </c>
      <c r="EQ5" t="n">
        <v>26.565</v>
      </c>
      <c r="ER5" t="n">
        <v>38.043</v>
      </c>
      <c r="ES5" t="n">
        <v>42.174</v>
      </c>
      <c r="ET5" t="n">
        <v>73.608</v>
      </c>
      <c r="EU5" t="n">
        <v>92.261</v>
      </c>
      <c r="EV5" t="n">
        <v>9.565</v>
      </c>
      <c r="EW5" t="n">
        <v>12.87</v>
      </c>
      <c r="EX5" t="n">
        <v>26.335</v>
      </c>
      <c r="EY5" t="n">
        <v>16.174</v>
      </c>
      <c r="EZ5" t="n">
        <v>5.217</v>
      </c>
      <c r="FA5" t="n">
        <v>11.652</v>
      </c>
      <c r="FB5" t="n">
        <v>10.739</v>
      </c>
      <c r="FC5" t="n">
        <v>2.522</v>
      </c>
      <c r="FD5" t="n">
        <v>24.609</v>
      </c>
      <c r="FE5" t="n">
        <v>8.869999999999999</v>
      </c>
      <c r="FF5" t="n">
        <v>47.35</v>
      </c>
      <c r="FG5" t="n">
        <v>23.843</v>
      </c>
      <c r="FH5" t="n">
        <v>45.819</v>
      </c>
      <c r="FI5" t="n">
        <v>50.356</v>
      </c>
      <c r="FJ5" t="n">
        <v>22.261</v>
      </c>
      <c r="FK5" t="n">
        <v>80.76300000000001</v>
      </c>
      <c r="FL5" t="n">
        <v>-2.632</v>
      </c>
      <c r="FM5" t="n">
        <v>3.282</v>
      </c>
      <c r="FN5" t="n">
        <v>-0.107</v>
      </c>
      <c r="FO5" t="n">
        <v>3.552</v>
      </c>
      <c r="FP5" t="n">
        <v>-0.122</v>
      </c>
      <c r="FQ5" t="n">
        <v>2.94</v>
      </c>
      <c r="FR5" t="n">
        <v>-0.08799999999999999</v>
      </c>
      <c r="FS5" t="n">
        <v>3</v>
      </c>
      <c r="FT5" t="n">
        <v>31.826</v>
      </c>
      <c r="FU5" t="n">
        <v>45.826</v>
      </c>
      <c r="FV5" t="n">
        <v>28.174</v>
      </c>
      <c r="FW5" t="n">
        <v>40.739</v>
      </c>
      <c r="FX5" t="n">
        <v>11.739</v>
      </c>
      <c r="FY5" t="n">
        <v>19.527</v>
      </c>
      <c r="FZ5" t="n">
        <v>18.845</v>
      </c>
      <c r="GA5" t="n">
        <v>7.432</v>
      </c>
      <c r="GB5" t="n">
        <v>27.525</v>
      </c>
      <c r="GC5" t="n">
        <v>10.679</v>
      </c>
      <c r="GD5" t="n">
        <v>64.60899999999999</v>
      </c>
      <c r="GE5" t="n">
        <v>11.522</v>
      </c>
      <c r="GF5" t="n">
        <v>289.348</v>
      </c>
      <c r="GG5" t="n">
        <v>142.652</v>
      </c>
      <c r="GH5" t="n">
        <v>31.913</v>
      </c>
      <c r="GI5" t="n">
        <v>39</v>
      </c>
      <c r="GJ5" t="n">
        <v>40.405</v>
      </c>
      <c r="GK5" t="n">
        <v>10.957</v>
      </c>
      <c r="GL5" t="n">
        <v>28.094</v>
      </c>
      <c r="GM5" t="n">
        <v>2.435</v>
      </c>
      <c r="GN5" t="n">
        <v>10.652</v>
      </c>
      <c r="GO5" t="n">
        <v>88.163</v>
      </c>
      <c r="GP5" t="n">
        <v>5.087</v>
      </c>
      <c r="GQ5" t="n">
        <v>45.609</v>
      </c>
      <c r="GR5" t="n">
        <v>70.13</v>
      </c>
      <c r="GS5" t="n">
        <v>8.151999999999999</v>
      </c>
      <c r="GT5" t="n">
        <v>-15.13</v>
      </c>
      <c r="GU5" t="n">
        <v>-39.261</v>
      </c>
      <c r="GV5" t="n">
        <v>-1.304</v>
      </c>
      <c r="GW5" t="n">
        <v>-3.696</v>
      </c>
      <c r="GX5" t="n">
        <v>-9.217000000000001</v>
      </c>
      <c r="GY5" t="n">
        <v>-12.913</v>
      </c>
      <c r="GZ5" t="n">
        <v>4.348</v>
      </c>
      <c r="HA5" t="n">
        <v>101.391</v>
      </c>
      <c r="HB5" t="n">
        <v>-1.739</v>
      </c>
      <c r="HC5" t="n">
        <v>-1.13</v>
      </c>
      <c r="HD5" t="n">
        <v>0.9429999999999999</v>
      </c>
      <c r="HE5" t="n">
        <v>1.366</v>
      </c>
      <c r="HF5" t="n">
        <v>-0.043</v>
      </c>
      <c r="HG5" t="n">
        <v>-15.652</v>
      </c>
      <c r="HH5" t="n">
        <v>-15.696</v>
      </c>
      <c r="HI5" t="n">
        <v>0.783</v>
      </c>
      <c r="HJ5" t="n">
        <v>1.609</v>
      </c>
      <c r="HK5" t="n">
        <v>-0.304</v>
      </c>
      <c r="HL5" t="n">
        <v>-0.783</v>
      </c>
      <c r="HM5" t="n">
        <v>2.391</v>
      </c>
      <c r="HN5" t="n">
        <v>3.087</v>
      </c>
      <c r="HO5" t="n">
        <v>1.391</v>
      </c>
      <c r="HP5" t="n">
        <v>-2.087</v>
      </c>
      <c r="HQ5" t="n">
        <v>0.739</v>
      </c>
      <c r="HR5" t="n">
        <v>-10.261</v>
      </c>
      <c r="HS5" t="n">
        <v>0.304</v>
      </c>
      <c r="HT5" t="n">
        <v>-2.826</v>
      </c>
      <c r="HU5" t="n">
        <v>-2.522</v>
      </c>
      <c r="HV5" t="n">
        <v>-3.13</v>
      </c>
      <c r="HW5" t="n">
        <v>-0.87</v>
      </c>
      <c r="HX5" t="n">
        <v>1.783</v>
      </c>
      <c r="HY5" t="n">
        <v>1.609</v>
      </c>
      <c r="HZ5" t="n">
        <v>1.696</v>
      </c>
      <c r="IA5" t="n">
        <v>2.304</v>
      </c>
      <c r="IB5" t="n">
        <v>1.652</v>
      </c>
      <c r="IC5" t="n">
        <v>0.217</v>
      </c>
      <c r="ID5" t="n">
        <v>1.913</v>
      </c>
      <c r="IE5" t="n">
        <v>0.957</v>
      </c>
      <c r="IF5" t="n">
        <v>1.522</v>
      </c>
      <c r="IG5" t="n">
        <v>4.937</v>
      </c>
      <c r="IH5" t="n">
        <v>5.28</v>
      </c>
      <c r="II5" t="n">
        <v>-0.051</v>
      </c>
      <c r="IJ5" t="n">
        <v>0.696</v>
      </c>
      <c r="IK5" t="n">
        <v>2.391</v>
      </c>
      <c r="IL5" t="n">
        <v>7.043</v>
      </c>
      <c r="IM5" t="n">
        <v>5.565</v>
      </c>
      <c r="IN5" t="n">
        <v>6.217</v>
      </c>
      <c r="IO5" t="n">
        <v>-1.652</v>
      </c>
      <c r="IP5" t="n">
        <v>-3.652</v>
      </c>
      <c r="IQ5" t="n">
        <v>-2.217</v>
      </c>
      <c r="IR5" t="n">
        <v>7.174</v>
      </c>
      <c r="IS5" t="n">
        <v>-4.217</v>
      </c>
      <c r="IT5" t="n">
        <v>-2.87</v>
      </c>
      <c r="IU5" t="n">
        <v>-0.957</v>
      </c>
      <c r="IV5" t="n">
        <v>-2.174</v>
      </c>
      <c r="IW5" t="n">
        <v>-0.174</v>
      </c>
      <c r="IX5" t="n">
        <v>0</v>
      </c>
      <c r="IY5" t="n">
        <v>-4.217</v>
      </c>
      <c r="IZ5" t="n">
        <v>2.043</v>
      </c>
    </row>
    <row r="6">
      <c r="A6" t="inlineStr">
        <is>
          <t>North Melbourne</t>
        </is>
      </c>
      <c r="B6" t="inlineStr">
        <is>
          <t>NM</t>
        </is>
      </c>
      <c r="C6" t="n">
        <v>23</v>
      </c>
      <c r="D6" t="n">
        <v>43</v>
      </c>
      <c r="E6" t="n">
        <v>25.055</v>
      </c>
      <c r="F6" t="n">
        <v>92.73699999999999</v>
      </c>
      <c r="G6" t="n">
        <v>193.57</v>
      </c>
      <c r="H6" t="n">
        <v>1553.217</v>
      </c>
      <c r="I6" t="n">
        <v>1475.478</v>
      </c>
      <c r="J6" t="n">
        <v>7.87</v>
      </c>
      <c r="K6" t="n">
        <v>43.861</v>
      </c>
      <c r="L6" t="n">
        <v>200.087</v>
      </c>
      <c r="M6" t="n">
        <v>155.13</v>
      </c>
      <c r="N6" t="n">
        <v>355.217</v>
      </c>
      <c r="O6" t="n">
        <v>74.28400000000001</v>
      </c>
      <c r="P6" t="n">
        <v>66.601</v>
      </c>
      <c r="Q6" t="n">
        <v>84.193</v>
      </c>
      <c r="R6" t="n">
        <v>56.328</v>
      </c>
      <c r="S6" t="n">
        <v>5.592</v>
      </c>
      <c r="T6" t="n">
        <v>46.826</v>
      </c>
      <c r="U6" t="n">
        <v>42.391</v>
      </c>
      <c r="V6" t="n">
        <v>72.599</v>
      </c>
      <c r="W6" t="n">
        <v>5479.565</v>
      </c>
      <c r="X6" t="n">
        <v>15.426</v>
      </c>
      <c r="Y6" t="n">
        <v>57.957</v>
      </c>
      <c r="Z6" t="n">
        <v>6.129</v>
      </c>
      <c r="AA6" t="n">
        <v>68.304</v>
      </c>
      <c r="AB6" t="n">
        <v>5.201</v>
      </c>
      <c r="AC6" t="n">
        <v>-2.491</v>
      </c>
      <c r="AD6" t="n">
        <v>-3.266</v>
      </c>
      <c r="AE6" t="n">
        <v>128.957</v>
      </c>
      <c r="AF6" t="n">
        <v>219.913</v>
      </c>
      <c r="AG6" t="n">
        <v>348.87</v>
      </c>
      <c r="AH6" t="n">
        <v>36.964</v>
      </c>
      <c r="AI6" t="n">
        <v>63.13</v>
      </c>
      <c r="AJ6" t="n">
        <v>87.13</v>
      </c>
      <c r="AK6" t="n">
        <v>12.304</v>
      </c>
      <c r="AL6" t="n">
        <v>25.739</v>
      </c>
      <c r="AM6" t="n">
        <v>61.391</v>
      </c>
      <c r="AN6" t="n">
        <v>78.565</v>
      </c>
      <c r="AO6" t="n">
        <v>56.739</v>
      </c>
      <c r="AP6" t="n">
        <v>11.348</v>
      </c>
      <c r="AQ6" t="n">
        <v>22.696</v>
      </c>
      <c r="AR6" t="n">
        <v>127.391</v>
      </c>
      <c r="AS6" t="n">
        <v>11.826</v>
      </c>
      <c r="AT6" t="n">
        <v>24.304</v>
      </c>
      <c r="AU6" t="n">
        <v>36.13</v>
      </c>
      <c r="AV6" t="n">
        <v>40.261</v>
      </c>
      <c r="AW6" t="n">
        <v>75.054</v>
      </c>
      <c r="AX6" t="n">
        <v>86.87</v>
      </c>
      <c r="AY6" t="n">
        <v>9.826000000000001</v>
      </c>
      <c r="AZ6" t="n">
        <v>9.260999999999999</v>
      </c>
      <c r="BA6" t="n">
        <v>19.777</v>
      </c>
      <c r="BB6" t="n">
        <v>16</v>
      </c>
      <c r="BC6" t="n">
        <v>6.522</v>
      </c>
      <c r="BD6" t="n">
        <v>31</v>
      </c>
      <c r="BE6" t="n">
        <v>6.217</v>
      </c>
      <c r="BF6" t="n">
        <v>10.565</v>
      </c>
      <c r="BG6" t="n">
        <v>8.651999999999999</v>
      </c>
      <c r="BH6" t="n">
        <v>2.174</v>
      </c>
      <c r="BI6" t="n">
        <v>20.652</v>
      </c>
      <c r="BJ6" t="n">
        <v>8</v>
      </c>
      <c r="BK6" t="n">
        <v>51.158</v>
      </c>
      <c r="BL6" t="n">
        <v>22.563</v>
      </c>
      <c r="BM6" t="n">
        <v>41.04</v>
      </c>
      <c r="BN6" t="n">
        <v>44.104</v>
      </c>
      <c r="BO6" t="n">
        <v>19</v>
      </c>
      <c r="BP6" t="n">
        <v>12.957</v>
      </c>
      <c r="BQ6" t="n">
        <v>23.826</v>
      </c>
      <c r="BR6" t="n">
        <v>70.081</v>
      </c>
      <c r="BS6" t="n">
        <v>-0.211</v>
      </c>
      <c r="BT6" t="n">
        <v>3.393</v>
      </c>
      <c r="BU6" t="n">
        <v>-0.01</v>
      </c>
      <c r="BV6" t="n">
        <v>3.74</v>
      </c>
      <c r="BW6" t="n">
        <v>-0.012</v>
      </c>
      <c r="BX6" t="n">
        <v>3.008</v>
      </c>
      <c r="BY6" t="n">
        <v>-0.008</v>
      </c>
      <c r="BZ6" t="n">
        <v>3.783</v>
      </c>
      <c r="CA6" t="n">
        <v>28.391</v>
      </c>
      <c r="CB6" t="n">
        <v>39.87</v>
      </c>
      <c r="CC6" t="n">
        <v>26.87</v>
      </c>
      <c r="CD6" t="n">
        <v>37.435</v>
      </c>
      <c r="CE6" t="n">
        <v>7.739</v>
      </c>
      <c r="CF6" t="n">
        <v>17.403</v>
      </c>
      <c r="CG6" t="n">
        <v>18.787</v>
      </c>
      <c r="CH6" t="n">
        <v>7.436</v>
      </c>
      <c r="CI6" t="n">
        <v>26.802</v>
      </c>
      <c r="CJ6" t="n">
        <v>9.741</v>
      </c>
      <c r="CK6" t="n">
        <v>11</v>
      </c>
      <c r="CL6" t="n">
        <v>28.063</v>
      </c>
      <c r="CM6" t="n">
        <v>58.478</v>
      </c>
      <c r="CN6" t="n">
        <v>9.130000000000001</v>
      </c>
      <c r="CO6" t="n">
        <v>304</v>
      </c>
      <c r="CP6" t="n">
        <v>163.435</v>
      </c>
      <c r="CQ6" t="n">
        <v>33.609</v>
      </c>
      <c r="CR6" t="n">
        <v>94.217</v>
      </c>
      <c r="CS6" t="n">
        <v>40.783</v>
      </c>
      <c r="CT6" t="n">
        <v>43.286</v>
      </c>
      <c r="CU6" t="n">
        <v>11.87</v>
      </c>
      <c r="CV6" t="n">
        <v>29.104</v>
      </c>
      <c r="CW6" t="n">
        <v>3.043</v>
      </c>
      <c r="CX6" t="n">
        <v>16.652</v>
      </c>
      <c r="CY6" t="n">
        <v>19.043</v>
      </c>
      <c r="CZ6" t="n">
        <v>-2.391</v>
      </c>
      <c r="DA6" t="n">
        <v>12.087</v>
      </c>
      <c r="DB6" t="n">
        <v>89.568</v>
      </c>
      <c r="DC6" t="n">
        <v>5.783</v>
      </c>
      <c r="DD6" t="n">
        <v>45.348</v>
      </c>
      <c r="DE6" t="n">
        <v>68.739</v>
      </c>
      <c r="DF6" t="n">
        <v>226.2</v>
      </c>
      <c r="DG6" t="n">
        <v>1747.174</v>
      </c>
      <c r="DH6" t="n">
        <v>1648.522</v>
      </c>
      <c r="DI6" t="n">
        <v>22.13</v>
      </c>
      <c r="DJ6" t="n">
        <v>223</v>
      </c>
      <c r="DK6" t="n">
        <v>158.217</v>
      </c>
      <c r="DL6" t="n">
        <v>381.217</v>
      </c>
      <c r="DM6" t="n">
        <v>74.065</v>
      </c>
      <c r="DN6" t="n">
        <v>67.947</v>
      </c>
      <c r="DO6" t="n">
        <v>82.688</v>
      </c>
      <c r="DP6" t="n">
        <v>6.519</v>
      </c>
      <c r="DQ6" t="n">
        <v>58.391</v>
      </c>
      <c r="DR6" t="n">
        <v>35.565</v>
      </c>
      <c r="DS6" t="n">
        <v>75.952</v>
      </c>
      <c r="DT6" t="n">
        <v>5956.739</v>
      </c>
      <c r="DU6" t="n">
        <v>15.626</v>
      </c>
      <c r="DV6" t="n">
        <v>55.522</v>
      </c>
      <c r="DW6" t="n">
        <v>6.866</v>
      </c>
      <c r="DX6" t="n">
        <v>62.957</v>
      </c>
      <c r="DY6" t="n">
        <v>6.055</v>
      </c>
      <c r="DZ6" t="n">
        <v>3.926</v>
      </c>
      <c r="EA6" t="n">
        <v>3.249</v>
      </c>
      <c r="EB6" t="n">
        <v>138.261</v>
      </c>
      <c r="EC6" t="n">
        <v>240.174</v>
      </c>
      <c r="ED6" t="n">
        <v>378.435</v>
      </c>
      <c r="EE6" t="n">
        <v>36.535</v>
      </c>
      <c r="EF6" t="n">
        <v>68.435</v>
      </c>
      <c r="EG6" t="n">
        <v>94.087</v>
      </c>
      <c r="EH6" t="n">
        <v>19.565</v>
      </c>
      <c r="EI6" t="n">
        <v>28.261</v>
      </c>
      <c r="EJ6" t="n">
        <v>65.739</v>
      </c>
      <c r="EK6" t="n">
        <v>87.04300000000001</v>
      </c>
      <c r="EL6" t="n">
        <v>61.87</v>
      </c>
      <c r="EM6" t="n">
        <v>9.957000000000001</v>
      </c>
      <c r="EN6" t="n">
        <v>26.304</v>
      </c>
      <c r="EO6" t="n">
        <v>127.13</v>
      </c>
      <c r="EP6" t="n">
        <v>12.87</v>
      </c>
      <c r="EQ6" t="n">
        <v>23.87</v>
      </c>
      <c r="ER6" t="n">
        <v>36.739</v>
      </c>
      <c r="ES6" t="n">
        <v>40.435</v>
      </c>
      <c r="ET6" t="n">
        <v>75.48399999999999</v>
      </c>
      <c r="EU6" t="n">
        <v>101.783</v>
      </c>
      <c r="EV6" t="n">
        <v>10.652</v>
      </c>
      <c r="EW6" t="n">
        <v>15.304</v>
      </c>
      <c r="EX6" t="n">
        <v>26.21</v>
      </c>
      <c r="EY6" t="n">
        <v>16.391</v>
      </c>
      <c r="EZ6" t="n">
        <v>7.174</v>
      </c>
      <c r="FA6" t="n">
        <v>14.696</v>
      </c>
      <c r="FB6" t="n">
        <v>12.609</v>
      </c>
      <c r="FC6" t="n">
        <v>2.913</v>
      </c>
      <c r="FD6" t="n">
        <v>29.391</v>
      </c>
      <c r="FE6" t="n">
        <v>10.174</v>
      </c>
      <c r="FF6" t="n">
        <v>50</v>
      </c>
      <c r="FG6" t="n">
        <v>25.168</v>
      </c>
      <c r="FH6" t="n">
        <v>46.761</v>
      </c>
      <c r="FI6" t="n">
        <v>50.335</v>
      </c>
      <c r="FJ6" t="n">
        <v>26.913</v>
      </c>
      <c r="FK6" t="n">
        <v>96.71299999999999</v>
      </c>
      <c r="FL6" t="n">
        <v>1.157</v>
      </c>
      <c r="FM6" t="n">
        <v>3.291</v>
      </c>
      <c r="FN6" t="n">
        <v>0.039</v>
      </c>
      <c r="FO6" t="n">
        <v>3.544</v>
      </c>
      <c r="FP6" t="n">
        <v>-0.095</v>
      </c>
      <c r="FQ6" t="n">
        <v>2.945</v>
      </c>
      <c r="FR6" t="n">
        <v>0.223</v>
      </c>
      <c r="FS6" t="n">
        <v>3.913</v>
      </c>
      <c r="FT6" t="n">
        <v>35.826</v>
      </c>
      <c r="FU6" t="n">
        <v>61.043</v>
      </c>
      <c r="FV6" t="n">
        <v>40.087</v>
      </c>
      <c r="FW6" t="n">
        <v>48.739</v>
      </c>
      <c r="FX6" t="n">
        <v>11.957</v>
      </c>
      <c r="FY6" t="n">
        <v>24.034</v>
      </c>
      <c r="FZ6" t="n">
        <v>26.159</v>
      </c>
      <c r="GA6" t="n">
        <v>12.5</v>
      </c>
      <c r="GB6" t="n">
        <v>36.217</v>
      </c>
      <c r="GC6" t="n">
        <v>15.915</v>
      </c>
      <c r="GD6" t="n">
        <v>63.522</v>
      </c>
      <c r="GE6" t="n">
        <v>12.957</v>
      </c>
      <c r="GF6" t="n">
        <v>301.565</v>
      </c>
      <c r="GG6" t="n">
        <v>128.478</v>
      </c>
      <c r="GH6" t="n">
        <v>28.696</v>
      </c>
      <c r="GI6" t="n">
        <v>36.565</v>
      </c>
      <c r="GJ6" t="n">
        <v>38.845</v>
      </c>
      <c r="GK6" t="n">
        <v>10.652</v>
      </c>
      <c r="GL6" t="n">
        <v>29.132</v>
      </c>
      <c r="GM6" t="n">
        <v>2.391</v>
      </c>
      <c r="GN6" t="n">
        <v>8.565</v>
      </c>
      <c r="GO6" t="n">
        <v>82.23399999999999</v>
      </c>
      <c r="GP6" t="n">
        <v>5</v>
      </c>
      <c r="GQ6" t="n">
        <v>44.043</v>
      </c>
      <c r="GR6" t="n">
        <v>70.60899999999999</v>
      </c>
      <c r="GS6" t="n">
        <v>-32.63</v>
      </c>
      <c r="GT6" t="n">
        <v>-193.957</v>
      </c>
      <c r="GU6" t="n">
        <v>-173.043</v>
      </c>
      <c r="GV6" t="n">
        <v>-14.261</v>
      </c>
      <c r="GW6" t="n">
        <v>-22.913</v>
      </c>
      <c r="GX6" t="n">
        <v>-3.087</v>
      </c>
      <c r="GY6" t="n">
        <v>-26</v>
      </c>
      <c r="GZ6" t="n">
        <v>-11.565</v>
      </c>
      <c r="HA6" t="n">
        <v>-477.174</v>
      </c>
      <c r="HB6" t="n">
        <v>2.435</v>
      </c>
      <c r="HC6" t="n">
        <v>5.348</v>
      </c>
      <c r="HD6" t="n">
        <v>-6.417</v>
      </c>
      <c r="HE6" t="n">
        <v>-6.515</v>
      </c>
      <c r="HF6" t="n">
        <v>-9.304</v>
      </c>
      <c r="HG6" t="n">
        <v>-20.261</v>
      </c>
      <c r="HH6" t="n">
        <v>-29.565</v>
      </c>
      <c r="HI6" t="n">
        <v>-5.304</v>
      </c>
      <c r="HJ6" t="n">
        <v>-6.957</v>
      </c>
      <c r="HK6" t="n">
        <v>-7.261</v>
      </c>
      <c r="HL6" t="n">
        <v>-2.522</v>
      </c>
      <c r="HM6" t="n">
        <v>-4.348</v>
      </c>
      <c r="HN6" t="n">
        <v>-8.478</v>
      </c>
      <c r="HO6" t="n">
        <v>-5.13</v>
      </c>
      <c r="HP6" t="n">
        <v>1.391</v>
      </c>
      <c r="HQ6" t="n">
        <v>-3.609</v>
      </c>
      <c r="HR6" t="n">
        <v>0.261</v>
      </c>
      <c r="HS6" t="n">
        <v>-1.043</v>
      </c>
      <c r="HT6" t="n">
        <v>0.435</v>
      </c>
      <c r="HU6" t="n">
        <v>-0.609</v>
      </c>
      <c r="HV6" t="n">
        <v>-0.174</v>
      </c>
      <c r="HW6" t="n">
        <v>-14.913</v>
      </c>
      <c r="HX6" t="n">
        <v>-0.826</v>
      </c>
      <c r="HY6" t="n">
        <v>-6.043</v>
      </c>
      <c r="HZ6" t="n">
        <v>-0.391</v>
      </c>
      <c r="IA6" t="n">
        <v>-0.652</v>
      </c>
      <c r="IB6" t="n">
        <v>-4.13</v>
      </c>
      <c r="IC6" t="n">
        <v>-3.957</v>
      </c>
      <c r="ID6" t="n">
        <v>-8.739000000000001</v>
      </c>
      <c r="IE6" t="n">
        <v>-2.174</v>
      </c>
      <c r="IF6" t="n">
        <v>-7.913</v>
      </c>
      <c r="IG6" t="n">
        <v>-26.632</v>
      </c>
      <c r="IH6" t="n">
        <v>-1.368</v>
      </c>
      <c r="II6" t="n">
        <v>0.103</v>
      </c>
      <c r="IJ6" t="n">
        <v>-0.13</v>
      </c>
      <c r="IK6" t="n">
        <v>-7.435</v>
      </c>
      <c r="IL6" t="n">
        <v>-21.174</v>
      </c>
      <c r="IM6" t="n">
        <v>-13.217</v>
      </c>
      <c r="IN6" t="n">
        <v>-11.304</v>
      </c>
      <c r="IO6" t="n">
        <v>-4.217</v>
      </c>
      <c r="IP6" t="n">
        <v>-5.043</v>
      </c>
      <c r="IQ6" t="n">
        <v>-3.826</v>
      </c>
      <c r="IR6" t="n">
        <v>2.435</v>
      </c>
      <c r="IS6" t="n">
        <v>34.957</v>
      </c>
      <c r="IT6" t="n">
        <v>4.913</v>
      </c>
      <c r="IU6" t="n">
        <v>4.217</v>
      </c>
      <c r="IV6" t="n">
        <v>1.217</v>
      </c>
      <c r="IW6" t="n">
        <v>0.652</v>
      </c>
      <c r="IX6" t="n">
        <v>0.783</v>
      </c>
      <c r="IY6" t="n">
        <v>1.304</v>
      </c>
      <c r="IZ6" t="n">
        <v>-1.87</v>
      </c>
    </row>
    <row r="7">
      <c r="A7" t="inlineStr">
        <is>
          <t>West Coast</t>
        </is>
      </c>
      <c r="B7" t="inlineStr">
        <is>
          <t>WC</t>
        </is>
      </c>
      <c r="C7" t="n">
        <v>23</v>
      </c>
      <c r="D7" t="n">
        <v>40</v>
      </c>
      <c r="E7" t="n">
        <v>25.174</v>
      </c>
      <c r="F7" t="n">
        <v>93.896</v>
      </c>
      <c r="G7" t="n">
        <v>175.209</v>
      </c>
      <c r="H7" t="n">
        <v>1505.348</v>
      </c>
      <c r="I7" t="n">
        <v>1456</v>
      </c>
      <c r="J7" t="n">
        <v>6.217</v>
      </c>
      <c r="K7" t="n">
        <v>44.119</v>
      </c>
      <c r="L7" t="n">
        <v>196.696</v>
      </c>
      <c r="M7" t="n">
        <v>149.478</v>
      </c>
      <c r="N7" t="n">
        <v>346.174</v>
      </c>
      <c r="O7" t="n">
        <v>74.152</v>
      </c>
      <c r="P7" t="n">
        <v>67.971</v>
      </c>
      <c r="Q7" t="n">
        <v>82.286</v>
      </c>
      <c r="R7" t="n">
        <v>56.82</v>
      </c>
      <c r="S7" t="n">
        <v>5.465</v>
      </c>
      <c r="T7" t="n">
        <v>43.391</v>
      </c>
      <c r="U7" t="n">
        <v>40.957</v>
      </c>
      <c r="V7" t="n">
        <v>69.572</v>
      </c>
      <c r="W7" t="n">
        <v>5219.783</v>
      </c>
      <c r="X7" t="n">
        <v>15.078</v>
      </c>
      <c r="Y7" t="n">
        <v>55.783</v>
      </c>
      <c r="Z7" t="n">
        <v>6.206</v>
      </c>
      <c r="AA7" t="n">
        <v>63.435</v>
      </c>
      <c r="AB7" t="n">
        <v>5.457</v>
      </c>
      <c r="AC7" t="n">
        <v>-2.11</v>
      </c>
      <c r="AD7" t="n">
        <v>-2.256</v>
      </c>
      <c r="AE7" t="n">
        <v>121.13</v>
      </c>
      <c r="AF7" t="n">
        <v>217.957</v>
      </c>
      <c r="AG7" t="n">
        <v>339.087</v>
      </c>
      <c r="AH7" t="n">
        <v>35.723</v>
      </c>
      <c r="AI7" t="n">
        <v>59.174</v>
      </c>
      <c r="AJ7" t="n">
        <v>86.652</v>
      </c>
      <c r="AK7" t="n">
        <v>13.217</v>
      </c>
      <c r="AL7" t="n">
        <v>27</v>
      </c>
      <c r="AM7" t="n">
        <v>59.522</v>
      </c>
      <c r="AN7" t="n">
        <v>72.652</v>
      </c>
      <c r="AO7" t="n">
        <v>53.174</v>
      </c>
      <c r="AP7" t="n">
        <v>7.087</v>
      </c>
      <c r="AQ7" t="n">
        <v>21.261</v>
      </c>
      <c r="AR7" t="n">
        <v>120.261</v>
      </c>
      <c r="AS7" t="n">
        <v>10.609</v>
      </c>
      <c r="AT7" t="n">
        <v>23.87</v>
      </c>
      <c r="AU7" t="n">
        <v>34.478</v>
      </c>
      <c r="AV7" t="n">
        <v>37.087</v>
      </c>
      <c r="AW7" t="n">
        <v>74.443</v>
      </c>
      <c r="AX7" t="n">
        <v>89.565</v>
      </c>
      <c r="AY7" t="n">
        <v>7.609</v>
      </c>
      <c r="AZ7" t="n">
        <v>8.565</v>
      </c>
      <c r="BA7" t="n">
        <v>19.739</v>
      </c>
      <c r="BB7" t="n">
        <v>13.826</v>
      </c>
      <c r="BC7" t="n">
        <v>5.13</v>
      </c>
      <c r="BD7" t="n">
        <v>28</v>
      </c>
      <c r="BE7" t="n">
        <v>5.87</v>
      </c>
      <c r="BF7" t="n">
        <v>8.869999999999999</v>
      </c>
      <c r="BG7" t="n">
        <v>8.435</v>
      </c>
      <c r="BH7" t="n">
        <v>1.957</v>
      </c>
      <c r="BI7" t="n">
        <v>19.696</v>
      </c>
      <c r="BJ7" t="n">
        <v>6.261</v>
      </c>
      <c r="BK7" t="n">
        <v>45.033</v>
      </c>
      <c r="BL7" t="n">
        <v>20.441</v>
      </c>
      <c r="BM7" t="n">
        <v>39.88</v>
      </c>
      <c r="BN7" t="n">
        <v>45.391</v>
      </c>
      <c r="BO7" t="n">
        <v>17.043</v>
      </c>
      <c r="BP7" t="n">
        <v>10.652</v>
      </c>
      <c r="BQ7" t="n">
        <v>23.265</v>
      </c>
      <c r="BR7" t="n">
        <v>61.149</v>
      </c>
      <c r="BS7" t="n">
        <v>-1.454</v>
      </c>
      <c r="BT7" t="n">
        <v>3.112</v>
      </c>
      <c r="BU7" t="n">
        <v>-0.074</v>
      </c>
      <c r="BV7" t="n">
        <v>3.454</v>
      </c>
      <c r="BW7" t="n">
        <v>0.115</v>
      </c>
      <c r="BX7" t="n">
        <v>2.727</v>
      </c>
      <c r="BY7" t="n">
        <v>-0.286</v>
      </c>
      <c r="BZ7" t="n">
        <v>4.174</v>
      </c>
      <c r="CA7" t="n">
        <v>25</v>
      </c>
      <c r="CB7" t="n">
        <v>32.478</v>
      </c>
      <c r="CC7" t="n">
        <v>24.391</v>
      </c>
      <c r="CD7" t="n">
        <v>27.609</v>
      </c>
      <c r="CE7" t="n">
        <v>9.651999999999999</v>
      </c>
      <c r="CF7" t="n">
        <v>16.293</v>
      </c>
      <c r="CG7" t="n">
        <v>17.665</v>
      </c>
      <c r="CH7" t="n">
        <v>7.541</v>
      </c>
      <c r="CI7" t="n">
        <v>25.345</v>
      </c>
      <c r="CJ7" t="n">
        <v>9.914999999999999</v>
      </c>
      <c r="CK7" t="n">
        <v>12.087</v>
      </c>
      <c r="CL7" t="n">
        <v>28.058</v>
      </c>
      <c r="CM7" t="n">
        <v>60.739</v>
      </c>
      <c r="CN7" t="n">
        <v>10.391</v>
      </c>
      <c r="CO7" t="n">
        <v>307.913</v>
      </c>
      <c r="CP7" t="n">
        <v>159.522</v>
      </c>
      <c r="CQ7" t="n">
        <v>29.652</v>
      </c>
      <c r="CR7" t="n">
        <v>98.913</v>
      </c>
      <c r="CS7" t="n">
        <v>33.217</v>
      </c>
      <c r="CT7" t="n">
        <v>33.582</v>
      </c>
      <c r="CU7" t="n">
        <v>7.826</v>
      </c>
      <c r="CV7" t="n">
        <v>23.56</v>
      </c>
      <c r="CW7" t="n">
        <v>2.174</v>
      </c>
      <c r="CX7" t="n">
        <v>17.174</v>
      </c>
      <c r="CY7" t="n">
        <v>18.435</v>
      </c>
      <c r="CZ7" t="n">
        <v>-1.261</v>
      </c>
      <c r="DA7" t="n">
        <v>13.478</v>
      </c>
      <c r="DB7" t="n">
        <v>87.742</v>
      </c>
      <c r="DC7" t="n">
        <v>5.348</v>
      </c>
      <c r="DD7" t="n">
        <v>39.652</v>
      </c>
      <c r="DE7" t="n">
        <v>69.348</v>
      </c>
      <c r="DF7" t="n">
        <v>233.461</v>
      </c>
      <c r="DG7" t="n">
        <v>1794.957</v>
      </c>
      <c r="DH7" t="n">
        <v>1639.391</v>
      </c>
      <c r="DI7" t="n">
        <v>23.783</v>
      </c>
      <c r="DJ7" t="n">
        <v>216.478</v>
      </c>
      <c r="DK7" t="n">
        <v>163.13</v>
      </c>
      <c r="DL7" t="n">
        <v>379.609</v>
      </c>
      <c r="DM7" t="n">
        <v>74.035</v>
      </c>
      <c r="DN7" t="n">
        <v>67.16200000000001</v>
      </c>
      <c r="DO7" t="n">
        <v>83.15600000000001</v>
      </c>
      <c r="DP7" t="n">
        <v>6.25</v>
      </c>
      <c r="DQ7" t="n">
        <v>58.87</v>
      </c>
      <c r="DR7" t="n">
        <v>33.957</v>
      </c>
      <c r="DS7" t="n">
        <v>78.25700000000001</v>
      </c>
      <c r="DT7" t="n">
        <v>6127.435</v>
      </c>
      <c r="DU7" t="n">
        <v>16.141</v>
      </c>
      <c r="DV7" t="n">
        <v>52.913</v>
      </c>
      <c r="DW7" t="n">
        <v>7.174</v>
      </c>
      <c r="DX7" t="n">
        <v>59.043</v>
      </c>
      <c r="DY7" t="n">
        <v>6.429</v>
      </c>
      <c r="DZ7" t="n">
        <v>5.019</v>
      </c>
      <c r="EA7" t="n">
        <v>3.5</v>
      </c>
      <c r="EB7" t="n">
        <v>139.348</v>
      </c>
      <c r="EC7" t="n">
        <v>234.174</v>
      </c>
      <c r="ED7" t="n">
        <v>373.522</v>
      </c>
      <c r="EE7" t="n">
        <v>37.306</v>
      </c>
      <c r="EF7" t="n">
        <v>63.652</v>
      </c>
      <c r="EG7" t="n">
        <v>91.17400000000001</v>
      </c>
      <c r="EH7" t="n">
        <v>17.913</v>
      </c>
      <c r="EI7" t="n">
        <v>30.826</v>
      </c>
      <c r="EJ7" t="n">
        <v>60.348</v>
      </c>
      <c r="EK7" t="n">
        <v>82.13</v>
      </c>
      <c r="EL7" t="n">
        <v>57.391</v>
      </c>
      <c r="EM7" t="n">
        <v>12.261</v>
      </c>
      <c r="EN7" t="n">
        <v>23.348</v>
      </c>
      <c r="EO7" t="n">
        <v>132.478</v>
      </c>
      <c r="EP7" t="n">
        <v>13.261</v>
      </c>
      <c r="EQ7" t="n">
        <v>27.826</v>
      </c>
      <c r="ER7" t="n">
        <v>41.087</v>
      </c>
      <c r="ES7" t="n">
        <v>46.87</v>
      </c>
      <c r="ET7" t="n">
        <v>74.583</v>
      </c>
      <c r="EU7" t="n">
        <v>93.95699999999999</v>
      </c>
      <c r="EV7" t="n">
        <v>11.913</v>
      </c>
      <c r="EW7" t="n">
        <v>16.696</v>
      </c>
      <c r="EX7" t="n">
        <v>28.36</v>
      </c>
      <c r="EY7" t="n">
        <v>15.609</v>
      </c>
      <c r="EZ7" t="n">
        <v>8.348000000000001</v>
      </c>
      <c r="FA7" t="n">
        <v>17.087</v>
      </c>
      <c r="FB7" t="n">
        <v>13.739</v>
      </c>
      <c r="FC7" t="n">
        <v>2.609</v>
      </c>
      <c r="FD7" t="n">
        <v>33.217</v>
      </c>
      <c r="FE7" t="n">
        <v>12.652</v>
      </c>
      <c r="FF7" t="n">
        <v>51.44</v>
      </c>
      <c r="FG7" t="n">
        <v>29.025</v>
      </c>
      <c r="FH7" t="n">
        <v>52.363</v>
      </c>
      <c r="FI7" t="n">
        <v>56.425</v>
      </c>
      <c r="FJ7" t="n">
        <v>30.391</v>
      </c>
      <c r="FK7" t="n">
        <v>111.91</v>
      </c>
      <c r="FL7" t="n">
        <v>1.742</v>
      </c>
      <c r="FM7" t="n">
        <v>3.369</v>
      </c>
      <c r="FN7" t="n">
        <v>0.052</v>
      </c>
      <c r="FO7" t="n">
        <v>3.686</v>
      </c>
      <c r="FP7" t="n">
        <v>0.002</v>
      </c>
      <c r="FQ7" t="n">
        <v>2.985</v>
      </c>
      <c r="FR7" t="n">
        <v>0.114</v>
      </c>
      <c r="FS7" t="n">
        <v>2.87</v>
      </c>
      <c r="FT7" t="n">
        <v>56.043</v>
      </c>
      <c r="FU7" t="n">
        <v>57.348</v>
      </c>
      <c r="FV7" t="n">
        <v>40.652</v>
      </c>
      <c r="FW7" t="n">
        <v>57.609</v>
      </c>
      <c r="FX7" t="n">
        <v>18</v>
      </c>
      <c r="FY7" t="n">
        <v>27.351</v>
      </c>
      <c r="FZ7" t="n">
        <v>26.065</v>
      </c>
      <c r="GA7" t="n">
        <v>13.317</v>
      </c>
      <c r="GB7" t="n">
        <v>36.147</v>
      </c>
      <c r="GC7" t="n">
        <v>17.354</v>
      </c>
      <c r="GD7" t="n">
        <v>63.348</v>
      </c>
      <c r="GE7" t="n">
        <v>12.087</v>
      </c>
      <c r="GF7" t="n">
        <v>288.913</v>
      </c>
      <c r="GG7" t="n">
        <v>128.609</v>
      </c>
      <c r="GH7" t="n">
        <v>30.652</v>
      </c>
      <c r="GI7" t="n">
        <v>47.739</v>
      </c>
      <c r="GJ7" t="n">
        <v>48.221</v>
      </c>
      <c r="GK7" t="n">
        <v>13.478</v>
      </c>
      <c r="GL7" t="n">
        <v>28.233</v>
      </c>
      <c r="GM7" t="n">
        <v>4.217</v>
      </c>
      <c r="GN7" t="n">
        <v>8.260999999999999</v>
      </c>
      <c r="GO7" t="n">
        <v>86.316</v>
      </c>
      <c r="GP7" t="n">
        <v>8.782999999999999</v>
      </c>
      <c r="GQ7" t="n">
        <v>43.913</v>
      </c>
      <c r="GR7" t="n">
        <v>71.087</v>
      </c>
      <c r="GS7" t="n">
        <v>-58.252</v>
      </c>
      <c r="GT7" t="n">
        <v>-289.609</v>
      </c>
      <c r="GU7" t="n">
        <v>-183.391</v>
      </c>
      <c r="GV7" t="n">
        <v>-17.565</v>
      </c>
      <c r="GW7" t="n">
        <v>-19.783</v>
      </c>
      <c r="GX7" t="n">
        <v>-13.652</v>
      </c>
      <c r="GY7" t="n">
        <v>-33.435</v>
      </c>
      <c r="GZ7" t="n">
        <v>-15.478</v>
      </c>
      <c r="HA7" t="n">
        <v>-907.652</v>
      </c>
      <c r="HB7" t="n">
        <v>2.87</v>
      </c>
      <c r="HC7" t="n">
        <v>4.391</v>
      </c>
      <c r="HD7" t="n">
        <v>-7.129</v>
      </c>
      <c r="HE7" t="n">
        <v>-5.756</v>
      </c>
      <c r="HF7" t="n">
        <v>-18.217</v>
      </c>
      <c r="HG7" t="n">
        <v>-16.217</v>
      </c>
      <c r="HH7" t="n">
        <v>-34.435</v>
      </c>
      <c r="HI7" t="n">
        <v>-4.478</v>
      </c>
      <c r="HJ7" t="n">
        <v>-4.522</v>
      </c>
      <c r="HK7" t="n">
        <v>-4.696</v>
      </c>
      <c r="HL7" t="n">
        <v>-3.826</v>
      </c>
      <c r="HM7" t="n">
        <v>-0.826</v>
      </c>
      <c r="HN7" t="n">
        <v>-9.478</v>
      </c>
      <c r="HO7" t="n">
        <v>-4.217</v>
      </c>
      <c r="HP7" t="n">
        <v>-5.174</v>
      </c>
      <c r="HQ7" t="n">
        <v>-2.087</v>
      </c>
      <c r="HR7" t="n">
        <v>-12.217</v>
      </c>
      <c r="HS7" t="n">
        <v>-2.652</v>
      </c>
      <c r="HT7" t="n">
        <v>-3.957</v>
      </c>
      <c r="HU7" t="n">
        <v>-6.609</v>
      </c>
      <c r="HV7" t="n">
        <v>-9.782999999999999</v>
      </c>
      <c r="HW7" t="n">
        <v>-4.391</v>
      </c>
      <c r="HX7" t="n">
        <v>-4.304</v>
      </c>
      <c r="HY7" t="n">
        <v>-8.130000000000001</v>
      </c>
      <c r="HZ7" t="n">
        <v>-1.783</v>
      </c>
      <c r="IA7" t="n">
        <v>-3.217</v>
      </c>
      <c r="IB7" t="n">
        <v>-8.217000000000001</v>
      </c>
      <c r="IC7" t="n">
        <v>-5.304</v>
      </c>
      <c r="ID7" t="n">
        <v>-13.522</v>
      </c>
      <c r="IE7" t="n">
        <v>-6.391</v>
      </c>
      <c r="IF7" t="n">
        <v>-13.348</v>
      </c>
      <c r="IG7" t="n">
        <v>-50.76</v>
      </c>
      <c r="IH7" t="n">
        <v>-3.196</v>
      </c>
      <c r="II7" t="n">
        <v>-0.257</v>
      </c>
      <c r="IJ7" t="n">
        <v>1.304</v>
      </c>
      <c r="IK7" t="n">
        <v>-31.043</v>
      </c>
      <c r="IL7" t="n">
        <v>-24.87</v>
      </c>
      <c r="IM7" t="n">
        <v>-16.261</v>
      </c>
      <c r="IN7" t="n">
        <v>-30</v>
      </c>
      <c r="IO7" t="n">
        <v>-8.348000000000001</v>
      </c>
      <c r="IP7" t="n">
        <v>-2.609</v>
      </c>
      <c r="IQ7" t="n">
        <v>-1.696</v>
      </c>
      <c r="IR7" t="n">
        <v>19</v>
      </c>
      <c r="IS7" t="n">
        <v>30.913</v>
      </c>
      <c r="IT7" t="n">
        <v>-1</v>
      </c>
      <c r="IU7" t="n">
        <v>-14.522</v>
      </c>
      <c r="IV7" t="n">
        <v>-5.652</v>
      </c>
      <c r="IW7" t="n">
        <v>-2.043</v>
      </c>
      <c r="IX7" t="n">
        <v>-3.435</v>
      </c>
      <c r="IY7" t="n">
        <v>-4.261</v>
      </c>
      <c r="IZ7" t="n">
        <v>-1.739</v>
      </c>
    </row>
    <row r="8">
      <c r="A8" t="inlineStr">
        <is>
          <t>Port Adelaide</t>
        </is>
      </c>
      <c r="B8" t="inlineStr">
        <is>
          <t>Port</t>
        </is>
      </c>
      <c r="C8" t="n">
        <v>25</v>
      </c>
      <c r="D8" t="n">
        <v>37</v>
      </c>
      <c r="E8" t="n">
        <v>25.601</v>
      </c>
      <c r="F8" t="n">
        <v>98.923</v>
      </c>
      <c r="G8" t="n">
        <v>208.824</v>
      </c>
      <c r="H8" t="n">
        <v>1643.52</v>
      </c>
      <c r="I8" t="n">
        <v>1444.72</v>
      </c>
      <c r="J8" t="n">
        <v>17.4</v>
      </c>
      <c r="K8" t="n">
        <v>53.507</v>
      </c>
      <c r="L8" t="n">
        <v>206.8</v>
      </c>
      <c r="M8" t="n">
        <v>129.2</v>
      </c>
      <c r="N8" t="n">
        <v>336</v>
      </c>
      <c r="O8" t="n">
        <v>71.238</v>
      </c>
      <c r="P8" t="n">
        <v>65.88</v>
      </c>
      <c r="Q8" t="n">
        <v>79.81399999999999</v>
      </c>
      <c r="R8" t="n">
        <v>61.548</v>
      </c>
      <c r="S8" t="n">
        <v>5.862</v>
      </c>
      <c r="T8" t="n">
        <v>56.72</v>
      </c>
      <c r="U8" t="n">
        <v>38.08</v>
      </c>
      <c r="V8" t="n">
        <v>73.97</v>
      </c>
      <c r="W8" t="n">
        <v>5996.04</v>
      </c>
      <c r="X8" t="n">
        <v>17.845</v>
      </c>
      <c r="Y8" t="n">
        <v>58.56</v>
      </c>
      <c r="Z8" t="n">
        <v>5.738</v>
      </c>
      <c r="AA8" t="n">
        <v>67.88</v>
      </c>
      <c r="AB8" t="n">
        <v>4.95</v>
      </c>
      <c r="AC8" t="n">
        <v>0.673</v>
      </c>
      <c r="AD8" t="n">
        <v>-0.639</v>
      </c>
      <c r="AE8" t="n">
        <v>135.24</v>
      </c>
      <c r="AF8" t="n">
        <v>193.64</v>
      </c>
      <c r="AG8" t="n">
        <v>328.88</v>
      </c>
      <c r="AH8" t="n">
        <v>41.121</v>
      </c>
      <c r="AI8" t="n">
        <v>69.23999999999999</v>
      </c>
      <c r="AJ8" t="n">
        <v>93.59999999999999</v>
      </c>
      <c r="AK8" t="n">
        <v>16.68</v>
      </c>
      <c r="AL8" t="n">
        <v>27</v>
      </c>
      <c r="AM8" t="n">
        <v>66.59999999999999</v>
      </c>
      <c r="AN8" t="n">
        <v>86.56</v>
      </c>
      <c r="AO8" t="n">
        <v>61.44</v>
      </c>
      <c r="AP8" t="n">
        <v>7.72</v>
      </c>
      <c r="AQ8" t="n">
        <v>24</v>
      </c>
      <c r="AR8" t="n">
        <v>100.6</v>
      </c>
      <c r="AS8" t="n">
        <v>13.16</v>
      </c>
      <c r="AT8" t="n">
        <v>25.16</v>
      </c>
      <c r="AU8" t="n">
        <v>38.32</v>
      </c>
      <c r="AV8" t="n">
        <v>39.48</v>
      </c>
      <c r="AW8" t="n">
        <v>78.926</v>
      </c>
      <c r="AX8" t="n">
        <v>82.92</v>
      </c>
      <c r="AY8" t="n">
        <v>10.84</v>
      </c>
      <c r="AZ8" t="n">
        <v>13.12</v>
      </c>
      <c r="BA8" t="n">
        <v>23.131</v>
      </c>
      <c r="BB8" t="n">
        <v>15.96</v>
      </c>
      <c r="BC8" t="n">
        <v>5.64</v>
      </c>
      <c r="BD8" t="n">
        <v>28</v>
      </c>
      <c r="BE8" t="n">
        <v>8.44</v>
      </c>
      <c r="BF8" t="n">
        <v>13.2</v>
      </c>
      <c r="BG8" t="n">
        <v>12.56</v>
      </c>
      <c r="BH8" t="n">
        <v>2.4</v>
      </c>
      <c r="BI8" t="n">
        <v>28.96</v>
      </c>
      <c r="BJ8" t="n">
        <v>9.279999999999999</v>
      </c>
      <c r="BK8" t="n">
        <v>45.58</v>
      </c>
      <c r="BL8" t="n">
        <v>23.272</v>
      </c>
      <c r="BM8" t="n">
        <v>45.416</v>
      </c>
      <c r="BN8" t="n">
        <v>51.058</v>
      </c>
      <c r="BO8" t="n">
        <v>25.52</v>
      </c>
      <c r="BP8" t="n">
        <v>18.8</v>
      </c>
      <c r="BQ8" t="n">
        <v>26.17</v>
      </c>
      <c r="BR8" t="n">
        <v>91.57599999999999</v>
      </c>
      <c r="BS8" t="n">
        <v>-2.216</v>
      </c>
      <c r="BT8" t="n">
        <v>3.162</v>
      </c>
      <c r="BU8" t="n">
        <v>-0.077</v>
      </c>
      <c r="BV8" t="n">
        <v>3.456</v>
      </c>
      <c r="BW8" t="n">
        <v>-0.246</v>
      </c>
      <c r="BX8" t="n">
        <v>2.826</v>
      </c>
      <c r="BY8" t="n">
        <v>0.118</v>
      </c>
      <c r="BZ8" t="n">
        <v>2.76</v>
      </c>
      <c r="CA8" t="n">
        <v>38.92</v>
      </c>
      <c r="CB8" t="n">
        <v>50.08</v>
      </c>
      <c r="CC8" t="n">
        <v>26.4</v>
      </c>
      <c r="CD8" t="n">
        <v>52</v>
      </c>
      <c r="CE8" t="n">
        <v>13.36</v>
      </c>
      <c r="CF8" t="n">
        <v>22.277</v>
      </c>
      <c r="CG8" t="n">
        <v>23.384</v>
      </c>
      <c r="CH8" t="n">
        <v>9.052</v>
      </c>
      <c r="CI8" t="n">
        <v>30.745</v>
      </c>
      <c r="CJ8" t="n">
        <v>11.687</v>
      </c>
      <c r="CK8" t="n">
        <v>14.24</v>
      </c>
      <c r="CL8" t="n">
        <v>31.742</v>
      </c>
      <c r="CM8" t="n">
        <v>60.72</v>
      </c>
      <c r="CN8" t="n">
        <v>12.08</v>
      </c>
      <c r="CO8" t="n">
        <v>294.84</v>
      </c>
      <c r="CP8" t="n">
        <v>134.84</v>
      </c>
      <c r="CQ8" t="n">
        <v>34.6</v>
      </c>
      <c r="CR8" t="n">
        <v>91.40000000000001</v>
      </c>
      <c r="CS8" t="n">
        <v>29.6</v>
      </c>
      <c r="CT8" t="n">
        <v>32.385</v>
      </c>
      <c r="CU8" t="n">
        <v>8.279999999999999</v>
      </c>
      <c r="CV8" t="n">
        <v>27.973</v>
      </c>
      <c r="CW8" t="n">
        <v>2.56</v>
      </c>
      <c r="CX8" t="n">
        <v>18.2</v>
      </c>
      <c r="CY8" t="n">
        <v>20.96</v>
      </c>
      <c r="CZ8" t="n">
        <v>-2.76</v>
      </c>
      <c r="DA8" t="n">
        <v>9.6</v>
      </c>
      <c r="DB8" t="n">
        <v>88.333</v>
      </c>
      <c r="DC8" t="n">
        <v>5.2</v>
      </c>
      <c r="DD8" t="n">
        <v>49.88</v>
      </c>
      <c r="DE8" t="n">
        <v>68.8</v>
      </c>
      <c r="DF8" t="n">
        <v>204.98</v>
      </c>
      <c r="DG8" t="n">
        <v>1656.52</v>
      </c>
      <c r="DH8" t="n">
        <v>1466.2</v>
      </c>
      <c r="DI8" t="n">
        <v>12.6</v>
      </c>
      <c r="DJ8" t="n">
        <v>205.04</v>
      </c>
      <c r="DK8" t="n">
        <v>147.32</v>
      </c>
      <c r="DL8" t="n">
        <v>352.36</v>
      </c>
      <c r="DM8" t="n">
        <v>71.904</v>
      </c>
      <c r="DN8" t="n">
        <v>65.529</v>
      </c>
      <c r="DO8" t="n">
        <v>80.777</v>
      </c>
      <c r="DP8" t="n">
        <v>5.803</v>
      </c>
      <c r="DQ8" t="n">
        <v>51.48</v>
      </c>
      <c r="DR8" t="n">
        <v>43.04</v>
      </c>
      <c r="DS8" t="n">
        <v>75.88200000000001</v>
      </c>
      <c r="DT8" t="n">
        <v>5854.08</v>
      </c>
      <c r="DU8" t="n">
        <v>16.614</v>
      </c>
      <c r="DV8" t="n">
        <v>56.44</v>
      </c>
      <c r="DW8" t="n">
        <v>6.243</v>
      </c>
      <c r="DX8" t="n">
        <v>69.08</v>
      </c>
      <c r="DY8" t="n">
        <v>5.101</v>
      </c>
      <c r="DZ8" t="n">
        <v>-0.01</v>
      </c>
      <c r="EA8" t="n">
        <v>-1.801</v>
      </c>
      <c r="EB8" t="n">
        <v>139.68</v>
      </c>
      <c r="EC8" t="n">
        <v>202.36</v>
      </c>
      <c r="ED8" t="n">
        <v>342.04</v>
      </c>
      <c r="EE8" t="n">
        <v>40.837</v>
      </c>
      <c r="EF8" t="n">
        <v>68.04000000000001</v>
      </c>
      <c r="EG8" t="n">
        <v>92.48</v>
      </c>
      <c r="EH8" t="n">
        <v>14.76</v>
      </c>
      <c r="EI8" t="n">
        <v>24.88</v>
      </c>
      <c r="EJ8" t="n">
        <v>67.48</v>
      </c>
      <c r="EK8" t="n">
        <v>88.72</v>
      </c>
      <c r="EL8" t="n">
        <v>62.68</v>
      </c>
      <c r="EM8" t="n">
        <v>11</v>
      </c>
      <c r="EN8" t="n">
        <v>23.68</v>
      </c>
      <c r="EO8" t="n">
        <v>115</v>
      </c>
      <c r="EP8" t="n">
        <v>12.2</v>
      </c>
      <c r="EQ8" t="n">
        <v>24.96</v>
      </c>
      <c r="ER8" t="n">
        <v>37.16</v>
      </c>
      <c r="ES8" t="n">
        <v>42.24</v>
      </c>
      <c r="ET8" t="n">
        <v>73.58</v>
      </c>
      <c r="EU8" t="n">
        <v>78.68000000000001</v>
      </c>
      <c r="EV8" t="n">
        <v>10.56</v>
      </c>
      <c r="EW8" t="n">
        <v>11.44</v>
      </c>
      <c r="EX8" t="n">
        <v>22.222</v>
      </c>
      <c r="EY8" t="n">
        <v>14.48</v>
      </c>
      <c r="EZ8" t="n">
        <v>6.76</v>
      </c>
      <c r="FA8" t="n">
        <v>12.48</v>
      </c>
      <c r="FB8" t="n">
        <v>10</v>
      </c>
      <c r="FC8" t="n">
        <v>1.76</v>
      </c>
      <c r="FD8" t="n">
        <v>24.56</v>
      </c>
      <c r="FE8" t="n">
        <v>8.92</v>
      </c>
      <c r="FF8" t="n">
        <v>50.814</v>
      </c>
      <c r="FG8" t="n">
        <v>24.242</v>
      </c>
      <c r="FH8" t="n">
        <v>43.667</v>
      </c>
      <c r="FI8" t="n">
        <v>47.708</v>
      </c>
      <c r="FJ8" t="n">
        <v>22.28</v>
      </c>
      <c r="FK8" t="n">
        <v>78.46299999999999</v>
      </c>
      <c r="FL8" t="n">
        <v>4.657</v>
      </c>
      <c r="FM8" t="n">
        <v>3.2</v>
      </c>
      <c r="FN8" t="n">
        <v>0.19</v>
      </c>
      <c r="FO8" t="n">
        <v>3.44</v>
      </c>
      <c r="FP8" t="n">
        <v>0.247</v>
      </c>
      <c r="FQ8" t="n">
        <v>2.882</v>
      </c>
      <c r="FR8" t="n">
        <v>0.114</v>
      </c>
      <c r="FS8" t="n">
        <v>4.56</v>
      </c>
      <c r="FT8" t="n">
        <v>34.64</v>
      </c>
      <c r="FU8" t="n">
        <v>45.68</v>
      </c>
      <c r="FV8" t="n">
        <v>34.6</v>
      </c>
      <c r="FW8" t="n">
        <v>39.8</v>
      </c>
      <c r="FX8" t="n">
        <v>10.48</v>
      </c>
      <c r="FY8" t="n">
        <v>19.293</v>
      </c>
      <c r="FZ8" t="n">
        <v>20.198</v>
      </c>
      <c r="GA8" t="n">
        <v>9.295999999999999</v>
      </c>
      <c r="GB8" t="n">
        <v>27.836</v>
      </c>
      <c r="GC8" t="n">
        <v>12.068</v>
      </c>
      <c r="GD8" t="n">
        <v>57.32</v>
      </c>
      <c r="GE8" t="n">
        <v>8</v>
      </c>
      <c r="GF8" t="n">
        <v>274.04</v>
      </c>
      <c r="GG8" t="n">
        <v>144.12</v>
      </c>
      <c r="GH8" t="n">
        <v>33</v>
      </c>
      <c r="GI8" t="n">
        <v>41.4</v>
      </c>
      <c r="GJ8" t="n">
        <v>45.157</v>
      </c>
      <c r="GK8" t="n">
        <v>11.96</v>
      </c>
      <c r="GL8" t="n">
        <v>28.889</v>
      </c>
      <c r="GM8" t="n">
        <v>3.04</v>
      </c>
      <c r="GN8" t="n">
        <v>12.44</v>
      </c>
      <c r="GO8" t="n">
        <v>90.354</v>
      </c>
      <c r="GP8" t="n">
        <v>5.2</v>
      </c>
      <c r="GQ8" t="n">
        <v>47.24</v>
      </c>
      <c r="GR8" t="n">
        <v>68.72</v>
      </c>
      <c r="GS8" t="n">
        <v>3.844</v>
      </c>
      <c r="GT8" t="n">
        <v>-13</v>
      </c>
      <c r="GU8" t="n">
        <v>-21.48</v>
      </c>
      <c r="GV8" t="n">
        <v>4.8</v>
      </c>
      <c r="GW8" t="n">
        <v>1.76</v>
      </c>
      <c r="GX8" t="n">
        <v>-18.12</v>
      </c>
      <c r="GY8" t="n">
        <v>-16.36</v>
      </c>
      <c r="GZ8" t="n">
        <v>5.24</v>
      </c>
      <c r="HA8" t="n">
        <v>141.96</v>
      </c>
      <c r="HB8" t="n">
        <v>2.12</v>
      </c>
      <c r="HC8" t="n">
        <v>-1.2</v>
      </c>
      <c r="HD8" t="n">
        <v>0.6820000000000001</v>
      </c>
      <c r="HE8" t="n">
        <v>1.162</v>
      </c>
      <c r="HF8" t="n">
        <v>-4.44</v>
      </c>
      <c r="HG8" t="n">
        <v>-8.720000000000001</v>
      </c>
      <c r="HH8" t="n">
        <v>-13.16</v>
      </c>
      <c r="HI8" t="n">
        <v>1.2</v>
      </c>
      <c r="HJ8" t="n">
        <v>1.12</v>
      </c>
      <c r="HK8" t="n">
        <v>1.92</v>
      </c>
      <c r="HL8" t="n">
        <v>2.12</v>
      </c>
      <c r="HM8" t="n">
        <v>-0.88</v>
      </c>
      <c r="HN8" t="n">
        <v>-2.16</v>
      </c>
      <c r="HO8" t="n">
        <v>-1.24</v>
      </c>
      <c r="HP8" t="n">
        <v>-3.28</v>
      </c>
      <c r="HQ8" t="n">
        <v>0.32</v>
      </c>
      <c r="HR8" t="n">
        <v>-14.4</v>
      </c>
      <c r="HS8" t="n">
        <v>0.96</v>
      </c>
      <c r="HT8" t="n">
        <v>0.2</v>
      </c>
      <c r="HU8" t="n">
        <v>1.16</v>
      </c>
      <c r="HV8" t="n">
        <v>-2.76</v>
      </c>
      <c r="HW8" t="n">
        <v>4.24</v>
      </c>
      <c r="HX8" t="n">
        <v>0.28</v>
      </c>
      <c r="HY8" t="n">
        <v>1.68</v>
      </c>
      <c r="HZ8" t="n">
        <v>1.48</v>
      </c>
      <c r="IA8" t="n">
        <v>-1.12</v>
      </c>
      <c r="IB8" t="n">
        <v>0.72</v>
      </c>
      <c r="IC8" t="n">
        <v>2.56</v>
      </c>
      <c r="ID8" t="n">
        <v>4.4</v>
      </c>
      <c r="IE8" t="n">
        <v>0.36</v>
      </c>
      <c r="IF8" t="n">
        <v>3.24</v>
      </c>
      <c r="IG8" t="n">
        <v>13.112</v>
      </c>
      <c r="IH8" t="n">
        <v>-6.872</v>
      </c>
      <c r="II8" t="n">
        <v>-0.038</v>
      </c>
      <c r="IJ8" t="n">
        <v>-1.8</v>
      </c>
      <c r="IK8" t="n">
        <v>4.28</v>
      </c>
      <c r="IL8" t="n">
        <v>4.4</v>
      </c>
      <c r="IM8" t="n">
        <v>-8.199999999999999</v>
      </c>
      <c r="IN8" t="n">
        <v>12.2</v>
      </c>
      <c r="IO8" t="n">
        <v>2.88</v>
      </c>
      <c r="IP8" t="n">
        <v>3.4</v>
      </c>
      <c r="IQ8" t="n">
        <v>4.08</v>
      </c>
      <c r="IR8" t="n">
        <v>20.8</v>
      </c>
      <c r="IS8" t="n">
        <v>-9.279999999999999</v>
      </c>
      <c r="IT8" t="n">
        <v>1.6</v>
      </c>
      <c r="IU8" t="n">
        <v>-11.8</v>
      </c>
      <c r="IV8" t="n">
        <v>-3.68</v>
      </c>
      <c r="IW8" t="n">
        <v>-0.48</v>
      </c>
      <c r="IX8" t="n">
        <v>0</v>
      </c>
      <c r="IY8" t="n">
        <v>2.64</v>
      </c>
      <c r="IZ8" t="n">
        <v>0.08</v>
      </c>
    </row>
    <row r="9">
      <c r="A9" t="inlineStr">
        <is>
          <t>Brisbane</t>
        </is>
      </c>
      <c r="B9" t="inlineStr">
        <is>
          <t>Bris</t>
        </is>
      </c>
      <c r="C9" t="n">
        <v>26</v>
      </c>
      <c r="D9" t="n">
        <v>35</v>
      </c>
      <c r="E9" t="n">
        <v>26.152</v>
      </c>
      <c r="F9" t="n">
        <v>117.378</v>
      </c>
      <c r="G9" t="n">
        <v>211.342</v>
      </c>
      <c r="H9" t="n">
        <v>1668.769</v>
      </c>
      <c r="I9" t="n">
        <v>1523.538</v>
      </c>
      <c r="J9" t="n">
        <v>19.962</v>
      </c>
      <c r="K9" t="n">
        <v>52.535</v>
      </c>
      <c r="L9" t="n">
        <v>222.923</v>
      </c>
      <c r="M9" t="n">
        <v>118</v>
      </c>
      <c r="N9" t="n">
        <v>340.923</v>
      </c>
      <c r="O9" t="n">
        <v>71.52500000000001</v>
      </c>
      <c r="P9" t="n">
        <v>66.78700000000001</v>
      </c>
      <c r="Q9" t="n">
        <v>80.476</v>
      </c>
      <c r="R9" t="n">
        <v>65.38800000000001</v>
      </c>
      <c r="S9" t="n">
        <v>5.485</v>
      </c>
      <c r="T9" t="n">
        <v>56.692</v>
      </c>
      <c r="U9" t="n">
        <v>36.5</v>
      </c>
      <c r="V9" t="n">
        <v>75.497</v>
      </c>
      <c r="W9" t="n">
        <v>5849.038</v>
      </c>
      <c r="X9" t="n">
        <v>17.156</v>
      </c>
      <c r="Y9" t="n">
        <v>55.731</v>
      </c>
      <c r="Z9" t="n">
        <v>6.117</v>
      </c>
      <c r="AA9" t="n">
        <v>66.19199999999999</v>
      </c>
      <c r="AB9" t="n">
        <v>5.15</v>
      </c>
      <c r="AC9" t="n">
        <v>1.107</v>
      </c>
      <c r="AD9" t="n">
        <v>0.041</v>
      </c>
      <c r="AE9" t="n">
        <v>135.692</v>
      </c>
      <c r="AF9" t="n">
        <v>198.885</v>
      </c>
      <c r="AG9" t="n">
        <v>334.577</v>
      </c>
      <c r="AH9" t="n">
        <v>40.556</v>
      </c>
      <c r="AI9" t="n">
        <v>66.76900000000001</v>
      </c>
      <c r="AJ9" t="n">
        <v>89.923</v>
      </c>
      <c r="AK9" t="n">
        <v>16.731</v>
      </c>
      <c r="AL9" t="n">
        <v>27.654</v>
      </c>
      <c r="AM9" t="n">
        <v>62.308</v>
      </c>
      <c r="AN9" t="n">
        <v>81.23099999999999</v>
      </c>
      <c r="AO9" t="n">
        <v>56.346</v>
      </c>
      <c r="AP9" t="n">
        <v>9.077</v>
      </c>
      <c r="AQ9" t="n">
        <v>23.115</v>
      </c>
      <c r="AR9" t="n">
        <v>91.26900000000001</v>
      </c>
      <c r="AS9" t="n">
        <v>13.269</v>
      </c>
      <c r="AT9" t="n">
        <v>28.962</v>
      </c>
      <c r="AU9" t="n">
        <v>42.231</v>
      </c>
      <c r="AV9" t="n">
        <v>43.154</v>
      </c>
      <c r="AW9" t="n">
        <v>77.45099999999999</v>
      </c>
      <c r="AX9" t="n">
        <v>98.923</v>
      </c>
      <c r="AY9" t="n">
        <v>11.462</v>
      </c>
      <c r="AZ9" t="n">
        <v>13.654</v>
      </c>
      <c r="BA9" t="n">
        <v>24.084</v>
      </c>
      <c r="BB9" t="n">
        <v>16.577</v>
      </c>
      <c r="BC9" t="n">
        <v>7.115</v>
      </c>
      <c r="BD9" t="n">
        <v>29</v>
      </c>
      <c r="BE9" t="n">
        <v>8</v>
      </c>
      <c r="BF9" t="n">
        <v>13.808</v>
      </c>
      <c r="BG9" t="n">
        <v>12.077</v>
      </c>
      <c r="BH9" t="n">
        <v>2.577</v>
      </c>
      <c r="BI9" t="n">
        <v>27.885</v>
      </c>
      <c r="BJ9" t="n">
        <v>9.692</v>
      </c>
      <c r="BK9" t="n">
        <v>49.517</v>
      </c>
      <c r="BL9" t="n">
        <v>24.355</v>
      </c>
      <c r="BM9" t="n">
        <v>45.658</v>
      </c>
      <c r="BN9" t="n">
        <v>49.186</v>
      </c>
      <c r="BO9" t="n">
        <v>25.654</v>
      </c>
      <c r="BP9" t="n">
        <v>13.269</v>
      </c>
      <c r="BQ9" t="n">
        <v>28.406</v>
      </c>
      <c r="BR9" t="n">
        <v>91.2</v>
      </c>
      <c r="BS9" t="n">
        <v>1.146</v>
      </c>
      <c r="BT9" t="n">
        <v>3.271</v>
      </c>
      <c r="BU9" t="n">
        <v>0.041</v>
      </c>
      <c r="BV9" t="n">
        <v>3.546</v>
      </c>
      <c r="BW9" t="n">
        <v>0.044</v>
      </c>
      <c r="BX9" t="n">
        <v>2.962</v>
      </c>
      <c r="BY9" t="n">
        <v>0.038</v>
      </c>
      <c r="BZ9" t="n">
        <v>3.231</v>
      </c>
      <c r="CA9" t="n">
        <v>38</v>
      </c>
      <c r="CB9" t="n">
        <v>53.692</v>
      </c>
      <c r="CC9" t="n">
        <v>33.115</v>
      </c>
      <c r="CD9" t="n">
        <v>51.923</v>
      </c>
      <c r="CE9" t="n">
        <v>9.885</v>
      </c>
      <c r="CF9" t="n">
        <v>22.031</v>
      </c>
      <c r="CG9" t="n">
        <v>22.481</v>
      </c>
      <c r="CH9" t="n">
        <v>10.213</v>
      </c>
      <c r="CI9" t="n">
        <v>31.576</v>
      </c>
      <c r="CJ9" t="n">
        <v>13.132</v>
      </c>
      <c r="CK9" t="n">
        <v>12.808</v>
      </c>
      <c r="CL9" t="n">
        <v>20.42</v>
      </c>
      <c r="CM9" t="n">
        <v>55.538</v>
      </c>
      <c r="CN9" t="n">
        <v>11.192</v>
      </c>
      <c r="CO9" t="n">
        <v>287.115</v>
      </c>
      <c r="CP9" t="n">
        <v>130.231</v>
      </c>
      <c r="CQ9" t="n">
        <v>35.5</v>
      </c>
      <c r="CR9" t="n">
        <v>100.769</v>
      </c>
      <c r="CS9" t="n">
        <v>38</v>
      </c>
      <c r="CT9" t="n">
        <v>37.71</v>
      </c>
      <c r="CU9" t="n">
        <v>10.538</v>
      </c>
      <c r="CV9" t="n">
        <v>27.733</v>
      </c>
      <c r="CW9" t="n">
        <v>4.923</v>
      </c>
      <c r="CX9" t="n">
        <v>19</v>
      </c>
      <c r="CY9" t="n">
        <v>16.577</v>
      </c>
      <c r="CZ9" t="n">
        <v>2.423</v>
      </c>
      <c r="DA9" t="n">
        <v>9.192</v>
      </c>
      <c r="DB9" t="n">
        <v>72.803</v>
      </c>
      <c r="DC9" t="n">
        <v>2.923</v>
      </c>
      <c r="DD9" t="n">
        <v>49.077</v>
      </c>
      <c r="DE9" t="n">
        <v>70.11499999999999</v>
      </c>
      <c r="DF9" t="n">
        <v>197.977</v>
      </c>
      <c r="DG9" t="n">
        <v>1630.885</v>
      </c>
      <c r="DH9" t="n">
        <v>1508</v>
      </c>
      <c r="DI9" t="n">
        <v>10.615</v>
      </c>
      <c r="DJ9" t="n">
        <v>207</v>
      </c>
      <c r="DK9" t="n">
        <v>148.654</v>
      </c>
      <c r="DL9" t="n">
        <v>355.654</v>
      </c>
      <c r="DM9" t="n">
        <v>73.18000000000001</v>
      </c>
      <c r="DN9" t="n">
        <v>66.53700000000001</v>
      </c>
      <c r="DO9" t="n">
        <v>82.432</v>
      </c>
      <c r="DP9" t="n">
        <v>6.404</v>
      </c>
      <c r="DQ9" t="n">
        <v>48.346</v>
      </c>
      <c r="DR9" t="n">
        <v>41.962</v>
      </c>
      <c r="DS9" t="n">
        <v>74.01600000000001</v>
      </c>
      <c r="DT9" t="n">
        <v>5715.923</v>
      </c>
      <c r="DU9" t="n">
        <v>16.072</v>
      </c>
      <c r="DV9" t="n">
        <v>58.692</v>
      </c>
      <c r="DW9" t="n">
        <v>6.06</v>
      </c>
      <c r="DX9" t="n">
        <v>66.423</v>
      </c>
      <c r="DY9" t="n">
        <v>5.354</v>
      </c>
      <c r="DZ9" t="n">
        <v>-1.47</v>
      </c>
      <c r="EA9" t="n">
        <v>-2.232</v>
      </c>
      <c r="EB9" t="n">
        <v>131.308</v>
      </c>
      <c r="EC9" t="n">
        <v>216.231</v>
      </c>
      <c r="ED9" t="n">
        <v>347.538</v>
      </c>
      <c r="EE9" t="n">
        <v>37.782</v>
      </c>
      <c r="EF9" t="n">
        <v>66.30800000000001</v>
      </c>
      <c r="EG9" t="n">
        <v>88.5</v>
      </c>
      <c r="EH9" t="n">
        <v>15.038</v>
      </c>
      <c r="EI9" t="n">
        <v>26.423</v>
      </c>
      <c r="EJ9" t="n">
        <v>62.077</v>
      </c>
      <c r="EK9" t="n">
        <v>79.462</v>
      </c>
      <c r="EL9" t="n">
        <v>56.423</v>
      </c>
      <c r="EM9" t="n">
        <v>11.231</v>
      </c>
      <c r="EN9" t="n">
        <v>22.385</v>
      </c>
      <c r="EO9" t="n">
        <v>118.692</v>
      </c>
      <c r="EP9" t="n">
        <v>11.038</v>
      </c>
      <c r="EQ9" t="n">
        <v>24.692</v>
      </c>
      <c r="ER9" t="n">
        <v>35.731</v>
      </c>
      <c r="ES9" t="n">
        <v>41.5</v>
      </c>
      <c r="ET9" t="n">
        <v>70.52800000000001</v>
      </c>
      <c r="EU9" t="n">
        <v>87.76900000000001</v>
      </c>
      <c r="EV9" t="n">
        <v>10.192</v>
      </c>
      <c r="EW9" t="n">
        <v>10.615</v>
      </c>
      <c r="EX9" t="n">
        <v>21.957</v>
      </c>
      <c r="EY9" t="n">
        <v>17.038</v>
      </c>
      <c r="EZ9" t="n">
        <v>6.308</v>
      </c>
      <c r="FA9" t="n">
        <v>11.231</v>
      </c>
      <c r="FB9" t="n">
        <v>9.5</v>
      </c>
      <c r="FC9" t="n">
        <v>2.077</v>
      </c>
      <c r="FD9" t="n">
        <v>22.577</v>
      </c>
      <c r="FE9" t="n">
        <v>7.577</v>
      </c>
      <c r="FF9" t="n">
        <v>49.744</v>
      </c>
      <c r="FG9" t="n">
        <v>23.23</v>
      </c>
      <c r="FH9" t="n">
        <v>42.88</v>
      </c>
      <c r="FI9" t="n">
        <v>46.698</v>
      </c>
      <c r="FJ9" t="n">
        <v>20.423</v>
      </c>
      <c r="FK9" t="n">
        <v>72.20099999999999</v>
      </c>
      <c r="FL9" t="n">
        <v>2.607</v>
      </c>
      <c r="FM9" t="n">
        <v>3.198</v>
      </c>
      <c r="FN9" t="n">
        <v>0.115</v>
      </c>
      <c r="FO9" t="n">
        <v>3.522</v>
      </c>
      <c r="FP9" t="n">
        <v>0.22</v>
      </c>
      <c r="FQ9" t="n">
        <v>2.808</v>
      </c>
      <c r="FR9" t="n">
        <v>-0.011</v>
      </c>
      <c r="FS9" t="n">
        <v>4.5</v>
      </c>
      <c r="FT9" t="n">
        <v>31.154</v>
      </c>
      <c r="FU9" t="n">
        <v>41.231</v>
      </c>
      <c r="FV9" t="n">
        <v>29.385</v>
      </c>
      <c r="FW9" t="n">
        <v>36.5</v>
      </c>
      <c r="FX9" t="n">
        <v>11</v>
      </c>
      <c r="FY9" t="n">
        <v>18.16</v>
      </c>
      <c r="FZ9" t="n">
        <v>19.982</v>
      </c>
      <c r="GA9" t="n">
        <v>8.781000000000001</v>
      </c>
      <c r="GB9" t="n">
        <v>27.122</v>
      </c>
      <c r="GC9" t="n">
        <v>10.897</v>
      </c>
      <c r="GD9" t="n">
        <v>62.154</v>
      </c>
      <c r="GE9" t="n">
        <v>10.077</v>
      </c>
      <c r="GF9" t="n">
        <v>268.423</v>
      </c>
      <c r="GG9" t="n">
        <v>138.269</v>
      </c>
      <c r="GH9" t="n">
        <v>30.192</v>
      </c>
      <c r="GI9" t="n">
        <v>43.038</v>
      </c>
      <c r="GJ9" t="n">
        <v>42.726</v>
      </c>
      <c r="GK9" t="n">
        <v>11.962</v>
      </c>
      <c r="GL9" t="n">
        <v>27.793</v>
      </c>
      <c r="GM9" t="n">
        <v>3.269</v>
      </c>
      <c r="GN9" t="n">
        <v>11.962</v>
      </c>
      <c r="GO9" t="n">
        <v>88.746</v>
      </c>
      <c r="GP9" t="n">
        <v>5.962</v>
      </c>
      <c r="GQ9" t="n">
        <v>42.538</v>
      </c>
      <c r="GR9" t="n">
        <v>71.19199999999999</v>
      </c>
      <c r="GS9" t="n">
        <v>13.365</v>
      </c>
      <c r="GT9" t="n">
        <v>37.885</v>
      </c>
      <c r="GU9" t="n">
        <v>15.538</v>
      </c>
      <c r="GV9" t="n">
        <v>9.346</v>
      </c>
      <c r="GW9" t="n">
        <v>15.923</v>
      </c>
      <c r="GX9" t="n">
        <v>-30.654</v>
      </c>
      <c r="GY9" t="n">
        <v>-14.731</v>
      </c>
      <c r="GZ9" t="n">
        <v>8.346</v>
      </c>
      <c r="HA9" t="n">
        <v>133.115</v>
      </c>
      <c r="HB9" t="n">
        <v>-2.962</v>
      </c>
      <c r="HC9" t="n">
        <v>-0.231</v>
      </c>
      <c r="HD9" t="n">
        <v>2.577</v>
      </c>
      <c r="HE9" t="n">
        <v>2.273</v>
      </c>
      <c r="HF9" t="n">
        <v>4.385</v>
      </c>
      <c r="HG9" t="n">
        <v>-17.346</v>
      </c>
      <c r="HH9" t="n">
        <v>-12.962</v>
      </c>
      <c r="HI9" t="n">
        <v>0.462</v>
      </c>
      <c r="HJ9" t="n">
        <v>1.423</v>
      </c>
      <c r="HK9" t="n">
        <v>1.692</v>
      </c>
      <c r="HL9" t="n">
        <v>1.231</v>
      </c>
      <c r="HM9" t="n">
        <v>0.231</v>
      </c>
      <c r="HN9" t="n">
        <v>1.769</v>
      </c>
      <c r="HO9" t="n">
        <v>-0.077</v>
      </c>
      <c r="HP9" t="n">
        <v>-2.154</v>
      </c>
      <c r="HQ9" t="n">
        <v>0.731</v>
      </c>
      <c r="HR9" t="n">
        <v>-27.423</v>
      </c>
      <c r="HS9" t="n">
        <v>2.231</v>
      </c>
      <c r="HT9" t="n">
        <v>4.269</v>
      </c>
      <c r="HU9" t="n">
        <v>6.5</v>
      </c>
      <c r="HV9" t="n">
        <v>1.654</v>
      </c>
      <c r="HW9" t="n">
        <v>11.154</v>
      </c>
      <c r="HX9" t="n">
        <v>1.269</v>
      </c>
      <c r="HY9" t="n">
        <v>3.038</v>
      </c>
      <c r="HZ9" t="n">
        <v>-0.462</v>
      </c>
      <c r="IA9" t="n">
        <v>0.8080000000000001</v>
      </c>
      <c r="IB9" t="n">
        <v>2.577</v>
      </c>
      <c r="IC9" t="n">
        <v>2.577</v>
      </c>
      <c r="ID9" t="n">
        <v>5.308</v>
      </c>
      <c r="IE9" t="n">
        <v>2.115</v>
      </c>
      <c r="IF9" t="n">
        <v>5.231</v>
      </c>
      <c r="IG9" t="n">
        <v>19</v>
      </c>
      <c r="IH9" t="n">
        <v>-1.461</v>
      </c>
      <c r="II9" t="n">
        <v>0.073</v>
      </c>
      <c r="IJ9" t="n">
        <v>-1.269</v>
      </c>
      <c r="IK9" t="n">
        <v>6.846</v>
      </c>
      <c r="IL9" t="n">
        <v>12.462</v>
      </c>
      <c r="IM9" t="n">
        <v>3.731</v>
      </c>
      <c r="IN9" t="n">
        <v>15.423</v>
      </c>
      <c r="IO9" t="n">
        <v>-1.115</v>
      </c>
      <c r="IP9" t="n">
        <v>-6.615</v>
      </c>
      <c r="IQ9" t="n">
        <v>1.115</v>
      </c>
      <c r="IR9" t="n">
        <v>18.692</v>
      </c>
      <c r="IS9" t="n">
        <v>-8.038</v>
      </c>
      <c r="IT9" t="n">
        <v>5.308</v>
      </c>
      <c r="IU9" t="n">
        <v>-5.038</v>
      </c>
      <c r="IV9" t="n">
        <v>-1.423</v>
      </c>
      <c r="IW9" t="n">
        <v>1.654</v>
      </c>
      <c r="IX9" t="n">
        <v>-3.038</v>
      </c>
      <c r="IY9" t="n">
        <v>6.538</v>
      </c>
      <c r="IZ9" t="n">
        <v>-1.077</v>
      </c>
    </row>
    <row r="10">
      <c r="A10" t="inlineStr">
        <is>
          <t>Western Bulldogs</t>
        </is>
      </c>
      <c r="B10" t="inlineStr">
        <is>
          <t>WB</t>
        </is>
      </c>
      <c r="C10" t="n">
        <v>23</v>
      </c>
      <c r="D10" t="n">
        <v>37</v>
      </c>
      <c r="E10" t="n">
        <v>26.452</v>
      </c>
      <c r="F10" t="n">
        <v>109.13</v>
      </c>
      <c r="G10" t="n">
        <v>211.587</v>
      </c>
      <c r="H10" t="n">
        <v>1677.087</v>
      </c>
      <c r="I10" t="n">
        <v>1569.13</v>
      </c>
      <c r="J10" t="n">
        <v>16.609</v>
      </c>
      <c r="K10" t="n">
        <v>52.202</v>
      </c>
      <c r="L10" t="n">
        <v>214.565</v>
      </c>
      <c r="M10" t="n">
        <v>156.261</v>
      </c>
      <c r="N10" t="n">
        <v>370.826</v>
      </c>
      <c r="O10" t="n">
        <v>72.752</v>
      </c>
      <c r="P10" t="n">
        <v>64.944</v>
      </c>
      <c r="Q10" t="n">
        <v>83.47199999999999</v>
      </c>
      <c r="R10" t="n">
        <v>57.861</v>
      </c>
      <c r="S10" t="n">
        <v>5.488</v>
      </c>
      <c r="T10" t="n">
        <v>54.043</v>
      </c>
      <c r="U10" t="n">
        <v>37.565</v>
      </c>
      <c r="V10" t="n">
        <v>75.989</v>
      </c>
      <c r="W10" t="n">
        <v>5870.87</v>
      </c>
      <c r="X10" t="n">
        <v>15.832</v>
      </c>
      <c r="Y10" t="n">
        <v>53.652</v>
      </c>
      <c r="Z10" t="n">
        <v>6.912</v>
      </c>
      <c r="AA10" t="n">
        <v>66.95699999999999</v>
      </c>
      <c r="AB10" t="n">
        <v>5.538</v>
      </c>
      <c r="AC10" t="n">
        <v>-0.167</v>
      </c>
      <c r="AD10" t="n">
        <v>-0.918</v>
      </c>
      <c r="AE10" t="n">
        <v>140.261</v>
      </c>
      <c r="AF10" t="n">
        <v>229.304</v>
      </c>
      <c r="AG10" t="n">
        <v>369.565</v>
      </c>
      <c r="AH10" t="n">
        <v>37.953</v>
      </c>
      <c r="AI10" t="n">
        <v>66.739</v>
      </c>
      <c r="AJ10" t="n">
        <v>95.82599999999999</v>
      </c>
      <c r="AK10" t="n">
        <v>16.391</v>
      </c>
      <c r="AL10" t="n">
        <v>30.13</v>
      </c>
      <c r="AM10" t="n">
        <v>65.739</v>
      </c>
      <c r="AN10" t="n">
        <v>84.739</v>
      </c>
      <c r="AO10" t="n">
        <v>60.565</v>
      </c>
      <c r="AP10" t="n">
        <v>11.435</v>
      </c>
      <c r="AQ10" t="n">
        <v>24.652</v>
      </c>
      <c r="AR10" t="n">
        <v>127.391</v>
      </c>
      <c r="AS10" t="n">
        <v>11.652</v>
      </c>
      <c r="AT10" t="n">
        <v>30</v>
      </c>
      <c r="AU10" t="n">
        <v>41.652</v>
      </c>
      <c r="AV10" t="n">
        <v>44.435</v>
      </c>
      <c r="AW10" t="n">
        <v>78.767</v>
      </c>
      <c r="AX10" t="n">
        <v>87.87</v>
      </c>
      <c r="AY10" t="n">
        <v>9.651999999999999</v>
      </c>
      <c r="AZ10" t="n">
        <v>12</v>
      </c>
      <c r="BA10" t="n">
        <v>22.204</v>
      </c>
      <c r="BB10" t="n">
        <v>16.609</v>
      </c>
      <c r="BC10" t="n">
        <v>5.913</v>
      </c>
      <c r="BD10" t="n">
        <v>27</v>
      </c>
      <c r="BE10" t="n">
        <v>7.957</v>
      </c>
      <c r="BF10" t="n">
        <v>12</v>
      </c>
      <c r="BG10" t="n">
        <v>11.435</v>
      </c>
      <c r="BH10" t="n">
        <v>2.087</v>
      </c>
      <c r="BI10" t="n">
        <v>25.261</v>
      </c>
      <c r="BJ10" t="n">
        <v>8.651999999999999</v>
      </c>
      <c r="BK10" t="n">
        <v>47.504</v>
      </c>
      <c r="BL10" t="n">
        <v>22.204</v>
      </c>
      <c r="BM10" t="n">
        <v>43.363</v>
      </c>
      <c r="BN10" t="n">
        <v>46.742</v>
      </c>
      <c r="BO10" t="n">
        <v>23.217</v>
      </c>
      <c r="BP10" t="n">
        <v>13.304</v>
      </c>
      <c r="BQ10" t="n">
        <v>23.529</v>
      </c>
      <c r="BR10" t="n">
        <v>81.11</v>
      </c>
      <c r="BS10" t="n">
        <v>0.238</v>
      </c>
      <c r="BT10" t="n">
        <v>3.211</v>
      </c>
      <c r="BU10" t="n">
        <v>0.008999999999999999</v>
      </c>
      <c r="BV10" t="n">
        <v>3.554</v>
      </c>
      <c r="BW10" t="n">
        <v>-0.031</v>
      </c>
      <c r="BX10" t="n">
        <v>2.756</v>
      </c>
      <c r="BY10" t="n">
        <v>0.064</v>
      </c>
      <c r="BZ10" t="n">
        <v>4.696</v>
      </c>
      <c r="CA10" t="n">
        <v>29.739</v>
      </c>
      <c r="CB10" t="n">
        <v>49</v>
      </c>
      <c r="CC10" t="n">
        <v>28.261</v>
      </c>
      <c r="CD10" t="n">
        <v>45.913</v>
      </c>
      <c r="CE10" t="n">
        <v>9.260999999999999</v>
      </c>
      <c r="CF10" t="n">
        <v>20.038</v>
      </c>
      <c r="CG10" t="n">
        <v>19.284</v>
      </c>
      <c r="CH10" t="n">
        <v>7.746</v>
      </c>
      <c r="CI10" t="n">
        <v>28.879</v>
      </c>
      <c r="CJ10" t="n">
        <v>11.414</v>
      </c>
      <c r="CK10" t="n">
        <v>12.652</v>
      </c>
      <c r="CL10" t="n">
        <v>25.773</v>
      </c>
      <c r="CM10" t="n">
        <v>65.435</v>
      </c>
      <c r="CN10" t="n">
        <v>11.043</v>
      </c>
      <c r="CO10" t="n">
        <v>302.783</v>
      </c>
      <c r="CP10" t="n">
        <v>135.435</v>
      </c>
      <c r="CQ10" t="n">
        <v>35.304</v>
      </c>
      <c r="CR10" t="n">
        <v>102.739</v>
      </c>
      <c r="CS10" t="n">
        <v>39.565</v>
      </c>
      <c r="CT10" t="n">
        <v>38.51</v>
      </c>
      <c r="CU10" t="n">
        <v>12.348</v>
      </c>
      <c r="CV10" t="n">
        <v>31.209</v>
      </c>
      <c r="CW10" t="n">
        <v>1.826</v>
      </c>
      <c r="CX10" t="n">
        <v>16.478</v>
      </c>
      <c r="CY10" t="n">
        <v>16.609</v>
      </c>
      <c r="CZ10" t="n">
        <v>-0.13</v>
      </c>
      <c r="DA10" t="n">
        <v>9.739000000000001</v>
      </c>
      <c r="DB10" t="n">
        <v>86.161</v>
      </c>
      <c r="DC10" t="n">
        <v>5.043</v>
      </c>
      <c r="DD10" t="n">
        <v>53.957</v>
      </c>
      <c r="DE10" t="n">
        <v>69.087</v>
      </c>
      <c r="DF10" t="n">
        <v>205.17</v>
      </c>
      <c r="DG10" t="n">
        <v>1623.217</v>
      </c>
      <c r="DH10" t="n">
        <v>1579.391</v>
      </c>
      <c r="DI10" t="n">
        <v>13.391</v>
      </c>
      <c r="DJ10" t="n">
        <v>218.043</v>
      </c>
      <c r="DK10" t="n">
        <v>143.522</v>
      </c>
      <c r="DL10" t="n">
        <v>361.565</v>
      </c>
      <c r="DM10" t="n">
        <v>72.896</v>
      </c>
      <c r="DN10" t="n">
        <v>65.82299999999999</v>
      </c>
      <c r="DO10" t="n">
        <v>83.64100000000001</v>
      </c>
      <c r="DP10" t="n">
        <v>5.526</v>
      </c>
      <c r="DQ10" t="n">
        <v>49.435</v>
      </c>
      <c r="DR10" t="n">
        <v>41.13</v>
      </c>
      <c r="DS10" t="n">
        <v>76.10599999999999</v>
      </c>
      <c r="DT10" t="n">
        <v>5811.174</v>
      </c>
      <c r="DU10" t="n">
        <v>16.072</v>
      </c>
      <c r="DV10" t="n">
        <v>57</v>
      </c>
      <c r="DW10" t="n">
        <v>6.343</v>
      </c>
      <c r="DX10" t="n">
        <v>66.60899999999999</v>
      </c>
      <c r="DY10" t="n">
        <v>5.428</v>
      </c>
      <c r="DZ10" t="n">
        <v>-0.363</v>
      </c>
      <c r="EA10" t="n">
        <v>-2.43</v>
      </c>
      <c r="EB10" t="n">
        <v>133.652</v>
      </c>
      <c r="EC10" t="n">
        <v>220.435</v>
      </c>
      <c r="ED10" t="n">
        <v>354.087</v>
      </c>
      <c r="EE10" t="n">
        <v>37.746</v>
      </c>
      <c r="EF10" t="n">
        <v>66.95699999999999</v>
      </c>
      <c r="EG10" t="n">
        <v>91.60899999999999</v>
      </c>
      <c r="EH10" t="n">
        <v>14.522</v>
      </c>
      <c r="EI10" t="n">
        <v>27.174</v>
      </c>
      <c r="EJ10" t="n">
        <v>64.435</v>
      </c>
      <c r="EK10" t="n">
        <v>83.13</v>
      </c>
      <c r="EL10" t="n">
        <v>61.087</v>
      </c>
      <c r="EM10" t="n">
        <v>11.609</v>
      </c>
      <c r="EN10" t="n">
        <v>23.783</v>
      </c>
      <c r="EO10" t="n">
        <v>116.478</v>
      </c>
      <c r="EP10" t="n">
        <v>10.783</v>
      </c>
      <c r="EQ10" t="n">
        <v>26</v>
      </c>
      <c r="ER10" t="n">
        <v>36.783</v>
      </c>
      <c r="ES10" t="n">
        <v>41.957</v>
      </c>
      <c r="ET10" t="n">
        <v>74.301</v>
      </c>
      <c r="EU10" t="n">
        <v>92.87</v>
      </c>
      <c r="EV10" t="n">
        <v>8.913</v>
      </c>
      <c r="EW10" t="n">
        <v>11.565</v>
      </c>
      <c r="EX10" t="n">
        <v>23.395</v>
      </c>
      <c r="EY10" t="n">
        <v>16.609</v>
      </c>
      <c r="EZ10" t="n">
        <v>6.739</v>
      </c>
      <c r="FA10" t="n">
        <v>11.13</v>
      </c>
      <c r="FB10" t="n">
        <v>10</v>
      </c>
      <c r="FC10" t="n">
        <v>2.043</v>
      </c>
      <c r="FD10" t="n">
        <v>23.783</v>
      </c>
      <c r="FE10" t="n">
        <v>8.087</v>
      </c>
      <c r="FF10" t="n">
        <v>46.801</v>
      </c>
      <c r="FG10" t="n">
        <v>22.515</v>
      </c>
      <c r="FH10" t="n">
        <v>42.744</v>
      </c>
      <c r="FI10" t="n">
        <v>48.109</v>
      </c>
      <c r="FJ10" t="n">
        <v>20.913</v>
      </c>
      <c r="FK10" t="n">
        <v>75.58799999999999</v>
      </c>
      <c r="FL10" t="n">
        <v>-0.849</v>
      </c>
      <c r="FM10" t="n">
        <v>3.178</v>
      </c>
      <c r="FN10" t="n">
        <v>-0.036</v>
      </c>
      <c r="FO10" t="n">
        <v>3.47</v>
      </c>
      <c r="FP10" t="n">
        <v>-0.077</v>
      </c>
      <c r="FQ10" t="n">
        <v>2.842</v>
      </c>
      <c r="FR10" t="n">
        <v>0.012</v>
      </c>
      <c r="FS10" t="n">
        <v>3.826</v>
      </c>
      <c r="FT10" t="n">
        <v>27.957</v>
      </c>
      <c r="FU10" t="n">
        <v>45</v>
      </c>
      <c r="FV10" t="n">
        <v>31.913</v>
      </c>
      <c r="FW10" t="n">
        <v>36.565</v>
      </c>
      <c r="FX10" t="n">
        <v>8.304</v>
      </c>
      <c r="FY10" t="n">
        <v>18.615</v>
      </c>
      <c r="FZ10" t="n">
        <v>19.641</v>
      </c>
      <c r="GA10" t="n">
        <v>8.448</v>
      </c>
      <c r="GB10" t="n">
        <v>28.826</v>
      </c>
      <c r="GC10" t="n">
        <v>11.638</v>
      </c>
      <c r="GD10" t="n">
        <v>67.565</v>
      </c>
      <c r="GE10" t="n">
        <v>12.087</v>
      </c>
      <c r="GF10" t="n">
        <v>322.87</v>
      </c>
      <c r="GG10" t="n">
        <v>158.348</v>
      </c>
      <c r="GH10" t="n">
        <v>35.174</v>
      </c>
      <c r="GI10" t="n">
        <v>47.435</v>
      </c>
      <c r="GJ10" t="n">
        <v>46.131</v>
      </c>
      <c r="GK10" t="n">
        <v>12.261</v>
      </c>
      <c r="GL10" t="n">
        <v>25.848</v>
      </c>
      <c r="GM10" t="n">
        <v>2.696</v>
      </c>
      <c r="GN10" t="n">
        <v>11.174</v>
      </c>
      <c r="GO10" t="n">
        <v>85.214</v>
      </c>
      <c r="GP10" t="n">
        <v>5</v>
      </c>
      <c r="GQ10" t="n">
        <v>49.13</v>
      </c>
      <c r="GR10" t="n">
        <v>69.17400000000001</v>
      </c>
      <c r="GS10" t="n">
        <v>6.417</v>
      </c>
      <c r="GT10" t="n">
        <v>53.87</v>
      </c>
      <c r="GU10" t="n">
        <v>-10.261</v>
      </c>
      <c r="GV10" t="n">
        <v>3.217</v>
      </c>
      <c r="GW10" t="n">
        <v>-3.478</v>
      </c>
      <c r="GX10" t="n">
        <v>12.739</v>
      </c>
      <c r="GY10" t="n">
        <v>9.260999999999999</v>
      </c>
      <c r="GZ10" t="n">
        <v>4.609</v>
      </c>
      <c r="HA10" t="n">
        <v>59.696</v>
      </c>
      <c r="HB10" t="n">
        <v>-3.348</v>
      </c>
      <c r="HC10" t="n">
        <v>0.348</v>
      </c>
      <c r="HD10" t="n">
        <v>0.196</v>
      </c>
      <c r="HE10" t="n">
        <v>1.511</v>
      </c>
      <c r="HF10" t="n">
        <v>6.609</v>
      </c>
      <c r="HG10" t="n">
        <v>8.869999999999999</v>
      </c>
      <c r="HH10" t="n">
        <v>15.478</v>
      </c>
      <c r="HI10" t="n">
        <v>-0.217</v>
      </c>
      <c r="HJ10" t="n">
        <v>4.217</v>
      </c>
      <c r="HK10" t="n">
        <v>1.87</v>
      </c>
      <c r="HL10" t="n">
        <v>2.957</v>
      </c>
      <c r="HM10" t="n">
        <v>1.304</v>
      </c>
      <c r="HN10" t="n">
        <v>1.609</v>
      </c>
      <c r="HO10" t="n">
        <v>-0.522</v>
      </c>
      <c r="HP10" t="n">
        <v>-0.174</v>
      </c>
      <c r="HQ10" t="n">
        <v>0.87</v>
      </c>
      <c r="HR10" t="n">
        <v>10.913</v>
      </c>
      <c r="HS10" t="n">
        <v>0.87</v>
      </c>
      <c r="HT10" t="n">
        <v>4</v>
      </c>
      <c r="HU10" t="n">
        <v>4.87</v>
      </c>
      <c r="HV10" t="n">
        <v>2.478</v>
      </c>
      <c r="HW10" t="n">
        <v>-5</v>
      </c>
      <c r="HX10" t="n">
        <v>0.739</v>
      </c>
      <c r="HY10" t="n">
        <v>0.435</v>
      </c>
      <c r="HZ10" t="n">
        <v>0</v>
      </c>
      <c r="IA10" t="n">
        <v>-0.826</v>
      </c>
      <c r="IB10" t="n">
        <v>0.87</v>
      </c>
      <c r="IC10" t="n">
        <v>1.435</v>
      </c>
      <c r="ID10" t="n">
        <v>1.478</v>
      </c>
      <c r="IE10" t="n">
        <v>0.5649999999999999</v>
      </c>
      <c r="IF10" t="n">
        <v>2.304</v>
      </c>
      <c r="IG10" t="n">
        <v>5.521</v>
      </c>
      <c r="IH10" t="n">
        <v>1.087</v>
      </c>
      <c r="II10" t="n">
        <v>0.033</v>
      </c>
      <c r="IJ10" t="n">
        <v>0.87</v>
      </c>
      <c r="IK10" t="n">
        <v>1.783</v>
      </c>
      <c r="IL10" t="n">
        <v>4</v>
      </c>
      <c r="IM10" t="n">
        <v>-3.652</v>
      </c>
      <c r="IN10" t="n">
        <v>9.348000000000001</v>
      </c>
      <c r="IO10" t="n">
        <v>0.957</v>
      </c>
      <c r="IP10" t="n">
        <v>-2.13</v>
      </c>
      <c r="IQ10" t="n">
        <v>-1.043</v>
      </c>
      <c r="IR10" t="n">
        <v>-20.087</v>
      </c>
      <c r="IS10" t="n">
        <v>-22.913</v>
      </c>
      <c r="IT10" t="n">
        <v>0.13</v>
      </c>
      <c r="IU10" t="n">
        <v>-7.87</v>
      </c>
      <c r="IV10" t="n">
        <v>0.08699999999999999</v>
      </c>
      <c r="IW10" t="n">
        <v>-0.87</v>
      </c>
      <c r="IX10" t="n">
        <v>0.043</v>
      </c>
      <c r="IY10" t="n">
        <v>4.826</v>
      </c>
      <c r="IZ10" t="n">
        <v>-0.08699999999999999</v>
      </c>
    </row>
    <row r="11">
      <c r="A11" t="inlineStr">
        <is>
          <t>Melbourne</t>
        </is>
      </c>
      <c r="B11" t="inlineStr">
        <is>
          <t>Melb</t>
        </is>
      </c>
      <c r="C11" t="n">
        <v>25</v>
      </c>
      <c r="D11" t="n">
        <v>34</v>
      </c>
      <c r="E11" t="n">
        <v>26.072</v>
      </c>
      <c r="F11" t="n">
        <v>116.468</v>
      </c>
      <c r="G11" t="n">
        <v>215.792</v>
      </c>
      <c r="H11" t="n">
        <v>1690.88</v>
      </c>
      <c r="I11" t="n">
        <v>1540.08</v>
      </c>
      <c r="J11" t="n">
        <v>18</v>
      </c>
      <c r="K11" t="n">
        <v>53.858</v>
      </c>
      <c r="L11" t="n">
        <v>214.32</v>
      </c>
      <c r="M11" t="n">
        <v>153</v>
      </c>
      <c r="N11" t="n">
        <v>367.32</v>
      </c>
      <c r="O11" t="n">
        <v>70.761</v>
      </c>
      <c r="P11" t="n">
        <v>63.457</v>
      </c>
      <c r="Q11" t="n">
        <v>80.99299999999999</v>
      </c>
      <c r="R11" t="n">
        <v>58.347</v>
      </c>
      <c r="S11" t="n">
        <v>5.979</v>
      </c>
      <c r="T11" t="n">
        <v>58.4</v>
      </c>
      <c r="U11" t="n">
        <v>38.48</v>
      </c>
      <c r="V11" t="n">
        <v>77.706</v>
      </c>
      <c r="W11" t="n">
        <v>6079.24</v>
      </c>
      <c r="X11" t="n">
        <v>16.55</v>
      </c>
      <c r="Y11" t="n">
        <v>58.6</v>
      </c>
      <c r="Z11" t="n">
        <v>6.268</v>
      </c>
      <c r="AA11" t="n">
        <v>74.8</v>
      </c>
      <c r="AB11" t="n">
        <v>4.911</v>
      </c>
      <c r="AC11" t="n">
        <v>-0.255</v>
      </c>
      <c r="AD11" t="n">
        <v>-1.024</v>
      </c>
      <c r="AE11" t="n">
        <v>146.36</v>
      </c>
      <c r="AF11" t="n">
        <v>215.84</v>
      </c>
      <c r="AG11" t="n">
        <v>362.2</v>
      </c>
      <c r="AH11" t="n">
        <v>40.409</v>
      </c>
      <c r="AI11" t="n">
        <v>77.76000000000001</v>
      </c>
      <c r="AJ11" t="n">
        <v>99.40000000000001</v>
      </c>
      <c r="AK11" t="n">
        <v>18.24</v>
      </c>
      <c r="AL11" t="n">
        <v>28.24</v>
      </c>
      <c r="AM11" t="n">
        <v>71.12</v>
      </c>
      <c r="AN11" t="n">
        <v>95.76000000000001</v>
      </c>
      <c r="AO11" t="n">
        <v>70.28</v>
      </c>
      <c r="AP11" t="n">
        <v>11.12</v>
      </c>
      <c r="AQ11" t="n">
        <v>28.24</v>
      </c>
      <c r="AR11" t="n">
        <v>120.04</v>
      </c>
      <c r="AS11" t="n">
        <v>12.12</v>
      </c>
      <c r="AT11" t="n">
        <v>25.68</v>
      </c>
      <c r="AU11" t="n">
        <v>37.8</v>
      </c>
      <c r="AV11" t="n">
        <v>41.72</v>
      </c>
      <c r="AW11" t="n">
        <v>75.839</v>
      </c>
      <c r="AX11" t="n">
        <v>83.64</v>
      </c>
      <c r="AY11" t="n">
        <v>10.6</v>
      </c>
      <c r="AZ11" t="n">
        <v>12.84</v>
      </c>
      <c r="BA11" t="n">
        <v>21.986</v>
      </c>
      <c r="BB11" t="n">
        <v>18.16</v>
      </c>
      <c r="BC11" t="n">
        <v>6.08</v>
      </c>
      <c r="BD11" t="n">
        <v>26</v>
      </c>
      <c r="BE11" t="n">
        <v>8.119999999999999</v>
      </c>
      <c r="BF11" t="n">
        <v>12.84</v>
      </c>
      <c r="BG11" t="n">
        <v>11.08</v>
      </c>
      <c r="BH11" t="n">
        <v>2.2</v>
      </c>
      <c r="BI11" t="n">
        <v>26.72</v>
      </c>
      <c r="BJ11" t="n">
        <v>8.84</v>
      </c>
      <c r="BK11" t="n">
        <v>48.054</v>
      </c>
      <c r="BL11" t="n">
        <v>21.986</v>
      </c>
      <c r="BM11" t="n">
        <v>40.959</v>
      </c>
      <c r="BN11" t="n">
        <v>45.753</v>
      </c>
      <c r="BO11" t="n">
        <v>23.64</v>
      </c>
      <c r="BP11" t="n">
        <v>12.88</v>
      </c>
      <c r="BQ11" t="n">
        <v>22.671</v>
      </c>
      <c r="BR11" t="n">
        <v>83.41</v>
      </c>
      <c r="BS11" t="n">
        <v>2.51</v>
      </c>
      <c r="BT11" t="n">
        <v>3.122</v>
      </c>
      <c r="BU11" t="n">
        <v>0.094</v>
      </c>
      <c r="BV11" t="n">
        <v>3.391</v>
      </c>
      <c r="BW11" t="n">
        <v>0.194</v>
      </c>
      <c r="BX11" t="n">
        <v>2.789</v>
      </c>
      <c r="BY11" t="n">
        <v>-0.03</v>
      </c>
      <c r="BZ11" t="n">
        <v>2.36</v>
      </c>
      <c r="CA11" t="n">
        <v>34.52</v>
      </c>
      <c r="CB11" t="n">
        <v>51.24</v>
      </c>
      <c r="CC11" t="n">
        <v>33.8</v>
      </c>
      <c r="CD11" t="n">
        <v>43.4</v>
      </c>
      <c r="CE11" t="n">
        <v>10.92</v>
      </c>
      <c r="CF11" t="n">
        <v>19.232</v>
      </c>
      <c r="CG11" t="n">
        <v>19.84</v>
      </c>
      <c r="CH11" t="n">
        <v>8.526</v>
      </c>
      <c r="CI11" t="n">
        <v>30.192</v>
      </c>
      <c r="CJ11" t="n">
        <v>12.154</v>
      </c>
      <c r="CK11" t="n">
        <v>15.84</v>
      </c>
      <c r="CL11" t="n">
        <v>19.444</v>
      </c>
      <c r="CM11" t="n">
        <v>61.2</v>
      </c>
      <c r="CN11" t="n">
        <v>12.16</v>
      </c>
      <c r="CO11" t="n">
        <v>300.16</v>
      </c>
      <c r="CP11" t="n">
        <v>131.96</v>
      </c>
      <c r="CQ11" t="n">
        <v>31.4</v>
      </c>
      <c r="CR11" t="n">
        <v>90.56</v>
      </c>
      <c r="CS11" t="n">
        <v>40.84</v>
      </c>
      <c r="CT11" t="n">
        <v>45.097</v>
      </c>
      <c r="CU11" t="n">
        <v>12.2</v>
      </c>
      <c r="CV11" t="n">
        <v>29.873</v>
      </c>
      <c r="CW11" t="n">
        <v>4.44</v>
      </c>
      <c r="CX11" t="n">
        <v>18.44</v>
      </c>
      <c r="CY11" t="n">
        <v>16.64</v>
      </c>
      <c r="CZ11" t="n">
        <v>1.8</v>
      </c>
      <c r="DA11" t="n">
        <v>9.199999999999999</v>
      </c>
      <c r="DB11" t="n">
        <v>86.52200000000001</v>
      </c>
      <c r="DC11" t="n">
        <v>2.56</v>
      </c>
      <c r="DD11" t="n">
        <v>47.04</v>
      </c>
      <c r="DE11" t="n">
        <v>70.56</v>
      </c>
      <c r="DF11" t="n">
        <v>197.772</v>
      </c>
      <c r="DG11" t="n">
        <v>1608.64</v>
      </c>
      <c r="DH11" t="n">
        <v>1494.2</v>
      </c>
      <c r="DI11" t="n">
        <v>12</v>
      </c>
      <c r="DJ11" t="n">
        <v>213.44</v>
      </c>
      <c r="DK11" t="n">
        <v>143</v>
      </c>
      <c r="DL11" t="n">
        <v>356.44</v>
      </c>
      <c r="DM11" t="n">
        <v>71.417</v>
      </c>
      <c r="DN11" t="n">
        <v>64.505</v>
      </c>
      <c r="DO11" t="n">
        <v>81.73399999999999</v>
      </c>
      <c r="DP11" t="n">
        <v>5.824</v>
      </c>
      <c r="DQ11" t="n">
        <v>49.52</v>
      </c>
      <c r="DR11" t="n">
        <v>44.64</v>
      </c>
      <c r="DS11" t="n">
        <v>76.438</v>
      </c>
      <c r="DT11" t="n">
        <v>5780.48</v>
      </c>
      <c r="DU11" t="n">
        <v>16.217</v>
      </c>
      <c r="DV11" t="n">
        <v>63.88</v>
      </c>
      <c r="DW11" t="n">
        <v>5.58</v>
      </c>
      <c r="DX11" t="n">
        <v>77.52</v>
      </c>
      <c r="DY11" t="n">
        <v>4.598</v>
      </c>
      <c r="DZ11" t="n">
        <v>-0.538</v>
      </c>
      <c r="EA11" t="n">
        <v>-2.165</v>
      </c>
      <c r="EB11" t="n">
        <v>135.96</v>
      </c>
      <c r="EC11" t="n">
        <v>211.88</v>
      </c>
      <c r="ED11" t="n">
        <v>347.84</v>
      </c>
      <c r="EE11" t="n">
        <v>39.087</v>
      </c>
      <c r="EF11" t="n">
        <v>75.08</v>
      </c>
      <c r="EG11" t="n">
        <v>95.64</v>
      </c>
      <c r="EH11" t="n">
        <v>13.84</v>
      </c>
      <c r="EI11" t="n">
        <v>26.08</v>
      </c>
      <c r="EJ11" t="n">
        <v>69.52</v>
      </c>
      <c r="EK11" t="n">
        <v>90.12</v>
      </c>
      <c r="EL11" t="n">
        <v>66.56</v>
      </c>
      <c r="EM11" t="n">
        <v>8.960000000000001</v>
      </c>
      <c r="EN11" t="n">
        <v>24.84</v>
      </c>
      <c r="EO11" t="n">
        <v>113.44</v>
      </c>
      <c r="EP11" t="n">
        <v>11.56</v>
      </c>
      <c r="EQ11" t="n">
        <v>24.2</v>
      </c>
      <c r="ER11" t="n">
        <v>35.76</v>
      </c>
      <c r="ES11" t="n">
        <v>38.16</v>
      </c>
      <c r="ET11" t="n">
        <v>76.41500000000001</v>
      </c>
      <c r="EU11" t="n">
        <v>86.95999999999999</v>
      </c>
      <c r="EV11" t="n">
        <v>9.4</v>
      </c>
      <c r="EW11" t="n">
        <v>10.2</v>
      </c>
      <c r="EX11" t="n">
        <v>20.598</v>
      </c>
      <c r="EY11" t="n">
        <v>16.84</v>
      </c>
      <c r="EZ11" t="n">
        <v>4.56</v>
      </c>
      <c r="FA11" t="n">
        <v>10.4</v>
      </c>
      <c r="FB11" t="n">
        <v>9.32</v>
      </c>
      <c r="FC11" t="n">
        <v>1.68</v>
      </c>
      <c r="FD11" t="n">
        <v>22.12</v>
      </c>
      <c r="FE11" t="n">
        <v>7.12</v>
      </c>
      <c r="FF11" t="n">
        <v>47.016</v>
      </c>
      <c r="FG11" t="n">
        <v>21.002</v>
      </c>
      <c r="FH11" t="n">
        <v>39.822</v>
      </c>
      <c r="FI11" t="n">
        <v>44.669</v>
      </c>
      <c r="FJ11" t="n">
        <v>19.36</v>
      </c>
      <c r="FK11" t="n">
        <v>69.855</v>
      </c>
      <c r="FL11" t="n">
        <v>0.185</v>
      </c>
      <c r="FM11" t="n">
        <v>3.158</v>
      </c>
      <c r="FN11" t="n">
        <v>0.008</v>
      </c>
      <c r="FO11" t="n">
        <v>3.368</v>
      </c>
      <c r="FP11" t="n">
        <v>0.025</v>
      </c>
      <c r="FQ11" t="n">
        <v>2.894</v>
      </c>
      <c r="FR11" t="n">
        <v>-0.013</v>
      </c>
      <c r="FS11" t="n">
        <v>2.24</v>
      </c>
      <c r="FT11" t="n">
        <v>28.4</v>
      </c>
      <c r="FU11" t="n">
        <v>41.08</v>
      </c>
      <c r="FV11" t="n">
        <v>24.76</v>
      </c>
      <c r="FW11" t="n">
        <v>37.92</v>
      </c>
      <c r="FX11" t="n">
        <v>9.039999999999999</v>
      </c>
      <c r="FY11" t="n">
        <v>16.291</v>
      </c>
      <c r="FZ11" t="n">
        <v>16.367</v>
      </c>
      <c r="GA11" t="n">
        <v>6.751</v>
      </c>
      <c r="GB11" t="n">
        <v>24.434</v>
      </c>
      <c r="GC11" t="n">
        <v>9.135</v>
      </c>
      <c r="GD11" t="n">
        <v>61.44</v>
      </c>
      <c r="GE11" t="n">
        <v>10.36</v>
      </c>
      <c r="GF11" t="n">
        <v>314.12</v>
      </c>
      <c r="GG11" t="n">
        <v>156.2</v>
      </c>
      <c r="GH11" t="n">
        <v>38.24</v>
      </c>
      <c r="GI11" t="n">
        <v>29.88</v>
      </c>
      <c r="GJ11" t="n">
        <v>32.966</v>
      </c>
      <c r="GK11" t="n">
        <v>9.76</v>
      </c>
      <c r="GL11" t="n">
        <v>32.664</v>
      </c>
      <c r="GM11" t="n">
        <v>2.28</v>
      </c>
      <c r="GN11" t="n">
        <v>10.72</v>
      </c>
      <c r="GO11" t="n">
        <v>87.687</v>
      </c>
      <c r="GP11" t="n">
        <v>4.56</v>
      </c>
      <c r="GQ11" t="n">
        <v>53.76</v>
      </c>
      <c r="GR11" t="n">
        <v>69.36</v>
      </c>
      <c r="GS11" t="n">
        <v>18.02</v>
      </c>
      <c r="GT11" t="n">
        <v>82.23999999999999</v>
      </c>
      <c r="GU11" t="n">
        <v>45.88</v>
      </c>
      <c r="GV11" t="n">
        <v>6</v>
      </c>
      <c r="GW11" t="n">
        <v>0.88</v>
      </c>
      <c r="GX11" t="n">
        <v>10</v>
      </c>
      <c r="GY11" t="n">
        <v>10.88</v>
      </c>
      <c r="GZ11" t="n">
        <v>8.880000000000001</v>
      </c>
      <c r="HA11" t="n">
        <v>298.76</v>
      </c>
      <c r="HB11" t="n">
        <v>-5.28</v>
      </c>
      <c r="HC11" t="n">
        <v>-2.72</v>
      </c>
      <c r="HD11" t="n">
        <v>0.283</v>
      </c>
      <c r="HE11" t="n">
        <v>1.141</v>
      </c>
      <c r="HF11" t="n">
        <v>10.4</v>
      </c>
      <c r="HG11" t="n">
        <v>3.96</v>
      </c>
      <c r="HH11" t="n">
        <v>14.36</v>
      </c>
      <c r="HI11" t="n">
        <v>2.68</v>
      </c>
      <c r="HJ11" t="n">
        <v>3.76</v>
      </c>
      <c r="HK11" t="n">
        <v>4.4</v>
      </c>
      <c r="HL11" t="n">
        <v>2.16</v>
      </c>
      <c r="HM11" t="n">
        <v>1.6</v>
      </c>
      <c r="HN11" t="n">
        <v>5.64</v>
      </c>
      <c r="HO11" t="n">
        <v>3.72</v>
      </c>
      <c r="HP11" t="n">
        <v>2.16</v>
      </c>
      <c r="HQ11" t="n">
        <v>3.4</v>
      </c>
      <c r="HR11" t="n">
        <v>6.6</v>
      </c>
      <c r="HS11" t="n">
        <v>0.5600000000000001</v>
      </c>
      <c r="HT11" t="n">
        <v>1.48</v>
      </c>
      <c r="HU11" t="n">
        <v>2.04</v>
      </c>
      <c r="HV11" t="n">
        <v>3.56</v>
      </c>
      <c r="HW11" t="n">
        <v>-3.32</v>
      </c>
      <c r="HX11" t="n">
        <v>1.2</v>
      </c>
      <c r="HY11" t="n">
        <v>2.64</v>
      </c>
      <c r="HZ11" t="n">
        <v>1.32</v>
      </c>
      <c r="IA11" t="n">
        <v>1.52</v>
      </c>
      <c r="IB11" t="n">
        <v>2.44</v>
      </c>
      <c r="IC11" t="n">
        <v>1.76</v>
      </c>
      <c r="ID11" t="n">
        <v>4.6</v>
      </c>
      <c r="IE11" t="n">
        <v>1.72</v>
      </c>
      <c r="IF11" t="n">
        <v>4.28</v>
      </c>
      <c r="IG11" t="n">
        <v>13.555</v>
      </c>
      <c r="IH11" t="n">
        <v>2.325</v>
      </c>
      <c r="II11" t="n">
        <v>-0.036</v>
      </c>
      <c r="IJ11" t="n">
        <v>0.12</v>
      </c>
      <c r="IK11" t="n">
        <v>6.12</v>
      </c>
      <c r="IL11" t="n">
        <v>10.16</v>
      </c>
      <c r="IM11" t="n">
        <v>9.039999999999999</v>
      </c>
      <c r="IN11" t="n">
        <v>5.48</v>
      </c>
      <c r="IO11" t="n">
        <v>1.88</v>
      </c>
      <c r="IP11" t="n">
        <v>-0.24</v>
      </c>
      <c r="IQ11" t="n">
        <v>1.8</v>
      </c>
      <c r="IR11" t="n">
        <v>-13.96</v>
      </c>
      <c r="IS11" t="n">
        <v>-24.24</v>
      </c>
      <c r="IT11" t="n">
        <v>-6.84</v>
      </c>
      <c r="IU11" t="n">
        <v>10.96</v>
      </c>
      <c r="IV11" t="n">
        <v>2.44</v>
      </c>
      <c r="IW11" t="n">
        <v>2.16</v>
      </c>
      <c r="IX11" t="n">
        <v>-2</v>
      </c>
      <c r="IY11" t="n">
        <v>-6.72</v>
      </c>
      <c r="IZ11" t="n">
        <v>1.2</v>
      </c>
    </row>
    <row r="12">
      <c r="A12" t="inlineStr">
        <is>
          <t>Gold Coast</t>
        </is>
      </c>
      <c r="B12" t="inlineStr">
        <is>
          <t>GC</t>
        </is>
      </c>
      <c r="C12" t="n">
        <v>23</v>
      </c>
      <c r="D12" t="n">
        <v>40</v>
      </c>
      <c r="E12" t="n">
        <v>25.32</v>
      </c>
      <c r="F12" t="n">
        <v>89.643</v>
      </c>
      <c r="G12" t="n">
        <v>201.03</v>
      </c>
      <c r="H12" t="n">
        <v>1603.391</v>
      </c>
      <c r="I12" t="n">
        <v>1493.522</v>
      </c>
      <c r="J12" t="n">
        <v>14.261</v>
      </c>
      <c r="K12" t="n">
        <v>49.425</v>
      </c>
      <c r="L12" t="n">
        <v>222.043</v>
      </c>
      <c r="M12" t="n">
        <v>119.783</v>
      </c>
      <c r="N12" t="n">
        <v>341.826</v>
      </c>
      <c r="O12" t="n">
        <v>70.694</v>
      </c>
      <c r="P12" t="n">
        <v>65.126</v>
      </c>
      <c r="Q12" t="n">
        <v>81.01600000000001</v>
      </c>
      <c r="R12" t="n">
        <v>64.958</v>
      </c>
      <c r="S12" t="n">
        <v>5.4</v>
      </c>
      <c r="T12" t="n">
        <v>51.826</v>
      </c>
      <c r="U12" t="n">
        <v>41.391</v>
      </c>
      <c r="V12" t="n">
        <v>75.736</v>
      </c>
      <c r="W12" t="n">
        <v>6021.652</v>
      </c>
      <c r="X12" t="n">
        <v>17.616</v>
      </c>
      <c r="Y12" t="n">
        <v>58.478</v>
      </c>
      <c r="Z12" t="n">
        <v>5.845</v>
      </c>
      <c r="AA12" t="n">
        <v>70.52200000000001</v>
      </c>
      <c r="AB12" t="n">
        <v>4.847</v>
      </c>
      <c r="AC12" t="n">
        <v>-0.308</v>
      </c>
      <c r="AD12" t="n">
        <v>-1.376</v>
      </c>
      <c r="AE12" t="n">
        <v>139.739</v>
      </c>
      <c r="AF12" t="n">
        <v>194.043</v>
      </c>
      <c r="AG12" t="n">
        <v>333.783</v>
      </c>
      <c r="AH12" t="n">
        <v>41.865</v>
      </c>
      <c r="AI12" t="n">
        <v>68.17400000000001</v>
      </c>
      <c r="AJ12" t="n">
        <v>94.696</v>
      </c>
      <c r="AK12" t="n">
        <v>17.391</v>
      </c>
      <c r="AL12" t="n">
        <v>28.739</v>
      </c>
      <c r="AM12" t="n">
        <v>65.95699999999999</v>
      </c>
      <c r="AN12" t="n">
        <v>87.565</v>
      </c>
      <c r="AO12" t="n">
        <v>64.261</v>
      </c>
      <c r="AP12" t="n">
        <v>11.783</v>
      </c>
      <c r="AQ12" t="n">
        <v>25.261</v>
      </c>
      <c r="AR12" t="n">
        <v>94.39100000000001</v>
      </c>
      <c r="AS12" t="n">
        <v>12.043</v>
      </c>
      <c r="AT12" t="n">
        <v>27.348</v>
      </c>
      <c r="AU12" t="n">
        <v>39.391</v>
      </c>
      <c r="AV12" t="n">
        <v>43.304</v>
      </c>
      <c r="AW12" t="n">
        <v>76.60599999999999</v>
      </c>
      <c r="AX12" t="n">
        <v>90.95699999999999</v>
      </c>
      <c r="AY12" t="n">
        <v>10.783</v>
      </c>
      <c r="AZ12" t="n">
        <v>10.696</v>
      </c>
      <c r="BA12" t="n">
        <v>20.638</v>
      </c>
      <c r="BB12" t="n">
        <v>16.391</v>
      </c>
      <c r="BC12" t="n">
        <v>6.957</v>
      </c>
      <c r="BD12" t="n">
        <v>27</v>
      </c>
      <c r="BE12" t="n">
        <v>7.261</v>
      </c>
      <c r="BF12" t="n">
        <v>11.522</v>
      </c>
      <c r="BG12" t="n">
        <v>10.826</v>
      </c>
      <c r="BH12" t="n">
        <v>2.348</v>
      </c>
      <c r="BI12" t="n">
        <v>24.435</v>
      </c>
      <c r="BJ12" t="n">
        <v>7.652</v>
      </c>
      <c r="BK12" t="n">
        <v>47.153</v>
      </c>
      <c r="BL12" t="n">
        <v>22.232</v>
      </c>
      <c r="BM12" t="n">
        <v>43.121</v>
      </c>
      <c r="BN12" t="n">
        <v>47.148</v>
      </c>
      <c r="BO12" t="n">
        <v>22.217</v>
      </c>
      <c r="BP12" t="n">
        <v>14.652</v>
      </c>
      <c r="BQ12" t="n">
        <v>22.849</v>
      </c>
      <c r="BR12" t="n">
        <v>79.23699999999999</v>
      </c>
      <c r="BS12" t="n">
        <v>-1.628</v>
      </c>
      <c r="BT12" t="n">
        <v>3.243</v>
      </c>
      <c r="BU12" t="n">
        <v>-0.067</v>
      </c>
      <c r="BV12" t="n">
        <v>3.63</v>
      </c>
      <c r="BW12" t="n">
        <v>-0.062</v>
      </c>
      <c r="BX12" t="n">
        <v>2.839</v>
      </c>
      <c r="BY12" t="n">
        <v>-0.07199999999999999</v>
      </c>
      <c r="BZ12" t="n">
        <v>4.174</v>
      </c>
      <c r="CA12" t="n">
        <v>33.087</v>
      </c>
      <c r="CB12" t="n">
        <v>42.696</v>
      </c>
      <c r="CC12" t="n">
        <v>31.435</v>
      </c>
      <c r="CD12" t="n">
        <v>38.696</v>
      </c>
      <c r="CE12" t="n">
        <v>9.826000000000001</v>
      </c>
      <c r="CF12" t="n">
        <v>19.13</v>
      </c>
      <c r="CG12" t="n">
        <v>21.465</v>
      </c>
      <c r="CH12" t="n">
        <v>8.461</v>
      </c>
      <c r="CI12" t="n">
        <v>29.538</v>
      </c>
      <c r="CJ12" t="n">
        <v>11.583</v>
      </c>
      <c r="CK12" t="n">
        <v>14.435</v>
      </c>
      <c r="CL12" t="n">
        <v>26.807</v>
      </c>
      <c r="CM12" t="n">
        <v>58.435</v>
      </c>
      <c r="CN12" t="n">
        <v>11.043</v>
      </c>
      <c r="CO12" t="n">
        <v>298.565</v>
      </c>
      <c r="CP12" t="n">
        <v>139.087</v>
      </c>
      <c r="CQ12" t="n">
        <v>33.696</v>
      </c>
      <c r="CR12" t="n">
        <v>95.217</v>
      </c>
      <c r="CS12" t="n">
        <v>43.478</v>
      </c>
      <c r="CT12" t="n">
        <v>45.662</v>
      </c>
      <c r="CU12" t="n">
        <v>13.087</v>
      </c>
      <c r="CV12" t="n">
        <v>30.1</v>
      </c>
      <c r="CW12" t="n">
        <v>3.522</v>
      </c>
      <c r="CX12" t="n">
        <v>16.478</v>
      </c>
      <c r="CY12" t="n">
        <v>18.87</v>
      </c>
      <c r="CZ12" t="n">
        <v>-2.391</v>
      </c>
      <c r="DA12" t="n">
        <v>10.435</v>
      </c>
      <c r="DB12" t="n">
        <v>86.667</v>
      </c>
      <c r="DC12" t="n">
        <v>4.304</v>
      </c>
      <c r="DD12" t="n">
        <v>47.13</v>
      </c>
      <c r="DE12" t="n">
        <v>71.47799999999999</v>
      </c>
      <c r="DF12" t="n">
        <v>212.317</v>
      </c>
      <c r="DG12" t="n">
        <v>1696.261</v>
      </c>
      <c r="DH12" t="n">
        <v>1560.391</v>
      </c>
      <c r="DI12" t="n">
        <v>15.739</v>
      </c>
      <c r="DJ12" t="n">
        <v>217.304</v>
      </c>
      <c r="DK12" t="n">
        <v>147.391</v>
      </c>
      <c r="DL12" t="n">
        <v>364.696</v>
      </c>
      <c r="DM12" t="n">
        <v>73.367</v>
      </c>
      <c r="DN12" t="n">
        <v>66.967</v>
      </c>
      <c r="DO12" t="n">
        <v>82.80200000000001</v>
      </c>
      <c r="DP12" t="n">
        <v>6.241</v>
      </c>
      <c r="DQ12" t="n">
        <v>54.652</v>
      </c>
      <c r="DR12" t="n">
        <v>39.565</v>
      </c>
      <c r="DS12" t="n">
        <v>76.342</v>
      </c>
      <c r="DT12" t="n">
        <v>6076.913</v>
      </c>
      <c r="DU12" t="n">
        <v>16.663</v>
      </c>
      <c r="DV12" t="n">
        <v>55.478</v>
      </c>
      <c r="DW12" t="n">
        <v>6.574</v>
      </c>
      <c r="DX12" t="n">
        <v>68.04300000000001</v>
      </c>
      <c r="DY12" t="n">
        <v>5.36</v>
      </c>
      <c r="DZ12" t="n">
        <v>-0.877</v>
      </c>
      <c r="EA12" t="n">
        <v>-0.545</v>
      </c>
      <c r="EB12" t="n">
        <v>137.348</v>
      </c>
      <c r="EC12" t="n">
        <v>219.435</v>
      </c>
      <c r="ED12" t="n">
        <v>356.783</v>
      </c>
      <c r="EE12" t="n">
        <v>38.496</v>
      </c>
      <c r="EF12" t="n">
        <v>70.87</v>
      </c>
      <c r="EG12" t="n">
        <v>94.652</v>
      </c>
      <c r="EH12" t="n">
        <v>14.913</v>
      </c>
      <c r="EI12" t="n">
        <v>27.609</v>
      </c>
      <c r="EJ12" t="n">
        <v>67.04300000000001</v>
      </c>
      <c r="EK12" t="n">
        <v>89.217</v>
      </c>
      <c r="EL12" t="n">
        <v>63.696</v>
      </c>
      <c r="EM12" t="n">
        <v>8.696</v>
      </c>
      <c r="EN12" t="n">
        <v>28.043</v>
      </c>
      <c r="EO12" t="n">
        <v>118.87</v>
      </c>
      <c r="EP12" t="n">
        <v>11.739</v>
      </c>
      <c r="EQ12" t="n">
        <v>25.13</v>
      </c>
      <c r="ER12" t="n">
        <v>36.87</v>
      </c>
      <c r="ES12" t="n">
        <v>40.043</v>
      </c>
      <c r="ET12" t="n">
        <v>76.982</v>
      </c>
      <c r="EU12" t="n">
        <v>90.82599999999999</v>
      </c>
      <c r="EV12" t="n">
        <v>10.87</v>
      </c>
      <c r="EW12" t="n">
        <v>12.522</v>
      </c>
      <c r="EX12" t="n">
        <v>22.912</v>
      </c>
      <c r="EY12" t="n">
        <v>16.783</v>
      </c>
      <c r="EZ12" t="n">
        <v>8.957000000000001</v>
      </c>
      <c r="FA12" t="n">
        <v>12.783</v>
      </c>
      <c r="FB12" t="n">
        <v>10.522</v>
      </c>
      <c r="FC12" t="n">
        <v>2.087</v>
      </c>
      <c r="FD12" t="n">
        <v>26.304</v>
      </c>
      <c r="FE12" t="n">
        <v>9.173999999999999</v>
      </c>
      <c r="FF12" t="n">
        <v>48.595</v>
      </c>
      <c r="FG12" t="n">
        <v>23.389</v>
      </c>
      <c r="FH12" t="n">
        <v>42.641</v>
      </c>
      <c r="FI12" t="n">
        <v>48.13</v>
      </c>
      <c r="FJ12" t="n">
        <v>23.087</v>
      </c>
      <c r="FK12" t="n">
        <v>86.917</v>
      </c>
      <c r="FL12" t="n">
        <v>-1.787</v>
      </c>
      <c r="FM12" t="n">
        <v>3.304</v>
      </c>
      <c r="FN12" t="n">
        <v>-0.068</v>
      </c>
      <c r="FO12" t="n">
        <v>3.584</v>
      </c>
      <c r="FP12" t="n">
        <v>-0.125</v>
      </c>
      <c r="FQ12" t="n">
        <v>2.966</v>
      </c>
      <c r="FR12" t="n">
        <v>0.001</v>
      </c>
      <c r="FS12" t="n">
        <v>1.87</v>
      </c>
      <c r="FT12" t="n">
        <v>33.13</v>
      </c>
      <c r="FU12" t="n">
        <v>52.217</v>
      </c>
      <c r="FV12" t="n">
        <v>31.087</v>
      </c>
      <c r="FW12" t="n">
        <v>44.391</v>
      </c>
      <c r="FX12" t="n">
        <v>11.739</v>
      </c>
      <c r="FY12" t="n">
        <v>19.858</v>
      </c>
      <c r="FZ12" t="n">
        <v>23.479</v>
      </c>
      <c r="GA12" t="n">
        <v>8.965</v>
      </c>
      <c r="GB12" t="n">
        <v>31.572</v>
      </c>
      <c r="GC12" t="n">
        <v>12.134</v>
      </c>
      <c r="GD12" t="n">
        <v>63.304</v>
      </c>
      <c r="GE12" t="n">
        <v>10.696</v>
      </c>
      <c r="GF12" t="n">
        <v>279.348</v>
      </c>
      <c r="GG12" t="n">
        <v>132.609</v>
      </c>
      <c r="GH12" t="n">
        <v>35.913</v>
      </c>
      <c r="GI12" t="n">
        <v>33.304</v>
      </c>
      <c r="GJ12" t="n">
        <v>35.009</v>
      </c>
      <c r="GK12" t="n">
        <v>9.522</v>
      </c>
      <c r="GL12" t="n">
        <v>28.59</v>
      </c>
      <c r="GM12" t="n">
        <v>2.565</v>
      </c>
      <c r="GN12" t="n">
        <v>10.522</v>
      </c>
      <c r="GO12" t="n">
        <v>82.645</v>
      </c>
      <c r="GP12" t="n">
        <v>7.739</v>
      </c>
      <c r="GQ12" t="n">
        <v>49</v>
      </c>
      <c r="GR12" t="n">
        <v>73.435</v>
      </c>
      <c r="GS12" t="n">
        <v>-11.287</v>
      </c>
      <c r="GT12" t="n">
        <v>-92.87</v>
      </c>
      <c r="GU12" t="n">
        <v>-66.87</v>
      </c>
      <c r="GV12" t="n">
        <v>-1.478</v>
      </c>
      <c r="GW12" t="n">
        <v>4.739</v>
      </c>
      <c r="GX12" t="n">
        <v>-27.609</v>
      </c>
      <c r="GY12" t="n">
        <v>-22.87</v>
      </c>
      <c r="GZ12" t="n">
        <v>-2.826</v>
      </c>
      <c r="HA12" t="n">
        <v>-55.261</v>
      </c>
      <c r="HB12" t="n">
        <v>3</v>
      </c>
      <c r="HC12" t="n">
        <v>2.478</v>
      </c>
      <c r="HD12" t="n">
        <v>0.569</v>
      </c>
      <c r="HE12" t="n">
        <v>-0.831</v>
      </c>
      <c r="HF12" t="n">
        <v>2.391</v>
      </c>
      <c r="HG12" t="n">
        <v>-25.391</v>
      </c>
      <c r="HH12" t="n">
        <v>-23</v>
      </c>
      <c r="HI12" t="n">
        <v>-2.696</v>
      </c>
      <c r="HJ12" t="n">
        <v>0.043</v>
      </c>
      <c r="HK12" t="n">
        <v>2.478</v>
      </c>
      <c r="HL12" t="n">
        <v>1.13</v>
      </c>
      <c r="HM12" t="n">
        <v>-1.087</v>
      </c>
      <c r="HN12" t="n">
        <v>-1.652</v>
      </c>
      <c r="HO12" t="n">
        <v>0.5649999999999999</v>
      </c>
      <c r="HP12" t="n">
        <v>3.087</v>
      </c>
      <c r="HQ12" t="n">
        <v>-2.783</v>
      </c>
      <c r="HR12" t="n">
        <v>-24.478</v>
      </c>
      <c r="HS12" t="n">
        <v>0.304</v>
      </c>
      <c r="HT12" t="n">
        <v>2.217</v>
      </c>
      <c r="HU12" t="n">
        <v>2.522</v>
      </c>
      <c r="HV12" t="n">
        <v>3.261</v>
      </c>
      <c r="HW12" t="n">
        <v>0.13</v>
      </c>
      <c r="HX12" t="n">
        <v>-0.08699999999999999</v>
      </c>
      <c r="HY12" t="n">
        <v>-1.826</v>
      </c>
      <c r="HZ12" t="n">
        <v>-0.391</v>
      </c>
      <c r="IA12" t="n">
        <v>-2</v>
      </c>
      <c r="IB12" t="n">
        <v>-1.261</v>
      </c>
      <c r="IC12" t="n">
        <v>0.304</v>
      </c>
      <c r="ID12" t="n">
        <v>-1.87</v>
      </c>
      <c r="IE12" t="n">
        <v>-1.522</v>
      </c>
      <c r="IF12" t="n">
        <v>-0.87</v>
      </c>
      <c r="IG12" t="n">
        <v>-7.68</v>
      </c>
      <c r="IH12" t="n">
        <v>0.158</v>
      </c>
      <c r="II12" t="n">
        <v>-0.061</v>
      </c>
      <c r="IJ12" t="n">
        <v>2.304</v>
      </c>
      <c r="IK12" t="n">
        <v>-0.043</v>
      </c>
      <c r="IL12" t="n">
        <v>-9.522</v>
      </c>
      <c r="IM12" t="n">
        <v>0.348</v>
      </c>
      <c r="IN12" t="n">
        <v>-5.696</v>
      </c>
      <c r="IO12" t="n">
        <v>-1.913</v>
      </c>
      <c r="IP12" t="n">
        <v>-4.87</v>
      </c>
      <c r="IQ12" t="n">
        <v>0.348</v>
      </c>
      <c r="IR12" t="n">
        <v>19.217</v>
      </c>
      <c r="IS12" t="n">
        <v>6.478</v>
      </c>
      <c r="IT12" t="n">
        <v>-2.217</v>
      </c>
      <c r="IU12" t="n">
        <v>10.174</v>
      </c>
      <c r="IV12" t="n">
        <v>3.565</v>
      </c>
      <c r="IW12" t="n">
        <v>0.957</v>
      </c>
      <c r="IX12" t="n">
        <v>-3.435</v>
      </c>
      <c r="IY12" t="n">
        <v>-1.87</v>
      </c>
      <c r="IZ12" t="n">
        <v>-1.957</v>
      </c>
    </row>
    <row r="13">
      <c r="A13" t="inlineStr">
        <is>
          <t>Sydney</t>
        </is>
      </c>
      <c r="B13" t="inlineStr">
        <is>
          <t>Syd</t>
        </is>
      </c>
      <c r="C13" t="n">
        <v>24</v>
      </c>
      <c r="D13" t="n">
        <v>36</v>
      </c>
      <c r="E13" t="n">
        <v>25.516</v>
      </c>
      <c r="F13" t="n">
        <v>106.507</v>
      </c>
      <c r="G13" t="n">
        <v>215.033</v>
      </c>
      <c r="H13" t="n">
        <v>1667.708</v>
      </c>
      <c r="I13" t="n">
        <v>1533.792</v>
      </c>
      <c r="J13" t="n">
        <v>14.917</v>
      </c>
      <c r="K13" t="n">
        <v>49.486</v>
      </c>
      <c r="L13" t="n">
        <v>214.625</v>
      </c>
      <c r="M13" t="n">
        <v>144.375</v>
      </c>
      <c r="N13" t="n">
        <v>359</v>
      </c>
      <c r="O13" t="n">
        <v>72.307</v>
      </c>
      <c r="P13" t="n">
        <v>65.133</v>
      </c>
      <c r="Q13" t="n">
        <v>82.973</v>
      </c>
      <c r="R13" t="n">
        <v>59.784</v>
      </c>
      <c r="S13" t="n">
        <v>5.617</v>
      </c>
      <c r="T13" t="n">
        <v>53.458</v>
      </c>
      <c r="U13" t="n">
        <v>41.917</v>
      </c>
      <c r="V13" t="n">
        <v>76.911</v>
      </c>
      <c r="W13" t="n">
        <v>5820.542</v>
      </c>
      <c r="X13" t="n">
        <v>16.213</v>
      </c>
      <c r="Y13" t="n">
        <v>59.25</v>
      </c>
      <c r="Z13" t="n">
        <v>6.059</v>
      </c>
      <c r="AA13" t="n">
        <v>71.042</v>
      </c>
      <c r="AB13" t="n">
        <v>5.053</v>
      </c>
      <c r="AC13" t="n">
        <v>0.302</v>
      </c>
      <c r="AD13" t="n">
        <v>0.639</v>
      </c>
      <c r="AE13" t="n">
        <v>139.25</v>
      </c>
      <c r="AF13" t="n">
        <v>212.167</v>
      </c>
      <c r="AG13" t="n">
        <v>351.417</v>
      </c>
      <c r="AH13" t="n">
        <v>39.625</v>
      </c>
      <c r="AI13" t="n">
        <v>71.625</v>
      </c>
      <c r="AJ13" t="n">
        <v>99.708</v>
      </c>
      <c r="AK13" t="n">
        <v>16.042</v>
      </c>
      <c r="AL13" t="n">
        <v>30.5</v>
      </c>
      <c r="AM13" t="n">
        <v>69.208</v>
      </c>
      <c r="AN13" t="n">
        <v>90.708</v>
      </c>
      <c r="AO13" t="n">
        <v>65.875</v>
      </c>
      <c r="AP13" t="n">
        <v>6.583</v>
      </c>
      <c r="AQ13" t="n">
        <v>26.375</v>
      </c>
      <c r="AR13" t="n">
        <v>116</v>
      </c>
      <c r="AS13" t="n">
        <v>11.625</v>
      </c>
      <c r="AT13" t="n">
        <v>24.667</v>
      </c>
      <c r="AU13" t="n">
        <v>36.292</v>
      </c>
      <c r="AV13" t="n">
        <v>38.417</v>
      </c>
      <c r="AW13" t="n">
        <v>75.922</v>
      </c>
      <c r="AX13" t="n">
        <v>84.917</v>
      </c>
      <c r="AY13" t="n">
        <v>10.333</v>
      </c>
      <c r="AZ13" t="n">
        <v>11.792</v>
      </c>
      <c r="BA13" t="n">
        <v>22.058</v>
      </c>
      <c r="BB13" t="n">
        <v>14</v>
      </c>
      <c r="BC13" t="n">
        <v>5.958</v>
      </c>
      <c r="BD13" t="n">
        <v>28</v>
      </c>
      <c r="BE13" t="n">
        <v>8</v>
      </c>
      <c r="BF13" t="n">
        <v>12.833</v>
      </c>
      <c r="BG13" t="n">
        <v>11.25</v>
      </c>
      <c r="BH13" t="n">
        <v>2.083</v>
      </c>
      <c r="BI13" t="n">
        <v>26.458</v>
      </c>
      <c r="BJ13" t="n">
        <v>8.75</v>
      </c>
      <c r="BK13" t="n">
        <v>48.504</v>
      </c>
      <c r="BL13" t="n">
        <v>24.006</v>
      </c>
      <c r="BM13" t="n">
        <v>45.051</v>
      </c>
      <c r="BN13" t="n">
        <v>49.493</v>
      </c>
      <c r="BO13" t="n">
        <v>23.958</v>
      </c>
      <c r="BP13" t="n">
        <v>13.792</v>
      </c>
      <c r="BQ13" t="n">
        <v>21.45</v>
      </c>
      <c r="BR13" t="n">
        <v>86.042</v>
      </c>
      <c r="BS13" t="n">
        <v>0.125</v>
      </c>
      <c r="BT13" t="n">
        <v>3.252</v>
      </c>
      <c r="BU13" t="n">
        <v>0.005</v>
      </c>
      <c r="BV13" t="n">
        <v>3.557</v>
      </c>
      <c r="BW13" t="n">
        <v>-0.026</v>
      </c>
      <c r="BX13" t="n">
        <v>2.919</v>
      </c>
      <c r="BY13" t="n">
        <v>0.038</v>
      </c>
      <c r="BZ13" t="n">
        <v>3.042</v>
      </c>
      <c r="CA13" t="n">
        <v>32.542</v>
      </c>
      <c r="CB13" t="n">
        <v>52.667</v>
      </c>
      <c r="CC13" t="n">
        <v>32.292</v>
      </c>
      <c r="CD13" t="n">
        <v>43.875</v>
      </c>
      <c r="CE13" t="n">
        <v>12.083</v>
      </c>
      <c r="CF13" t="n">
        <v>20.7</v>
      </c>
      <c r="CG13" t="n">
        <v>21.456</v>
      </c>
      <c r="CH13" t="n">
        <v>9.047000000000001</v>
      </c>
      <c r="CI13" t="n">
        <v>29.415</v>
      </c>
      <c r="CJ13" t="n">
        <v>12.559</v>
      </c>
      <c r="CK13" t="n">
        <v>10.667</v>
      </c>
      <c r="CL13" t="n">
        <v>24.219</v>
      </c>
      <c r="CM13" t="n">
        <v>66.833</v>
      </c>
      <c r="CN13" t="n">
        <v>11.292</v>
      </c>
      <c r="CO13" t="n">
        <v>312.083</v>
      </c>
      <c r="CP13" t="n">
        <v>151.833</v>
      </c>
      <c r="CQ13" t="n">
        <v>37.375</v>
      </c>
      <c r="CR13" t="n">
        <v>93.958</v>
      </c>
      <c r="CS13" t="n">
        <v>31.625</v>
      </c>
      <c r="CT13" t="n">
        <v>33.659</v>
      </c>
      <c r="CU13" t="n">
        <v>7</v>
      </c>
      <c r="CV13" t="n">
        <v>22.134</v>
      </c>
      <c r="CW13" t="n">
        <v>1.792</v>
      </c>
      <c r="CX13" t="n">
        <v>18.917</v>
      </c>
      <c r="CY13" t="n">
        <v>19.208</v>
      </c>
      <c r="CZ13" t="n">
        <v>-0.292</v>
      </c>
      <c r="DA13" t="n">
        <v>10.125</v>
      </c>
      <c r="DB13" t="n">
        <v>91.77</v>
      </c>
      <c r="DC13" t="n">
        <v>6.042</v>
      </c>
      <c r="DD13" t="n">
        <v>51.75</v>
      </c>
      <c r="DE13" t="n">
        <v>69.333</v>
      </c>
      <c r="DF13" t="n">
        <v>206.675</v>
      </c>
      <c r="DG13" t="n">
        <v>1632.25</v>
      </c>
      <c r="DH13" t="n">
        <v>1496.917</v>
      </c>
      <c r="DI13" t="n">
        <v>15.083</v>
      </c>
      <c r="DJ13" t="n">
        <v>209.917</v>
      </c>
      <c r="DK13" t="n">
        <v>146.833</v>
      </c>
      <c r="DL13" t="n">
        <v>356.75</v>
      </c>
      <c r="DM13" t="n">
        <v>70.544</v>
      </c>
      <c r="DN13" t="n">
        <v>63.12</v>
      </c>
      <c r="DO13" t="n">
        <v>81.158</v>
      </c>
      <c r="DP13" t="n">
        <v>5.338</v>
      </c>
      <c r="DQ13" t="n">
        <v>54.5</v>
      </c>
      <c r="DR13" t="n">
        <v>40.042</v>
      </c>
      <c r="DS13" t="n">
        <v>74.90300000000001</v>
      </c>
      <c r="DT13" t="n">
        <v>5616.667</v>
      </c>
      <c r="DU13" t="n">
        <v>15.744</v>
      </c>
      <c r="DV13" t="n">
        <v>58.125</v>
      </c>
      <c r="DW13" t="n">
        <v>6.138</v>
      </c>
      <c r="DX13" t="n">
        <v>71.417</v>
      </c>
      <c r="DY13" t="n">
        <v>4.995</v>
      </c>
      <c r="DZ13" t="n">
        <v>-2.412</v>
      </c>
      <c r="EA13" t="n">
        <v>-2.828</v>
      </c>
      <c r="EB13" t="n">
        <v>143.667</v>
      </c>
      <c r="EC13" t="n">
        <v>205.875</v>
      </c>
      <c r="ED13" t="n">
        <v>349.542</v>
      </c>
      <c r="EE13" t="n">
        <v>41.101</v>
      </c>
      <c r="EF13" t="n">
        <v>71.167</v>
      </c>
      <c r="EG13" t="n">
        <v>97.583</v>
      </c>
      <c r="EH13" t="n">
        <v>17.042</v>
      </c>
      <c r="EI13" t="n">
        <v>29.792</v>
      </c>
      <c r="EJ13" t="n">
        <v>67.625</v>
      </c>
      <c r="EK13" t="n">
        <v>91.083</v>
      </c>
      <c r="EL13" t="n">
        <v>65.292</v>
      </c>
      <c r="EM13" t="n">
        <v>10.25</v>
      </c>
      <c r="EN13" t="n">
        <v>25.375</v>
      </c>
      <c r="EO13" t="n">
        <v>115.042</v>
      </c>
      <c r="EP13" t="n">
        <v>13.167</v>
      </c>
      <c r="EQ13" t="n">
        <v>26.75</v>
      </c>
      <c r="ER13" t="n">
        <v>39.917</v>
      </c>
      <c r="ES13" t="n">
        <v>43.333</v>
      </c>
      <c r="ET13" t="n">
        <v>75.962</v>
      </c>
      <c r="EU13" t="n">
        <v>77.25</v>
      </c>
      <c r="EV13" t="n">
        <v>9.708</v>
      </c>
      <c r="EW13" t="n">
        <v>10.792</v>
      </c>
      <c r="EX13" t="n">
        <v>19.801</v>
      </c>
      <c r="EY13" t="n">
        <v>14.958</v>
      </c>
      <c r="EZ13" t="n">
        <v>6.5</v>
      </c>
      <c r="FA13" t="n">
        <v>11.75</v>
      </c>
      <c r="FB13" t="n">
        <v>10.208</v>
      </c>
      <c r="FC13" t="n">
        <v>2.208</v>
      </c>
      <c r="FD13" t="n">
        <v>24.875</v>
      </c>
      <c r="FE13" t="n">
        <v>8</v>
      </c>
      <c r="FF13" t="n">
        <v>47.236</v>
      </c>
      <c r="FG13" t="n">
        <v>21.56</v>
      </c>
      <c r="FH13" t="n">
        <v>40.291</v>
      </c>
      <c r="FI13" t="n">
        <v>45.642</v>
      </c>
      <c r="FJ13" t="n">
        <v>21.708</v>
      </c>
      <c r="FK13" t="n">
        <v>79.071</v>
      </c>
      <c r="FL13" t="n">
        <v>-0.571</v>
      </c>
      <c r="FM13" t="n">
        <v>3.179</v>
      </c>
      <c r="FN13" t="n">
        <v>-0.023</v>
      </c>
      <c r="FO13" t="n">
        <v>3.54</v>
      </c>
      <c r="FP13" t="n">
        <v>-0.042</v>
      </c>
      <c r="FQ13" t="n">
        <v>2.791</v>
      </c>
      <c r="FR13" t="n">
        <v>-0.003</v>
      </c>
      <c r="FS13" t="n">
        <v>2.125</v>
      </c>
      <c r="FT13" t="n">
        <v>33.667</v>
      </c>
      <c r="FU13" t="n">
        <v>44.917</v>
      </c>
      <c r="FV13" t="n">
        <v>25.917</v>
      </c>
      <c r="FW13" t="n">
        <v>43.75</v>
      </c>
      <c r="FX13" t="n">
        <v>11.042</v>
      </c>
      <c r="FY13" t="n">
        <v>18.131</v>
      </c>
      <c r="FZ13" t="n">
        <v>17.467</v>
      </c>
      <c r="GA13" t="n">
        <v>6.231</v>
      </c>
      <c r="GB13" t="n">
        <v>27.586</v>
      </c>
      <c r="GC13" t="n">
        <v>9.94</v>
      </c>
      <c r="GD13" t="n">
        <v>63.917</v>
      </c>
      <c r="GE13" t="n">
        <v>13.625</v>
      </c>
      <c r="GF13" t="n">
        <v>298.958</v>
      </c>
      <c r="GG13" t="n">
        <v>132.625</v>
      </c>
      <c r="GH13" t="n">
        <v>33.583</v>
      </c>
      <c r="GI13" t="n">
        <v>44.25</v>
      </c>
      <c r="GJ13" t="n">
        <v>47.054</v>
      </c>
      <c r="GK13" t="n">
        <v>11.75</v>
      </c>
      <c r="GL13" t="n">
        <v>26.554</v>
      </c>
      <c r="GM13" t="n">
        <v>3.125</v>
      </c>
      <c r="GN13" t="n">
        <v>11.042</v>
      </c>
      <c r="GO13" t="n">
        <v>87.925</v>
      </c>
      <c r="GP13" t="n">
        <v>4.083</v>
      </c>
      <c r="GQ13" t="n">
        <v>50.042</v>
      </c>
      <c r="GR13" t="n">
        <v>70.375</v>
      </c>
      <c r="GS13" t="n">
        <v>8.358000000000001</v>
      </c>
      <c r="GT13" t="n">
        <v>35.458</v>
      </c>
      <c r="GU13" t="n">
        <v>36.875</v>
      </c>
      <c r="GV13" t="n">
        <v>-0.167</v>
      </c>
      <c r="GW13" t="n">
        <v>4.708</v>
      </c>
      <c r="GX13" t="n">
        <v>-2.458</v>
      </c>
      <c r="GY13" t="n">
        <v>2.25</v>
      </c>
      <c r="GZ13" t="n">
        <v>-1.042</v>
      </c>
      <c r="HA13" t="n">
        <v>203.875</v>
      </c>
      <c r="HB13" t="n">
        <v>1.125</v>
      </c>
      <c r="HC13" t="n">
        <v>-0.375</v>
      </c>
      <c r="HD13" t="n">
        <v>2.713</v>
      </c>
      <c r="HE13" t="n">
        <v>3.466</v>
      </c>
      <c r="HF13" t="n">
        <v>-4.417</v>
      </c>
      <c r="HG13" t="n">
        <v>6.292</v>
      </c>
      <c r="HH13" t="n">
        <v>1.875</v>
      </c>
      <c r="HI13" t="n">
        <v>0.458</v>
      </c>
      <c r="HJ13" t="n">
        <v>2.125</v>
      </c>
      <c r="HK13" t="n">
        <v>-1</v>
      </c>
      <c r="HL13" t="n">
        <v>0.708</v>
      </c>
      <c r="HM13" t="n">
        <v>1.583</v>
      </c>
      <c r="HN13" t="n">
        <v>-0.375</v>
      </c>
      <c r="HO13" t="n">
        <v>0.583</v>
      </c>
      <c r="HP13" t="n">
        <v>-3.667</v>
      </c>
      <c r="HQ13" t="n">
        <v>1</v>
      </c>
      <c r="HR13" t="n">
        <v>0.958</v>
      </c>
      <c r="HS13" t="n">
        <v>-1.542</v>
      </c>
      <c r="HT13" t="n">
        <v>-2.083</v>
      </c>
      <c r="HU13" t="n">
        <v>-3.625</v>
      </c>
      <c r="HV13" t="n">
        <v>-4.917</v>
      </c>
      <c r="HW13" t="n">
        <v>7.667</v>
      </c>
      <c r="HX13" t="n">
        <v>0.625</v>
      </c>
      <c r="HY13" t="n">
        <v>1</v>
      </c>
      <c r="HZ13" t="n">
        <v>-0.958</v>
      </c>
      <c r="IA13" t="n">
        <v>-0.542</v>
      </c>
      <c r="IB13" t="n">
        <v>1.083</v>
      </c>
      <c r="IC13" t="n">
        <v>1.042</v>
      </c>
      <c r="ID13" t="n">
        <v>1.583</v>
      </c>
      <c r="IE13" t="n">
        <v>0.75</v>
      </c>
      <c r="IF13" t="n">
        <v>2.25</v>
      </c>
      <c r="IG13" t="n">
        <v>6.97</v>
      </c>
      <c r="IH13" t="n">
        <v>0.696</v>
      </c>
      <c r="II13" t="n">
        <v>0.073</v>
      </c>
      <c r="IJ13" t="n">
        <v>0.917</v>
      </c>
      <c r="IK13" t="n">
        <v>-1.125</v>
      </c>
      <c r="IL13" t="n">
        <v>7.75</v>
      </c>
      <c r="IM13" t="n">
        <v>6.375</v>
      </c>
      <c r="IN13" t="n">
        <v>0.125</v>
      </c>
      <c r="IO13" t="n">
        <v>1.042</v>
      </c>
      <c r="IP13" t="n">
        <v>2.917</v>
      </c>
      <c r="IQ13" t="n">
        <v>-2.333</v>
      </c>
      <c r="IR13" t="n">
        <v>13.125</v>
      </c>
      <c r="IS13" t="n">
        <v>19.208</v>
      </c>
      <c r="IT13" t="n">
        <v>3.792</v>
      </c>
      <c r="IU13" t="n">
        <v>-12.625</v>
      </c>
      <c r="IV13" t="n">
        <v>-4.75</v>
      </c>
      <c r="IW13" t="n">
        <v>-1.333</v>
      </c>
      <c r="IX13" t="n">
        <v>1.958</v>
      </c>
      <c r="IY13" t="n">
        <v>1.708</v>
      </c>
      <c r="IZ13" t="n">
        <v>-1.042</v>
      </c>
    </row>
    <row r="14">
      <c r="A14" t="inlineStr">
        <is>
          <t>Adelaide</t>
        </is>
      </c>
      <c r="B14" t="inlineStr">
        <is>
          <t>Adel</t>
        </is>
      </c>
      <c r="C14" t="n">
        <v>23</v>
      </c>
      <c r="D14" t="n">
        <v>37</v>
      </c>
      <c r="E14" t="n">
        <v>24.819</v>
      </c>
      <c r="F14" t="n">
        <v>83.009</v>
      </c>
      <c r="G14" t="n">
        <v>215.578</v>
      </c>
      <c r="H14" t="n">
        <v>1709.739</v>
      </c>
      <c r="I14" t="n">
        <v>1576.435</v>
      </c>
      <c r="J14" t="n">
        <v>16.261</v>
      </c>
      <c r="K14" t="n">
        <v>51.888</v>
      </c>
      <c r="L14" t="n">
        <v>218.261</v>
      </c>
      <c r="M14" t="n">
        <v>145.565</v>
      </c>
      <c r="N14" t="n">
        <v>363.826</v>
      </c>
      <c r="O14" t="n">
        <v>73.09999999999999</v>
      </c>
      <c r="P14" t="n">
        <v>66.53400000000001</v>
      </c>
      <c r="Q14" t="n">
        <v>82.94499999999999</v>
      </c>
      <c r="R14" t="n">
        <v>59.99</v>
      </c>
      <c r="S14" t="n">
        <v>5.627</v>
      </c>
      <c r="T14" t="n">
        <v>54.652</v>
      </c>
      <c r="U14" t="n">
        <v>39.391</v>
      </c>
      <c r="V14" t="n">
        <v>75.879</v>
      </c>
      <c r="W14" t="n">
        <v>6068.348</v>
      </c>
      <c r="X14" t="n">
        <v>16.679</v>
      </c>
      <c r="Y14" t="n">
        <v>59.043</v>
      </c>
      <c r="Z14" t="n">
        <v>6.162</v>
      </c>
      <c r="AA14" t="n">
        <v>67.13</v>
      </c>
      <c r="AB14" t="n">
        <v>5.42</v>
      </c>
      <c r="AC14" t="n">
        <v>3.789</v>
      </c>
      <c r="AD14" t="n">
        <v>-1.386</v>
      </c>
      <c r="AE14" t="n">
        <v>143.565</v>
      </c>
      <c r="AF14" t="n">
        <v>211.435</v>
      </c>
      <c r="AG14" t="n">
        <v>355</v>
      </c>
      <c r="AH14" t="n">
        <v>40.441</v>
      </c>
      <c r="AI14" t="n">
        <v>69.565</v>
      </c>
      <c r="AJ14" t="n">
        <v>97.783</v>
      </c>
      <c r="AK14" t="n">
        <v>17.826</v>
      </c>
      <c r="AL14" t="n">
        <v>31.652</v>
      </c>
      <c r="AM14" t="n">
        <v>66.13</v>
      </c>
      <c r="AN14" t="n">
        <v>89.739</v>
      </c>
      <c r="AO14" t="n">
        <v>65.13</v>
      </c>
      <c r="AP14" t="n">
        <v>12.304</v>
      </c>
      <c r="AQ14" t="n">
        <v>26.043</v>
      </c>
      <c r="AR14" t="n">
        <v>117</v>
      </c>
      <c r="AS14" t="n">
        <v>12.435</v>
      </c>
      <c r="AT14" t="n">
        <v>27.609</v>
      </c>
      <c r="AU14" t="n">
        <v>40.043</v>
      </c>
      <c r="AV14" t="n">
        <v>44.478</v>
      </c>
      <c r="AW14" t="n">
        <v>73.21599999999999</v>
      </c>
      <c r="AX14" t="n">
        <v>87.913</v>
      </c>
      <c r="AY14" t="n">
        <v>11.739</v>
      </c>
      <c r="AZ14" t="n">
        <v>13.174</v>
      </c>
      <c r="BA14" t="n">
        <v>24.105</v>
      </c>
      <c r="BB14" t="n">
        <v>14.826</v>
      </c>
      <c r="BC14" t="n">
        <v>7.739</v>
      </c>
      <c r="BD14" t="n">
        <v>24</v>
      </c>
      <c r="BE14" t="n">
        <v>7.783</v>
      </c>
      <c r="BF14" t="n">
        <v>13.87</v>
      </c>
      <c r="BG14" t="n">
        <v>12.13</v>
      </c>
      <c r="BH14" t="n">
        <v>1.826</v>
      </c>
      <c r="BI14" t="n">
        <v>29.348</v>
      </c>
      <c r="BJ14" t="n">
        <v>9.826000000000001</v>
      </c>
      <c r="BK14" t="n">
        <v>47.259</v>
      </c>
      <c r="BL14" t="n">
        <v>25.378</v>
      </c>
      <c r="BM14" t="n">
        <v>47.574</v>
      </c>
      <c r="BN14" t="n">
        <v>53.699</v>
      </c>
      <c r="BO14" t="n">
        <v>25.696</v>
      </c>
      <c r="BP14" t="n">
        <v>14</v>
      </c>
      <c r="BQ14" t="n">
        <v>27.64</v>
      </c>
      <c r="BR14" t="n">
        <v>90.551</v>
      </c>
      <c r="BS14" t="n">
        <v>2.971</v>
      </c>
      <c r="BT14" t="n">
        <v>3.085</v>
      </c>
      <c r="BU14" t="n">
        <v>0.101</v>
      </c>
      <c r="BV14" t="n">
        <v>3.37</v>
      </c>
      <c r="BW14" t="n">
        <v>0.095</v>
      </c>
      <c r="BX14" t="n">
        <v>2.789</v>
      </c>
      <c r="BY14" t="n">
        <v>0.108</v>
      </c>
      <c r="BZ14" t="n">
        <v>5</v>
      </c>
      <c r="CA14" t="n">
        <v>36.522</v>
      </c>
      <c r="CB14" t="n">
        <v>53.826</v>
      </c>
      <c r="CC14" t="n">
        <v>36.087</v>
      </c>
      <c r="CD14" t="n">
        <v>47.391</v>
      </c>
      <c r="CE14" t="n">
        <v>11.87</v>
      </c>
      <c r="CF14" t="n">
        <v>21.776</v>
      </c>
      <c r="CG14" t="n">
        <v>21.499</v>
      </c>
      <c r="CH14" t="n">
        <v>11.025</v>
      </c>
      <c r="CI14" t="n">
        <v>29.534</v>
      </c>
      <c r="CJ14" t="n">
        <v>13.871</v>
      </c>
      <c r="CK14" t="n">
        <v>14.217</v>
      </c>
      <c r="CL14" t="n">
        <v>25.076</v>
      </c>
      <c r="CM14" t="n">
        <v>67.217</v>
      </c>
      <c r="CN14" t="n">
        <v>11.522</v>
      </c>
      <c r="CO14" t="n">
        <v>294.739</v>
      </c>
      <c r="CP14" t="n">
        <v>141.13</v>
      </c>
      <c r="CQ14" t="n">
        <v>35.043</v>
      </c>
      <c r="CR14" t="n">
        <v>102.87</v>
      </c>
      <c r="CS14" t="n">
        <v>46.826</v>
      </c>
      <c r="CT14" t="n">
        <v>45.52</v>
      </c>
      <c r="CU14" t="n">
        <v>13.261</v>
      </c>
      <c r="CV14" t="n">
        <v>28.319</v>
      </c>
      <c r="CW14" t="n">
        <v>2.783</v>
      </c>
      <c r="CX14" t="n">
        <v>19</v>
      </c>
      <c r="CY14" t="n">
        <v>20.478</v>
      </c>
      <c r="CZ14" t="n">
        <v>-1.478</v>
      </c>
      <c r="DA14" t="n">
        <v>10.522</v>
      </c>
      <c r="DB14" t="n">
        <v>84.711</v>
      </c>
      <c r="DC14" t="n">
        <v>3.652</v>
      </c>
      <c r="DD14" t="n">
        <v>47.609</v>
      </c>
      <c r="DE14" t="n">
        <v>69.913</v>
      </c>
      <c r="DF14" t="n">
        <v>198.017</v>
      </c>
      <c r="DG14" t="n">
        <v>1590.739</v>
      </c>
      <c r="DH14" t="n">
        <v>1459.783</v>
      </c>
      <c r="DI14" t="n">
        <v>13.739</v>
      </c>
      <c r="DJ14" t="n">
        <v>203.783</v>
      </c>
      <c r="DK14" t="n">
        <v>140.609</v>
      </c>
      <c r="DL14" t="n">
        <v>344.391</v>
      </c>
      <c r="DM14" t="n">
        <v>69.81399999999999</v>
      </c>
      <c r="DN14" t="n">
        <v>63.068</v>
      </c>
      <c r="DO14" t="n">
        <v>79.592</v>
      </c>
      <c r="DP14" t="n">
        <v>5.124</v>
      </c>
      <c r="DQ14" t="n">
        <v>51.913</v>
      </c>
      <c r="DR14" t="n">
        <v>40</v>
      </c>
      <c r="DS14" t="n">
        <v>73.19</v>
      </c>
      <c r="DT14" t="n">
        <v>5870.913</v>
      </c>
      <c r="DU14" t="n">
        <v>17.047</v>
      </c>
      <c r="DV14" t="n">
        <v>57.565</v>
      </c>
      <c r="DW14" t="n">
        <v>5.983</v>
      </c>
      <c r="DX14" t="n">
        <v>69.435</v>
      </c>
      <c r="DY14" t="n">
        <v>4.96</v>
      </c>
      <c r="DZ14" t="n">
        <v>-1.357</v>
      </c>
      <c r="EA14" t="n">
        <v>-4.1</v>
      </c>
      <c r="EB14" t="n">
        <v>141.609</v>
      </c>
      <c r="EC14" t="n">
        <v>192.652</v>
      </c>
      <c r="ED14" t="n">
        <v>334.261</v>
      </c>
      <c r="EE14" t="n">
        <v>42.365</v>
      </c>
      <c r="EF14" t="n">
        <v>67.13</v>
      </c>
      <c r="EG14" t="n">
        <v>96.60899999999999</v>
      </c>
      <c r="EH14" t="n">
        <v>16.913</v>
      </c>
      <c r="EI14" t="n">
        <v>31.478</v>
      </c>
      <c r="EJ14" t="n">
        <v>65.17400000000001</v>
      </c>
      <c r="EK14" t="n">
        <v>87.47799999999999</v>
      </c>
      <c r="EL14" t="n">
        <v>61.435</v>
      </c>
      <c r="EM14" t="n">
        <v>10.348</v>
      </c>
      <c r="EN14" t="n">
        <v>23.739</v>
      </c>
      <c r="EO14" t="n">
        <v>107.696</v>
      </c>
      <c r="EP14" t="n">
        <v>12.565</v>
      </c>
      <c r="EQ14" t="n">
        <v>27.478</v>
      </c>
      <c r="ER14" t="n">
        <v>40.043</v>
      </c>
      <c r="ES14" t="n">
        <v>44.174</v>
      </c>
      <c r="ET14" t="n">
        <v>74.31100000000001</v>
      </c>
      <c r="EU14" t="n">
        <v>75.435</v>
      </c>
      <c r="EV14" t="n">
        <v>10.435</v>
      </c>
      <c r="EW14" t="n">
        <v>9.435</v>
      </c>
      <c r="EX14" t="n">
        <v>18.174</v>
      </c>
      <c r="EY14" t="n">
        <v>15.391</v>
      </c>
      <c r="EZ14" t="n">
        <v>5.739</v>
      </c>
      <c r="FA14" t="n">
        <v>11.826</v>
      </c>
      <c r="FB14" t="n">
        <v>10.652</v>
      </c>
      <c r="FC14" t="n">
        <v>2.652</v>
      </c>
      <c r="FD14" t="n">
        <v>24.522</v>
      </c>
      <c r="FE14" t="n">
        <v>7.565</v>
      </c>
      <c r="FF14" t="n">
        <v>48.227</v>
      </c>
      <c r="FG14" t="n">
        <v>22.781</v>
      </c>
      <c r="FH14" t="n">
        <v>43.3</v>
      </c>
      <c r="FI14" t="n">
        <v>47.236</v>
      </c>
      <c r="FJ14" t="n">
        <v>22.13</v>
      </c>
      <c r="FK14" t="n">
        <v>78.93300000000001</v>
      </c>
      <c r="FL14" t="n">
        <v>0.024</v>
      </c>
      <c r="FM14" t="n">
        <v>3.219</v>
      </c>
      <c r="FN14" t="n">
        <v>0.001</v>
      </c>
      <c r="FO14" t="n">
        <v>3.53</v>
      </c>
      <c r="FP14" t="n">
        <v>0.059</v>
      </c>
      <c r="FQ14" t="n">
        <v>2.947</v>
      </c>
      <c r="FR14" t="n">
        <v>-0.05</v>
      </c>
      <c r="FS14" t="n">
        <v>4.087</v>
      </c>
      <c r="FT14" t="n">
        <v>33.261</v>
      </c>
      <c r="FU14" t="n">
        <v>44.261</v>
      </c>
      <c r="FV14" t="n">
        <v>27.826</v>
      </c>
      <c r="FW14" t="n">
        <v>42.783</v>
      </c>
      <c r="FX14" t="n">
        <v>11</v>
      </c>
      <c r="FY14" t="n">
        <v>18.915</v>
      </c>
      <c r="FZ14" t="n">
        <v>17.572</v>
      </c>
      <c r="GA14" t="n">
        <v>7.029</v>
      </c>
      <c r="GB14" t="n">
        <v>26.585</v>
      </c>
      <c r="GC14" t="n">
        <v>10.166</v>
      </c>
      <c r="GD14" t="n">
        <v>64.652</v>
      </c>
      <c r="GE14" t="n">
        <v>11.348</v>
      </c>
      <c r="GF14" t="n">
        <v>303.13</v>
      </c>
      <c r="GG14" t="n">
        <v>146.913</v>
      </c>
      <c r="GH14" t="n">
        <v>37.13</v>
      </c>
      <c r="GI14" t="n">
        <v>39.478</v>
      </c>
      <c r="GJ14" t="n">
        <v>38.442</v>
      </c>
      <c r="GK14" t="n">
        <v>11.348</v>
      </c>
      <c r="GL14" t="n">
        <v>28.744</v>
      </c>
      <c r="GM14" t="n">
        <v>1.609</v>
      </c>
      <c r="GN14" t="n">
        <v>11.826</v>
      </c>
      <c r="GO14" t="n">
        <v>84.559</v>
      </c>
      <c r="GP14" t="n">
        <v>4.913</v>
      </c>
      <c r="GQ14" t="n">
        <v>50.13</v>
      </c>
      <c r="GR14" t="n">
        <v>70.60899999999999</v>
      </c>
      <c r="GS14" t="n">
        <v>17.561</v>
      </c>
      <c r="GT14" t="n">
        <v>119</v>
      </c>
      <c r="GU14" t="n">
        <v>116.652</v>
      </c>
      <c r="GV14" t="n">
        <v>2.522</v>
      </c>
      <c r="GW14" t="n">
        <v>14.478</v>
      </c>
      <c r="GX14" t="n">
        <v>4.957</v>
      </c>
      <c r="GY14" t="n">
        <v>19.435</v>
      </c>
      <c r="GZ14" t="n">
        <v>2.739</v>
      </c>
      <c r="HA14" t="n">
        <v>197.435</v>
      </c>
      <c r="HB14" t="n">
        <v>1.478</v>
      </c>
      <c r="HC14" t="n">
        <v>-2.304</v>
      </c>
      <c r="HD14" t="n">
        <v>5.146</v>
      </c>
      <c r="HE14" t="n">
        <v>2.714</v>
      </c>
      <c r="HF14" t="n">
        <v>1.957</v>
      </c>
      <c r="HG14" t="n">
        <v>18.783</v>
      </c>
      <c r="HH14" t="n">
        <v>20.739</v>
      </c>
      <c r="HI14" t="n">
        <v>2.435</v>
      </c>
      <c r="HJ14" t="n">
        <v>1.174</v>
      </c>
      <c r="HK14" t="n">
        <v>0.913</v>
      </c>
      <c r="HL14" t="n">
        <v>0.174</v>
      </c>
      <c r="HM14" t="n">
        <v>0.957</v>
      </c>
      <c r="HN14" t="n">
        <v>2.261</v>
      </c>
      <c r="HO14" t="n">
        <v>3.696</v>
      </c>
      <c r="HP14" t="n">
        <v>1.957</v>
      </c>
      <c r="HQ14" t="n">
        <v>2.304</v>
      </c>
      <c r="HR14" t="n">
        <v>9.304</v>
      </c>
      <c r="HS14" t="n">
        <v>-0.13</v>
      </c>
      <c r="HT14" t="n">
        <v>0.13</v>
      </c>
      <c r="HU14" t="n">
        <v>0</v>
      </c>
      <c r="HV14" t="n">
        <v>0.304</v>
      </c>
      <c r="HW14" t="n">
        <v>12.478</v>
      </c>
      <c r="HX14" t="n">
        <v>1.304</v>
      </c>
      <c r="HY14" t="n">
        <v>3.739</v>
      </c>
      <c r="HZ14" t="n">
        <v>-0.5649999999999999</v>
      </c>
      <c r="IA14" t="n">
        <v>2</v>
      </c>
      <c r="IB14" t="n">
        <v>2.043</v>
      </c>
      <c r="IC14" t="n">
        <v>1.478</v>
      </c>
      <c r="ID14" t="n">
        <v>4.826</v>
      </c>
      <c r="IE14" t="n">
        <v>2.261</v>
      </c>
      <c r="IF14" t="n">
        <v>3.565</v>
      </c>
      <c r="IG14" t="n">
        <v>11.618</v>
      </c>
      <c r="IH14" t="n">
        <v>2.947</v>
      </c>
      <c r="II14" t="n">
        <v>-0.133</v>
      </c>
      <c r="IJ14" t="n">
        <v>0.913</v>
      </c>
      <c r="IK14" t="n">
        <v>3.261</v>
      </c>
      <c r="IL14" t="n">
        <v>9.565</v>
      </c>
      <c r="IM14" t="n">
        <v>8.260999999999999</v>
      </c>
      <c r="IN14" t="n">
        <v>4.609</v>
      </c>
      <c r="IO14" t="n">
        <v>0.87</v>
      </c>
      <c r="IP14" t="n">
        <v>2.565</v>
      </c>
      <c r="IQ14" t="n">
        <v>0.174</v>
      </c>
      <c r="IR14" t="n">
        <v>-8.391</v>
      </c>
      <c r="IS14" t="n">
        <v>-5.783</v>
      </c>
      <c r="IT14" t="n">
        <v>-2.087</v>
      </c>
      <c r="IU14" t="n">
        <v>7.348</v>
      </c>
      <c r="IV14" t="n">
        <v>1.913</v>
      </c>
      <c r="IW14" t="n">
        <v>1.174</v>
      </c>
      <c r="IX14" t="n">
        <v>-1.261</v>
      </c>
      <c r="IY14" t="n">
        <v>-2.522</v>
      </c>
      <c r="IZ14" t="n">
        <v>-0.696</v>
      </c>
    </row>
    <row r="15">
      <c r="A15" t="inlineStr">
        <is>
          <t>Greater Western Sydney</t>
        </is>
      </c>
      <c r="B15" t="inlineStr">
        <is>
          <t>GWS</t>
        </is>
      </c>
      <c r="C15" t="n">
        <v>26</v>
      </c>
      <c r="D15" t="n">
        <v>36</v>
      </c>
      <c r="E15" t="n">
        <v>25.606</v>
      </c>
      <c r="F15" t="n">
        <v>92.268</v>
      </c>
      <c r="G15" t="n">
        <v>225.723</v>
      </c>
      <c r="H15" t="n">
        <v>1683.308</v>
      </c>
      <c r="I15" t="n">
        <v>1571.231</v>
      </c>
      <c r="J15" t="n">
        <v>16.692</v>
      </c>
      <c r="K15" t="n">
        <v>50.574</v>
      </c>
      <c r="L15" t="n">
        <v>216.423</v>
      </c>
      <c r="M15" t="n">
        <v>165.923</v>
      </c>
      <c r="N15" t="n">
        <v>382.346</v>
      </c>
      <c r="O15" t="n">
        <v>72.246</v>
      </c>
      <c r="P15" t="n">
        <v>65.435</v>
      </c>
      <c r="Q15" t="n">
        <v>81.131</v>
      </c>
      <c r="R15" t="n">
        <v>56.604</v>
      </c>
      <c r="S15" t="n">
        <v>6.749</v>
      </c>
      <c r="T15" t="n">
        <v>55.923</v>
      </c>
      <c r="U15" t="n">
        <v>42.654</v>
      </c>
      <c r="V15" t="n">
        <v>77.989</v>
      </c>
      <c r="W15" t="n">
        <v>6205.308</v>
      </c>
      <c r="X15" t="n">
        <v>16.23</v>
      </c>
      <c r="Y15" t="n">
        <v>60.269</v>
      </c>
      <c r="Z15" t="n">
        <v>6.344</v>
      </c>
      <c r="AA15" t="n">
        <v>72.962</v>
      </c>
      <c r="AB15" t="n">
        <v>5.24</v>
      </c>
      <c r="AC15" t="n">
        <v>0.455</v>
      </c>
      <c r="AD15" t="n">
        <v>-0.983</v>
      </c>
      <c r="AE15" t="n">
        <v>141.654</v>
      </c>
      <c r="AF15" t="n">
        <v>231.077</v>
      </c>
      <c r="AG15" t="n">
        <v>372.731</v>
      </c>
      <c r="AH15" t="n">
        <v>38.004</v>
      </c>
      <c r="AI15" t="n">
        <v>74.962</v>
      </c>
      <c r="AJ15" t="n">
        <v>98.76900000000001</v>
      </c>
      <c r="AK15" t="n">
        <v>17.654</v>
      </c>
      <c r="AL15" t="n">
        <v>29.615</v>
      </c>
      <c r="AM15" t="n">
        <v>69.154</v>
      </c>
      <c r="AN15" t="n">
        <v>92.30800000000001</v>
      </c>
      <c r="AO15" t="n">
        <v>68.5</v>
      </c>
      <c r="AP15" t="n">
        <v>9.769</v>
      </c>
      <c r="AQ15" t="n">
        <v>27.5</v>
      </c>
      <c r="AR15" t="n">
        <v>130.308</v>
      </c>
      <c r="AS15" t="n">
        <v>11.692</v>
      </c>
      <c r="AT15" t="n">
        <v>24.5</v>
      </c>
      <c r="AU15" t="n">
        <v>36.192</v>
      </c>
      <c r="AV15" t="n">
        <v>41.346</v>
      </c>
      <c r="AW15" t="n">
        <v>73.86</v>
      </c>
      <c r="AX15" t="n">
        <v>86.19199999999999</v>
      </c>
      <c r="AY15" t="n">
        <v>9.923</v>
      </c>
      <c r="AZ15" t="n">
        <v>12.692</v>
      </c>
      <c r="BA15" t="n">
        <v>22.696</v>
      </c>
      <c r="BB15" t="n">
        <v>15.885</v>
      </c>
      <c r="BC15" t="n">
        <v>5.154</v>
      </c>
      <c r="BD15" t="n">
        <v>28</v>
      </c>
      <c r="BE15" t="n">
        <v>7.462</v>
      </c>
      <c r="BF15" t="n">
        <v>12.692</v>
      </c>
      <c r="BG15" t="n">
        <v>11.115</v>
      </c>
      <c r="BH15" t="n">
        <v>2.154</v>
      </c>
      <c r="BI15" t="n">
        <v>26.423</v>
      </c>
      <c r="BJ15" t="n">
        <v>9.308</v>
      </c>
      <c r="BK15" t="n">
        <v>48.035</v>
      </c>
      <c r="BL15" t="n">
        <v>22.696</v>
      </c>
      <c r="BM15" t="n">
        <v>42.572</v>
      </c>
      <c r="BN15" t="n">
        <v>47.249</v>
      </c>
      <c r="BO15" t="n">
        <v>23.346</v>
      </c>
      <c r="BP15" t="n">
        <v>12.192</v>
      </c>
      <c r="BQ15" t="n">
        <v>20.82</v>
      </c>
      <c r="BR15" t="n">
        <v>85.958</v>
      </c>
      <c r="BS15" t="n">
        <v>-0.843</v>
      </c>
      <c r="BT15" t="n">
        <v>3.253</v>
      </c>
      <c r="BU15" t="n">
        <v>-0.032</v>
      </c>
      <c r="BV15" t="n">
        <v>3.622</v>
      </c>
      <c r="BW15" t="n">
        <v>-0.004</v>
      </c>
      <c r="BX15" t="n">
        <v>2.833</v>
      </c>
      <c r="BY15" t="n">
        <v>-0.063</v>
      </c>
      <c r="BZ15" t="n">
        <v>1.885</v>
      </c>
      <c r="CA15" t="n">
        <v>32.885</v>
      </c>
      <c r="CB15" t="n">
        <v>52.5</v>
      </c>
      <c r="CC15" t="n">
        <v>32.154</v>
      </c>
      <c r="CD15" t="n">
        <v>45.692</v>
      </c>
      <c r="CE15" t="n">
        <v>9.423</v>
      </c>
      <c r="CF15" t="n">
        <v>19.387</v>
      </c>
      <c r="CG15" t="n">
        <v>20.544</v>
      </c>
      <c r="CH15" t="n">
        <v>8.699</v>
      </c>
      <c r="CI15" t="n">
        <v>30.492</v>
      </c>
      <c r="CJ15" t="n">
        <v>11.832</v>
      </c>
      <c r="CK15" t="n">
        <v>17.154</v>
      </c>
      <c r="CL15" t="n">
        <v>21.749</v>
      </c>
      <c r="CM15" t="n">
        <v>61.423</v>
      </c>
      <c r="CN15" t="n">
        <v>12.577</v>
      </c>
      <c r="CO15" t="n">
        <v>304.962</v>
      </c>
      <c r="CP15" t="n">
        <v>142.615</v>
      </c>
      <c r="CQ15" t="n">
        <v>38.423</v>
      </c>
      <c r="CR15" t="n">
        <v>89.88500000000001</v>
      </c>
      <c r="CS15" t="n">
        <v>33.038</v>
      </c>
      <c r="CT15" t="n">
        <v>36.757</v>
      </c>
      <c r="CU15" t="n">
        <v>10.5</v>
      </c>
      <c r="CV15" t="n">
        <v>31.781</v>
      </c>
      <c r="CW15" t="n">
        <v>3.885</v>
      </c>
      <c r="CX15" t="n">
        <v>15.462</v>
      </c>
      <c r="CY15" t="n">
        <v>15.923</v>
      </c>
      <c r="CZ15" t="n">
        <v>-0.462</v>
      </c>
      <c r="DA15" t="n">
        <v>11.577</v>
      </c>
      <c r="DB15" t="n">
        <v>88.04000000000001</v>
      </c>
      <c r="DC15" t="n">
        <v>6.115</v>
      </c>
      <c r="DD15" t="n">
        <v>54.192</v>
      </c>
      <c r="DE15" t="n">
        <v>68.69199999999999</v>
      </c>
      <c r="DF15" t="n">
        <v>214.308</v>
      </c>
      <c r="DG15" t="n">
        <v>1615.731</v>
      </c>
      <c r="DH15" t="n">
        <v>1497.923</v>
      </c>
      <c r="DI15" t="n">
        <v>13.308</v>
      </c>
      <c r="DJ15" t="n">
        <v>211.692</v>
      </c>
      <c r="DK15" t="n">
        <v>151.462</v>
      </c>
      <c r="DL15" t="n">
        <v>363.154</v>
      </c>
      <c r="DM15" t="n">
        <v>72.379</v>
      </c>
      <c r="DN15" t="n">
        <v>65.68000000000001</v>
      </c>
      <c r="DO15" t="n">
        <v>81.742</v>
      </c>
      <c r="DP15" t="n">
        <v>5.912</v>
      </c>
      <c r="DQ15" t="n">
        <v>54.692</v>
      </c>
      <c r="DR15" t="n">
        <v>42.231</v>
      </c>
      <c r="DS15" t="n">
        <v>75.51600000000001</v>
      </c>
      <c r="DT15" t="n">
        <v>6123.577</v>
      </c>
      <c r="DU15" t="n">
        <v>16.862</v>
      </c>
      <c r="DV15" t="n">
        <v>56.808</v>
      </c>
      <c r="DW15" t="n">
        <v>6.393</v>
      </c>
      <c r="DX15" t="n">
        <v>74.846</v>
      </c>
      <c r="DY15" t="n">
        <v>4.852</v>
      </c>
      <c r="DZ15" t="n">
        <v>-1.88</v>
      </c>
      <c r="EA15" t="n">
        <v>-2.951</v>
      </c>
      <c r="EB15" t="n">
        <v>140.269</v>
      </c>
      <c r="EC15" t="n">
        <v>214.731</v>
      </c>
      <c r="ED15" t="n">
        <v>355</v>
      </c>
      <c r="EE15" t="n">
        <v>39.512</v>
      </c>
      <c r="EF15" t="n">
        <v>73.23099999999999</v>
      </c>
      <c r="EG15" t="n">
        <v>97.30800000000001</v>
      </c>
      <c r="EH15" t="n">
        <v>16.154</v>
      </c>
      <c r="EI15" t="n">
        <v>28.615</v>
      </c>
      <c r="EJ15" t="n">
        <v>68.654</v>
      </c>
      <c r="EK15" t="n">
        <v>90.76900000000001</v>
      </c>
      <c r="EL15" t="n">
        <v>66.11499999999999</v>
      </c>
      <c r="EM15" t="n">
        <v>9.231</v>
      </c>
      <c r="EN15" t="n">
        <v>25.615</v>
      </c>
      <c r="EO15" t="n">
        <v>120.577</v>
      </c>
      <c r="EP15" t="n">
        <v>13.038</v>
      </c>
      <c r="EQ15" t="n">
        <v>24.423</v>
      </c>
      <c r="ER15" t="n">
        <v>37.462</v>
      </c>
      <c r="ES15" t="n">
        <v>39.346</v>
      </c>
      <c r="ET15" t="n">
        <v>76.44199999999999</v>
      </c>
      <c r="EU15" t="n">
        <v>83</v>
      </c>
      <c r="EV15" t="n">
        <v>11.154</v>
      </c>
      <c r="EW15" t="n">
        <v>10.885</v>
      </c>
      <c r="EX15" t="n">
        <v>19.902</v>
      </c>
      <c r="EY15" t="n">
        <v>16.538</v>
      </c>
      <c r="EZ15" t="n">
        <v>7.154</v>
      </c>
      <c r="FA15" t="n">
        <v>11.423</v>
      </c>
      <c r="FB15" t="n">
        <v>11.846</v>
      </c>
      <c r="FC15" t="n">
        <v>2.615</v>
      </c>
      <c r="FD15" t="n">
        <v>25.231</v>
      </c>
      <c r="FE15" t="n">
        <v>8.308</v>
      </c>
      <c r="FF15" t="n">
        <v>45.274</v>
      </c>
      <c r="FG15" t="n">
        <v>20.886</v>
      </c>
      <c r="FH15" t="n">
        <v>42.546</v>
      </c>
      <c r="FI15" t="n">
        <v>46.132</v>
      </c>
      <c r="FJ15" t="n">
        <v>23</v>
      </c>
      <c r="FK15" t="n">
        <v>80.051</v>
      </c>
      <c r="FL15" t="n">
        <v>-2.282</v>
      </c>
      <c r="FM15" t="n">
        <v>3.173</v>
      </c>
      <c r="FN15" t="n">
        <v>-0.09</v>
      </c>
      <c r="FO15" t="n">
        <v>3.523</v>
      </c>
      <c r="FP15" t="n">
        <v>-0.01</v>
      </c>
      <c r="FQ15" t="n">
        <v>2.811</v>
      </c>
      <c r="FR15" t="n">
        <v>-0.174</v>
      </c>
      <c r="FS15" t="n">
        <v>4.577</v>
      </c>
      <c r="FT15" t="n">
        <v>30.769</v>
      </c>
      <c r="FU15" t="n">
        <v>45.038</v>
      </c>
      <c r="FV15" t="n">
        <v>29.308</v>
      </c>
      <c r="FW15" t="n">
        <v>38.769</v>
      </c>
      <c r="FX15" t="n">
        <v>12.308</v>
      </c>
      <c r="FY15" t="n">
        <v>19.264</v>
      </c>
      <c r="FZ15" t="n">
        <v>22.016</v>
      </c>
      <c r="GA15" t="n">
        <v>8.496</v>
      </c>
      <c r="GB15" t="n">
        <v>29.144</v>
      </c>
      <c r="GC15" t="n">
        <v>11.232</v>
      </c>
      <c r="GD15" t="n">
        <v>56.654</v>
      </c>
      <c r="GE15" t="n">
        <v>10</v>
      </c>
      <c r="GF15" t="n">
        <v>319.231</v>
      </c>
      <c r="GG15" t="n">
        <v>148.577</v>
      </c>
      <c r="GH15" t="n">
        <v>33.308</v>
      </c>
      <c r="GI15" t="n">
        <v>36.885</v>
      </c>
      <c r="GJ15" t="n">
        <v>41</v>
      </c>
      <c r="GK15" t="n">
        <v>10.269</v>
      </c>
      <c r="GL15" t="n">
        <v>27.842</v>
      </c>
      <c r="GM15" t="n">
        <v>3.346</v>
      </c>
      <c r="GN15" t="n">
        <v>10.808</v>
      </c>
      <c r="GO15" t="n">
        <v>90.747</v>
      </c>
      <c r="GP15" t="n">
        <v>3.923</v>
      </c>
      <c r="GQ15" t="n">
        <v>49.885</v>
      </c>
      <c r="GR15" t="n">
        <v>70.154</v>
      </c>
      <c r="GS15" t="n">
        <v>11.415</v>
      </c>
      <c r="GT15" t="n">
        <v>67.577</v>
      </c>
      <c r="GU15" t="n">
        <v>73.30800000000001</v>
      </c>
      <c r="GV15" t="n">
        <v>3.385</v>
      </c>
      <c r="GW15" t="n">
        <v>4.731</v>
      </c>
      <c r="GX15" t="n">
        <v>14.462</v>
      </c>
      <c r="GY15" t="n">
        <v>19.192</v>
      </c>
      <c r="GZ15" t="n">
        <v>1.231</v>
      </c>
      <c r="HA15" t="n">
        <v>81.73099999999999</v>
      </c>
      <c r="HB15" t="n">
        <v>3.462</v>
      </c>
      <c r="HC15" t="n">
        <v>-1.885</v>
      </c>
      <c r="HD15" t="n">
        <v>2.335</v>
      </c>
      <c r="HE15" t="n">
        <v>1.968</v>
      </c>
      <c r="HF15" t="n">
        <v>1.385</v>
      </c>
      <c r="HG15" t="n">
        <v>16.346</v>
      </c>
      <c r="HH15" t="n">
        <v>17.731</v>
      </c>
      <c r="HI15" t="n">
        <v>1.731</v>
      </c>
      <c r="HJ15" t="n">
        <v>1.462</v>
      </c>
      <c r="HK15" t="n">
        <v>1.5</v>
      </c>
      <c r="HL15" t="n">
        <v>1</v>
      </c>
      <c r="HM15" t="n">
        <v>0.5</v>
      </c>
      <c r="HN15" t="n">
        <v>1.538</v>
      </c>
      <c r="HO15" t="n">
        <v>2.385</v>
      </c>
      <c r="HP15" t="n">
        <v>0.538</v>
      </c>
      <c r="HQ15" t="n">
        <v>1.885</v>
      </c>
      <c r="HR15" t="n">
        <v>9.731</v>
      </c>
      <c r="HS15" t="n">
        <v>-1.346</v>
      </c>
      <c r="HT15" t="n">
        <v>0.077</v>
      </c>
      <c r="HU15" t="n">
        <v>-1.269</v>
      </c>
      <c r="HV15" t="n">
        <v>2</v>
      </c>
      <c r="HW15" t="n">
        <v>3.192</v>
      </c>
      <c r="HX15" t="n">
        <v>-1.231</v>
      </c>
      <c r="HY15" t="n">
        <v>1.808</v>
      </c>
      <c r="HZ15" t="n">
        <v>-0.654</v>
      </c>
      <c r="IA15" t="n">
        <v>-2</v>
      </c>
      <c r="IB15" t="n">
        <v>1.269</v>
      </c>
      <c r="IC15" t="n">
        <v>-0.731</v>
      </c>
      <c r="ID15" t="n">
        <v>1.192</v>
      </c>
      <c r="IE15" t="n">
        <v>1</v>
      </c>
      <c r="IF15" t="n">
        <v>0.346</v>
      </c>
      <c r="IG15" t="n">
        <v>5.907</v>
      </c>
      <c r="IH15" t="n">
        <v>1.439</v>
      </c>
      <c r="II15" t="n">
        <v>0.08</v>
      </c>
      <c r="IJ15" t="n">
        <v>-2.692</v>
      </c>
      <c r="IK15" t="n">
        <v>2.115</v>
      </c>
      <c r="IL15" t="n">
        <v>7.462</v>
      </c>
      <c r="IM15" t="n">
        <v>2.846</v>
      </c>
      <c r="IN15" t="n">
        <v>6.923</v>
      </c>
      <c r="IO15" t="n">
        <v>-2.885</v>
      </c>
      <c r="IP15" t="n">
        <v>4.769</v>
      </c>
      <c r="IQ15" t="n">
        <v>2.577</v>
      </c>
      <c r="IR15" t="n">
        <v>-14.269</v>
      </c>
      <c r="IS15" t="n">
        <v>-5.962</v>
      </c>
      <c r="IT15" t="n">
        <v>5.115</v>
      </c>
      <c r="IU15" t="n">
        <v>-3.846</v>
      </c>
      <c r="IV15" t="n">
        <v>0.231</v>
      </c>
      <c r="IW15" t="n">
        <v>0.538</v>
      </c>
      <c r="IX15" t="n">
        <v>2.192</v>
      </c>
      <c r="IY15" t="n">
        <v>4.308</v>
      </c>
      <c r="IZ15" t="n">
        <v>-1.462</v>
      </c>
    </row>
    <row r="16">
      <c r="A16" t="inlineStr">
        <is>
          <t>Essendon</t>
        </is>
      </c>
      <c r="B16" t="inlineStr">
        <is>
          <t>Ess</t>
        </is>
      </c>
      <c r="C16" t="n">
        <v>23</v>
      </c>
      <c r="D16" t="n">
        <v>34</v>
      </c>
      <c r="E16" t="n">
        <v>25.21</v>
      </c>
      <c r="F16" t="n">
        <v>85.399</v>
      </c>
      <c r="G16" t="n">
        <v>208.096</v>
      </c>
      <c r="H16" t="n">
        <v>1657.043</v>
      </c>
      <c r="I16" t="n">
        <v>1580.696</v>
      </c>
      <c r="J16" t="n">
        <v>14.913</v>
      </c>
      <c r="K16" t="n">
        <v>47.569</v>
      </c>
      <c r="L16" t="n">
        <v>218.522</v>
      </c>
      <c r="M16" t="n">
        <v>154.739</v>
      </c>
      <c r="N16" t="n">
        <v>373.261</v>
      </c>
      <c r="O16" t="n">
        <v>74.572</v>
      </c>
      <c r="P16" t="n">
        <v>68.88200000000001</v>
      </c>
      <c r="Q16" t="n">
        <v>82.607</v>
      </c>
      <c r="R16" t="n">
        <v>58.544</v>
      </c>
      <c r="S16" t="n">
        <v>7.196</v>
      </c>
      <c r="T16" t="n">
        <v>50.391</v>
      </c>
      <c r="U16" t="n">
        <v>42.043</v>
      </c>
      <c r="V16" t="n">
        <v>75.194</v>
      </c>
      <c r="W16" t="n">
        <v>5936.739</v>
      </c>
      <c r="X16" t="n">
        <v>15.905</v>
      </c>
      <c r="Y16" t="n">
        <v>52.609</v>
      </c>
      <c r="Z16" t="n">
        <v>7.095</v>
      </c>
      <c r="AA16" t="n">
        <v>67.95699999999999</v>
      </c>
      <c r="AB16" t="n">
        <v>5.493</v>
      </c>
      <c r="AC16" t="n">
        <v>1.341</v>
      </c>
      <c r="AD16" t="n">
        <v>1.499</v>
      </c>
      <c r="AE16" t="n">
        <v>130.391</v>
      </c>
      <c r="AF16" t="n">
        <v>235.304</v>
      </c>
      <c r="AG16" t="n">
        <v>365.696</v>
      </c>
      <c r="AH16" t="n">
        <v>35.656</v>
      </c>
      <c r="AI16" t="n">
        <v>66.913</v>
      </c>
      <c r="AJ16" t="n">
        <v>87.13</v>
      </c>
      <c r="AK16" t="n">
        <v>15.043</v>
      </c>
      <c r="AL16" t="n">
        <v>25.609</v>
      </c>
      <c r="AM16" t="n">
        <v>61.478</v>
      </c>
      <c r="AN16" t="n">
        <v>84.17400000000001</v>
      </c>
      <c r="AO16" t="n">
        <v>59.609</v>
      </c>
      <c r="AP16" t="n">
        <v>10.261</v>
      </c>
      <c r="AQ16" t="n">
        <v>23.87</v>
      </c>
      <c r="AR16" t="n">
        <v>124.565</v>
      </c>
      <c r="AS16" t="n">
        <v>12.435</v>
      </c>
      <c r="AT16" t="n">
        <v>21.261</v>
      </c>
      <c r="AU16" t="n">
        <v>33.696</v>
      </c>
      <c r="AV16" t="n">
        <v>38.435</v>
      </c>
      <c r="AW16" t="n">
        <v>74.095</v>
      </c>
      <c r="AX16" t="n">
        <v>100.913</v>
      </c>
      <c r="AY16" t="n">
        <v>9.826000000000001</v>
      </c>
      <c r="AZ16" t="n">
        <v>11.826</v>
      </c>
      <c r="BA16" t="n">
        <v>23.469</v>
      </c>
      <c r="BB16" t="n">
        <v>15.174</v>
      </c>
      <c r="BC16" t="n">
        <v>6.522</v>
      </c>
      <c r="BD16" t="n">
        <v>30</v>
      </c>
      <c r="BE16" t="n">
        <v>7.478</v>
      </c>
      <c r="BF16" t="n">
        <v>11.609</v>
      </c>
      <c r="BG16" t="n">
        <v>10.261</v>
      </c>
      <c r="BH16" t="n">
        <v>2</v>
      </c>
      <c r="BI16" t="n">
        <v>23.826</v>
      </c>
      <c r="BJ16" t="n">
        <v>8.651999999999999</v>
      </c>
      <c r="BK16" t="n">
        <v>48.723</v>
      </c>
      <c r="BL16" t="n">
        <v>23.037</v>
      </c>
      <c r="BM16" t="n">
        <v>43.399</v>
      </c>
      <c r="BN16" t="n">
        <v>47.282</v>
      </c>
      <c r="BO16" t="n">
        <v>21.565</v>
      </c>
      <c r="BP16" t="n">
        <v>11.826</v>
      </c>
      <c r="BQ16" t="n">
        <v>20.588</v>
      </c>
      <c r="BR16" t="n">
        <v>79.379</v>
      </c>
      <c r="BS16" t="n">
        <v>-1.466</v>
      </c>
      <c r="BT16" t="n">
        <v>3.332</v>
      </c>
      <c r="BU16" t="n">
        <v>-0.062</v>
      </c>
      <c r="BV16" t="n">
        <v>3.673</v>
      </c>
      <c r="BW16" t="n">
        <v>-0.046</v>
      </c>
      <c r="BX16" t="n">
        <v>2.965</v>
      </c>
      <c r="BY16" t="n">
        <v>-0.078</v>
      </c>
      <c r="BZ16" t="n">
        <v>4.391</v>
      </c>
      <c r="CA16" t="n">
        <v>27.391</v>
      </c>
      <c r="CB16" t="n">
        <v>48.13</v>
      </c>
      <c r="CC16" t="n">
        <v>34.043</v>
      </c>
      <c r="CD16" t="n">
        <v>33.783</v>
      </c>
      <c r="CE16" t="n">
        <v>12.087</v>
      </c>
      <c r="CF16" t="n">
        <v>19.729</v>
      </c>
      <c r="CG16" t="n">
        <v>23.277</v>
      </c>
      <c r="CH16" t="n">
        <v>10.711</v>
      </c>
      <c r="CI16" t="n">
        <v>30.364</v>
      </c>
      <c r="CJ16" t="n">
        <v>13.098</v>
      </c>
      <c r="CK16" t="n">
        <v>12.957</v>
      </c>
      <c r="CL16" t="n">
        <v>27.181</v>
      </c>
      <c r="CM16" t="n">
        <v>57</v>
      </c>
      <c r="CN16" t="n">
        <v>10.304</v>
      </c>
      <c r="CO16" t="n">
        <v>293.304</v>
      </c>
      <c r="CP16" t="n">
        <v>144.609</v>
      </c>
      <c r="CQ16" t="n">
        <v>31.087</v>
      </c>
      <c r="CR16" t="n">
        <v>83.60899999999999</v>
      </c>
      <c r="CS16" t="n">
        <v>38.043</v>
      </c>
      <c r="CT16" t="n">
        <v>45.502</v>
      </c>
      <c r="CU16" t="n">
        <v>11.217</v>
      </c>
      <c r="CV16" t="n">
        <v>29.486</v>
      </c>
      <c r="CW16" t="n">
        <v>2.043</v>
      </c>
      <c r="CX16" t="n">
        <v>17.087</v>
      </c>
      <c r="CY16" t="n">
        <v>16.043</v>
      </c>
      <c r="CZ16" t="n">
        <v>1.043</v>
      </c>
      <c r="DA16" t="n">
        <v>10.783</v>
      </c>
      <c r="DB16" t="n">
        <v>93.145</v>
      </c>
      <c r="DC16" t="n">
        <v>8.348000000000001</v>
      </c>
      <c r="DD16" t="n">
        <v>45.13</v>
      </c>
      <c r="DE16" t="n">
        <v>68.652</v>
      </c>
      <c r="DF16" t="n">
        <v>219.157</v>
      </c>
      <c r="DG16" t="n">
        <v>1643.087</v>
      </c>
      <c r="DH16" t="n">
        <v>1550.435</v>
      </c>
      <c r="DI16" t="n">
        <v>15.087</v>
      </c>
      <c r="DJ16" t="n">
        <v>220.609</v>
      </c>
      <c r="DK16" t="n">
        <v>149.478</v>
      </c>
      <c r="DL16" t="n">
        <v>370.087</v>
      </c>
      <c r="DM16" t="n">
        <v>74.319</v>
      </c>
      <c r="DN16" t="n">
        <v>67.44199999999999</v>
      </c>
      <c r="DO16" t="n">
        <v>84.468</v>
      </c>
      <c r="DP16" t="n">
        <v>6.493</v>
      </c>
      <c r="DQ16" t="n">
        <v>55.913</v>
      </c>
      <c r="DR16" t="n">
        <v>38</v>
      </c>
      <c r="DS16" t="n">
        <v>75.41</v>
      </c>
      <c r="DT16" t="n">
        <v>6099.174</v>
      </c>
      <c r="DU16" t="n">
        <v>16.48</v>
      </c>
      <c r="DV16" t="n">
        <v>54.522</v>
      </c>
      <c r="DW16" t="n">
        <v>6.788</v>
      </c>
      <c r="DX16" t="n">
        <v>66.783</v>
      </c>
      <c r="DY16" t="n">
        <v>5.542</v>
      </c>
      <c r="DZ16" t="n">
        <v>1.743</v>
      </c>
      <c r="EA16" t="n">
        <v>1.885</v>
      </c>
      <c r="EB16" t="n">
        <v>133.174</v>
      </c>
      <c r="EC16" t="n">
        <v>231</v>
      </c>
      <c r="ED16" t="n">
        <v>364.174</v>
      </c>
      <c r="EE16" t="n">
        <v>36.569</v>
      </c>
      <c r="EF16" t="n">
        <v>68.04300000000001</v>
      </c>
      <c r="EG16" t="n">
        <v>93.47799999999999</v>
      </c>
      <c r="EH16" t="n">
        <v>16.174</v>
      </c>
      <c r="EI16" t="n">
        <v>28.391</v>
      </c>
      <c r="EJ16" t="n">
        <v>65.17400000000001</v>
      </c>
      <c r="EK16" t="n">
        <v>86.261</v>
      </c>
      <c r="EL16" t="n">
        <v>62.478</v>
      </c>
      <c r="EM16" t="n">
        <v>8.739000000000001</v>
      </c>
      <c r="EN16" t="n">
        <v>24.696</v>
      </c>
      <c r="EO16" t="n">
        <v>123.087</v>
      </c>
      <c r="EP16" t="n">
        <v>12.304</v>
      </c>
      <c r="EQ16" t="n">
        <v>22.565</v>
      </c>
      <c r="ER16" t="n">
        <v>34.87</v>
      </c>
      <c r="ES16" t="n">
        <v>36.304</v>
      </c>
      <c r="ET16" t="n">
        <v>77.246</v>
      </c>
      <c r="EU16" t="n">
        <v>100.217</v>
      </c>
      <c r="EV16" t="n">
        <v>11.043</v>
      </c>
      <c r="EW16" t="n">
        <v>12.565</v>
      </c>
      <c r="EX16" t="n">
        <v>22.473</v>
      </c>
      <c r="EY16" t="n">
        <v>16.652</v>
      </c>
      <c r="EZ16" t="n">
        <v>8.087</v>
      </c>
      <c r="FA16" t="n">
        <v>13.043</v>
      </c>
      <c r="FB16" t="n">
        <v>10.87</v>
      </c>
      <c r="FC16" t="n">
        <v>2.304</v>
      </c>
      <c r="FD16" t="n">
        <v>26.652</v>
      </c>
      <c r="FE16" t="n">
        <v>9.782999999999999</v>
      </c>
      <c r="FF16" t="n">
        <v>48.94</v>
      </c>
      <c r="FG16" t="n">
        <v>23.328</v>
      </c>
      <c r="FH16" t="n">
        <v>42.768</v>
      </c>
      <c r="FI16" t="n">
        <v>47.667</v>
      </c>
      <c r="FJ16" t="n">
        <v>23.739</v>
      </c>
      <c r="FK16" t="n">
        <v>84.188</v>
      </c>
      <c r="FL16" t="n">
        <v>2.638</v>
      </c>
      <c r="FM16" t="n">
        <v>3.159</v>
      </c>
      <c r="FN16" t="n">
        <v>0.099</v>
      </c>
      <c r="FO16" t="n">
        <v>3.409</v>
      </c>
      <c r="FP16" t="n">
        <v>0.212</v>
      </c>
      <c r="FQ16" t="n">
        <v>2.863</v>
      </c>
      <c r="FR16" t="n">
        <v>-0.034</v>
      </c>
      <c r="FS16" t="n">
        <v>3.565</v>
      </c>
      <c r="FT16" t="n">
        <v>34.435</v>
      </c>
      <c r="FU16" t="n">
        <v>51.13</v>
      </c>
      <c r="FV16" t="n">
        <v>34</v>
      </c>
      <c r="FW16" t="n">
        <v>45.609</v>
      </c>
      <c r="FX16" t="n">
        <v>9.522</v>
      </c>
      <c r="FY16" t="n">
        <v>21.415</v>
      </c>
      <c r="FZ16" t="n">
        <v>25.169</v>
      </c>
      <c r="GA16" t="n">
        <v>10.407</v>
      </c>
      <c r="GB16" t="n">
        <v>34.993</v>
      </c>
      <c r="GC16" t="n">
        <v>13.949</v>
      </c>
      <c r="GD16" t="n">
        <v>51.87</v>
      </c>
      <c r="GE16" t="n">
        <v>10.217</v>
      </c>
      <c r="GF16" t="n">
        <v>293.696</v>
      </c>
      <c r="GG16" t="n">
        <v>132.13</v>
      </c>
      <c r="GH16" t="n">
        <v>32.87</v>
      </c>
      <c r="GI16" t="n">
        <v>29.913</v>
      </c>
      <c r="GJ16" t="n">
        <v>35.852</v>
      </c>
      <c r="GK16" t="n">
        <v>9.348000000000001</v>
      </c>
      <c r="GL16" t="n">
        <v>31.25</v>
      </c>
      <c r="GM16" t="n">
        <v>2.261</v>
      </c>
      <c r="GN16" t="n">
        <v>10.043</v>
      </c>
      <c r="GO16" t="n">
        <v>85.714</v>
      </c>
      <c r="GP16" t="n">
        <v>6.609</v>
      </c>
      <c r="GQ16" t="n">
        <v>44.304</v>
      </c>
      <c r="GR16" t="n">
        <v>69.39100000000001</v>
      </c>
      <c r="GS16" t="n">
        <v>-11.061</v>
      </c>
      <c r="GT16" t="n">
        <v>13.957</v>
      </c>
      <c r="GU16" t="n">
        <v>30.261</v>
      </c>
      <c r="GV16" t="n">
        <v>-0.174</v>
      </c>
      <c r="GW16" t="n">
        <v>-2.087</v>
      </c>
      <c r="GX16" t="n">
        <v>5.261</v>
      </c>
      <c r="GY16" t="n">
        <v>3.174</v>
      </c>
      <c r="GZ16" t="n">
        <v>-5.522</v>
      </c>
      <c r="HA16" t="n">
        <v>-162.435</v>
      </c>
      <c r="HB16" t="n">
        <v>-1.913</v>
      </c>
      <c r="HC16" t="n">
        <v>1.174</v>
      </c>
      <c r="HD16" t="n">
        <v>-0.402</v>
      </c>
      <c r="HE16" t="n">
        <v>-0.387</v>
      </c>
      <c r="HF16" t="n">
        <v>-2.783</v>
      </c>
      <c r="HG16" t="n">
        <v>4.304</v>
      </c>
      <c r="HH16" t="n">
        <v>1.522</v>
      </c>
      <c r="HI16" t="n">
        <v>-1.13</v>
      </c>
      <c r="HJ16" t="n">
        <v>-6.348</v>
      </c>
      <c r="HK16" t="n">
        <v>-1.13</v>
      </c>
      <c r="HL16" t="n">
        <v>-2.783</v>
      </c>
      <c r="HM16" t="n">
        <v>-3.696</v>
      </c>
      <c r="HN16" t="n">
        <v>-2.087</v>
      </c>
      <c r="HO16" t="n">
        <v>-2.87</v>
      </c>
      <c r="HP16" t="n">
        <v>1.522</v>
      </c>
      <c r="HQ16" t="n">
        <v>-0.826</v>
      </c>
      <c r="HR16" t="n">
        <v>1.478</v>
      </c>
      <c r="HS16" t="n">
        <v>0.13</v>
      </c>
      <c r="HT16" t="n">
        <v>-1.304</v>
      </c>
      <c r="HU16" t="n">
        <v>-1.174</v>
      </c>
      <c r="HV16" t="n">
        <v>2.13</v>
      </c>
      <c r="HW16" t="n">
        <v>0.696</v>
      </c>
      <c r="HX16" t="n">
        <v>-1.217</v>
      </c>
      <c r="HY16" t="n">
        <v>-0.739</v>
      </c>
      <c r="HZ16" t="n">
        <v>-1.478</v>
      </c>
      <c r="IA16" t="n">
        <v>-1.565</v>
      </c>
      <c r="IB16" t="n">
        <v>-1.435</v>
      </c>
      <c r="IC16" t="n">
        <v>-0.609</v>
      </c>
      <c r="ID16" t="n">
        <v>-2.826</v>
      </c>
      <c r="IE16" t="n">
        <v>-1.13</v>
      </c>
      <c r="IF16" t="n">
        <v>-2.174</v>
      </c>
      <c r="IG16" t="n">
        <v>-4.809</v>
      </c>
      <c r="IH16" t="n">
        <v>-4.104</v>
      </c>
      <c r="II16" t="n">
        <v>0.173</v>
      </c>
      <c r="IJ16" t="n">
        <v>0.826</v>
      </c>
      <c r="IK16" t="n">
        <v>-7.043</v>
      </c>
      <c r="IL16" t="n">
        <v>-3</v>
      </c>
      <c r="IM16" t="n">
        <v>0.043</v>
      </c>
      <c r="IN16" t="n">
        <v>-11.826</v>
      </c>
      <c r="IO16" t="n">
        <v>2.565</v>
      </c>
      <c r="IP16" t="n">
        <v>5.13</v>
      </c>
      <c r="IQ16" t="n">
        <v>0.08699999999999999</v>
      </c>
      <c r="IR16" t="n">
        <v>-0.391</v>
      </c>
      <c r="IS16" t="n">
        <v>12.478</v>
      </c>
      <c r="IT16" t="n">
        <v>-1.783</v>
      </c>
      <c r="IU16" t="n">
        <v>8.130000000000001</v>
      </c>
      <c r="IV16" t="n">
        <v>1.87</v>
      </c>
      <c r="IW16" t="n">
        <v>-0.217</v>
      </c>
      <c r="IX16" t="n">
        <v>1.739</v>
      </c>
      <c r="IY16" t="n">
        <v>0.826</v>
      </c>
      <c r="IZ16" t="n">
        <v>-0.739</v>
      </c>
    </row>
    <row r="17">
      <c r="A17" t="inlineStr">
        <is>
          <t>Hawthorn</t>
        </is>
      </c>
      <c r="B17" t="inlineStr">
        <is>
          <t>Haw</t>
        </is>
      </c>
      <c r="C17" t="n">
        <v>23</v>
      </c>
      <c r="D17" t="n">
        <v>38</v>
      </c>
      <c r="E17" t="n">
        <v>24.286</v>
      </c>
      <c r="F17" t="n">
        <v>70.913</v>
      </c>
      <c r="G17" t="n">
        <v>206.7</v>
      </c>
      <c r="H17" t="n">
        <v>1620.87</v>
      </c>
      <c r="I17" t="n">
        <v>1575.652</v>
      </c>
      <c r="J17" t="n">
        <v>12.652</v>
      </c>
      <c r="K17" t="n">
        <v>48.287</v>
      </c>
      <c r="L17" t="n">
        <v>210.217</v>
      </c>
      <c r="M17" t="n">
        <v>176.522</v>
      </c>
      <c r="N17" t="n">
        <v>386.739</v>
      </c>
      <c r="O17" t="n">
        <v>74.705</v>
      </c>
      <c r="P17" t="n">
        <v>67.15600000000001</v>
      </c>
      <c r="Q17" t="n">
        <v>83.69499999999999</v>
      </c>
      <c r="R17" t="n">
        <v>54.356</v>
      </c>
      <c r="S17" t="n">
        <v>6.16</v>
      </c>
      <c r="T17" t="n">
        <v>50.609</v>
      </c>
      <c r="U17" t="n">
        <v>39.043</v>
      </c>
      <c r="V17" t="n">
        <v>73.246</v>
      </c>
      <c r="W17" t="n">
        <v>5740.217</v>
      </c>
      <c r="X17" t="n">
        <v>14.843</v>
      </c>
      <c r="Y17" t="n">
        <v>58.304</v>
      </c>
      <c r="Z17" t="n">
        <v>6.633</v>
      </c>
      <c r="AA17" t="n">
        <v>67.696</v>
      </c>
      <c r="AB17" t="n">
        <v>5.713</v>
      </c>
      <c r="AC17" t="n">
        <v>1.254</v>
      </c>
      <c r="AD17" t="n">
        <v>-0.123</v>
      </c>
      <c r="AE17" t="n">
        <v>131.739</v>
      </c>
      <c r="AF17" t="n">
        <v>251.739</v>
      </c>
      <c r="AG17" t="n">
        <v>383.478</v>
      </c>
      <c r="AH17" t="n">
        <v>34.354</v>
      </c>
      <c r="AI17" t="n">
        <v>66.87</v>
      </c>
      <c r="AJ17" t="n">
        <v>90.696</v>
      </c>
      <c r="AK17" t="n">
        <v>14.13</v>
      </c>
      <c r="AL17" t="n">
        <v>28.043</v>
      </c>
      <c r="AM17" t="n">
        <v>62.696</v>
      </c>
      <c r="AN17" t="n">
        <v>83.39100000000001</v>
      </c>
      <c r="AO17" t="n">
        <v>62.043</v>
      </c>
      <c r="AP17" t="n">
        <v>11.217</v>
      </c>
      <c r="AQ17" t="n">
        <v>22.391</v>
      </c>
      <c r="AR17" t="n">
        <v>144.217</v>
      </c>
      <c r="AS17" t="n">
        <v>12.609</v>
      </c>
      <c r="AT17" t="n">
        <v>22.478</v>
      </c>
      <c r="AU17" t="n">
        <v>35.087</v>
      </c>
      <c r="AV17" t="n">
        <v>40.217</v>
      </c>
      <c r="AW17" t="n">
        <v>74.16200000000001</v>
      </c>
      <c r="AX17" t="n">
        <v>96.652</v>
      </c>
      <c r="AY17" t="n">
        <v>9.087</v>
      </c>
      <c r="AZ17" t="n">
        <v>10.87</v>
      </c>
      <c r="BA17" t="n">
        <v>21.478</v>
      </c>
      <c r="BB17" t="n">
        <v>14.913</v>
      </c>
      <c r="BC17" t="n">
        <v>5.783</v>
      </c>
      <c r="BD17" t="n">
        <v>31</v>
      </c>
      <c r="BE17" t="n">
        <v>6.783</v>
      </c>
      <c r="BF17" t="n">
        <v>10.565</v>
      </c>
      <c r="BG17" t="n">
        <v>9.913</v>
      </c>
      <c r="BH17" t="n">
        <v>2.043</v>
      </c>
      <c r="BI17" t="n">
        <v>23.043</v>
      </c>
      <c r="BJ17" t="n">
        <v>7.87</v>
      </c>
      <c r="BK17" t="n">
        <v>45.849</v>
      </c>
      <c r="BL17" t="n">
        <v>20.876</v>
      </c>
      <c r="BM17" t="n">
        <v>40.464</v>
      </c>
      <c r="BN17" t="n">
        <v>45.533</v>
      </c>
      <c r="BO17" t="n">
        <v>20.217</v>
      </c>
      <c r="BP17" t="n">
        <v>10.522</v>
      </c>
      <c r="BQ17" t="n">
        <v>19.835</v>
      </c>
      <c r="BR17" t="n">
        <v>74.23699999999999</v>
      </c>
      <c r="BS17" t="n">
        <v>-2.976</v>
      </c>
      <c r="BT17" t="n">
        <v>3.222</v>
      </c>
      <c r="BU17" t="n">
        <v>-0.129</v>
      </c>
      <c r="BV17" t="n">
        <v>3.5</v>
      </c>
      <c r="BW17" t="n">
        <v>-0.212</v>
      </c>
      <c r="BX17" t="n">
        <v>2.905</v>
      </c>
      <c r="BY17" t="n">
        <v>-0.034</v>
      </c>
      <c r="BZ17" t="n">
        <v>3.13</v>
      </c>
      <c r="CA17" t="n">
        <v>28.043</v>
      </c>
      <c r="CB17" t="n">
        <v>42.13</v>
      </c>
      <c r="CC17" t="n">
        <v>27.217</v>
      </c>
      <c r="CD17" t="n">
        <v>35.174</v>
      </c>
      <c r="CE17" t="n">
        <v>10.913</v>
      </c>
      <c r="CF17" t="n">
        <v>18.445</v>
      </c>
      <c r="CG17" t="n">
        <v>22.66</v>
      </c>
      <c r="CH17" t="n">
        <v>9.167999999999999</v>
      </c>
      <c r="CI17" t="n">
        <v>28.693</v>
      </c>
      <c r="CJ17" t="n">
        <v>11.191</v>
      </c>
      <c r="CK17" t="n">
        <v>12.391</v>
      </c>
      <c r="CL17" t="n">
        <v>28.772</v>
      </c>
      <c r="CM17" t="n">
        <v>56.261</v>
      </c>
      <c r="CN17" t="n">
        <v>10.913</v>
      </c>
      <c r="CO17" t="n">
        <v>286.609</v>
      </c>
      <c r="CP17" t="n">
        <v>131.304</v>
      </c>
      <c r="CQ17" t="n">
        <v>27.522</v>
      </c>
      <c r="CR17" t="n">
        <v>89.348</v>
      </c>
      <c r="CS17" t="n">
        <v>41.217</v>
      </c>
      <c r="CT17" t="n">
        <v>46.131</v>
      </c>
      <c r="CU17" t="n">
        <v>12.217</v>
      </c>
      <c r="CV17" t="n">
        <v>29.641</v>
      </c>
      <c r="CW17" t="n">
        <v>2.522</v>
      </c>
      <c r="CX17" t="n">
        <v>16.522</v>
      </c>
      <c r="CY17" t="n">
        <v>17.435</v>
      </c>
      <c r="CZ17" t="n">
        <v>-0.913</v>
      </c>
      <c r="DA17" t="n">
        <v>10.13</v>
      </c>
      <c r="DB17" t="n">
        <v>83.691</v>
      </c>
      <c r="DC17" t="n">
        <v>9.651999999999999</v>
      </c>
      <c r="DD17" t="n">
        <v>40.13</v>
      </c>
      <c r="DE17" t="n">
        <v>71.87</v>
      </c>
      <c r="DF17" t="n">
        <v>216.639</v>
      </c>
      <c r="DG17" t="n">
        <v>1679.391</v>
      </c>
      <c r="DH17" t="n">
        <v>1601.13</v>
      </c>
      <c r="DI17" t="n">
        <v>17.348</v>
      </c>
      <c r="DJ17" t="n">
        <v>220.522</v>
      </c>
      <c r="DK17" t="n">
        <v>142.739</v>
      </c>
      <c r="DL17" t="n">
        <v>363.261</v>
      </c>
      <c r="DM17" t="n">
        <v>74.47</v>
      </c>
      <c r="DN17" t="n">
        <v>69.361</v>
      </c>
      <c r="DO17" t="n">
        <v>82.364</v>
      </c>
      <c r="DP17" t="n">
        <v>6.457</v>
      </c>
      <c r="DQ17" t="n">
        <v>53.304</v>
      </c>
      <c r="DR17" t="n">
        <v>39.217</v>
      </c>
      <c r="DS17" t="n">
        <v>77.491</v>
      </c>
      <c r="DT17" t="n">
        <v>5939.957</v>
      </c>
      <c r="DU17" t="n">
        <v>16.352</v>
      </c>
      <c r="DV17" t="n">
        <v>54.739</v>
      </c>
      <c r="DW17" t="n">
        <v>6.636</v>
      </c>
      <c r="DX17" t="n">
        <v>66.913</v>
      </c>
      <c r="DY17" t="n">
        <v>5.429</v>
      </c>
      <c r="DZ17" t="n">
        <v>0.854</v>
      </c>
      <c r="EA17" t="n">
        <v>2.85</v>
      </c>
      <c r="EB17" t="n">
        <v>128.957</v>
      </c>
      <c r="EC17" t="n">
        <v>227.478</v>
      </c>
      <c r="ED17" t="n">
        <v>356.435</v>
      </c>
      <c r="EE17" t="n">
        <v>36.18</v>
      </c>
      <c r="EF17" t="n">
        <v>68</v>
      </c>
      <c r="EG17" t="n">
        <v>87.60899999999999</v>
      </c>
      <c r="EH17" t="n">
        <v>15.435</v>
      </c>
      <c r="EI17" t="n">
        <v>27.913</v>
      </c>
      <c r="EJ17" t="n">
        <v>59.696</v>
      </c>
      <c r="EK17" t="n">
        <v>82.435</v>
      </c>
      <c r="EL17" t="n">
        <v>58.043</v>
      </c>
      <c r="EM17" t="n">
        <v>7.87</v>
      </c>
      <c r="EN17" t="n">
        <v>21.652</v>
      </c>
      <c r="EO17" t="n">
        <v>114.435</v>
      </c>
      <c r="EP17" t="n">
        <v>10.391</v>
      </c>
      <c r="EQ17" t="n">
        <v>23.696</v>
      </c>
      <c r="ER17" t="n">
        <v>34.087</v>
      </c>
      <c r="ES17" t="n">
        <v>36.478</v>
      </c>
      <c r="ET17" t="n">
        <v>76.639</v>
      </c>
      <c r="EU17" t="n">
        <v>104.565</v>
      </c>
      <c r="EV17" t="n">
        <v>11.522</v>
      </c>
      <c r="EW17" t="n">
        <v>13.652</v>
      </c>
      <c r="EX17" t="n">
        <v>25.612</v>
      </c>
      <c r="EY17" t="n">
        <v>17.435</v>
      </c>
      <c r="EZ17" t="n">
        <v>8.522</v>
      </c>
      <c r="FA17" t="n">
        <v>13.522</v>
      </c>
      <c r="FB17" t="n">
        <v>10.217</v>
      </c>
      <c r="FC17" t="n">
        <v>2</v>
      </c>
      <c r="FD17" t="n">
        <v>26.13</v>
      </c>
      <c r="FE17" t="n">
        <v>10.043</v>
      </c>
      <c r="FF17" t="n">
        <v>51.747</v>
      </c>
      <c r="FG17" t="n">
        <v>25.367</v>
      </c>
      <c r="FH17" t="n">
        <v>44.535</v>
      </c>
      <c r="FI17" t="n">
        <v>49.021</v>
      </c>
      <c r="FJ17" t="n">
        <v>23.739</v>
      </c>
      <c r="FK17" t="n">
        <v>86.848</v>
      </c>
      <c r="FL17" t="n">
        <v>2.5</v>
      </c>
      <c r="FM17" t="n">
        <v>3.324</v>
      </c>
      <c r="FN17" t="n">
        <v>0.096</v>
      </c>
      <c r="FO17" t="n">
        <v>3.648</v>
      </c>
      <c r="FP17" t="n">
        <v>0.036</v>
      </c>
      <c r="FQ17" t="n">
        <v>2.895</v>
      </c>
      <c r="FR17" t="n">
        <v>0.174</v>
      </c>
      <c r="FS17" t="n">
        <v>4.783</v>
      </c>
      <c r="FT17" t="n">
        <v>31.522</v>
      </c>
      <c r="FU17" t="n">
        <v>55.043</v>
      </c>
      <c r="FV17" t="n">
        <v>38.043</v>
      </c>
      <c r="FW17" t="n">
        <v>43.783</v>
      </c>
      <c r="FX17" t="n">
        <v>9.522</v>
      </c>
      <c r="FY17" t="n">
        <v>21.61</v>
      </c>
      <c r="FZ17" t="n">
        <v>25.831</v>
      </c>
      <c r="GA17" t="n">
        <v>11.765</v>
      </c>
      <c r="GB17" t="n">
        <v>34.049</v>
      </c>
      <c r="GC17" t="n">
        <v>14.342</v>
      </c>
      <c r="GD17" t="n">
        <v>62.783</v>
      </c>
      <c r="GE17" t="n">
        <v>10.217</v>
      </c>
      <c r="GF17" t="n">
        <v>325.087</v>
      </c>
      <c r="GG17" t="n">
        <v>147.522</v>
      </c>
      <c r="GH17" t="n">
        <v>31.174</v>
      </c>
      <c r="GI17" t="n">
        <v>32.043</v>
      </c>
      <c r="GJ17" t="n">
        <v>35.899</v>
      </c>
      <c r="GK17" t="n">
        <v>8.651999999999999</v>
      </c>
      <c r="GL17" t="n">
        <v>27.001</v>
      </c>
      <c r="GM17" t="n">
        <v>2.696</v>
      </c>
      <c r="GN17" t="n">
        <v>9.739000000000001</v>
      </c>
      <c r="GO17" t="n">
        <v>88.839</v>
      </c>
      <c r="GP17" t="n">
        <v>6.13</v>
      </c>
      <c r="GQ17" t="n">
        <v>43.609</v>
      </c>
      <c r="GR17" t="n">
        <v>69.13</v>
      </c>
      <c r="GS17" t="n">
        <v>-9.939</v>
      </c>
      <c r="GT17" t="n">
        <v>-58.522</v>
      </c>
      <c r="GU17" t="n">
        <v>-25.478</v>
      </c>
      <c r="GV17" t="n">
        <v>-4.696</v>
      </c>
      <c r="GW17" t="n">
        <v>-10.304</v>
      </c>
      <c r="GX17" t="n">
        <v>33.783</v>
      </c>
      <c r="GY17" t="n">
        <v>23.478</v>
      </c>
      <c r="GZ17" t="n">
        <v>-2.696</v>
      </c>
      <c r="HA17" t="n">
        <v>-199.739</v>
      </c>
      <c r="HB17" t="n">
        <v>3.565</v>
      </c>
      <c r="HC17" t="n">
        <v>0.783</v>
      </c>
      <c r="HD17" t="n">
        <v>0.4</v>
      </c>
      <c r="HE17" t="n">
        <v>-2.972</v>
      </c>
      <c r="HF17" t="n">
        <v>2.783</v>
      </c>
      <c r="HG17" t="n">
        <v>24.261</v>
      </c>
      <c r="HH17" t="n">
        <v>27.043</v>
      </c>
      <c r="HI17" t="n">
        <v>-1.13</v>
      </c>
      <c r="HJ17" t="n">
        <v>3.087</v>
      </c>
      <c r="HK17" t="n">
        <v>-1.304</v>
      </c>
      <c r="HL17" t="n">
        <v>0.13</v>
      </c>
      <c r="HM17" t="n">
        <v>3</v>
      </c>
      <c r="HN17" t="n">
        <v>0.957</v>
      </c>
      <c r="HO17" t="n">
        <v>4</v>
      </c>
      <c r="HP17" t="n">
        <v>3.348</v>
      </c>
      <c r="HQ17" t="n">
        <v>0.739</v>
      </c>
      <c r="HR17" t="n">
        <v>29.783</v>
      </c>
      <c r="HS17" t="n">
        <v>2.217</v>
      </c>
      <c r="HT17" t="n">
        <v>-1.217</v>
      </c>
      <c r="HU17" t="n">
        <v>1</v>
      </c>
      <c r="HV17" t="n">
        <v>3.739</v>
      </c>
      <c r="HW17" t="n">
        <v>-7.913</v>
      </c>
      <c r="HX17" t="n">
        <v>-2.435</v>
      </c>
      <c r="HY17" t="n">
        <v>-2.783</v>
      </c>
      <c r="HZ17" t="n">
        <v>-2.522</v>
      </c>
      <c r="IA17" t="n">
        <v>-2.739</v>
      </c>
      <c r="IB17" t="n">
        <v>-2.957</v>
      </c>
      <c r="IC17" t="n">
        <v>-0.304</v>
      </c>
      <c r="ID17" t="n">
        <v>-3.087</v>
      </c>
      <c r="IE17" t="n">
        <v>-2.174</v>
      </c>
      <c r="IF17" t="n">
        <v>-3.522</v>
      </c>
      <c r="IG17" t="n">
        <v>-12.612</v>
      </c>
      <c r="IH17" t="n">
        <v>-5.475</v>
      </c>
      <c r="II17" t="n">
        <v>-0.102</v>
      </c>
      <c r="IJ17" t="n">
        <v>-1.652</v>
      </c>
      <c r="IK17" t="n">
        <v>-3.478</v>
      </c>
      <c r="IL17" t="n">
        <v>-12.913</v>
      </c>
      <c r="IM17" t="n">
        <v>-10.826</v>
      </c>
      <c r="IN17" t="n">
        <v>-8.609</v>
      </c>
      <c r="IO17" t="n">
        <v>1.391</v>
      </c>
      <c r="IP17" t="n">
        <v>-6.522</v>
      </c>
      <c r="IQ17" t="n">
        <v>0.696</v>
      </c>
      <c r="IR17" t="n">
        <v>-38.478</v>
      </c>
      <c r="IS17" t="n">
        <v>-16.217</v>
      </c>
      <c r="IT17" t="n">
        <v>-3.652</v>
      </c>
      <c r="IU17" t="n">
        <v>9.173999999999999</v>
      </c>
      <c r="IV17" t="n">
        <v>3.565</v>
      </c>
      <c r="IW17" t="n">
        <v>-0.174</v>
      </c>
      <c r="IX17" t="n">
        <v>3.522</v>
      </c>
      <c r="IY17" t="n">
        <v>-3.478</v>
      </c>
      <c r="IZ17" t="n">
        <v>2.739</v>
      </c>
    </row>
    <row r="18">
      <c r="A18" t="inlineStr">
        <is>
          <t>St Kilda</t>
        </is>
      </c>
      <c r="B18" t="inlineStr">
        <is>
          <t>St K</t>
        </is>
      </c>
      <c r="C18" t="n">
        <v>24</v>
      </c>
      <c r="D18" t="n">
        <v>32</v>
      </c>
      <c r="E18" t="n">
        <v>25.237</v>
      </c>
      <c r="F18" t="n">
        <v>91.45099999999999</v>
      </c>
      <c r="G18" t="n">
        <v>210.338</v>
      </c>
      <c r="H18" t="n">
        <v>1657.625</v>
      </c>
      <c r="I18" t="n">
        <v>1654.75</v>
      </c>
      <c r="J18" t="n">
        <v>13.75</v>
      </c>
      <c r="K18" t="n">
        <v>50.442</v>
      </c>
      <c r="L18" t="n">
        <v>231</v>
      </c>
      <c r="M18" t="n">
        <v>159.958</v>
      </c>
      <c r="N18" t="n">
        <v>390.958</v>
      </c>
      <c r="O18" t="n">
        <v>72.52500000000001</v>
      </c>
      <c r="P18" t="n">
        <v>65.566</v>
      </c>
      <c r="Q18" t="n">
        <v>82.574</v>
      </c>
      <c r="R18" t="n">
        <v>59.086</v>
      </c>
      <c r="S18" t="n">
        <v>6.357</v>
      </c>
      <c r="T18" t="n">
        <v>52.167</v>
      </c>
      <c r="U18" t="n">
        <v>39.917</v>
      </c>
      <c r="V18" t="n">
        <v>78.01300000000001</v>
      </c>
      <c r="W18" t="n">
        <v>5959.292</v>
      </c>
      <c r="X18" t="n">
        <v>15.243</v>
      </c>
      <c r="Y18" t="n">
        <v>60.5</v>
      </c>
      <c r="Z18" t="n">
        <v>6.462</v>
      </c>
      <c r="AA18" t="n">
        <v>72.875</v>
      </c>
      <c r="AB18" t="n">
        <v>5.365</v>
      </c>
      <c r="AC18" t="n">
        <v>-1.191</v>
      </c>
      <c r="AD18" t="n">
        <v>-0.133</v>
      </c>
      <c r="AE18" t="n">
        <v>139.875</v>
      </c>
      <c r="AF18" t="n">
        <v>243.167</v>
      </c>
      <c r="AG18" t="n">
        <v>383.042</v>
      </c>
      <c r="AH18" t="n">
        <v>36.517</v>
      </c>
      <c r="AI18" t="n">
        <v>72.875</v>
      </c>
      <c r="AJ18" t="n">
        <v>96.042</v>
      </c>
      <c r="AK18" t="n">
        <v>16.625</v>
      </c>
      <c r="AL18" t="n">
        <v>29.75</v>
      </c>
      <c r="AM18" t="n">
        <v>66.292</v>
      </c>
      <c r="AN18" t="n">
        <v>91.708</v>
      </c>
      <c r="AO18" t="n">
        <v>65.417</v>
      </c>
      <c r="AP18" t="n">
        <v>8.125</v>
      </c>
      <c r="AQ18" t="n">
        <v>26.875</v>
      </c>
      <c r="AR18" t="n">
        <v>127.833</v>
      </c>
      <c r="AS18" t="n">
        <v>10.958</v>
      </c>
      <c r="AT18" t="n">
        <v>22.792</v>
      </c>
      <c r="AU18" t="n">
        <v>33.75</v>
      </c>
      <c r="AV18" t="n">
        <v>38.875</v>
      </c>
      <c r="AW18" t="n">
        <v>72.23999999999999</v>
      </c>
      <c r="AX18" t="n">
        <v>103.125</v>
      </c>
      <c r="AY18" t="n">
        <v>10.625</v>
      </c>
      <c r="AZ18" t="n">
        <v>11.042</v>
      </c>
      <c r="BA18" t="n">
        <v>21.166</v>
      </c>
      <c r="BB18" t="n">
        <v>17.583</v>
      </c>
      <c r="BC18" t="n">
        <v>6.917</v>
      </c>
      <c r="BD18" t="n">
        <v>25</v>
      </c>
      <c r="BE18" t="n">
        <v>7.292</v>
      </c>
      <c r="BF18" t="n">
        <v>11.292</v>
      </c>
      <c r="BG18" t="n">
        <v>9.417</v>
      </c>
      <c r="BH18" t="n">
        <v>2.25</v>
      </c>
      <c r="BI18" t="n">
        <v>23.625</v>
      </c>
      <c r="BJ18" t="n">
        <v>7.542</v>
      </c>
      <c r="BK18" t="n">
        <v>47.795</v>
      </c>
      <c r="BL18" t="n">
        <v>21.645</v>
      </c>
      <c r="BM18" t="n">
        <v>39.696</v>
      </c>
      <c r="BN18" t="n">
        <v>45.288</v>
      </c>
      <c r="BO18" t="n">
        <v>20.417</v>
      </c>
      <c r="BP18" t="n">
        <v>13.083</v>
      </c>
      <c r="BQ18" t="n">
        <v>25.478</v>
      </c>
      <c r="BR18" t="n">
        <v>79.057</v>
      </c>
      <c r="BS18" t="n">
        <v>-4.141</v>
      </c>
      <c r="BT18" t="n">
        <v>3.346</v>
      </c>
      <c r="BU18" t="n">
        <v>-0.175</v>
      </c>
      <c r="BV18" t="n">
        <v>3.686</v>
      </c>
      <c r="BW18" t="n">
        <v>-0.21</v>
      </c>
      <c r="BX18" t="n">
        <v>2.934</v>
      </c>
      <c r="BY18" t="n">
        <v>-0.133</v>
      </c>
      <c r="BZ18" t="n">
        <v>3.125</v>
      </c>
      <c r="CA18" t="n">
        <v>26.792</v>
      </c>
      <c r="CB18" t="n">
        <v>47.25</v>
      </c>
      <c r="CC18" t="n">
        <v>28.833</v>
      </c>
      <c r="CD18" t="n">
        <v>38.292</v>
      </c>
      <c r="CE18" t="n">
        <v>10.042</v>
      </c>
      <c r="CF18" t="n">
        <v>17.688</v>
      </c>
      <c r="CG18" t="n">
        <v>24.264</v>
      </c>
      <c r="CH18" t="n">
        <v>8.333</v>
      </c>
      <c r="CI18" t="n">
        <v>32.432</v>
      </c>
      <c r="CJ18" t="n">
        <v>10.706</v>
      </c>
      <c r="CK18" t="n">
        <v>13.542</v>
      </c>
      <c r="CL18" t="n">
        <v>23.385</v>
      </c>
      <c r="CM18" t="n">
        <v>63.458</v>
      </c>
      <c r="CN18" t="n">
        <v>10.25</v>
      </c>
      <c r="CO18" t="n">
        <v>313.75</v>
      </c>
      <c r="CP18" t="n">
        <v>144.708</v>
      </c>
      <c r="CQ18" t="n">
        <v>30.5</v>
      </c>
      <c r="CR18" t="n">
        <v>88.792</v>
      </c>
      <c r="CS18" t="n">
        <v>31.625</v>
      </c>
      <c r="CT18" t="n">
        <v>35.617</v>
      </c>
      <c r="CU18" t="n">
        <v>9</v>
      </c>
      <c r="CV18" t="n">
        <v>28.458</v>
      </c>
      <c r="CW18" t="n">
        <v>3.25</v>
      </c>
      <c r="CX18" t="n">
        <v>18.833</v>
      </c>
      <c r="CY18" t="n">
        <v>15.583</v>
      </c>
      <c r="CZ18" t="n">
        <v>3.25</v>
      </c>
      <c r="DA18" t="n">
        <v>10.292</v>
      </c>
      <c r="DB18" t="n">
        <v>84.61499999999999</v>
      </c>
      <c r="DC18" t="n">
        <v>5.75</v>
      </c>
      <c r="DD18" t="n">
        <v>45.5</v>
      </c>
      <c r="DE18" t="n">
        <v>70.042</v>
      </c>
      <c r="DF18" t="n">
        <v>207.621</v>
      </c>
      <c r="DG18" t="n">
        <v>1642.25</v>
      </c>
      <c r="DH18" t="n">
        <v>1600.583</v>
      </c>
      <c r="DI18" t="n">
        <v>16.25</v>
      </c>
      <c r="DJ18" t="n">
        <v>221.292</v>
      </c>
      <c r="DK18" t="n">
        <v>156.5</v>
      </c>
      <c r="DL18" t="n">
        <v>377.792</v>
      </c>
      <c r="DM18" t="n">
        <v>73.905</v>
      </c>
      <c r="DN18" t="n">
        <v>67.407</v>
      </c>
      <c r="DO18" t="n">
        <v>83.09399999999999</v>
      </c>
      <c r="DP18" t="n">
        <v>5.953</v>
      </c>
      <c r="DQ18" t="n">
        <v>51.167</v>
      </c>
      <c r="DR18" t="n">
        <v>40.125</v>
      </c>
      <c r="DS18" t="n">
        <v>76.917</v>
      </c>
      <c r="DT18" t="n">
        <v>5804.75</v>
      </c>
      <c r="DU18" t="n">
        <v>15.365</v>
      </c>
      <c r="DV18" t="n">
        <v>59.458</v>
      </c>
      <c r="DW18" t="n">
        <v>6.354</v>
      </c>
      <c r="DX18" t="n">
        <v>72.667</v>
      </c>
      <c r="DY18" t="n">
        <v>5.199</v>
      </c>
      <c r="DZ18" t="n">
        <v>-1.966</v>
      </c>
      <c r="EA18" t="n">
        <v>-0.544</v>
      </c>
      <c r="EB18" t="n">
        <v>136.958</v>
      </c>
      <c r="EC18" t="n">
        <v>238.708</v>
      </c>
      <c r="ED18" t="n">
        <v>375.667</v>
      </c>
      <c r="EE18" t="n">
        <v>36.457</v>
      </c>
      <c r="EF18" t="n">
        <v>72.875</v>
      </c>
      <c r="EG18" t="n">
        <v>93.708</v>
      </c>
      <c r="EH18" t="n">
        <v>15.125</v>
      </c>
      <c r="EI18" t="n">
        <v>28.25</v>
      </c>
      <c r="EJ18" t="n">
        <v>65.417</v>
      </c>
      <c r="EK18" t="n">
        <v>88.667</v>
      </c>
      <c r="EL18" t="n">
        <v>64.542</v>
      </c>
      <c r="EM18" t="n">
        <v>10.583</v>
      </c>
      <c r="EN18" t="n">
        <v>24.667</v>
      </c>
      <c r="EO18" t="n">
        <v>125.292</v>
      </c>
      <c r="EP18" t="n">
        <v>10.375</v>
      </c>
      <c r="EQ18" t="n">
        <v>25.708</v>
      </c>
      <c r="ER18" t="n">
        <v>36.083</v>
      </c>
      <c r="ES18" t="n">
        <v>38.042</v>
      </c>
      <c r="ET18" t="n">
        <v>76.232</v>
      </c>
      <c r="EU18" t="n">
        <v>102.917</v>
      </c>
      <c r="EV18" t="n">
        <v>11.417</v>
      </c>
      <c r="EW18" t="n">
        <v>11.083</v>
      </c>
      <c r="EX18" t="n">
        <v>21.661</v>
      </c>
      <c r="EY18" t="n">
        <v>18.958</v>
      </c>
      <c r="EZ18" t="n">
        <v>6.167</v>
      </c>
      <c r="FA18" t="n">
        <v>10.417</v>
      </c>
      <c r="FB18" t="n">
        <v>10.333</v>
      </c>
      <c r="FC18" t="n">
        <v>2.083</v>
      </c>
      <c r="FD18" t="n">
        <v>23.542</v>
      </c>
      <c r="FE18" t="n">
        <v>7.417</v>
      </c>
      <c r="FF18" t="n">
        <v>44.248</v>
      </c>
      <c r="FG18" t="n">
        <v>20.358</v>
      </c>
      <c r="FH18" t="n">
        <v>40.554</v>
      </c>
      <c r="FI18" t="n">
        <v>46.01</v>
      </c>
      <c r="FJ18" t="n">
        <v>20.583</v>
      </c>
      <c r="FK18" t="n">
        <v>73.59999999999999</v>
      </c>
      <c r="FL18" t="n">
        <v>-2.85</v>
      </c>
      <c r="FM18" t="n">
        <v>3.126</v>
      </c>
      <c r="FN18" t="n">
        <v>-0.121</v>
      </c>
      <c r="FO18" t="n">
        <v>3.445</v>
      </c>
      <c r="FP18" t="n">
        <v>-0.204</v>
      </c>
      <c r="FQ18" t="n">
        <v>2.8</v>
      </c>
      <c r="FR18" t="n">
        <v>-0.036</v>
      </c>
      <c r="FS18" t="n">
        <v>2.167</v>
      </c>
      <c r="FT18" t="n">
        <v>28.417</v>
      </c>
      <c r="FU18" t="n">
        <v>42.25</v>
      </c>
      <c r="FV18" t="n">
        <v>27.125</v>
      </c>
      <c r="FW18" t="n">
        <v>38.25</v>
      </c>
      <c r="FX18" t="n">
        <v>7.458</v>
      </c>
      <c r="FY18" t="n">
        <v>17.879</v>
      </c>
      <c r="FZ18" t="n">
        <v>19.72</v>
      </c>
      <c r="GA18" t="n">
        <v>6.526</v>
      </c>
      <c r="GB18" t="n">
        <v>28.571</v>
      </c>
      <c r="GC18" t="n">
        <v>10.215</v>
      </c>
      <c r="GD18" t="n">
        <v>61.5</v>
      </c>
      <c r="GE18" t="n">
        <v>10.625</v>
      </c>
      <c r="GF18" t="n">
        <v>313.083</v>
      </c>
      <c r="GG18" t="n">
        <v>148.5</v>
      </c>
      <c r="GH18" t="n">
        <v>33.75</v>
      </c>
      <c r="GI18" t="n">
        <v>39.125</v>
      </c>
      <c r="GJ18" t="n">
        <v>43.94</v>
      </c>
      <c r="GK18" t="n">
        <v>11.667</v>
      </c>
      <c r="GL18" t="n">
        <v>29.819</v>
      </c>
      <c r="GM18" t="n">
        <v>3.542</v>
      </c>
      <c r="GN18" t="n">
        <v>9.167</v>
      </c>
      <c r="GO18" t="n">
        <v>81.364</v>
      </c>
      <c r="GP18" t="n">
        <v>4.458</v>
      </c>
      <c r="GQ18" t="n">
        <v>48</v>
      </c>
      <c r="GR18" t="n">
        <v>69.458</v>
      </c>
      <c r="GS18" t="n">
        <v>2.717</v>
      </c>
      <c r="GT18" t="n">
        <v>15.375</v>
      </c>
      <c r="GU18" t="n">
        <v>54.167</v>
      </c>
      <c r="GV18" t="n">
        <v>-2.5</v>
      </c>
      <c r="GW18" t="n">
        <v>9.708</v>
      </c>
      <c r="GX18" t="n">
        <v>3.458</v>
      </c>
      <c r="GY18" t="n">
        <v>13.167</v>
      </c>
      <c r="GZ18" t="n">
        <v>1</v>
      </c>
      <c r="HA18" t="n">
        <v>154.542</v>
      </c>
      <c r="HB18" t="n">
        <v>1.042</v>
      </c>
      <c r="HC18" t="n">
        <v>0.208</v>
      </c>
      <c r="HD18" t="n">
        <v>0.775</v>
      </c>
      <c r="HE18" t="n">
        <v>0.411</v>
      </c>
      <c r="HF18" t="n">
        <v>2.917</v>
      </c>
      <c r="HG18" t="n">
        <v>4.458</v>
      </c>
      <c r="HH18" t="n">
        <v>7.375</v>
      </c>
      <c r="HI18" t="n">
        <v>0</v>
      </c>
      <c r="HJ18" t="n">
        <v>2.333</v>
      </c>
      <c r="HK18" t="n">
        <v>1.5</v>
      </c>
      <c r="HL18" t="n">
        <v>1.5</v>
      </c>
      <c r="HM18" t="n">
        <v>0.875</v>
      </c>
      <c r="HN18" t="n">
        <v>3.042</v>
      </c>
      <c r="HO18" t="n">
        <v>0.875</v>
      </c>
      <c r="HP18" t="n">
        <v>-2.458</v>
      </c>
      <c r="HQ18" t="n">
        <v>2.208</v>
      </c>
      <c r="HR18" t="n">
        <v>2.542</v>
      </c>
      <c r="HS18" t="n">
        <v>0.583</v>
      </c>
      <c r="HT18" t="n">
        <v>-2.917</v>
      </c>
      <c r="HU18" t="n">
        <v>-2.333</v>
      </c>
      <c r="HV18" t="n">
        <v>0.833</v>
      </c>
      <c r="HW18" t="n">
        <v>0.208</v>
      </c>
      <c r="HX18" t="n">
        <v>-0.792</v>
      </c>
      <c r="HY18" t="n">
        <v>-0.042</v>
      </c>
      <c r="HZ18" t="n">
        <v>-1.375</v>
      </c>
      <c r="IA18" t="n">
        <v>0.75</v>
      </c>
      <c r="IB18" t="n">
        <v>0.875</v>
      </c>
      <c r="IC18" t="n">
        <v>-0.917</v>
      </c>
      <c r="ID18" t="n">
        <v>0.083</v>
      </c>
      <c r="IE18" t="n">
        <v>0.125</v>
      </c>
      <c r="IF18" t="n">
        <v>-0.167</v>
      </c>
      <c r="IG18" t="n">
        <v>5.457</v>
      </c>
      <c r="IH18" t="n">
        <v>-1.291</v>
      </c>
      <c r="II18" t="n">
        <v>0.22</v>
      </c>
      <c r="IJ18" t="n">
        <v>0.958</v>
      </c>
      <c r="IK18" t="n">
        <v>-1.625</v>
      </c>
      <c r="IL18" t="n">
        <v>5</v>
      </c>
      <c r="IM18" t="n">
        <v>1.708</v>
      </c>
      <c r="IN18" t="n">
        <v>0.042</v>
      </c>
      <c r="IO18" t="n">
        <v>2.583</v>
      </c>
      <c r="IP18" t="n">
        <v>1.958</v>
      </c>
      <c r="IQ18" t="n">
        <v>-0.375</v>
      </c>
      <c r="IR18" t="n">
        <v>0.667</v>
      </c>
      <c r="IS18" t="n">
        <v>-3.792</v>
      </c>
      <c r="IT18" t="n">
        <v>-3.25</v>
      </c>
      <c r="IU18" t="n">
        <v>-7.5</v>
      </c>
      <c r="IV18" t="n">
        <v>-2.667</v>
      </c>
      <c r="IW18" t="n">
        <v>-0.292</v>
      </c>
      <c r="IX18" t="n">
        <v>1.292</v>
      </c>
      <c r="IY18" t="n">
        <v>-2.5</v>
      </c>
      <c r="IZ18" t="n">
        <v>0.583</v>
      </c>
    </row>
    <row r="19">
      <c r="A19" t="inlineStr">
        <is>
          <t>Fremantle</t>
        </is>
      </c>
      <c r="B19" t="inlineStr">
        <is>
          <t>Frem</t>
        </is>
      </c>
      <c r="C19" t="n">
        <v>23</v>
      </c>
      <c r="D19" t="n">
        <v>36</v>
      </c>
      <c r="E19" t="n">
        <v>24.577</v>
      </c>
      <c r="F19" t="n">
        <v>75.45399999999999</v>
      </c>
      <c r="G19" t="n">
        <v>208.674</v>
      </c>
      <c r="H19" t="n">
        <v>1671.522</v>
      </c>
      <c r="I19" t="n">
        <v>1570.913</v>
      </c>
      <c r="J19" t="n">
        <v>14.522</v>
      </c>
      <c r="K19" t="n">
        <v>49.649</v>
      </c>
      <c r="L19" t="n">
        <v>209.609</v>
      </c>
      <c r="M19" t="n">
        <v>157.783</v>
      </c>
      <c r="N19" t="n">
        <v>367.391</v>
      </c>
      <c r="O19" t="n">
        <v>75.29000000000001</v>
      </c>
      <c r="P19" t="n">
        <v>68.824</v>
      </c>
      <c r="Q19" t="n">
        <v>83.88</v>
      </c>
      <c r="R19" t="n">
        <v>57.053</v>
      </c>
      <c r="S19" t="n">
        <v>6.001</v>
      </c>
      <c r="T19" t="n">
        <v>50.348</v>
      </c>
      <c r="U19" t="n">
        <v>37.957</v>
      </c>
      <c r="V19" t="n">
        <v>74.807</v>
      </c>
      <c r="W19" t="n">
        <v>5626.174</v>
      </c>
      <c r="X19" t="n">
        <v>15.314</v>
      </c>
      <c r="Y19" t="n">
        <v>49.87</v>
      </c>
      <c r="Z19" t="n">
        <v>7.367</v>
      </c>
      <c r="AA19" t="n">
        <v>65.565</v>
      </c>
      <c r="AB19" t="n">
        <v>5.603</v>
      </c>
      <c r="AC19" t="n">
        <v>-1.953</v>
      </c>
      <c r="AD19" t="n">
        <v>-0.449</v>
      </c>
      <c r="AE19" t="n">
        <v>132.087</v>
      </c>
      <c r="AF19" t="n">
        <v>229.913</v>
      </c>
      <c r="AG19" t="n">
        <v>362</v>
      </c>
      <c r="AH19" t="n">
        <v>36.488</v>
      </c>
      <c r="AI19" t="n">
        <v>66.435</v>
      </c>
      <c r="AJ19" t="n">
        <v>87.435</v>
      </c>
      <c r="AK19" t="n">
        <v>13.913</v>
      </c>
      <c r="AL19" t="n">
        <v>24.304</v>
      </c>
      <c r="AM19" t="n">
        <v>63.043</v>
      </c>
      <c r="AN19" t="n">
        <v>82.87</v>
      </c>
      <c r="AO19" t="n">
        <v>58.261</v>
      </c>
      <c r="AP19" t="n">
        <v>12.087</v>
      </c>
      <c r="AQ19" t="n">
        <v>23.783</v>
      </c>
      <c r="AR19" t="n">
        <v>129.217</v>
      </c>
      <c r="AS19" t="n">
        <v>11.739</v>
      </c>
      <c r="AT19" t="n">
        <v>25.435</v>
      </c>
      <c r="AU19" t="n">
        <v>37.174</v>
      </c>
      <c r="AV19" t="n">
        <v>39.783</v>
      </c>
      <c r="AW19" t="n">
        <v>75.191</v>
      </c>
      <c r="AX19" t="n">
        <v>92.87</v>
      </c>
      <c r="AY19" t="n">
        <v>10.739</v>
      </c>
      <c r="AZ19" t="n">
        <v>11.174</v>
      </c>
      <c r="BA19" t="n">
        <v>22.193</v>
      </c>
      <c r="BB19" t="n">
        <v>15.435</v>
      </c>
      <c r="BC19" t="n">
        <v>7.609</v>
      </c>
      <c r="BD19" t="n">
        <v>27</v>
      </c>
      <c r="BE19" t="n">
        <v>7.435</v>
      </c>
      <c r="BF19" t="n">
        <v>11.783</v>
      </c>
      <c r="BG19" t="n">
        <v>9.087</v>
      </c>
      <c r="BH19" t="n">
        <v>1.957</v>
      </c>
      <c r="BI19" t="n">
        <v>23.739</v>
      </c>
      <c r="BJ19" t="n">
        <v>8.391</v>
      </c>
      <c r="BK19" t="n">
        <v>49.634</v>
      </c>
      <c r="BL19" t="n">
        <v>23.402</v>
      </c>
      <c r="BM19" t="n">
        <v>41.451</v>
      </c>
      <c r="BN19" t="n">
        <v>47.15</v>
      </c>
      <c r="BO19" t="n">
        <v>20.652</v>
      </c>
      <c r="BP19" t="n">
        <v>11.565</v>
      </c>
      <c r="BQ19" t="n">
        <v>23.308</v>
      </c>
      <c r="BR19" t="n">
        <v>78.86799999999999</v>
      </c>
      <c r="BS19" t="n">
        <v>-1.042</v>
      </c>
      <c r="BT19" t="n">
        <v>3.322</v>
      </c>
      <c r="BU19" t="n">
        <v>-0.044</v>
      </c>
      <c r="BV19" t="n">
        <v>3.624</v>
      </c>
      <c r="BW19" t="n">
        <v>0.117</v>
      </c>
      <c r="BX19" t="n">
        <v>2.96</v>
      </c>
      <c r="BY19" t="n">
        <v>-0.238</v>
      </c>
      <c r="BZ19" t="n">
        <v>2.652</v>
      </c>
      <c r="CA19" t="n">
        <v>33.217</v>
      </c>
      <c r="CB19" t="n">
        <v>43.913</v>
      </c>
      <c r="CC19" t="n">
        <v>28.435</v>
      </c>
      <c r="CD19" t="n">
        <v>39.783</v>
      </c>
      <c r="CE19" t="n">
        <v>11.565</v>
      </c>
      <c r="CF19" t="n">
        <v>18.716</v>
      </c>
      <c r="CG19" t="n">
        <v>18.673</v>
      </c>
      <c r="CH19" t="n">
        <v>6.524</v>
      </c>
      <c r="CI19" t="n">
        <v>28.702</v>
      </c>
      <c r="CJ19" t="n">
        <v>10.392</v>
      </c>
      <c r="CK19" t="n">
        <v>13.217</v>
      </c>
      <c r="CL19" t="n">
        <v>23.684</v>
      </c>
      <c r="CM19" t="n">
        <v>63.348</v>
      </c>
      <c r="CN19" t="n">
        <v>10.435</v>
      </c>
      <c r="CO19" t="n">
        <v>295.261</v>
      </c>
      <c r="CP19" t="n">
        <v>138.87</v>
      </c>
      <c r="CQ19" t="n">
        <v>31.261</v>
      </c>
      <c r="CR19" t="n">
        <v>96.39100000000001</v>
      </c>
      <c r="CS19" t="n">
        <v>46.087</v>
      </c>
      <c r="CT19" t="n">
        <v>47.812</v>
      </c>
      <c r="CU19" t="n">
        <v>13.174</v>
      </c>
      <c r="CV19" t="n">
        <v>28.585</v>
      </c>
      <c r="CW19" t="n">
        <v>1.913</v>
      </c>
      <c r="CX19" t="n">
        <v>19.522</v>
      </c>
      <c r="CY19" t="n">
        <v>16.348</v>
      </c>
      <c r="CZ19" t="n">
        <v>3.174</v>
      </c>
      <c r="DA19" t="n">
        <v>9.609</v>
      </c>
      <c r="DB19" t="n">
        <v>86.425</v>
      </c>
      <c r="DC19" t="n">
        <v>3.478</v>
      </c>
      <c r="DD19" t="n">
        <v>42.87</v>
      </c>
      <c r="DE19" t="n">
        <v>72.82599999999999</v>
      </c>
      <c r="DF19" t="n">
        <v>207.896</v>
      </c>
      <c r="DG19" t="n">
        <v>1628.217</v>
      </c>
      <c r="DH19" t="n">
        <v>1516.783</v>
      </c>
      <c r="DI19" t="n">
        <v>15.478</v>
      </c>
      <c r="DJ19" t="n">
        <v>210.522</v>
      </c>
      <c r="DK19" t="n">
        <v>145.043</v>
      </c>
      <c r="DL19" t="n">
        <v>355.565</v>
      </c>
      <c r="DM19" t="n">
        <v>73.184</v>
      </c>
      <c r="DN19" t="n">
        <v>66.605</v>
      </c>
      <c r="DO19" t="n">
        <v>82.73399999999999</v>
      </c>
      <c r="DP19" t="n">
        <v>5.613</v>
      </c>
      <c r="DQ19" t="n">
        <v>50.739</v>
      </c>
      <c r="DR19" t="n">
        <v>37.826</v>
      </c>
      <c r="DS19" t="n">
        <v>75.13</v>
      </c>
      <c r="DT19" t="n">
        <v>5650.217</v>
      </c>
      <c r="DU19" t="n">
        <v>15.891</v>
      </c>
      <c r="DV19" t="n">
        <v>56.304</v>
      </c>
      <c r="DW19" t="n">
        <v>6.315</v>
      </c>
      <c r="DX19" t="n">
        <v>66.304</v>
      </c>
      <c r="DY19" t="n">
        <v>5.363</v>
      </c>
      <c r="DZ19" t="n">
        <v>0.429</v>
      </c>
      <c r="EA19" t="n">
        <v>-0.093</v>
      </c>
      <c r="EB19" t="n">
        <v>136</v>
      </c>
      <c r="EC19" t="n">
        <v>215.826</v>
      </c>
      <c r="ED19" t="n">
        <v>351.826</v>
      </c>
      <c r="EE19" t="n">
        <v>38.655</v>
      </c>
      <c r="EF19" t="n">
        <v>65.52200000000001</v>
      </c>
      <c r="EG19" t="n">
        <v>93.783</v>
      </c>
      <c r="EH19" t="n">
        <v>15.522</v>
      </c>
      <c r="EI19" t="n">
        <v>27.348</v>
      </c>
      <c r="EJ19" t="n">
        <v>66.47799999999999</v>
      </c>
      <c r="EK19" t="n">
        <v>84.783</v>
      </c>
      <c r="EL19" t="n">
        <v>60.522</v>
      </c>
      <c r="EM19" t="n">
        <v>9.565</v>
      </c>
      <c r="EN19" t="n">
        <v>24.391</v>
      </c>
      <c r="EO19" t="n">
        <v>117.217</v>
      </c>
      <c r="EP19" t="n">
        <v>11.478</v>
      </c>
      <c r="EQ19" t="n">
        <v>26.522</v>
      </c>
      <c r="ER19" t="n">
        <v>38</v>
      </c>
      <c r="ES19" t="n">
        <v>42.609</v>
      </c>
      <c r="ET19" t="n">
        <v>75.714</v>
      </c>
      <c r="EU19" t="n">
        <v>91.82599999999999</v>
      </c>
      <c r="EV19" t="n">
        <v>11.304</v>
      </c>
      <c r="EW19" t="n">
        <v>11.739</v>
      </c>
      <c r="EX19" t="n">
        <v>23.136</v>
      </c>
      <c r="EY19" t="n">
        <v>15.522</v>
      </c>
      <c r="EZ19" t="n">
        <v>6.435</v>
      </c>
      <c r="FA19" t="n">
        <v>12.13</v>
      </c>
      <c r="FB19" t="n">
        <v>9.739000000000001</v>
      </c>
      <c r="FC19" t="n">
        <v>1.957</v>
      </c>
      <c r="FD19" t="n">
        <v>24.609</v>
      </c>
      <c r="FE19" t="n">
        <v>8.391</v>
      </c>
      <c r="FF19" t="n">
        <v>49.293</v>
      </c>
      <c r="FG19" t="n">
        <v>23.907</v>
      </c>
      <c r="FH19" t="n">
        <v>43.102</v>
      </c>
      <c r="FI19" t="n">
        <v>48.5</v>
      </c>
      <c r="FJ19" t="n">
        <v>21.478</v>
      </c>
      <c r="FK19" t="n">
        <v>78.937</v>
      </c>
      <c r="FL19" t="n">
        <v>1.628</v>
      </c>
      <c r="FM19" t="n">
        <v>3.208</v>
      </c>
      <c r="FN19" t="n">
        <v>0.066</v>
      </c>
      <c r="FO19" t="n">
        <v>3.543</v>
      </c>
      <c r="FP19" t="n">
        <v>0.09</v>
      </c>
      <c r="FQ19" t="n">
        <v>2.802</v>
      </c>
      <c r="FR19" t="n">
        <v>0.038</v>
      </c>
      <c r="FS19" t="n">
        <v>2.087</v>
      </c>
      <c r="FT19" t="n">
        <v>29.652</v>
      </c>
      <c r="FU19" t="n">
        <v>50.783</v>
      </c>
      <c r="FV19" t="n">
        <v>27.696</v>
      </c>
      <c r="FW19" t="n">
        <v>46.565</v>
      </c>
      <c r="FX19" t="n">
        <v>8.260999999999999</v>
      </c>
      <c r="FY19" t="n">
        <v>19.495</v>
      </c>
      <c r="FZ19" t="n">
        <v>22.624</v>
      </c>
      <c r="GA19" t="n">
        <v>9.173</v>
      </c>
      <c r="GB19" t="n">
        <v>28.953</v>
      </c>
      <c r="GC19" t="n">
        <v>11.49</v>
      </c>
      <c r="GD19" t="n">
        <v>61.217</v>
      </c>
      <c r="GE19" t="n">
        <v>11.478</v>
      </c>
      <c r="GF19" t="n">
        <v>297.957</v>
      </c>
      <c r="GG19" t="n">
        <v>142.652</v>
      </c>
      <c r="GH19" t="n">
        <v>31</v>
      </c>
      <c r="GI19" t="n">
        <v>36.304</v>
      </c>
      <c r="GJ19" t="n">
        <v>37.63</v>
      </c>
      <c r="GK19" t="n">
        <v>10.217</v>
      </c>
      <c r="GL19" t="n">
        <v>28.144</v>
      </c>
      <c r="GM19" t="n">
        <v>2.478</v>
      </c>
      <c r="GN19" t="n">
        <v>8.957000000000001</v>
      </c>
      <c r="GO19" t="n">
        <v>85.437</v>
      </c>
      <c r="GP19" t="n">
        <v>6.043</v>
      </c>
      <c r="GQ19" t="n">
        <v>44.522</v>
      </c>
      <c r="GR19" t="n">
        <v>69.696</v>
      </c>
      <c r="GS19" t="n">
        <v>0.778</v>
      </c>
      <c r="GT19" t="n">
        <v>43.304</v>
      </c>
      <c r="GU19" t="n">
        <v>54.13</v>
      </c>
      <c r="GV19" t="n">
        <v>-0.957</v>
      </c>
      <c r="GW19" t="n">
        <v>-0.913</v>
      </c>
      <c r="GX19" t="n">
        <v>12.739</v>
      </c>
      <c r="GY19" t="n">
        <v>11.826</v>
      </c>
      <c r="GZ19" t="n">
        <v>-0.391</v>
      </c>
      <c r="HA19" t="n">
        <v>-24.043</v>
      </c>
      <c r="HB19" t="n">
        <v>-6.435</v>
      </c>
      <c r="HC19" t="n">
        <v>-0.739</v>
      </c>
      <c r="HD19" t="n">
        <v>-2.382</v>
      </c>
      <c r="HE19" t="n">
        <v>-0.356</v>
      </c>
      <c r="HF19" t="n">
        <v>-3.913</v>
      </c>
      <c r="HG19" t="n">
        <v>14.087</v>
      </c>
      <c r="HH19" t="n">
        <v>10.174</v>
      </c>
      <c r="HI19" t="n">
        <v>0.913</v>
      </c>
      <c r="HJ19" t="n">
        <v>-6.348</v>
      </c>
      <c r="HK19" t="n">
        <v>-1.609</v>
      </c>
      <c r="HL19" t="n">
        <v>-3.043</v>
      </c>
      <c r="HM19" t="n">
        <v>-3.435</v>
      </c>
      <c r="HN19" t="n">
        <v>-1.913</v>
      </c>
      <c r="HO19" t="n">
        <v>-2.261</v>
      </c>
      <c r="HP19" t="n">
        <v>2.522</v>
      </c>
      <c r="HQ19" t="n">
        <v>-0.609</v>
      </c>
      <c r="HR19" t="n">
        <v>12</v>
      </c>
      <c r="HS19" t="n">
        <v>0.261</v>
      </c>
      <c r="HT19" t="n">
        <v>-1.087</v>
      </c>
      <c r="HU19" t="n">
        <v>-0.826</v>
      </c>
      <c r="HV19" t="n">
        <v>-2.826</v>
      </c>
      <c r="HW19" t="n">
        <v>1.043</v>
      </c>
      <c r="HX19" t="n">
        <v>-0.5649999999999999</v>
      </c>
      <c r="HY19" t="n">
        <v>-0.5649999999999999</v>
      </c>
      <c r="HZ19" t="n">
        <v>-0.08699999999999999</v>
      </c>
      <c r="IA19" t="n">
        <v>1.174</v>
      </c>
      <c r="IB19" t="n">
        <v>-0.348</v>
      </c>
      <c r="IC19" t="n">
        <v>-0.652</v>
      </c>
      <c r="ID19" t="n">
        <v>-0.87</v>
      </c>
      <c r="IE19" t="n">
        <v>0</v>
      </c>
      <c r="IF19" t="n">
        <v>-0.826</v>
      </c>
      <c r="IG19" t="n">
        <v>-0.06900000000000001</v>
      </c>
      <c r="IH19" t="n">
        <v>-2.67</v>
      </c>
      <c r="II19" t="n">
        <v>0.115</v>
      </c>
      <c r="IJ19" t="n">
        <v>0.5649999999999999</v>
      </c>
      <c r="IK19" t="n">
        <v>3.565</v>
      </c>
      <c r="IL19" t="n">
        <v>-6.87</v>
      </c>
      <c r="IM19" t="n">
        <v>0.739</v>
      </c>
      <c r="IN19" t="n">
        <v>-6.783</v>
      </c>
      <c r="IO19" t="n">
        <v>3.304</v>
      </c>
      <c r="IP19" t="n">
        <v>2.13</v>
      </c>
      <c r="IQ19" t="n">
        <v>-1.043</v>
      </c>
      <c r="IR19" t="n">
        <v>-2.696</v>
      </c>
      <c r="IS19" t="n">
        <v>-3.783</v>
      </c>
      <c r="IT19" t="n">
        <v>0.261</v>
      </c>
      <c r="IU19" t="n">
        <v>9.782999999999999</v>
      </c>
      <c r="IV19" t="n">
        <v>2.957</v>
      </c>
      <c r="IW19" t="n">
        <v>-0.5649999999999999</v>
      </c>
      <c r="IX19" t="n">
        <v>-2.565</v>
      </c>
      <c r="IY19" t="n">
        <v>-1.652</v>
      </c>
      <c r="IZ19" t="n">
        <v>3.13</v>
      </c>
    </row>
    <row r="20">
      <c r="A20" t="inlineStr">
        <is>
          <t>Average</t>
        </is>
      </c>
      <c r="B20" t="inlineStr">
        <is>
          <t>AFL</t>
        </is>
      </c>
      <c r="C20" t="n">
        <v>216</v>
      </c>
      <c r="D20" t="n">
        <v>36.833</v>
      </c>
      <c r="E20" t="n">
        <v>25.692</v>
      </c>
      <c r="F20" t="n">
        <v>99.714</v>
      </c>
      <c r="G20" t="n">
        <v>208.476</v>
      </c>
      <c r="H20" t="n">
        <v>1649.981</v>
      </c>
      <c r="I20" t="n">
        <v>1540.238</v>
      </c>
      <c r="J20" t="n">
        <v>15.035</v>
      </c>
      <c r="K20" t="n">
        <v>50</v>
      </c>
      <c r="L20" t="n">
        <v>214.296</v>
      </c>
      <c r="M20" t="n">
        <v>148.192</v>
      </c>
      <c r="N20" t="n">
        <v>362.488</v>
      </c>
      <c r="O20" t="n">
        <v>72.676</v>
      </c>
      <c r="P20" t="n">
        <v>66.05</v>
      </c>
      <c r="Q20" t="n">
        <v>82.258</v>
      </c>
      <c r="R20" t="n">
        <v>59.118</v>
      </c>
      <c r="S20" t="n">
        <v>5.923</v>
      </c>
      <c r="T20" t="n">
        <v>52.745</v>
      </c>
      <c r="U20" t="n">
        <v>39.877</v>
      </c>
      <c r="V20" t="n">
        <v>75.60299999999999</v>
      </c>
      <c r="W20" t="n">
        <v>5882.965</v>
      </c>
      <c r="X20" t="n">
        <v>16.229</v>
      </c>
      <c r="Y20" t="n">
        <v>57.782</v>
      </c>
      <c r="Z20" t="n">
        <v>6.273</v>
      </c>
      <c r="AA20" t="n">
        <v>68.986</v>
      </c>
      <c r="AB20" t="n">
        <v>5.255</v>
      </c>
      <c r="AC20" t="n">
        <v>0.012</v>
      </c>
      <c r="AD20" t="n">
        <v>-0.641</v>
      </c>
      <c r="AE20" t="n">
        <v>136.185</v>
      </c>
      <c r="AF20" t="n">
        <v>219.229</v>
      </c>
      <c r="AG20" t="n">
        <v>355.414</v>
      </c>
      <c r="AH20" t="n">
        <v>38.317</v>
      </c>
      <c r="AI20" t="n">
        <v>69.137</v>
      </c>
      <c r="AJ20" t="n">
        <v>93.021</v>
      </c>
      <c r="AK20" t="n">
        <v>15.595</v>
      </c>
      <c r="AL20" t="n">
        <v>27.838</v>
      </c>
      <c r="AM20" t="n">
        <v>65.169</v>
      </c>
      <c r="AN20" t="n">
        <v>86.083</v>
      </c>
      <c r="AO20" t="n">
        <v>61.792</v>
      </c>
      <c r="AP20" t="n">
        <v>9.928000000000001</v>
      </c>
      <c r="AQ20" t="n">
        <v>24.451</v>
      </c>
      <c r="AR20" t="n">
        <v>118.382</v>
      </c>
      <c r="AS20" t="n">
        <v>11.882</v>
      </c>
      <c r="AT20" t="n">
        <v>25.271</v>
      </c>
      <c r="AU20" t="n">
        <v>37.153</v>
      </c>
      <c r="AV20" t="n">
        <v>40.727</v>
      </c>
      <c r="AW20" t="n">
        <v>75.08199999999999</v>
      </c>
      <c r="AX20" t="n">
        <v>90.73099999999999</v>
      </c>
      <c r="AY20" t="n">
        <v>10.535</v>
      </c>
      <c r="AZ20" t="n">
        <v>11.954</v>
      </c>
      <c r="BA20" t="n">
        <v>22.663</v>
      </c>
      <c r="BB20" t="n">
        <v>16.35</v>
      </c>
      <c r="BC20" t="n">
        <v>6.507</v>
      </c>
      <c r="BD20" t="n">
        <v>27.556</v>
      </c>
      <c r="BE20" t="n">
        <v>7.544</v>
      </c>
      <c r="BF20" t="n">
        <v>12.106</v>
      </c>
      <c r="BG20" t="n">
        <v>10.729</v>
      </c>
      <c r="BH20" t="n">
        <v>2.262</v>
      </c>
      <c r="BI20" t="n">
        <v>25.206</v>
      </c>
      <c r="BJ20" t="n">
        <v>8.618</v>
      </c>
      <c r="BK20" t="n">
        <v>48.03</v>
      </c>
      <c r="BL20" t="n">
        <v>22.953</v>
      </c>
      <c r="BM20" t="n">
        <v>43.294</v>
      </c>
      <c r="BN20" t="n">
        <v>47.788</v>
      </c>
      <c r="BO20" t="n">
        <v>22.579</v>
      </c>
      <c r="BP20" t="n">
        <v>13.137</v>
      </c>
      <c r="BQ20" t="n">
        <v>24.828</v>
      </c>
      <c r="BR20" t="n">
        <v>81.37</v>
      </c>
      <c r="BS20" t="n">
        <v>-0.278</v>
      </c>
      <c r="BT20" t="n">
        <v>3.228</v>
      </c>
      <c r="BU20" t="n">
        <v>-0.011</v>
      </c>
      <c r="BV20" t="n">
        <v>3.529</v>
      </c>
      <c r="BW20" t="n">
        <v>0.005</v>
      </c>
      <c r="BX20" t="n">
        <v>2.875</v>
      </c>
      <c r="BY20" t="n">
        <v>-0.03</v>
      </c>
      <c r="BZ20" t="n">
        <v>3.366</v>
      </c>
      <c r="CA20" t="n">
        <v>32.458</v>
      </c>
      <c r="CB20" t="n">
        <v>47.544</v>
      </c>
      <c r="CC20" t="n">
        <v>31.097</v>
      </c>
      <c r="CD20" t="n">
        <v>41.542</v>
      </c>
      <c r="CE20" t="n">
        <v>10.729</v>
      </c>
      <c r="CF20" t="n">
        <v>19.702</v>
      </c>
      <c r="CG20" t="n">
        <v>21.045</v>
      </c>
      <c r="CH20" t="n">
        <v>8.845000000000001</v>
      </c>
      <c r="CI20" t="n">
        <v>29.722</v>
      </c>
      <c r="CJ20" t="n">
        <v>11.921</v>
      </c>
      <c r="CK20" t="n">
        <v>13.137</v>
      </c>
      <c r="CL20" t="n">
        <v>24.828</v>
      </c>
      <c r="CM20" t="n">
        <v>61.201</v>
      </c>
      <c r="CN20" t="n">
        <v>10.799</v>
      </c>
      <c r="CO20" t="n">
        <v>299.611</v>
      </c>
      <c r="CP20" t="n">
        <v>141.736</v>
      </c>
      <c r="CQ20" t="n">
        <v>33.113</v>
      </c>
      <c r="CR20" t="n">
        <v>94.125</v>
      </c>
      <c r="CS20" t="n">
        <v>38.072</v>
      </c>
      <c r="CT20" t="n">
        <v>40.448</v>
      </c>
      <c r="CU20" t="n">
        <v>10.85</v>
      </c>
      <c r="CV20" t="n">
        <v>28.498</v>
      </c>
      <c r="CW20" t="n">
        <v>2.847</v>
      </c>
      <c r="CX20" t="n">
        <v>17.676</v>
      </c>
      <c r="CY20" t="n">
        <v>17.676</v>
      </c>
      <c r="CZ20" t="n">
        <v>0</v>
      </c>
      <c r="DA20" t="n">
        <v>10.523</v>
      </c>
      <c r="DB20" t="n">
        <v>86.428</v>
      </c>
      <c r="DC20" t="n">
        <v>5.493</v>
      </c>
      <c r="DD20" t="n">
        <v>47.218</v>
      </c>
      <c r="DE20" t="n">
        <v>70.13</v>
      </c>
      <c r="DF20" t="n">
        <v>208.476</v>
      </c>
      <c r="DG20" t="n">
        <v>1649.981</v>
      </c>
      <c r="DH20" t="n">
        <v>1540.238</v>
      </c>
      <c r="DI20" t="n">
        <v>15.035</v>
      </c>
      <c r="DJ20" t="n">
        <v>214.296</v>
      </c>
      <c r="DK20" t="n">
        <v>148.192</v>
      </c>
      <c r="DL20" t="n">
        <v>362.488</v>
      </c>
      <c r="DM20" t="n">
        <v>72.676</v>
      </c>
      <c r="DN20" t="n">
        <v>66.05</v>
      </c>
      <c r="DO20" t="n">
        <v>82.258</v>
      </c>
      <c r="DP20" t="n">
        <v>5.923</v>
      </c>
      <c r="DQ20" t="n">
        <v>52.745</v>
      </c>
      <c r="DR20" t="n">
        <v>39.877</v>
      </c>
      <c r="DS20" t="n">
        <v>75.60299999999999</v>
      </c>
      <c r="DT20" t="n">
        <v>5882.965</v>
      </c>
      <c r="DU20" t="n">
        <v>16.229</v>
      </c>
      <c r="DV20" t="n">
        <v>57.782</v>
      </c>
      <c r="DW20" t="n">
        <v>6.273</v>
      </c>
      <c r="DX20" t="n">
        <v>68.986</v>
      </c>
      <c r="DY20" t="n">
        <v>5.255</v>
      </c>
      <c r="DZ20" t="n">
        <v>0.012</v>
      </c>
      <c r="EA20" t="n">
        <v>-0.641</v>
      </c>
      <c r="EB20" t="n">
        <v>136.185</v>
      </c>
      <c r="EC20" t="n">
        <v>219.229</v>
      </c>
      <c r="ED20" t="n">
        <v>355.414</v>
      </c>
      <c r="EE20" t="n">
        <v>38.317</v>
      </c>
      <c r="EF20" t="n">
        <v>69.137</v>
      </c>
      <c r="EG20" t="n">
        <v>93.021</v>
      </c>
      <c r="EH20" t="n">
        <v>15.595</v>
      </c>
      <c r="EI20" t="n">
        <v>27.838</v>
      </c>
      <c r="EJ20" t="n">
        <v>65.169</v>
      </c>
      <c r="EK20" t="n">
        <v>86.083</v>
      </c>
      <c r="EL20" t="n">
        <v>61.792</v>
      </c>
      <c r="EM20" t="n">
        <v>9.928000000000001</v>
      </c>
      <c r="EN20" t="n">
        <v>24.451</v>
      </c>
      <c r="EO20" t="n">
        <v>118.382</v>
      </c>
      <c r="EP20" t="n">
        <v>11.882</v>
      </c>
      <c r="EQ20" t="n">
        <v>25.271</v>
      </c>
      <c r="ER20" t="n">
        <v>37.153</v>
      </c>
      <c r="ES20" t="n">
        <v>40.727</v>
      </c>
      <c r="ET20" t="n">
        <v>75.08199999999999</v>
      </c>
      <c r="EU20" t="n">
        <v>90.73099999999999</v>
      </c>
      <c r="EV20" t="n">
        <v>10.535</v>
      </c>
      <c r="EW20" t="n">
        <v>11.954</v>
      </c>
      <c r="EX20" t="n">
        <v>22.663</v>
      </c>
      <c r="EY20" t="n">
        <v>16.35</v>
      </c>
      <c r="EZ20" t="n">
        <v>6.507</v>
      </c>
      <c r="FA20" t="n">
        <v>12.106</v>
      </c>
      <c r="FB20" t="n">
        <v>10.729</v>
      </c>
      <c r="FC20" t="n">
        <v>2.262</v>
      </c>
      <c r="FD20" t="n">
        <v>25.206</v>
      </c>
      <c r="FE20" t="n">
        <v>8.618</v>
      </c>
      <c r="FF20" t="n">
        <v>48.03</v>
      </c>
      <c r="FG20" t="n">
        <v>22.953</v>
      </c>
      <c r="FH20" t="n">
        <v>43.294</v>
      </c>
      <c r="FI20" t="n">
        <v>47.788</v>
      </c>
      <c r="FJ20" t="n">
        <v>22.579</v>
      </c>
      <c r="FK20" t="n">
        <v>81.37</v>
      </c>
      <c r="FL20" t="n">
        <v>-0.278</v>
      </c>
      <c r="FM20" t="n">
        <v>3.228</v>
      </c>
      <c r="FN20" t="n">
        <v>-0.011</v>
      </c>
      <c r="FO20" t="n">
        <v>3.529</v>
      </c>
      <c r="FP20" t="n">
        <v>0.005</v>
      </c>
      <c r="FQ20" t="n">
        <v>2.875</v>
      </c>
      <c r="FR20" t="n">
        <v>-0.03</v>
      </c>
      <c r="FS20" t="n">
        <v>3.366</v>
      </c>
      <c r="FT20" t="n">
        <v>32.458</v>
      </c>
      <c r="FU20" t="n">
        <v>47.544</v>
      </c>
      <c r="FV20" t="n">
        <v>31.097</v>
      </c>
      <c r="FW20" t="n">
        <v>41.542</v>
      </c>
      <c r="FX20" t="n">
        <v>10.729</v>
      </c>
      <c r="FY20" t="n">
        <v>19.702</v>
      </c>
      <c r="FZ20" t="n">
        <v>21.045</v>
      </c>
      <c r="GA20" t="n">
        <v>8.845000000000001</v>
      </c>
      <c r="GB20" t="n">
        <v>29.722</v>
      </c>
      <c r="GC20" t="n">
        <v>11.921</v>
      </c>
      <c r="GD20" t="n">
        <v>61.201</v>
      </c>
      <c r="GE20" t="n">
        <v>10.799</v>
      </c>
      <c r="GF20" t="n">
        <v>299.611</v>
      </c>
      <c r="GG20" t="n">
        <v>141.736</v>
      </c>
      <c r="GH20" t="n">
        <v>33.113</v>
      </c>
      <c r="GI20" t="n">
        <v>38.072</v>
      </c>
      <c r="GJ20" t="n">
        <v>40.448</v>
      </c>
      <c r="GK20" t="n">
        <v>10.85</v>
      </c>
      <c r="GL20" t="n">
        <v>28.498</v>
      </c>
      <c r="GM20" t="n">
        <v>2.847</v>
      </c>
      <c r="GN20" t="n">
        <v>10.523</v>
      </c>
      <c r="GO20" t="n">
        <v>86.428</v>
      </c>
      <c r="GP20" t="n">
        <v>5.493</v>
      </c>
      <c r="GQ20" t="n">
        <v>47.218</v>
      </c>
      <c r="GR20" t="n">
        <v>70.13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0</v>
      </c>
      <c r="HE20" t="n">
        <v>0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0</v>
      </c>
      <c r="HP20" t="n">
        <v>0</v>
      </c>
      <c r="HQ20" t="n">
        <v>0</v>
      </c>
      <c r="HR20" t="n">
        <v>0</v>
      </c>
      <c r="HS20" t="n">
        <v>0</v>
      </c>
      <c r="HT20" t="n">
        <v>0</v>
      </c>
      <c r="HU20" t="n">
        <v>0</v>
      </c>
      <c r="HV20" t="n">
        <v>0</v>
      </c>
      <c r="HW20" t="n">
        <v>0</v>
      </c>
      <c r="HX20" t="n">
        <v>0</v>
      </c>
      <c r="HY20" t="n">
        <v>0</v>
      </c>
      <c r="HZ20" t="n">
        <v>0</v>
      </c>
      <c r="IA20" t="n">
        <v>0</v>
      </c>
      <c r="IB20" t="n">
        <v>0</v>
      </c>
      <c r="IC20" t="n">
        <v>0</v>
      </c>
      <c r="ID20" t="n">
        <v>0</v>
      </c>
      <c r="IE20" t="n">
        <v>0</v>
      </c>
      <c r="IF20" t="n">
        <v>0</v>
      </c>
      <c r="IG20" t="n">
        <v>0</v>
      </c>
      <c r="IH20" t="n">
        <v>0</v>
      </c>
      <c r="II20" t="n">
        <v>0</v>
      </c>
      <c r="IJ20" t="n">
        <v>0</v>
      </c>
      <c r="IK20" t="n">
        <v>0</v>
      </c>
      <c r="IL20" t="n">
        <v>0</v>
      </c>
      <c r="IM20" t="n">
        <v>0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Z20"/>
  <sheetViews>
    <sheetView workbookViewId="0">
      <selection activeCell="G25" sqref="G25"/>
    </sheetView>
  </sheetViews>
  <sheetFormatPr baseColWidth="10" defaultRowHeight="16"/>
  <sheetData>
    <row r="1">
      <c r="A1" t="inlineStr">
        <is>
          <t>Team</t>
        </is>
      </c>
      <c r="B1" t="inlineStr">
        <is>
          <t>Abbreviation</t>
        </is>
      </c>
      <c r="C1" t="inlineStr">
        <is>
          <t>Matches</t>
        </is>
      </c>
      <c r="D1" t="inlineStr">
        <is>
          <t>Players</t>
        </is>
      </c>
      <c r="E1" t="inlineStr">
        <is>
          <t>Age</t>
        </is>
      </c>
      <c r="F1" t="inlineStr">
        <is>
          <t>Experience</t>
        </is>
      </c>
      <c r="G1" t="inlineStr">
        <is>
          <t>RatingPoints</t>
        </is>
      </c>
      <c r="H1" t="inlineStr">
        <is>
          <t>Supercoach</t>
        </is>
      </c>
      <c r="I1" t="inlineStr">
        <is>
          <t>DreamTeamPoints</t>
        </is>
      </c>
      <c r="J1" t="inlineStr">
        <is>
          <t>CoachesVotes</t>
        </is>
      </c>
      <c r="K1" t="inlineStr">
        <is>
          <t>ForwardHalf</t>
        </is>
      </c>
      <c r="L1" t="inlineStr">
        <is>
          <t>Kicks</t>
        </is>
      </c>
      <c r="M1" t="inlineStr">
        <is>
          <t>Handballs</t>
        </is>
      </c>
      <c r="N1" t="inlineStr">
        <is>
          <t>Disposals</t>
        </is>
      </c>
      <c r="O1" t="inlineStr">
        <is>
          <t>DisposalEfficiency</t>
        </is>
      </c>
      <c r="P1" t="inlineStr">
        <is>
          <t>KickingEfficiency</t>
        </is>
      </c>
      <c r="Q1" t="inlineStr">
        <is>
          <t>HandballEfficiency</t>
        </is>
      </c>
      <c r="R1" t="inlineStr">
        <is>
          <t>KickPercentage</t>
        </is>
      </c>
      <c r="S1" t="inlineStr">
        <is>
          <t>DisposalsPerOppositionTackle</t>
        </is>
      </c>
      <c r="T1" t="inlineStr">
        <is>
          <t>Inside50s</t>
        </is>
      </c>
      <c r="U1" t="inlineStr">
        <is>
          <t>Rebound50s</t>
        </is>
      </c>
      <c r="V1" t="inlineStr">
        <is>
          <t>Rebound50sPerOppositionInside50s</t>
        </is>
      </c>
      <c r="W1" t="inlineStr">
        <is>
          <t>MetresGained</t>
        </is>
      </c>
      <c r="X1" t="inlineStr">
        <is>
          <t>MetresGainedPerDisposal</t>
        </is>
      </c>
      <c r="Y1" t="inlineStr">
        <is>
          <t>Clangers</t>
        </is>
      </c>
      <c r="Z1" t="inlineStr">
        <is>
          <t>DisposalsPerClanger</t>
        </is>
      </c>
      <c r="AA1" t="inlineStr">
        <is>
          <t>Turnovers</t>
        </is>
      </c>
      <c r="AB1" t="inlineStr">
        <is>
          <t>DisposalsPerTurnover</t>
        </is>
      </c>
      <c r="AC1" t="inlineStr">
        <is>
          <t>ThreatRating</t>
        </is>
      </c>
      <c r="AD1" t="inlineStr">
        <is>
          <t>RetentionRating</t>
        </is>
      </c>
      <c r="AE1" t="inlineStr">
        <is>
          <t>ContestedPossessions</t>
        </is>
      </c>
      <c r="AF1" t="inlineStr">
        <is>
          <t>UncontestedPossessions</t>
        </is>
      </c>
      <c r="AG1" t="inlineStr">
        <is>
          <t>TotalPossessions</t>
        </is>
      </c>
      <c r="AH1" t="inlineStr">
        <is>
          <t>ContestedPossessionRate</t>
        </is>
      </c>
      <c r="AI1" t="inlineStr">
        <is>
          <t>Intercepts</t>
        </is>
      </c>
      <c r="AJ1" t="inlineStr">
        <is>
          <t>GroundBallGets</t>
        </is>
      </c>
      <c r="AK1" t="inlineStr">
        <is>
          <t>GroundBallGetsForward50</t>
        </is>
      </c>
      <c r="AL1" t="inlineStr">
        <is>
          <t>HardBallGets</t>
        </is>
      </c>
      <c r="AM1" t="inlineStr">
        <is>
          <t>LooseBallGets</t>
        </is>
      </c>
      <c r="AN1" t="inlineStr">
        <is>
          <t>PostClearanceContestedPossessions</t>
        </is>
      </c>
      <c r="AO1" t="inlineStr">
        <is>
          <t>PostClearanceGroundBallGets</t>
        </is>
      </c>
      <c r="AP1" t="inlineStr">
        <is>
          <t>GathersFromHitout</t>
        </is>
      </c>
      <c r="AQ1" t="inlineStr">
        <is>
          <t>CrumbingPossessions</t>
        </is>
      </c>
      <c r="AR1" t="inlineStr">
        <is>
          <t>HandballReceives</t>
        </is>
      </c>
      <c r="AS1" t="inlineStr">
        <is>
          <t>CentreClearances</t>
        </is>
      </c>
      <c r="AT1" t="inlineStr">
        <is>
          <t>StoppageClearances</t>
        </is>
      </c>
      <c r="AU1" t="inlineStr">
        <is>
          <t>TotalClearances</t>
        </is>
      </c>
      <c r="AV1" t="inlineStr">
        <is>
          <t>FirstPossessions</t>
        </is>
      </c>
      <c r="AW1" t="inlineStr">
        <is>
          <t>FirstPossessionToClearance</t>
        </is>
      </c>
      <c r="AX1" t="inlineStr">
        <is>
          <t>Marks</t>
        </is>
      </c>
      <c r="AY1" t="inlineStr">
        <is>
          <t>ContestedMarks</t>
        </is>
      </c>
      <c r="AZ1" t="inlineStr">
        <is>
          <t>MarksInside50</t>
        </is>
      </c>
      <c r="BA1" t="inlineStr">
        <is>
          <t>MarksInside50PerInside50</t>
        </is>
      </c>
      <c r="BB1" t="inlineStr">
        <is>
          <t>InterceptMarks</t>
        </is>
      </c>
      <c r="BC1" t="inlineStr">
        <is>
          <t>MarksOnLead</t>
        </is>
      </c>
      <c r="BD1" t="inlineStr">
        <is>
          <t>GoalScorers_Total</t>
        </is>
      </c>
      <c r="BE1" t="inlineStr">
        <is>
          <t>GoalScorers</t>
        </is>
      </c>
      <c r="BF1" t="inlineStr">
        <is>
          <t>Goals</t>
        </is>
      </c>
      <c r="BG1" t="inlineStr">
        <is>
          <t>Behinds</t>
        </is>
      </c>
      <c r="BH1" t="inlineStr">
        <is>
          <t>RushedBehinds</t>
        </is>
      </c>
      <c r="BI1" t="inlineStr">
        <is>
          <t>ShotsAtGoal</t>
        </is>
      </c>
      <c r="BJ1" t="inlineStr">
        <is>
          <t>GoalAssists</t>
        </is>
      </c>
      <c r="BK1" t="inlineStr">
        <is>
          <t>GoalAccuracy</t>
        </is>
      </c>
      <c r="BL1" t="inlineStr">
        <is>
          <t>GoalsPerInside50</t>
        </is>
      </c>
      <c r="BM1" t="inlineStr">
        <is>
          <t>ScoringShotsPerInside50</t>
        </is>
      </c>
      <c r="BN1" t="inlineStr">
        <is>
          <t>ShotsPerInside50</t>
        </is>
      </c>
      <c r="BO1" t="inlineStr">
        <is>
          <t>ScoreLaunches</t>
        </is>
      </c>
      <c r="BP1" t="inlineStr">
        <is>
          <t>ContestOffensiveOneOnOnes</t>
        </is>
      </c>
      <c r="BQ1" t="inlineStr">
        <is>
          <t>ContestOffensiveWinPercentage</t>
        </is>
      </c>
      <c r="BR1" t="inlineStr">
        <is>
          <t>xScore</t>
        </is>
      </c>
      <c r="BS1" t="inlineStr">
        <is>
          <t>xScoreRating</t>
        </is>
      </c>
      <c r="BT1" t="inlineStr">
        <is>
          <t>xScorePerShot</t>
        </is>
      </c>
      <c r="BU1" t="inlineStr">
        <is>
          <t>xScoreRatingPerShot</t>
        </is>
      </c>
      <c r="BV1" t="inlineStr">
        <is>
          <t>xScorePerShot_Set</t>
        </is>
      </c>
      <c r="BW1" t="inlineStr">
        <is>
          <t>xScoreRatingPerShot_Set</t>
        </is>
      </c>
      <c r="BX1" t="inlineStr">
        <is>
          <t>xScorePerShot_General</t>
        </is>
      </c>
      <c r="BY1" t="inlineStr">
        <is>
          <t>xScoreRatingPerShot_General</t>
        </is>
      </c>
      <c r="BZ1" t="inlineStr">
        <is>
          <t>PointsFromKickIn</t>
        </is>
      </c>
      <c r="CA1" t="inlineStr">
        <is>
          <t>PointsFromStoppage</t>
        </is>
      </c>
      <c r="CB1" t="inlineStr">
        <is>
          <t>PointsFromTurnover</t>
        </is>
      </c>
      <c r="CC1" t="inlineStr">
        <is>
          <t>PointsFromDefensiveHalf</t>
        </is>
      </c>
      <c r="CD1" t="inlineStr">
        <is>
          <t>PointsFromForwardHalf</t>
        </is>
      </c>
      <c r="CE1" t="inlineStr">
        <is>
          <t>PointsFromCentreBounce</t>
        </is>
      </c>
      <c r="CF1" t="inlineStr">
        <is>
          <t>ChainToScore</t>
        </is>
      </c>
      <c r="CG1" t="inlineStr">
        <is>
          <t>D50ToF50</t>
        </is>
      </c>
      <c r="CH1" t="inlineStr">
        <is>
          <t>D50ToScore</t>
        </is>
      </c>
      <c r="CI1" t="inlineStr">
        <is>
          <t>DefHalfToF50</t>
        </is>
      </c>
      <c r="CJ1" t="inlineStr">
        <is>
          <t>DefHalfToScore</t>
        </is>
      </c>
      <c r="CK1" t="inlineStr">
        <is>
          <t>ContestDefensiveOneOnOnes</t>
        </is>
      </c>
      <c r="CL1" t="inlineStr">
        <is>
          <t>ContestDefensiveLossPercentage</t>
        </is>
      </c>
      <c r="CM1" t="inlineStr">
        <is>
          <t>Tackles</t>
        </is>
      </c>
      <c r="CN1" t="inlineStr">
        <is>
          <t>TacklesInside50</t>
        </is>
      </c>
      <c r="CO1" t="inlineStr">
        <is>
          <t>PressureActs</t>
        </is>
      </c>
      <c r="CP1" t="inlineStr">
        <is>
          <t>PressureActsDefensiveHalf</t>
        </is>
      </c>
      <c r="CQ1" t="inlineStr">
        <is>
          <t>Spoils</t>
        </is>
      </c>
      <c r="CR1" t="inlineStr">
        <is>
          <t>RuckContests</t>
        </is>
      </c>
      <c r="CS1" t="inlineStr">
        <is>
          <t>Hitouts</t>
        </is>
      </c>
      <c r="CT1" t="inlineStr">
        <is>
          <t>HitoutsWinPercentage</t>
        </is>
      </c>
      <c r="CU1" t="inlineStr">
        <is>
          <t>HitoutsToAdvantage</t>
        </is>
      </c>
      <c r="CV1" t="inlineStr">
        <is>
          <t>HitoutsToAdvantagePercentage</t>
        </is>
      </c>
      <c r="CW1" t="inlineStr">
        <is>
          <t>RuckHardBallGets</t>
        </is>
      </c>
      <c r="CX1" t="inlineStr">
        <is>
          <t>FreesFor</t>
        </is>
      </c>
      <c r="CY1" t="inlineStr">
        <is>
          <t>FreesAgainst</t>
        </is>
      </c>
      <c r="CZ1" t="inlineStr">
        <is>
          <t>FreesDiff</t>
        </is>
      </c>
      <c r="DA1" t="inlineStr">
        <is>
          <t>KickIns</t>
        </is>
      </c>
      <c r="DB1" t="inlineStr">
        <is>
          <t>KickInsPlayOnPercentage</t>
        </is>
      </c>
      <c r="DC1" t="inlineStr">
        <is>
          <t>Bounces</t>
        </is>
      </c>
      <c r="DD1" t="inlineStr">
        <is>
          <t>OnePercenters</t>
        </is>
      </c>
      <c r="DE1" t="inlineStr">
        <is>
          <t>InterchangeCount</t>
        </is>
      </c>
      <c r="DF1" t="inlineStr">
        <is>
          <t>RatingPoints_Opposition</t>
        </is>
      </c>
      <c r="DG1" t="inlineStr">
        <is>
          <t>Supercoach_Opposition</t>
        </is>
      </c>
      <c r="DH1" t="inlineStr">
        <is>
          <t>DreamTeamPoints_Opposition</t>
        </is>
      </c>
      <c r="DI1" t="inlineStr">
        <is>
          <t>CoachesVotes_Opposition</t>
        </is>
      </c>
      <c r="DJ1" t="inlineStr">
        <is>
          <t>Kicks_Opposition</t>
        </is>
      </c>
      <c r="DK1" t="inlineStr">
        <is>
          <t>Handballs_Opposition</t>
        </is>
      </c>
      <c r="DL1" t="inlineStr">
        <is>
          <t>Disposals_Opposition</t>
        </is>
      </c>
      <c r="DM1" t="inlineStr">
        <is>
          <t>DisposalEfficiency_Opposition</t>
        </is>
      </c>
      <c r="DN1" t="inlineStr">
        <is>
          <t>KickingEfficiency_Opposition</t>
        </is>
      </c>
      <c r="DO1" t="inlineStr">
        <is>
          <t>HandballEfficiency_Opposition</t>
        </is>
      </c>
      <c r="DP1" t="inlineStr">
        <is>
          <t>OppositionDisposalsPerTackle</t>
        </is>
      </c>
      <c r="DQ1" t="inlineStr">
        <is>
          <t>Inside50s_Opposition</t>
        </is>
      </c>
      <c r="DR1" t="inlineStr">
        <is>
          <t>Rebound50s_Opposition</t>
        </is>
      </c>
      <c r="DS1" t="inlineStr">
        <is>
          <t>OppositionRebound50sPerInside50s</t>
        </is>
      </c>
      <c r="DT1" t="inlineStr">
        <is>
          <t>MetresGained_Opposition</t>
        </is>
      </c>
      <c r="DU1" t="inlineStr">
        <is>
          <t>MetresGainedPerDisposal_Opposition</t>
        </is>
      </c>
      <c r="DV1" t="inlineStr">
        <is>
          <t>Clangers_Opposition</t>
        </is>
      </c>
      <c r="DW1" t="inlineStr">
        <is>
          <t>DisposalsPerClanger_Opposition</t>
        </is>
      </c>
      <c r="DX1" t="inlineStr">
        <is>
          <t>Turnovers_Opposition</t>
        </is>
      </c>
      <c r="DY1" t="inlineStr">
        <is>
          <t>DisposalsPerTurnover_Opposition</t>
        </is>
      </c>
      <c r="DZ1" t="inlineStr">
        <is>
          <t>ThreatRating_Opposition</t>
        </is>
      </c>
      <c r="EA1" t="inlineStr">
        <is>
          <t>RetentionRating_Opposition</t>
        </is>
      </c>
      <c r="EB1" t="inlineStr">
        <is>
          <t>ContestedPossessions_Opposition</t>
        </is>
      </c>
      <c r="EC1" t="inlineStr">
        <is>
          <t>UncontestedPossessions_Opposition</t>
        </is>
      </c>
      <c r="ED1" t="inlineStr">
        <is>
          <t>TotalPossessions_Opposition</t>
        </is>
      </c>
      <c r="EE1" t="inlineStr">
        <is>
          <t>ContestedPossessionRate_Opposition</t>
        </is>
      </c>
      <c r="EF1" t="inlineStr">
        <is>
          <t>Intercepts_Opposition</t>
        </is>
      </c>
      <c r="EG1" t="inlineStr">
        <is>
          <t>GroundBallGets_Opposition</t>
        </is>
      </c>
      <c r="EH1" t="inlineStr">
        <is>
          <t>GroundBallGetsForward50_Opposition</t>
        </is>
      </c>
      <c r="EI1" t="inlineStr">
        <is>
          <t>HardBallGets_Opposition</t>
        </is>
      </c>
      <c r="EJ1" t="inlineStr">
        <is>
          <t>LooseBallGets_Opposition</t>
        </is>
      </c>
      <c r="EK1" t="inlineStr">
        <is>
          <t>PostClearanceContestedPossessions_Opposition</t>
        </is>
      </c>
      <c r="EL1" t="inlineStr">
        <is>
          <t>PostClearanceGroundBallGets_Opposition</t>
        </is>
      </c>
      <c r="EM1" t="inlineStr">
        <is>
          <t>GathersFromHitout_Opposition</t>
        </is>
      </c>
      <c r="EN1" t="inlineStr">
        <is>
          <t>CrumbingPossessions_Opposition</t>
        </is>
      </c>
      <c r="EO1" t="inlineStr">
        <is>
          <t>HandballReceives_Opposition</t>
        </is>
      </c>
      <c r="EP1" t="inlineStr">
        <is>
          <t>CentreClearances_Opposition</t>
        </is>
      </c>
      <c r="EQ1" t="inlineStr">
        <is>
          <t>StoppageClearances_Opposition</t>
        </is>
      </c>
      <c r="ER1" t="inlineStr">
        <is>
          <t>TotalClearances_Opposition</t>
        </is>
      </c>
      <c r="ES1" t="inlineStr">
        <is>
          <t>FirstPossessions_Opposition</t>
        </is>
      </c>
      <c r="ET1" t="inlineStr">
        <is>
          <t>FirstPossessionToClearance_Opposition</t>
        </is>
      </c>
      <c r="EU1" t="inlineStr">
        <is>
          <t>Marks_Opposition</t>
        </is>
      </c>
      <c r="EV1" t="inlineStr">
        <is>
          <t>ContestedMarks_Opposition</t>
        </is>
      </c>
      <c r="EW1" t="inlineStr">
        <is>
          <t>MarksInside50_Opposition</t>
        </is>
      </c>
      <c r="EX1" t="inlineStr">
        <is>
          <t>MarksInside50PerInside50_Opposition</t>
        </is>
      </c>
      <c r="EY1" t="inlineStr">
        <is>
          <t>InterceptMarks_Opposition</t>
        </is>
      </c>
      <c r="EZ1" t="inlineStr">
        <is>
          <t>MarksOnLead_Opposition</t>
        </is>
      </c>
      <c r="FA1" t="inlineStr">
        <is>
          <t>Goals_Opposition</t>
        </is>
      </c>
      <c r="FB1" t="inlineStr">
        <is>
          <t>Behinds_Opposition</t>
        </is>
      </c>
      <c r="FC1" t="inlineStr">
        <is>
          <t>RushedBehinds_Opposition</t>
        </is>
      </c>
      <c r="FD1" t="inlineStr">
        <is>
          <t>ShotsAtGoal_Opposition</t>
        </is>
      </c>
      <c r="FE1" t="inlineStr">
        <is>
          <t>GoalAssists_Opposition</t>
        </is>
      </c>
      <c r="FF1" t="inlineStr">
        <is>
          <t>GoalAccuracy_Opposition</t>
        </is>
      </c>
      <c r="FG1" t="inlineStr">
        <is>
          <t>GoalsPerInside50_Opposition</t>
        </is>
      </c>
      <c r="FH1" t="inlineStr">
        <is>
          <t>ScoringShotsPerInside50_Opposition</t>
        </is>
      </c>
      <c r="FI1" t="inlineStr">
        <is>
          <t>ShotsPerInside50_Opposition</t>
        </is>
      </c>
      <c r="FJ1" t="inlineStr">
        <is>
          <t>ScoreLaunches_Opposition</t>
        </is>
      </c>
      <c r="FK1" t="inlineStr">
        <is>
          <t>xScore_Opposition</t>
        </is>
      </c>
      <c r="FL1" t="inlineStr">
        <is>
          <t>xScoreRating_Opposition</t>
        </is>
      </c>
      <c r="FM1" t="inlineStr">
        <is>
          <t>xScorePerShot_Opposition</t>
        </is>
      </c>
      <c r="FN1" t="inlineStr">
        <is>
          <t>xScoreRatingPerShot_Opposition</t>
        </is>
      </c>
      <c r="FO1" t="inlineStr">
        <is>
          <t>xScorePerShot_Set_Opposition</t>
        </is>
      </c>
      <c r="FP1" t="inlineStr">
        <is>
          <t>xScoreRatingPerShot_Set_Opposition</t>
        </is>
      </c>
      <c r="FQ1" t="inlineStr">
        <is>
          <t>xScorePerShot_General_Opposition</t>
        </is>
      </c>
      <c r="FR1" t="inlineStr">
        <is>
          <t>xScoreRatingPerShot_General_Opposition</t>
        </is>
      </c>
      <c r="FS1" t="inlineStr">
        <is>
          <t>PointsFromKickIn_Opposition</t>
        </is>
      </c>
      <c r="FT1" t="inlineStr">
        <is>
          <t>PointsFromStoppage_Opposition</t>
        </is>
      </c>
      <c r="FU1" t="inlineStr">
        <is>
          <t>PointsFromTurnover_Opposition</t>
        </is>
      </c>
      <c r="FV1" t="inlineStr">
        <is>
          <t>PointsFromDefensiveHalf_Opposition</t>
        </is>
      </c>
      <c r="FW1" t="inlineStr">
        <is>
          <t>PointsFromForwardHalf_Opposition</t>
        </is>
      </c>
      <c r="FX1" t="inlineStr">
        <is>
          <t>PointsFromCentreBounce_Opposition</t>
        </is>
      </c>
      <c r="FY1" t="inlineStr">
        <is>
          <t>ChainToScore_Opposition</t>
        </is>
      </c>
      <c r="FZ1" t="inlineStr">
        <is>
          <t>D50ToF50_Opposition</t>
        </is>
      </c>
      <c r="GA1" t="inlineStr">
        <is>
          <t>D50ToScore_Opposition</t>
        </is>
      </c>
      <c r="GB1" t="inlineStr">
        <is>
          <t>DefHalfToF50_Opposition</t>
        </is>
      </c>
      <c r="GC1" t="inlineStr">
        <is>
          <t>DefHalfToScore_Opposition</t>
        </is>
      </c>
      <c r="GD1" t="inlineStr">
        <is>
          <t>Tackles_Opposition</t>
        </is>
      </c>
      <c r="GE1" t="inlineStr">
        <is>
          <t>TacklesInside50_Opposition</t>
        </is>
      </c>
      <c r="GF1" t="inlineStr">
        <is>
          <t>PressureActs_Opposition</t>
        </is>
      </c>
      <c r="GG1" t="inlineStr">
        <is>
          <t>PressureActsDefensiveHalf_Opposition</t>
        </is>
      </c>
      <c r="GH1" t="inlineStr">
        <is>
          <t>Spoils_Opposition</t>
        </is>
      </c>
      <c r="GI1" t="inlineStr">
        <is>
          <t>Hitouts_Opposition</t>
        </is>
      </c>
      <c r="GJ1" t="inlineStr">
        <is>
          <t>HitoutsWinPercentage_Opposition</t>
        </is>
      </c>
      <c r="GK1" t="inlineStr">
        <is>
          <t>HitoutsToAdvantage_Opposition</t>
        </is>
      </c>
      <c r="GL1" t="inlineStr">
        <is>
          <t>HitoutsToAdvantagePercentage_Opposition</t>
        </is>
      </c>
      <c r="GM1" t="inlineStr">
        <is>
          <t>RuckHardBallGets_Opposition</t>
        </is>
      </c>
      <c r="GN1" t="inlineStr">
        <is>
          <t>KickIns_Opposition</t>
        </is>
      </c>
      <c r="GO1" t="inlineStr">
        <is>
          <t>KickInsPlayOnPercentage_Opposition</t>
        </is>
      </c>
      <c r="GP1" t="inlineStr">
        <is>
          <t>Bounces_Opposition</t>
        </is>
      </c>
      <c r="GQ1" t="inlineStr">
        <is>
          <t>OnePercenters_Opposition</t>
        </is>
      </c>
      <c r="GR1" t="inlineStr">
        <is>
          <t>InterchangeCount_Opposition</t>
        </is>
      </c>
      <c r="GS1" t="inlineStr">
        <is>
          <t>RatingPoints_Diff</t>
        </is>
      </c>
      <c r="GT1" t="inlineStr">
        <is>
          <t>Supercoach_Diff</t>
        </is>
      </c>
      <c r="GU1" t="inlineStr">
        <is>
          <t>DreamTeamPoints_Diff</t>
        </is>
      </c>
      <c r="GV1" t="inlineStr">
        <is>
          <t>CoachesVotes_Diff</t>
        </is>
      </c>
      <c r="GW1" t="inlineStr">
        <is>
          <t>Kicks_Diff</t>
        </is>
      </c>
      <c r="GX1" t="inlineStr">
        <is>
          <t>Handballs_Diff</t>
        </is>
      </c>
      <c r="GY1" t="inlineStr">
        <is>
          <t>Disposals_Diff</t>
        </is>
      </c>
      <c r="GZ1" t="inlineStr">
        <is>
          <t>Inside50s_Diff</t>
        </is>
      </c>
      <c r="HA1" t="inlineStr">
        <is>
          <t>MetresGained_Diff</t>
        </is>
      </c>
      <c r="HB1" t="inlineStr">
        <is>
          <t>Clangers_Diff</t>
        </is>
      </c>
      <c r="HC1" t="inlineStr">
        <is>
          <t>Turnovers_Diff</t>
        </is>
      </c>
      <c r="HD1" t="inlineStr">
        <is>
          <t>ThreatRating_Diff</t>
        </is>
      </c>
      <c r="HE1" t="inlineStr">
        <is>
          <t>RetentionRating_Diff</t>
        </is>
      </c>
      <c r="HF1" t="inlineStr">
        <is>
          <t>ContestedPossessions_Diff</t>
        </is>
      </c>
      <c r="HG1" t="inlineStr">
        <is>
          <t>UncontestedPossessions_Diff</t>
        </is>
      </c>
      <c r="HH1" t="inlineStr">
        <is>
          <t>TotalPossessions_Diff</t>
        </is>
      </c>
      <c r="HI1" t="inlineStr">
        <is>
          <t>Intercepts_Diff</t>
        </is>
      </c>
      <c r="HJ1" t="inlineStr">
        <is>
          <t>GroundBallGets_Diff</t>
        </is>
      </c>
      <c r="HK1" t="inlineStr">
        <is>
          <t>GroundBallGetsForward50_Diff</t>
        </is>
      </c>
      <c r="HL1" t="inlineStr">
        <is>
          <t>HardBallGets_Diff</t>
        </is>
      </c>
      <c r="HM1" t="inlineStr">
        <is>
          <t>LooseBallGets_Diff</t>
        </is>
      </c>
      <c r="HN1" t="inlineStr">
        <is>
          <t>PostClearanceContestedPossessions_Diff</t>
        </is>
      </c>
      <c r="HO1" t="inlineStr">
        <is>
          <t>PostClearanceGroundBallGets_Diff</t>
        </is>
      </c>
      <c r="HP1" t="inlineStr">
        <is>
          <t>GathersFromHitout_Diff</t>
        </is>
      </c>
      <c r="HQ1" t="inlineStr">
        <is>
          <t>CrumbingPossessions_Diff</t>
        </is>
      </c>
      <c r="HR1" t="inlineStr">
        <is>
          <t>HandballReceives_Diff</t>
        </is>
      </c>
      <c r="HS1" t="inlineStr">
        <is>
          <t>CentreClearances_Diff</t>
        </is>
      </c>
      <c r="HT1" t="inlineStr">
        <is>
          <t>StoppageClearances_Diff</t>
        </is>
      </c>
      <c r="HU1" t="inlineStr">
        <is>
          <t>TotalClearances_Diff</t>
        </is>
      </c>
      <c r="HV1" t="inlineStr">
        <is>
          <t>FirstPossessions_Diff</t>
        </is>
      </c>
      <c r="HW1" t="inlineStr">
        <is>
          <t>Marks_Diff</t>
        </is>
      </c>
      <c r="HX1" t="inlineStr">
        <is>
          <t>ContestedMarks_Diff</t>
        </is>
      </c>
      <c r="HY1" t="inlineStr">
        <is>
          <t>MarksInside50_Diff</t>
        </is>
      </c>
      <c r="HZ1" t="inlineStr">
        <is>
          <t>InterceptMarks_Diff</t>
        </is>
      </c>
      <c r="IA1" t="inlineStr">
        <is>
          <t>MarksOnLead_Diff</t>
        </is>
      </c>
      <c r="IB1" t="inlineStr">
        <is>
          <t>Goals_Diff</t>
        </is>
      </c>
      <c r="IC1" t="inlineStr">
        <is>
          <t>Behinds_Diff</t>
        </is>
      </c>
      <c r="ID1" t="inlineStr">
        <is>
          <t>ShotsAtGoal_Diff</t>
        </is>
      </c>
      <c r="IE1" t="inlineStr">
        <is>
          <t>GoalAssists_Diff</t>
        </is>
      </c>
      <c r="IF1" t="inlineStr">
        <is>
          <t>ScoreLaunches_Diff</t>
        </is>
      </c>
      <c r="IG1" t="inlineStr">
        <is>
          <t>xScore_Diff</t>
        </is>
      </c>
      <c r="IH1" t="inlineStr">
        <is>
          <t>xScoreRating_Diff</t>
        </is>
      </c>
      <c r="II1" t="inlineStr">
        <is>
          <t>xScorePerShot_Diff</t>
        </is>
      </c>
      <c r="IJ1" t="inlineStr">
        <is>
          <t>PointsFromKickIn_Diff</t>
        </is>
      </c>
      <c r="IK1" t="inlineStr">
        <is>
          <t>PointsFromStoppage_Diff</t>
        </is>
      </c>
      <c r="IL1" t="inlineStr">
        <is>
          <t>PointsFromTurnover_Diff</t>
        </is>
      </c>
      <c r="IM1" t="inlineStr">
        <is>
          <t>PointsFromDefensiveHalf_Diff</t>
        </is>
      </c>
      <c r="IN1" t="inlineStr">
        <is>
          <t>PointsFromForwardHalf_Diff</t>
        </is>
      </c>
      <c r="IO1" t="inlineStr">
        <is>
          <t>PointsFromCentreBounce_Diff</t>
        </is>
      </c>
      <c r="IP1" t="inlineStr">
        <is>
          <t>Tackles_Diff</t>
        </is>
      </c>
      <c r="IQ1" t="inlineStr">
        <is>
          <t>TacklesInside50_Diff</t>
        </is>
      </c>
      <c r="IR1" t="inlineStr">
        <is>
          <t>PressureActs_Diff</t>
        </is>
      </c>
      <c r="IS1" t="inlineStr">
        <is>
          <t>PressureActsDefensiveHalf_Diff</t>
        </is>
      </c>
      <c r="IT1" t="inlineStr">
        <is>
          <t>Spoils_Diff</t>
        </is>
      </c>
      <c r="IU1" t="inlineStr">
        <is>
          <t>Hitouts_Diff</t>
        </is>
      </c>
      <c r="IV1" t="inlineStr">
        <is>
          <t>HitoutsToAdvantage_Diff</t>
        </is>
      </c>
      <c r="IW1" t="inlineStr">
        <is>
          <t>RuckHardBallGets_Diff</t>
        </is>
      </c>
      <c r="IX1" t="inlineStr">
        <is>
          <t>Bounces_Diff</t>
        </is>
      </c>
      <c r="IY1" t="inlineStr">
        <is>
          <t>OnePercenters_Diff</t>
        </is>
      </c>
      <c r="IZ1" t="inlineStr">
        <is>
          <t>InterchangeCount_Diff</t>
        </is>
      </c>
    </row>
    <row r="2">
      <c r="A2" t="inlineStr">
        <is>
          <t>Western Bulldogs</t>
        </is>
      </c>
      <c r="B2" t="inlineStr">
        <is>
          <t>WB</t>
        </is>
      </c>
      <c r="C2" t="n">
        <v>23</v>
      </c>
      <c r="D2" t="n">
        <v>41</v>
      </c>
      <c r="E2" t="n">
        <v>25.445</v>
      </c>
      <c r="F2" t="n">
        <v>92.401</v>
      </c>
      <c r="G2" t="n">
        <v>212.287</v>
      </c>
      <c r="H2" t="n">
        <v>1674.696</v>
      </c>
      <c r="I2" t="n">
        <v>1566.261</v>
      </c>
      <c r="J2" t="n">
        <v>16.174</v>
      </c>
      <c r="K2" t="n">
        <v>53.754</v>
      </c>
      <c r="L2" t="n">
        <v>218.652</v>
      </c>
      <c r="M2" t="n">
        <v>158.609</v>
      </c>
      <c r="N2" t="n">
        <v>377.261</v>
      </c>
      <c r="O2" t="n">
        <v>74.749</v>
      </c>
      <c r="P2" t="n">
        <v>67.071</v>
      </c>
      <c r="Q2" t="n">
        <v>85.334</v>
      </c>
      <c r="R2" t="n">
        <v>57.958</v>
      </c>
      <c r="S2" t="n">
        <v>6.784</v>
      </c>
      <c r="T2" t="n">
        <v>56.304</v>
      </c>
      <c r="U2" t="n">
        <v>37.174</v>
      </c>
      <c r="V2" t="n">
        <v>74.869</v>
      </c>
      <c r="W2" t="n">
        <v>5828.13</v>
      </c>
      <c r="X2" t="n">
        <v>15.449</v>
      </c>
      <c r="Y2" t="n">
        <v>56.043</v>
      </c>
      <c r="Z2" t="n">
        <v>6.732</v>
      </c>
      <c r="AA2" t="n">
        <v>66.217</v>
      </c>
      <c r="AB2" t="n">
        <v>5.697</v>
      </c>
      <c r="AC2" t="n">
        <v>0.503</v>
      </c>
      <c r="AD2" t="n">
        <v>1.624</v>
      </c>
      <c r="AE2" t="n">
        <v>139.565</v>
      </c>
      <c r="AF2" t="n">
        <v>235.783</v>
      </c>
      <c r="AG2" t="n">
        <v>375.348</v>
      </c>
      <c r="AH2" t="n">
        <v>37.183</v>
      </c>
      <c r="AI2" t="n">
        <v>64.17400000000001</v>
      </c>
      <c r="AJ2" t="n">
        <v>94.435</v>
      </c>
      <c r="AK2" t="n">
        <v>18</v>
      </c>
      <c r="AL2" t="n">
        <v>31.304</v>
      </c>
      <c r="AM2" t="n">
        <v>63.217</v>
      </c>
      <c r="AN2" t="n">
        <v>87.04300000000001</v>
      </c>
      <c r="AO2" t="n">
        <v>61.13</v>
      </c>
      <c r="AP2" t="n">
        <v>8.522</v>
      </c>
      <c r="AQ2" t="n">
        <v>26.739</v>
      </c>
      <c r="AR2" t="n">
        <v>132</v>
      </c>
      <c r="AS2" t="n">
        <v>13.913</v>
      </c>
      <c r="AT2" t="n">
        <v>26.087</v>
      </c>
      <c r="AU2" t="n">
        <v>40</v>
      </c>
      <c r="AV2" t="n">
        <v>40.87</v>
      </c>
      <c r="AW2" t="n">
        <v>79.681</v>
      </c>
      <c r="AX2" t="n">
        <v>93.52200000000001</v>
      </c>
      <c r="AY2" t="n">
        <v>11.043</v>
      </c>
      <c r="AZ2" t="n">
        <v>12.043</v>
      </c>
      <c r="BA2" t="n">
        <v>21.39</v>
      </c>
      <c r="BB2" t="n">
        <v>13.957</v>
      </c>
      <c r="BC2" t="n">
        <v>7.174</v>
      </c>
      <c r="BD2" t="n">
        <v>34</v>
      </c>
      <c r="BE2" t="n">
        <v>8.173999999999999</v>
      </c>
      <c r="BF2" t="n">
        <v>12.826</v>
      </c>
      <c r="BG2" t="n">
        <v>11.435</v>
      </c>
      <c r="BH2" t="n">
        <v>2.435</v>
      </c>
      <c r="BI2" t="n">
        <v>26.957</v>
      </c>
      <c r="BJ2" t="n">
        <v>8.609</v>
      </c>
      <c r="BK2" t="n">
        <v>47.581</v>
      </c>
      <c r="BL2" t="n">
        <v>22.78</v>
      </c>
      <c r="BM2" t="n">
        <v>43.089</v>
      </c>
      <c r="BN2" t="n">
        <v>47.876</v>
      </c>
      <c r="BO2" t="n">
        <v>24.043</v>
      </c>
      <c r="BP2" t="n">
        <v>12.739</v>
      </c>
      <c r="BQ2" t="n">
        <v>28.328</v>
      </c>
      <c r="BR2" t="n">
        <v>88.408</v>
      </c>
      <c r="BS2" t="n">
        <v>-2.452</v>
      </c>
      <c r="BT2" t="n">
        <v>3.28</v>
      </c>
      <c r="BU2" t="n">
        <v>-0.091</v>
      </c>
      <c r="BV2" t="n">
        <v>3.596</v>
      </c>
      <c r="BW2" t="n">
        <v>-0.144</v>
      </c>
      <c r="BX2" t="n">
        <v>2.935</v>
      </c>
      <c r="BY2" t="n">
        <v>-0.033</v>
      </c>
      <c r="BZ2" t="n">
        <v>3.478</v>
      </c>
      <c r="CA2" t="n">
        <v>37.217</v>
      </c>
      <c r="CB2" t="n">
        <v>47.696</v>
      </c>
      <c r="CC2" t="n">
        <v>29.478</v>
      </c>
      <c r="CD2" t="n">
        <v>46.957</v>
      </c>
      <c r="CE2" t="n">
        <v>11.957</v>
      </c>
      <c r="CF2" t="n">
        <v>21.518</v>
      </c>
      <c r="CG2" t="n">
        <v>23.703</v>
      </c>
      <c r="CH2" t="n">
        <v>9.08</v>
      </c>
      <c r="CI2" t="n">
        <v>33.01</v>
      </c>
      <c r="CJ2" t="n">
        <v>12.691</v>
      </c>
      <c r="CK2" t="n">
        <v>11.739</v>
      </c>
      <c r="CL2" t="n">
        <v>31.852</v>
      </c>
      <c r="CM2" t="n">
        <v>56.391</v>
      </c>
      <c r="CN2" t="n">
        <v>11.087</v>
      </c>
      <c r="CO2" t="n">
        <v>282.609</v>
      </c>
      <c r="CP2" t="n">
        <v>119.696</v>
      </c>
      <c r="CQ2" t="n">
        <v>32.043</v>
      </c>
      <c r="CR2" t="n">
        <v>88.52200000000001</v>
      </c>
      <c r="CS2" t="n">
        <v>29.652</v>
      </c>
      <c r="CT2" t="n">
        <v>33.497</v>
      </c>
      <c r="CU2" t="n">
        <v>9.869999999999999</v>
      </c>
      <c r="CV2" t="n">
        <v>33.284</v>
      </c>
      <c r="CW2" t="n">
        <v>1.913</v>
      </c>
      <c r="CX2" t="n">
        <v>20.522</v>
      </c>
      <c r="CY2" t="n">
        <v>16.435</v>
      </c>
      <c r="CZ2" t="n">
        <v>4.087</v>
      </c>
      <c r="DA2" t="n">
        <v>9.826000000000001</v>
      </c>
      <c r="DB2" t="n">
        <v>92.92</v>
      </c>
      <c r="DC2" t="n">
        <v>7.13</v>
      </c>
      <c r="DD2" t="n">
        <v>50</v>
      </c>
      <c r="DE2" t="n">
        <v>69.739</v>
      </c>
      <c r="DF2" t="n">
        <v>199.674</v>
      </c>
      <c r="DG2" t="n">
        <v>1624.652</v>
      </c>
      <c r="DH2" t="n">
        <v>1560.609</v>
      </c>
      <c r="DI2" t="n">
        <v>13.826</v>
      </c>
      <c r="DJ2" t="n">
        <v>221.304</v>
      </c>
      <c r="DK2" t="n">
        <v>139.217</v>
      </c>
      <c r="DL2" t="n">
        <v>360.522</v>
      </c>
      <c r="DM2" t="n">
        <v>75.024</v>
      </c>
      <c r="DN2" t="n">
        <v>70.432</v>
      </c>
      <c r="DO2" t="n">
        <v>82.324</v>
      </c>
      <c r="DP2" t="n">
        <v>6.393</v>
      </c>
      <c r="DQ2" t="n">
        <v>49.652</v>
      </c>
      <c r="DR2" t="n">
        <v>42.261</v>
      </c>
      <c r="DS2" t="n">
        <v>75.05800000000001</v>
      </c>
      <c r="DT2" t="n">
        <v>5770.739</v>
      </c>
      <c r="DU2" t="n">
        <v>16.007</v>
      </c>
      <c r="DV2" t="n">
        <v>57.565</v>
      </c>
      <c r="DW2" t="n">
        <v>6.263</v>
      </c>
      <c r="DX2" t="n">
        <v>64.17400000000001</v>
      </c>
      <c r="DY2" t="n">
        <v>5.618</v>
      </c>
      <c r="DZ2" t="n">
        <v>0.428</v>
      </c>
      <c r="EA2" t="n">
        <v>1.181</v>
      </c>
      <c r="EB2" t="n">
        <v>131.522</v>
      </c>
      <c r="EC2" t="n">
        <v>223.348</v>
      </c>
      <c r="ED2" t="n">
        <v>354.87</v>
      </c>
      <c r="EE2" t="n">
        <v>37.062</v>
      </c>
      <c r="EF2" t="n">
        <v>66.348</v>
      </c>
      <c r="EG2" t="n">
        <v>85.17400000000001</v>
      </c>
      <c r="EH2" t="n">
        <v>13.739</v>
      </c>
      <c r="EI2" t="n">
        <v>28</v>
      </c>
      <c r="EJ2" t="n">
        <v>57.217</v>
      </c>
      <c r="EK2" t="n">
        <v>84.52200000000001</v>
      </c>
      <c r="EL2" t="n">
        <v>58.435</v>
      </c>
      <c r="EM2" t="n">
        <v>11.13</v>
      </c>
      <c r="EN2" t="n">
        <v>22.522</v>
      </c>
      <c r="EO2" t="n">
        <v>111.826</v>
      </c>
      <c r="EP2" t="n">
        <v>10.957</v>
      </c>
      <c r="EQ2" t="n">
        <v>21.13</v>
      </c>
      <c r="ER2" t="n">
        <v>32.087</v>
      </c>
      <c r="ES2" t="n">
        <v>37.522</v>
      </c>
      <c r="ET2" t="n">
        <v>72.88500000000001</v>
      </c>
      <c r="EU2" t="n">
        <v>106.478</v>
      </c>
      <c r="EV2" t="n">
        <v>12.609</v>
      </c>
      <c r="EW2" t="n">
        <v>12.478</v>
      </c>
      <c r="EX2" t="n">
        <v>25.131</v>
      </c>
      <c r="EY2" t="n">
        <v>16.217</v>
      </c>
      <c r="EZ2" t="n">
        <v>7</v>
      </c>
      <c r="FA2" t="n">
        <v>12</v>
      </c>
      <c r="FB2" t="n">
        <v>9.957000000000001</v>
      </c>
      <c r="FC2" t="n">
        <v>1.739</v>
      </c>
      <c r="FD2" t="n">
        <v>23.609</v>
      </c>
      <c r="FE2" t="n">
        <v>8.130000000000001</v>
      </c>
      <c r="FF2" t="n">
        <v>50.829</v>
      </c>
      <c r="FG2" t="n">
        <v>24.168</v>
      </c>
      <c r="FH2" t="n">
        <v>44.221</v>
      </c>
      <c r="FI2" t="n">
        <v>47.548</v>
      </c>
      <c r="FJ2" t="n">
        <v>21.783</v>
      </c>
      <c r="FK2" t="n">
        <v>76.91500000000001</v>
      </c>
      <c r="FL2" t="n">
        <v>3.303</v>
      </c>
      <c r="FM2" t="n">
        <v>3.258</v>
      </c>
      <c r="FN2" t="n">
        <v>0.14</v>
      </c>
      <c r="FO2" t="n">
        <v>3.49</v>
      </c>
      <c r="FP2" t="n">
        <v>0.185</v>
      </c>
      <c r="FQ2" t="n">
        <v>2.933</v>
      </c>
      <c r="FR2" t="n">
        <v>0.076</v>
      </c>
      <c r="FS2" t="n">
        <v>4.348</v>
      </c>
      <c r="FT2" t="n">
        <v>29</v>
      </c>
      <c r="FU2" t="n">
        <v>48.609</v>
      </c>
      <c r="FV2" t="n">
        <v>35.261</v>
      </c>
      <c r="FW2" t="n">
        <v>34.87</v>
      </c>
      <c r="FX2" t="n">
        <v>11.826</v>
      </c>
      <c r="FY2" t="n">
        <v>20.227</v>
      </c>
      <c r="FZ2" t="n">
        <v>23.529</v>
      </c>
      <c r="GA2" t="n">
        <v>11.765</v>
      </c>
      <c r="GB2" t="n">
        <v>30.238</v>
      </c>
      <c r="GC2" t="n">
        <v>12.923</v>
      </c>
      <c r="GD2" t="n">
        <v>55.609</v>
      </c>
      <c r="GE2" t="n">
        <v>9.087</v>
      </c>
      <c r="GF2" t="n">
        <v>311.87</v>
      </c>
      <c r="GG2" t="n">
        <v>160.13</v>
      </c>
      <c r="GH2" t="n">
        <v>32.391</v>
      </c>
      <c r="GI2" t="n">
        <v>41.304</v>
      </c>
      <c r="GJ2" t="n">
        <v>46.637</v>
      </c>
      <c r="GK2" t="n">
        <v>11.783</v>
      </c>
      <c r="GL2" t="n">
        <v>28.526</v>
      </c>
      <c r="GM2" t="n">
        <v>3.696</v>
      </c>
      <c r="GN2" t="n">
        <v>11.043</v>
      </c>
      <c r="GO2" t="n">
        <v>84.646</v>
      </c>
      <c r="GP2" t="n">
        <v>4.739</v>
      </c>
      <c r="GQ2" t="n">
        <v>45.391</v>
      </c>
      <c r="GR2" t="n">
        <v>70.348</v>
      </c>
      <c r="GS2" t="n">
        <v>12.613</v>
      </c>
      <c r="GT2" t="n">
        <v>50.043</v>
      </c>
      <c r="GU2" t="n">
        <v>5.652</v>
      </c>
      <c r="GV2" t="n">
        <v>2.348</v>
      </c>
      <c r="GW2" t="n">
        <v>-2.652</v>
      </c>
      <c r="GX2" t="n">
        <v>19.391</v>
      </c>
      <c r="GY2" t="n">
        <v>16.739</v>
      </c>
      <c r="GZ2" t="n">
        <v>6.652</v>
      </c>
      <c r="HA2" t="n">
        <v>57.391</v>
      </c>
      <c r="HB2" t="n">
        <v>-1.522</v>
      </c>
      <c r="HC2" t="n">
        <v>2.043</v>
      </c>
      <c r="HD2" t="n">
        <v>0.075</v>
      </c>
      <c r="HE2" t="n">
        <v>0.443</v>
      </c>
      <c r="HF2" t="n">
        <v>8.042999999999999</v>
      </c>
      <c r="HG2" t="n">
        <v>12.435</v>
      </c>
      <c r="HH2" t="n">
        <v>20.478</v>
      </c>
      <c r="HI2" t="n">
        <v>-2.174</v>
      </c>
      <c r="HJ2" t="n">
        <v>9.260999999999999</v>
      </c>
      <c r="HK2" t="n">
        <v>4.261</v>
      </c>
      <c r="HL2" t="n">
        <v>3.304</v>
      </c>
      <c r="HM2" t="n">
        <v>6</v>
      </c>
      <c r="HN2" t="n">
        <v>2.522</v>
      </c>
      <c r="HO2" t="n">
        <v>2.696</v>
      </c>
      <c r="HP2" t="n">
        <v>-2.609</v>
      </c>
      <c r="HQ2" t="n">
        <v>4.217</v>
      </c>
      <c r="HR2" t="n">
        <v>20.174</v>
      </c>
      <c r="HS2" t="n">
        <v>2.957</v>
      </c>
      <c r="HT2" t="n">
        <v>4.957</v>
      </c>
      <c r="HU2" t="n">
        <v>7.913</v>
      </c>
      <c r="HV2" t="n">
        <v>3.348</v>
      </c>
      <c r="HW2" t="n">
        <v>-12.957</v>
      </c>
      <c r="HX2" t="n">
        <v>-1.565</v>
      </c>
      <c r="HY2" t="n">
        <v>-0.435</v>
      </c>
      <c r="HZ2" t="n">
        <v>-2.261</v>
      </c>
      <c r="IA2" t="n">
        <v>0.174</v>
      </c>
      <c r="IB2" t="n">
        <v>0.826</v>
      </c>
      <c r="IC2" t="n">
        <v>1.478</v>
      </c>
      <c r="ID2" t="n">
        <v>3.348</v>
      </c>
      <c r="IE2" t="n">
        <v>0.478</v>
      </c>
      <c r="IF2" t="n">
        <v>2.261</v>
      </c>
      <c r="IG2" t="n">
        <v>11.494</v>
      </c>
      <c r="IH2" t="n">
        <v>-5.754</v>
      </c>
      <c r="II2" t="n">
        <v>0.022</v>
      </c>
      <c r="IJ2" t="n">
        <v>-0.87</v>
      </c>
      <c r="IK2" t="n">
        <v>8.217000000000001</v>
      </c>
      <c r="IL2" t="n">
        <v>-0.913</v>
      </c>
      <c r="IM2" t="n">
        <v>-5.783</v>
      </c>
      <c r="IN2" t="n">
        <v>12.087</v>
      </c>
      <c r="IO2" t="n">
        <v>0.13</v>
      </c>
      <c r="IP2" t="n">
        <v>0.783</v>
      </c>
      <c r="IQ2" t="n">
        <v>2</v>
      </c>
      <c r="IR2" t="n">
        <v>-29.261</v>
      </c>
      <c r="IS2" t="n">
        <v>-40.435</v>
      </c>
      <c r="IT2" t="n">
        <v>-0.348</v>
      </c>
      <c r="IU2" t="n">
        <v>-11.652</v>
      </c>
      <c r="IV2" t="n">
        <v>-1.913</v>
      </c>
      <c r="IW2" t="n">
        <v>-1.783</v>
      </c>
      <c r="IX2" t="n">
        <v>2.391</v>
      </c>
      <c r="IY2" t="n">
        <v>4.609</v>
      </c>
      <c r="IZ2" t="n">
        <v>-0.609</v>
      </c>
    </row>
    <row r="3">
      <c r="A3" t="inlineStr">
        <is>
          <t>Melbourne</t>
        </is>
      </c>
      <c r="B3" t="inlineStr">
        <is>
          <t>Melb</t>
        </is>
      </c>
      <c r="C3" t="n">
        <v>24</v>
      </c>
      <c r="D3" t="n">
        <v>33</v>
      </c>
      <c r="E3" t="n">
        <v>25.486</v>
      </c>
      <c r="F3" t="n">
        <v>102.763</v>
      </c>
      <c r="G3" t="n">
        <v>209.954</v>
      </c>
      <c r="H3" t="n">
        <v>1690.292</v>
      </c>
      <c r="I3" t="n">
        <v>1516.208</v>
      </c>
      <c r="J3" t="n">
        <v>19.875</v>
      </c>
      <c r="K3" t="n">
        <v>53.717</v>
      </c>
      <c r="L3" t="n">
        <v>213.708</v>
      </c>
      <c r="M3" t="n">
        <v>152.625</v>
      </c>
      <c r="N3" t="n">
        <v>366.333</v>
      </c>
      <c r="O3" t="n">
        <v>71.96299999999999</v>
      </c>
      <c r="P3" t="n">
        <v>65.48999999999999</v>
      </c>
      <c r="Q3" t="n">
        <v>81.026</v>
      </c>
      <c r="R3" t="n">
        <v>58.337</v>
      </c>
      <c r="S3" t="n">
        <v>6.022</v>
      </c>
      <c r="T3" t="n">
        <v>56.458</v>
      </c>
      <c r="U3" t="n">
        <v>38.125</v>
      </c>
      <c r="V3" t="n">
        <v>77.93899999999999</v>
      </c>
      <c r="W3" t="n">
        <v>6091.583</v>
      </c>
      <c r="X3" t="n">
        <v>16.629</v>
      </c>
      <c r="Y3" t="n">
        <v>58.875</v>
      </c>
      <c r="Z3" t="n">
        <v>6.222</v>
      </c>
      <c r="AA3" t="n">
        <v>69.208</v>
      </c>
      <c r="AB3" t="n">
        <v>5.293</v>
      </c>
      <c r="AC3" t="n">
        <v>-0.07199999999999999</v>
      </c>
      <c r="AD3" t="n">
        <v>-1.069</v>
      </c>
      <c r="AE3" t="n">
        <v>148.375</v>
      </c>
      <c r="AF3" t="n">
        <v>214.667</v>
      </c>
      <c r="AG3" t="n">
        <v>363.042</v>
      </c>
      <c r="AH3" t="n">
        <v>40.87</v>
      </c>
      <c r="AI3" t="n">
        <v>73.833</v>
      </c>
      <c r="AJ3" t="n">
        <v>101.792</v>
      </c>
      <c r="AK3" t="n">
        <v>19.292</v>
      </c>
      <c r="AL3" t="n">
        <v>32.625</v>
      </c>
      <c r="AM3" t="n">
        <v>69.125</v>
      </c>
      <c r="AN3" t="n">
        <v>95.583</v>
      </c>
      <c r="AO3" t="n">
        <v>69.25</v>
      </c>
      <c r="AP3" t="n">
        <v>10.875</v>
      </c>
      <c r="AQ3" t="n">
        <v>30.042</v>
      </c>
      <c r="AR3" t="n">
        <v>120.125</v>
      </c>
      <c r="AS3" t="n">
        <v>11.917</v>
      </c>
      <c r="AT3" t="n">
        <v>26</v>
      </c>
      <c r="AU3" t="n">
        <v>37.917</v>
      </c>
      <c r="AV3" t="n">
        <v>42.708</v>
      </c>
      <c r="AW3" t="n">
        <v>73.854</v>
      </c>
      <c r="AX3" t="n">
        <v>86.417</v>
      </c>
      <c r="AY3" t="n">
        <v>11.583</v>
      </c>
      <c r="AZ3" t="n">
        <v>11.292</v>
      </c>
      <c r="BA3" t="n">
        <v>20</v>
      </c>
      <c r="BB3" t="n">
        <v>19.542</v>
      </c>
      <c r="BC3" t="n">
        <v>6.708</v>
      </c>
      <c r="BD3" t="n">
        <v>25</v>
      </c>
      <c r="BE3" t="n">
        <v>7.833</v>
      </c>
      <c r="BF3" t="n">
        <v>12.5</v>
      </c>
      <c r="BG3" t="n">
        <v>11.833</v>
      </c>
      <c r="BH3" t="n">
        <v>2.75</v>
      </c>
      <c r="BI3" t="n">
        <v>26.625</v>
      </c>
      <c r="BJ3" t="n">
        <v>8.292</v>
      </c>
      <c r="BK3" t="n">
        <v>46.948</v>
      </c>
      <c r="BL3" t="n">
        <v>22.14</v>
      </c>
      <c r="BM3" t="n">
        <v>43.1</v>
      </c>
      <c r="BN3" t="n">
        <v>47.159</v>
      </c>
      <c r="BO3" t="n">
        <v>24</v>
      </c>
      <c r="BP3" t="n">
        <v>15.833</v>
      </c>
      <c r="BQ3" t="n">
        <v>25.789</v>
      </c>
      <c r="BR3" t="n">
        <v>82.968</v>
      </c>
      <c r="BS3" t="n">
        <v>1.115</v>
      </c>
      <c r="BT3" t="n">
        <v>3.116</v>
      </c>
      <c r="BU3" t="n">
        <v>0.042</v>
      </c>
      <c r="BV3" t="n">
        <v>3.343</v>
      </c>
      <c r="BW3" t="n">
        <v>-0.032</v>
      </c>
      <c r="BX3" t="n">
        <v>2.882</v>
      </c>
      <c r="BY3" t="n">
        <v>0.118</v>
      </c>
      <c r="BZ3" t="n">
        <v>1.667</v>
      </c>
      <c r="CA3" t="n">
        <v>35.917</v>
      </c>
      <c r="CB3" t="n">
        <v>49.25</v>
      </c>
      <c r="CC3" t="n">
        <v>32.333</v>
      </c>
      <c r="CD3" t="n">
        <v>41.417</v>
      </c>
      <c r="CE3" t="n">
        <v>13.083</v>
      </c>
      <c r="CF3" t="n">
        <v>20.154</v>
      </c>
      <c r="CG3" t="n">
        <v>21.058</v>
      </c>
      <c r="CH3" t="n">
        <v>8.369</v>
      </c>
      <c r="CI3" t="n">
        <v>30.959</v>
      </c>
      <c r="CJ3" t="n">
        <v>12.434</v>
      </c>
      <c r="CK3" t="n">
        <v>15.875</v>
      </c>
      <c r="CL3" t="n">
        <v>23.622</v>
      </c>
      <c r="CM3" t="n">
        <v>56.458</v>
      </c>
      <c r="CN3" t="n">
        <v>11.333</v>
      </c>
      <c r="CO3" t="n">
        <v>282</v>
      </c>
      <c r="CP3" t="n">
        <v>127.042</v>
      </c>
      <c r="CQ3" t="n">
        <v>32.625</v>
      </c>
      <c r="CR3" t="n">
        <v>88.667</v>
      </c>
      <c r="CS3" t="n">
        <v>37.458</v>
      </c>
      <c r="CT3" t="n">
        <v>42.246</v>
      </c>
      <c r="CU3" t="n">
        <v>12.083</v>
      </c>
      <c r="CV3" t="n">
        <v>32.258</v>
      </c>
      <c r="CW3" t="n">
        <v>3.958</v>
      </c>
      <c r="CX3" t="n">
        <v>18.708</v>
      </c>
      <c r="CY3" t="n">
        <v>18.5</v>
      </c>
      <c r="CZ3" t="n">
        <v>0.208</v>
      </c>
      <c r="DA3" t="n">
        <v>9.125</v>
      </c>
      <c r="DB3" t="n">
        <v>93.607</v>
      </c>
      <c r="DC3" t="n">
        <v>2.833</v>
      </c>
      <c r="DD3" t="n">
        <v>46.5</v>
      </c>
      <c r="DE3" t="n">
        <v>72.833</v>
      </c>
      <c r="DF3" t="n">
        <v>190.425</v>
      </c>
      <c r="DG3" t="n">
        <v>1610.25</v>
      </c>
      <c r="DH3" t="n">
        <v>1533.208</v>
      </c>
      <c r="DI3" t="n">
        <v>10.125</v>
      </c>
      <c r="DJ3" t="n">
        <v>222.125</v>
      </c>
      <c r="DK3" t="n">
        <v>133.5</v>
      </c>
      <c r="DL3" t="n">
        <v>355.625</v>
      </c>
      <c r="DM3" t="n">
        <v>72.021</v>
      </c>
      <c r="DN3" t="n">
        <v>65.429</v>
      </c>
      <c r="DO3" t="n">
        <v>82.98999999999999</v>
      </c>
      <c r="DP3" t="n">
        <v>6.299</v>
      </c>
      <c r="DQ3" t="n">
        <v>48.917</v>
      </c>
      <c r="DR3" t="n">
        <v>43.083</v>
      </c>
      <c r="DS3" t="n">
        <v>76.31</v>
      </c>
      <c r="DT3" t="n">
        <v>5798.792</v>
      </c>
      <c r="DU3" t="n">
        <v>16.306</v>
      </c>
      <c r="DV3" t="n">
        <v>61.542</v>
      </c>
      <c r="DW3" t="n">
        <v>5.779</v>
      </c>
      <c r="DX3" t="n">
        <v>73.625</v>
      </c>
      <c r="DY3" t="n">
        <v>4.83</v>
      </c>
      <c r="DZ3" t="n">
        <v>-4.448</v>
      </c>
      <c r="EA3" t="n">
        <v>-2.189</v>
      </c>
      <c r="EB3" t="n">
        <v>133.875</v>
      </c>
      <c r="EC3" t="n">
        <v>214.292</v>
      </c>
      <c r="ED3" t="n">
        <v>348.167</v>
      </c>
      <c r="EE3" t="n">
        <v>38.451</v>
      </c>
      <c r="EF3" t="n">
        <v>69.333</v>
      </c>
      <c r="EG3" t="n">
        <v>90.667</v>
      </c>
      <c r="EH3" t="n">
        <v>14.083</v>
      </c>
      <c r="EI3" t="n">
        <v>27.25</v>
      </c>
      <c r="EJ3" t="n">
        <v>63.375</v>
      </c>
      <c r="EK3" t="n">
        <v>86.083</v>
      </c>
      <c r="EL3" t="n">
        <v>60.5</v>
      </c>
      <c r="EM3" t="n">
        <v>9.083</v>
      </c>
      <c r="EN3" t="n">
        <v>24.833</v>
      </c>
      <c r="EO3" t="n">
        <v>107.333</v>
      </c>
      <c r="EP3" t="n">
        <v>11.875</v>
      </c>
      <c r="EQ3" t="n">
        <v>24.958</v>
      </c>
      <c r="ER3" t="n">
        <v>36.833</v>
      </c>
      <c r="ES3" t="n">
        <v>37.667</v>
      </c>
      <c r="ET3" t="n">
        <v>77.544</v>
      </c>
      <c r="EU3" t="n">
        <v>97.792</v>
      </c>
      <c r="EV3" t="n">
        <v>10.125</v>
      </c>
      <c r="EW3" t="n">
        <v>8.417</v>
      </c>
      <c r="EX3" t="n">
        <v>17.206</v>
      </c>
      <c r="EY3" t="n">
        <v>16.167</v>
      </c>
      <c r="EZ3" t="n">
        <v>5.167</v>
      </c>
      <c r="FA3" t="n">
        <v>10</v>
      </c>
      <c r="FB3" t="n">
        <v>9.417</v>
      </c>
      <c r="FC3" t="n">
        <v>1.583</v>
      </c>
      <c r="FD3" t="n">
        <v>21.083</v>
      </c>
      <c r="FE3" t="n">
        <v>6.708</v>
      </c>
      <c r="FF3" t="n">
        <v>47.431</v>
      </c>
      <c r="FG3" t="n">
        <v>20.443</v>
      </c>
      <c r="FH3" t="n">
        <v>39.693</v>
      </c>
      <c r="FI3" t="n">
        <v>43.101</v>
      </c>
      <c r="FJ3" t="n">
        <v>19.208</v>
      </c>
      <c r="FK3" t="n">
        <v>67.11499999999999</v>
      </c>
      <c r="FL3" t="n">
        <v>0.718</v>
      </c>
      <c r="FM3" t="n">
        <v>3.177</v>
      </c>
      <c r="FN3" t="n">
        <v>0.034</v>
      </c>
      <c r="FO3" t="n">
        <v>3.531</v>
      </c>
      <c r="FP3" t="n">
        <v>0.082</v>
      </c>
      <c r="FQ3" t="n">
        <v>2.802</v>
      </c>
      <c r="FR3" t="n">
        <v>-0.017</v>
      </c>
      <c r="FS3" t="n">
        <v>3.042</v>
      </c>
      <c r="FT3" t="n">
        <v>27</v>
      </c>
      <c r="FU3" t="n">
        <v>39.375</v>
      </c>
      <c r="FV3" t="n">
        <v>24.708</v>
      </c>
      <c r="FW3" t="n">
        <v>35.667</v>
      </c>
      <c r="FX3" t="n">
        <v>9.042</v>
      </c>
      <c r="FY3" t="n">
        <v>16.673</v>
      </c>
      <c r="FZ3" t="n">
        <v>18.497</v>
      </c>
      <c r="GA3" t="n">
        <v>7.023</v>
      </c>
      <c r="GB3" t="n">
        <v>26.838</v>
      </c>
      <c r="GC3" t="n">
        <v>9.234</v>
      </c>
      <c r="GD3" t="n">
        <v>60.833</v>
      </c>
      <c r="GE3" t="n">
        <v>9.917</v>
      </c>
      <c r="GF3" t="n">
        <v>301.958</v>
      </c>
      <c r="GG3" t="n">
        <v>150.083</v>
      </c>
      <c r="GH3" t="n">
        <v>40.542</v>
      </c>
      <c r="GI3" t="n">
        <v>32.667</v>
      </c>
      <c r="GJ3" t="n">
        <v>36.825</v>
      </c>
      <c r="GK3" t="n">
        <v>9.5</v>
      </c>
      <c r="GL3" t="n">
        <v>29.082</v>
      </c>
      <c r="GM3" t="n">
        <v>2.792</v>
      </c>
      <c r="GN3" t="n">
        <v>11.583</v>
      </c>
      <c r="GO3" t="n">
        <v>81.295</v>
      </c>
      <c r="GP3" t="n">
        <v>4.833</v>
      </c>
      <c r="GQ3" t="n">
        <v>56.542</v>
      </c>
      <c r="GR3" t="n">
        <v>71.583</v>
      </c>
      <c r="GS3" t="n">
        <v>19.529</v>
      </c>
      <c r="GT3" t="n">
        <v>80.042</v>
      </c>
      <c r="GU3" t="n">
        <v>-17</v>
      </c>
      <c r="GV3" t="n">
        <v>9.75</v>
      </c>
      <c r="GW3" t="n">
        <v>-8.417</v>
      </c>
      <c r="GX3" t="n">
        <v>19.125</v>
      </c>
      <c r="GY3" t="n">
        <v>10.708</v>
      </c>
      <c r="GZ3" t="n">
        <v>7.542</v>
      </c>
      <c r="HA3" t="n">
        <v>292.792</v>
      </c>
      <c r="HB3" t="n">
        <v>-2.667</v>
      </c>
      <c r="HC3" t="n">
        <v>-4.417</v>
      </c>
      <c r="HD3" t="n">
        <v>4.377</v>
      </c>
      <c r="HE3" t="n">
        <v>1.12</v>
      </c>
      <c r="HF3" t="n">
        <v>14.5</v>
      </c>
      <c r="HG3" t="n">
        <v>0.375</v>
      </c>
      <c r="HH3" t="n">
        <v>14.875</v>
      </c>
      <c r="HI3" t="n">
        <v>4.5</v>
      </c>
      <c r="HJ3" t="n">
        <v>11.125</v>
      </c>
      <c r="HK3" t="n">
        <v>5.208</v>
      </c>
      <c r="HL3" t="n">
        <v>5.375</v>
      </c>
      <c r="HM3" t="n">
        <v>5.75</v>
      </c>
      <c r="HN3" t="n">
        <v>9.5</v>
      </c>
      <c r="HO3" t="n">
        <v>8.75</v>
      </c>
      <c r="HP3" t="n">
        <v>1.792</v>
      </c>
      <c r="HQ3" t="n">
        <v>5.208</v>
      </c>
      <c r="HR3" t="n">
        <v>12.792</v>
      </c>
      <c r="HS3" t="n">
        <v>0.042</v>
      </c>
      <c r="HT3" t="n">
        <v>1.042</v>
      </c>
      <c r="HU3" t="n">
        <v>1.083</v>
      </c>
      <c r="HV3" t="n">
        <v>5.042</v>
      </c>
      <c r="HW3" t="n">
        <v>-11.375</v>
      </c>
      <c r="HX3" t="n">
        <v>1.458</v>
      </c>
      <c r="HY3" t="n">
        <v>2.875</v>
      </c>
      <c r="HZ3" t="n">
        <v>3.375</v>
      </c>
      <c r="IA3" t="n">
        <v>1.542</v>
      </c>
      <c r="IB3" t="n">
        <v>2.5</v>
      </c>
      <c r="IC3" t="n">
        <v>2.417</v>
      </c>
      <c r="ID3" t="n">
        <v>5.542</v>
      </c>
      <c r="IE3" t="n">
        <v>1.583</v>
      </c>
      <c r="IF3" t="n">
        <v>4.792</v>
      </c>
      <c r="IG3" t="n">
        <v>15.853</v>
      </c>
      <c r="IH3" t="n">
        <v>0.397</v>
      </c>
      <c r="II3" t="n">
        <v>-0.061</v>
      </c>
      <c r="IJ3" t="n">
        <v>-1.375</v>
      </c>
      <c r="IK3" t="n">
        <v>8.917</v>
      </c>
      <c r="IL3" t="n">
        <v>9.875</v>
      </c>
      <c r="IM3" t="n">
        <v>7.625</v>
      </c>
      <c r="IN3" t="n">
        <v>5.75</v>
      </c>
      <c r="IO3" t="n">
        <v>4.042</v>
      </c>
      <c r="IP3" t="n">
        <v>-4.375</v>
      </c>
      <c r="IQ3" t="n">
        <v>1.417</v>
      </c>
      <c r="IR3" t="n">
        <v>-19.958</v>
      </c>
      <c r="IS3" t="n">
        <v>-23.042</v>
      </c>
      <c r="IT3" t="n">
        <v>-7.917</v>
      </c>
      <c r="IU3" t="n">
        <v>4.792</v>
      </c>
      <c r="IV3" t="n">
        <v>2.583</v>
      </c>
      <c r="IW3" t="n">
        <v>1.167</v>
      </c>
      <c r="IX3" t="n">
        <v>-2</v>
      </c>
      <c r="IY3" t="n">
        <v>-10.042</v>
      </c>
      <c r="IZ3" t="n">
        <v>1.25</v>
      </c>
    </row>
    <row r="4">
      <c r="A4" t="inlineStr">
        <is>
          <t>Richmond</t>
        </is>
      </c>
      <c r="B4" t="inlineStr">
        <is>
          <t>Rich</t>
        </is>
      </c>
      <c r="C4" t="n">
        <v>23</v>
      </c>
      <c r="D4" t="n">
        <v>37</v>
      </c>
      <c r="E4" t="n">
        <v>26.767</v>
      </c>
      <c r="F4" t="n">
        <v>119.492</v>
      </c>
      <c r="G4" t="n">
        <v>214.426</v>
      </c>
      <c r="H4" t="n">
        <v>1662.087</v>
      </c>
      <c r="I4" t="n">
        <v>1473.696</v>
      </c>
      <c r="J4" t="n">
        <v>16.957</v>
      </c>
      <c r="K4" t="n">
        <v>52.997</v>
      </c>
      <c r="L4" t="n">
        <v>214.043</v>
      </c>
      <c r="M4" t="n">
        <v>138.174</v>
      </c>
      <c r="N4" t="n">
        <v>352.217</v>
      </c>
      <c r="O4" t="n">
        <v>72.324</v>
      </c>
      <c r="P4" t="n">
        <v>66.87</v>
      </c>
      <c r="Q4" t="n">
        <v>80.774</v>
      </c>
      <c r="R4" t="n">
        <v>60.77</v>
      </c>
      <c r="S4" t="n">
        <v>6.96</v>
      </c>
      <c r="T4" t="n">
        <v>57.261</v>
      </c>
      <c r="U4" t="n">
        <v>39.957</v>
      </c>
      <c r="V4" t="n">
        <v>76.26600000000001</v>
      </c>
      <c r="W4" t="n">
        <v>6163.652</v>
      </c>
      <c r="X4" t="n">
        <v>17.5</v>
      </c>
      <c r="Y4" t="n">
        <v>65.87</v>
      </c>
      <c r="Z4" t="n">
        <v>5.347</v>
      </c>
      <c r="AA4" t="n">
        <v>69.652</v>
      </c>
      <c r="AB4" t="n">
        <v>5.057</v>
      </c>
      <c r="AC4" t="n">
        <v>1.373</v>
      </c>
      <c r="AD4" t="n">
        <v>1.817</v>
      </c>
      <c r="AE4" t="n">
        <v>135.783</v>
      </c>
      <c r="AF4" t="n">
        <v>208.87</v>
      </c>
      <c r="AG4" t="n">
        <v>344.652</v>
      </c>
      <c r="AH4" t="n">
        <v>39.397</v>
      </c>
      <c r="AI4" t="n">
        <v>72.696</v>
      </c>
      <c r="AJ4" t="n">
        <v>87.739</v>
      </c>
      <c r="AK4" t="n">
        <v>15.522</v>
      </c>
      <c r="AL4" t="n">
        <v>24.565</v>
      </c>
      <c r="AM4" t="n">
        <v>63.217</v>
      </c>
      <c r="AN4" t="n">
        <v>91.39100000000001</v>
      </c>
      <c r="AO4" t="n">
        <v>63.609</v>
      </c>
      <c r="AP4" t="n">
        <v>10.217</v>
      </c>
      <c r="AQ4" t="n">
        <v>23.391</v>
      </c>
      <c r="AR4" t="n">
        <v>107.391</v>
      </c>
      <c r="AS4" t="n">
        <v>13.826</v>
      </c>
      <c r="AT4" t="n">
        <v>19.87</v>
      </c>
      <c r="AU4" t="n">
        <v>33.696</v>
      </c>
      <c r="AV4" t="n">
        <v>38.261</v>
      </c>
      <c r="AW4" t="n">
        <v>74.318</v>
      </c>
      <c r="AX4" t="n">
        <v>89.565</v>
      </c>
      <c r="AY4" t="n">
        <v>11.435</v>
      </c>
      <c r="AZ4" t="n">
        <v>12.957</v>
      </c>
      <c r="BA4" t="n">
        <v>22.627</v>
      </c>
      <c r="BB4" t="n">
        <v>16.783</v>
      </c>
      <c r="BC4" t="n">
        <v>6.87</v>
      </c>
      <c r="BD4" t="n">
        <v>29</v>
      </c>
      <c r="BE4" t="n">
        <v>8.522</v>
      </c>
      <c r="BF4" t="n">
        <v>14.522</v>
      </c>
      <c r="BG4" t="n">
        <v>11.522</v>
      </c>
      <c r="BH4" t="n">
        <v>2.522</v>
      </c>
      <c r="BI4" t="n">
        <v>28.565</v>
      </c>
      <c r="BJ4" t="n">
        <v>9.173999999999999</v>
      </c>
      <c r="BK4" t="n">
        <v>50.837</v>
      </c>
      <c r="BL4" t="n">
        <v>25.361</v>
      </c>
      <c r="BM4" t="n">
        <v>45.482</v>
      </c>
      <c r="BN4" t="n">
        <v>49.886</v>
      </c>
      <c r="BO4" t="n">
        <v>25.609</v>
      </c>
      <c r="BP4" t="n">
        <v>16.783</v>
      </c>
      <c r="BQ4" t="n">
        <v>31.347</v>
      </c>
      <c r="BR4" t="n">
        <v>94.42700000000001</v>
      </c>
      <c r="BS4" t="n">
        <v>1.704</v>
      </c>
      <c r="BT4" t="n">
        <v>3.296</v>
      </c>
      <c r="BU4" t="n">
        <v>0.059</v>
      </c>
      <c r="BV4" t="n">
        <v>3.478</v>
      </c>
      <c r="BW4" t="n">
        <v>0.136</v>
      </c>
      <c r="BX4" t="n">
        <v>3.072</v>
      </c>
      <c r="BY4" t="n">
        <v>-0.035</v>
      </c>
      <c r="BZ4" t="n">
        <v>4.304</v>
      </c>
      <c r="CA4" t="n">
        <v>32.435</v>
      </c>
      <c r="CB4" t="n">
        <v>61.913</v>
      </c>
      <c r="CC4" t="n">
        <v>36.043</v>
      </c>
      <c r="CD4" t="n">
        <v>48.957</v>
      </c>
      <c r="CE4" t="n">
        <v>13.652</v>
      </c>
      <c r="CF4" t="n">
        <v>22.114</v>
      </c>
      <c r="CG4" t="n">
        <v>24.759</v>
      </c>
      <c r="CH4" t="n">
        <v>10.944</v>
      </c>
      <c r="CI4" t="n">
        <v>33.098</v>
      </c>
      <c r="CJ4" t="n">
        <v>14.066</v>
      </c>
      <c r="CK4" t="n">
        <v>16.609</v>
      </c>
      <c r="CL4" t="n">
        <v>26.178</v>
      </c>
      <c r="CM4" t="n">
        <v>50</v>
      </c>
      <c r="CN4" t="n">
        <v>9.130000000000001</v>
      </c>
      <c r="CO4" t="n">
        <v>290.478</v>
      </c>
      <c r="CP4" t="n">
        <v>131.565</v>
      </c>
      <c r="CQ4" t="n">
        <v>36.174</v>
      </c>
      <c r="CR4" t="n">
        <v>83.565</v>
      </c>
      <c r="CS4" t="n">
        <v>39</v>
      </c>
      <c r="CT4" t="n">
        <v>46.67</v>
      </c>
      <c r="CU4" t="n">
        <v>11.826</v>
      </c>
      <c r="CV4" t="n">
        <v>30.323</v>
      </c>
      <c r="CW4" t="n">
        <v>3.565</v>
      </c>
      <c r="CX4" t="n">
        <v>18.826</v>
      </c>
      <c r="CY4" t="n">
        <v>22.522</v>
      </c>
      <c r="CZ4" t="n">
        <v>-3.696</v>
      </c>
      <c r="DA4" t="n">
        <v>11.478</v>
      </c>
      <c r="DB4" t="n">
        <v>82.955</v>
      </c>
      <c r="DC4" t="n">
        <v>8.130000000000001</v>
      </c>
      <c r="DD4" t="n">
        <v>54.522</v>
      </c>
      <c r="DE4" t="n">
        <v>70.60899999999999</v>
      </c>
      <c r="DF4" t="n">
        <v>202.309</v>
      </c>
      <c r="DG4" t="n">
        <v>1637.391</v>
      </c>
      <c r="DH4" t="n">
        <v>1477.174</v>
      </c>
      <c r="DI4" t="n">
        <v>13.043</v>
      </c>
      <c r="DJ4" t="n">
        <v>212.174</v>
      </c>
      <c r="DK4" t="n">
        <v>152.565</v>
      </c>
      <c r="DL4" t="n">
        <v>364.739</v>
      </c>
      <c r="DM4" t="n">
        <v>72.941</v>
      </c>
      <c r="DN4" t="n">
        <v>65.512</v>
      </c>
      <c r="DO4" t="n">
        <v>83.27200000000001</v>
      </c>
      <c r="DP4" t="n">
        <v>7.295</v>
      </c>
      <c r="DQ4" t="n">
        <v>52.391</v>
      </c>
      <c r="DR4" t="n">
        <v>42.087</v>
      </c>
      <c r="DS4" t="n">
        <v>73.5</v>
      </c>
      <c r="DT4" t="n">
        <v>5907.522</v>
      </c>
      <c r="DU4" t="n">
        <v>16.197</v>
      </c>
      <c r="DV4" t="n">
        <v>61.261</v>
      </c>
      <c r="DW4" t="n">
        <v>5.954</v>
      </c>
      <c r="DX4" t="n">
        <v>72.60899999999999</v>
      </c>
      <c r="DY4" t="n">
        <v>5.023</v>
      </c>
      <c r="DZ4" t="n">
        <v>0.113</v>
      </c>
      <c r="EA4" t="n">
        <v>-2.33</v>
      </c>
      <c r="EB4" t="n">
        <v>138.435</v>
      </c>
      <c r="EC4" t="n">
        <v>220.087</v>
      </c>
      <c r="ED4" t="n">
        <v>358.522</v>
      </c>
      <c r="EE4" t="n">
        <v>38.613</v>
      </c>
      <c r="EF4" t="n">
        <v>69.696</v>
      </c>
      <c r="EG4" t="n">
        <v>94.783</v>
      </c>
      <c r="EH4" t="n">
        <v>14.826</v>
      </c>
      <c r="EI4" t="n">
        <v>26.261</v>
      </c>
      <c r="EJ4" t="n">
        <v>68.435</v>
      </c>
      <c r="EK4" t="n">
        <v>91.913</v>
      </c>
      <c r="EL4" t="n">
        <v>64.304</v>
      </c>
      <c r="EM4" t="n">
        <v>7.87</v>
      </c>
      <c r="EN4" t="n">
        <v>25.217</v>
      </c>
      <c r="EO4" t="n">
        <v>122.478</v>
      </c>
      <c r="EP4" t="n">
        <v>13</v>
      </c>
      <c r="EQ4" t="n">
        <v>23.522</v>
      </c>
      <c r="ER4" t="n">
        <v>36.522</v>
      </c>
      <c r="ES4" t="n">
        <v>37.522</v>
      </c>
      <c r="ET4" t="n">
        <v>78.331</v>
      </c>
      <c r="EU4" t="n">
        <v>86.348</v>
      </c>
      <c r="EV4" t="n">
        <v>10.304</v>
      </c>
      <c r="EW4" t="n">
        <v>10.348</v>
      </c>
      <c r="EX4" t="n">
        <v>19.751</v>
      </c>
      <c r="EY4" t="n">
        <v>14.261</v>
      </c>
      <c r="EZ4" t="n">
        <v>7.391</v>
      </c>
      <c r="FA4" t="n">
        <v>11.739</v>
      </c>
      <c r="FB4" t="n">
        <v>11.565</v>
      </c>
      <c r="FC4" t="n">
        <v>2.478</v>
      </c>
      <c r="FD4" t="n">
        <v>25.043</v>
      </c>
      <c r="FE4" t="n">
        <v>7.783</v>
      </c>
      <c r="FF4" t="n">
        <v>46.875</v>
      </c>
      <c r="FG4" t="n">
        <v>22.407</v>
      </c>
      <c r="FH4" t="n">
        <v>44.481</v>
      </c>
      <c r="FI4" t="n">
        <v>47.801</v>
      </c>
      <c r="FJ4" t="n">
        <v>22.783</v>
      </c>
      <c r="FK4" t="n">
        <v>79.16500000000001</v>
      </c>
      <c r="FL4" t="n">
        <v>0.096</v>
      </c>
      <c r="FM4" t="n">
        <v>3.161</v>
      </c>
      <c r="FN4" t="n">
        <v>0.004</v>
      </c>
      <c r="FO4" t="n">
        <v>3.365</v>
      </c>
      <c r="FP4" t="n">
        <v>0.048</v>
      </c>
      <c r="FQ4" t="n">
        <v>2.923</v>
      </c>
      <c r="FR4" t="n">
        <v>-0.047</v>
      </c>
      <c r="FS4" t="n">
        <v>3.13</v>
      </c>
      <c r="FT4" t="n">
        <v>34.348</v>
      </c>
      <c r="FU4" t="n">
        <v>44.522</v>
      </c>
      <c r="FV4" t="n">
        <v>33.739</v>
      </c>
      <c r="FW4" t="n">
        <v>33.478</v>
      </c>
      <c r="FX4" t="n">
        <v>14.783</v>
      </c>
      <c r="FY4" t="n">
        <v>19.774</v>
      </c>
      <c r="FZ4" t="n">
        <v>21.127</v>
      </c>
      <c r="GA4" t="n">
        <v>8.551</v>
      </c>
      <c r="GB4" t="n">
        <v>30.131</v>
      </c>
      <c r="GC4" t="n">
        <v>12.306</v>
      </c>
      <c r="GD4" t="n">
        <v>50.609</v>
      </c>
      <c r="GE4" t="n">
        <v>7.652</v>
      </c>
      <c r="GF4" t="n">
        <v>279.13</v>
      </c>
      <c r="GG4" t="n">
        <v>135.478</v>
      </c>
      <c r="GH4" t="n">
        <v>31.261</v>
      </c>
      <c r="GI4" t="n">
        <v>28.217</v>
      </c>
      <c r="GJ4" t="n">
        <v>33.802</v>
      </c>
      <c r="GK4" t="n">
        <v>8.522</v>
      </c>
      <c r="GL4" t="n">
        <v>30.2</v>
      </c>
      <c r="GM4" t="n">
        <v>1.435</v>
      </c>
      <c r="GN4" t="n">
        <v>11.391</v>
      </c>
      <c r="GO4" t="n">
        <v>81.298</v>
      </c>
      <c r="GP4" t="n">
        <v>5.478</v>
      </c>
      <c r="GQ4" t="n">
        <v>47.957</v>
      </c>
      <c r="GR4" t="n">
        <v>70.60899999999999</v>
      </c>
      <c r="GS4" t="n">
        <v>12.117</v>
      </c>
      <c r="GT4" t="n">
        <v>24.696</v>
      </c>
      <c r="GU4" t="n">
        <v>-3.478</v>
      </c>
      <c r="GV4" t="n">
        <v>3.913</v>
      </c>
      <c r="GW4" t="n">
        <v>1.87</v>
      </c>
      <c r="GX4" t="n">
        <v>-14.391</v>
      </c>
      <c r="GY4" t="n">
        <v>-12.522</v>
      </c>
      <c r="GZ4" t="n">
        <v>4.87</v>
      </c>
      <c r="HA4" t="n">
        <v>256.13</v>
      </c>
      <c r="HB4" t="n">
        <v>4.609</v>
      </c>
      <c r="HC4" t="n">
        <v>-2.957</v>
      </c>
      <c r="HD4" t="n">
        <v>1.26</v>
      </c>
      <c r="HE4" t="n">
        <v>4.148</v>
      </c>
      <c r="HF4" t="n">
        <v>-2.652</v>
      </c>
      <c r="HG4" t="n">
        <v>-11.217</v>
      </c>
      <c r="HH4" t="n">
        <v>-13.87</v>
      </c>
      <c r="HI4" t="n">
        <v>3</v>
      </c>
      <c r="HJ4" t="n">
        <v>-7.043</v>
      </c>
      <c r="HK4" t="n">
        <v>0.696</v>
      </c>
      <c r="HL4" t="n">
        <v>-1.696</v>
      </c>
      <c r="HM4" t="n">
        <v>-5.217</v>
      </c>
      <c r="HN4" t="n">
        <v>-0.522</v>
      </c>
      <c r="HO4" t="n">
        <v>-0.696</v>
      </c>
      <c r="HP4" t="n">
        <v>2.348</v>
      </c>
      <c r="HQ4" t="n">
        <v>-1.826</v>
      </c>
      <c r="HR4" t="n">
        <v>-15.087</v>
      </c>
      <c r="HS4" t="n">
        <v>0.826</v>
      </c>
      <c r="HT4" t="n">
        <v>-3.652</v>
      </c>
      <c r="HU4" t="n">
        <v>-2.826</v>
      </c>
      <c r="HV4" t="n">
        <v>0.739</v>
      </c>
      <c r="HW4" t="n">
        <v>3.217</v>
      </c>
      <c r="HX4" t="n">
        <v>1.13</v>
      </c>
      <c r="HY4" t="n">
        <v>2.609</v>
      </c>
      <c r="HZ4" t="n">
        <v>2.522</v>
      </c>
      <c r="IA4" t="n">
        <v>-0.522</v>
      </c>
      <c r="IB4" t="n">
        <v>2.783</v>
      </c>
      <c r="IC4" t="n">
        <v>-0.043</v>
      </c>
      <c r="ID4" t="n">
        <v>3.522</v>
      </c>
      <c r="IE4" t="n">
        <v>1.391</v>
      </c>
      <c r="IF4" t="n">
        <v>2.826</v>
      </c>
      <c r="IG4" t="n">
        <v>15.262</v>
      </c>
      <c r="IH4" t="n">
        <v>1.608</v>
      </c>
      <c r="II4" t="n">
        <v>0.135</v>
      </c>
      <c r="IJ4" t="n">
        <v>1.174</v>
      </c>
      <c r="IK4" t="n">
        <v>-1.913</v>
      </c>
      <c r="IL4" t="n">
        <v>17.391</v>
      </c>
      <c r="IM4" t="n">
        <v>2.304</v>
      </c>
      <c r="IN4" t="n">
        <v>15.478</v>
      </c>
      <c r="IO4" t="n">
        <v>-1.13</v>
      </c>
      <c r="IP4" t="n">
        <v>-0.609</v>
      </c>
      <c r="IQ4" t="n">
        <v>1.478</v>
      </c>
      <c r="IR4" t="n">
        <v>11.348</v>
      </c>
      <c r="IS4" t="n">
        <v>-3.913</v>
      </c>
      <c r="IT4" t="n">
        <v>4.913</v>
      </c>
      <c r="IU4" t="n">
        <v>10.783</v>
      </c>
      <c r="IV4" t="n">
        <v>3.304</v>
      </c>
      <c r="IW4" t="n">
        <v>2.13</v>
      </c>
      <c r="IX4" t="n">
        <v>2.652</v>
      </c>
      <c r="IY4" t="n">
        <v>6.565</v>
      </c>
      <c r="IZ4" t="n">
        <v>0</v>
      </c>
    </row>
    <row r="5">
      <c r="A5" t="inlineStr">
        <is>
          <t>Carlton</t>
        </is>
      </c>
      <c r="B5" t="inlineStr">
        <is>
          <t>Carl</t>
        </is>
      </c>
      <c r="C5" t="n">
        <v>22</v>
      </c>
      <c r="D5" t="n">
        <v>40</v>
      </c>
      <c r="E5" t="n">
        <v>24.759</v>
      </c>
      <c r="F5" t="n">
        <v>77.607</v>
      </c>
      <c r="G5" t="n">
        <v>210.073</v>
      </c>
      <c r="H5" t="n">
        <v>1728.409</v>
      </c>
      <c r="I5" t="n">
        <v>1579.773</v>
      </c>
      <c r="J5" t="n">
        <v>18.136</v>
      </c>
      <c r="K5" t="n">
        <v>49.992</v>
      </c>
      <c r="L5" t="n">
        <v>227.091</v>
      </c>
      <c r="M5" t="n">
        <v>156.136</v>
      </c>
      <c r="N5" t="n">
        <v>383.227</v>
      </c>
      <c r="O5" t="n">
        <v>74.024</v>
      </c>
      <c r="P5" t="n">
        <v>67.274</v>
      </c>
      <c r="Q5" t="n">
        <v>83.843</v>
      </c>
      <c r="R5" t="n">
        <v>59.258</v>
      </c>
      <c r="S5" t="n">
        <v>7.079</v>
      </c>
      <c r="T5" t="n">
        <v>54.909</v>
      </c>
      <c r="U5" t="n">
        <v>39.455</v>
      </c>
      <c r="V5" t="n">
        <v>76.611</v>
      </c>
      <c r="W5" t="n">
        <v>5949.455</v>
      </c>
      <c r="X5" t="n">
        <v>15.525</v>
      </c>
      <c r="Y5" t="n">
        <v>59.273</v>
      </c>
      <c r="Z5" t="n">
        <v>6.465</v>
      </c>
      <c r="AA5" t="n">
        <v>69.136</v>
      </c>
      <c r="AB5" t="n">
        <v>5.543</v>
      </c>
      <c r="AC5" t="n">
        <v>2.416</v>
      </c>
      <c r="AD5" t="n">
        <v>1.781</v>
      </c>
      <c r="AE5" t="n">
        <v>145.455</v>
      </c>
      <c r="AF5" t="n">
        <v>235.045</v>
      </c>
      <c r="AG5" t="n">
        <v>380.5</v>
      </c>
      <c r="AH5" t="n">
        <v>38.227</v>
      </c>
      <c r="AI5" t="n">
        <v>70.59099999999999</v>
      </c>
      <c r="AJ5" t="n">
        <v>97.182</v>
      </c>
      <c r="AK5" t="n">
        <v>17.227</v>
      </c>
      <c r="AL5" t="n">
        <v>28.682</v>
      </c>
      <c r="AM5" t="n">
        <v>68.40900000000001</v>
      </c>
      <c r="AN5" t="n">
        <v>95.40900000000001</v>
      </c>
      <c r="AO5" t="n">
        <v>66.40900000000001</v>
      </c>
      <c r="AP5" t="n">
        <v>9.5</v>
      </c>
      <c r="AQ5" t="n">
        <v>28.045</v>
      </c>
      <c r="AR5" t="n">
        <v>128.136</v>
      </c>
      <c r="AS5" t="n">
        <v>12.409</v>
      </c>
      <c r="AT5" t="n">
        <v>25.227</v>
      </c>
      <c r="AU5" t="n">
        <v>37.636</v>
      </c>
      <c r="AV5" t="n">
        <v>40.545</v>
      </c>
      <c r="AW5" t="n">
        <v>78.812</v>
      </c>
      <c r="AX5" t="n">
        <v>96.227</v>
      </c>
      <c r="AY5" t="n">
        <v>11.545</v>
      </c>
      <c r="AZ5" t="n">
        <v>11.091</v>
      </c>
      <c r="BA5" t="n">
        <v>20.199</v>
      </c>
      <c r="BB5" t="n">
        <v>14.591</v>
      </c>
      <c r="BC5" t="n">
        <v>9.409000000000001</v>
      </c>
      <c r="BD5" t="n">
        <v>23</v>
      </c>
      <c r="BE5" t="n">
        <v>7.227</v>
      </c>
      <c r="BF5" t="n">
        <v>12.182</v>
      </c>
      <c r="BG5" t="n">
        <v>11.318</v>
      </c>
      <c r="BH5" t="n">
        <v>1.864</v>
      </c>
      <c r="BI5" t="n">
        <v>25.818</v>
      </c>
      <c r="BJ5" t="n">
        <v>7.682</v>
      </c>
      <c r="BK5" t="n">
        <v>47.183</v>
      </c>
      <c r="BL5" t="n">
        <v>22.185</v>
      </c>
      <c r="BM5" t="n">
        <v>42.798</v>
      </c>
      <c r="BN5" t="n">
        <v>47.02</v>
      </c>
      <c r="BO5" t="n">
        <v>23.455</v>
      </c>
      <c r="BP5" t="n">
        <v>15.727</v>
      </c>
      <c r="BQ5" t="n">
        <v>29.191</v>
      </c>
      <c r="BR5" t="n">
        <v>83.721</v>
      </c>
      <c r="BS5" t="n">
        <v>-1.175</v>
      </c>
      <c r="BT5" t="n">
        <v>3.248</v>
      </c>
      <c r="BU5" t="n">
        <v>-0.046</v>
      </c>
      <c r="BV5" t="n">
        <v>3.469</v>
      </c>
      <c r="BW5" t="n">
        <v>0.037</v>
      </c>
      <c r="BX5" t="n">
        <v>2.971</v>
      </c>
      <c r="BY5" t="n">
        <v>-0.15</v>
      </c>
      <c r="BZ5" t="n">
        <v>1.955</v>
      </c>
      <c r="CA5" t="n">
        <v>34.364</v>
      </c>
      <c r="CB5" t="n">
        <v>48.091</v>
      </c>
      <c r="CC5" t="n">
        <v>32.318</v>
      </c>
      <c r="CD5" t="n">
        <v>40.227</v>
      </c>
      <c r="CE5" t="n">
        <v>11.864</v>
      </c>
      <c r="CF5" t="n">
        <v>20.204</v>
      </c>
      <c r="CG5" t="n">
        <v>21.847</v>
      </c>
      <c r="CH5" t="n">
        <v>9.571999999999999</v>
      </c>
      <c r="CI5" t="n">
        <v>31.67</v>
      </c>
      <c r="CJ5" t="n">
        <v>13.18</v>
      </c>
      <c r="CK5" t="n">
        <v>15.682</v>
      </c>
      <c r="CL5" t="n">
        <v>30.725</v>
      </c>
      <c r="CM5" t="n">
        <v>55.955</v>
      </c>
      <c r="CN5" t="n">
        <v>11.136</v>
      </c>
      <c r="CO5" t="n">
        <v>277.227</v>
      </c>
      <c r="CP5" t="n">
        <v>129.682</v>
      </c>
      <c r="CQ5" t="n">
        <v>34.909</v>
      </c>
      <c r="CR5" t="n">
        <v>88.045</v>
      </c>
      <c r="CS5" t="n">
        <v>27.727</v>
      </c>
      <c r="CT5" t="n">
        <v>31.492</v>
      </c>
      <c r="CU5" t="n">
        <v>10.182</v>
      </c>
      <c r="CV5" t="n">
        <v>36.721</v>
      </c>
      <c r="CW5" t="n">
        <v>2.727</v>
      </c>
      <c r="CX5" t="n">
        <v>21.545</v>
      </c>
      <c r="CY5" t="n">
        <v>19.364</v>
      </c>
      <c r="CZ5" t="n">
        <v>2.182</v>
      </c>
      <c r="DA5" t="n">
        <v>10.136</v>
      </c>
      <c r="DB5" t="n">
        <v>86.099</v>
      </c>
      <c r="DC5" t="n">
        <v>9.909000000000001</v>
      </c>
      <c r="DD5" t="n">
        <v>52.545</v>
      </c>
      <c r="DE5" t="n">
        <v>71.864</v>
      </c>
      <c r="DF5" t="n">
        <v>198.541</v>
      </c>
      <c r="DG5" t="n">
        <v>1572.273</v>
      </c>
      <c r="DH5" t="n">
        <v>1465.636</v>
      </c>
      <c r="DI5" t="n">
        <v>11.864</v>
      </c>
      <c r="DJ5" t="n">
        <v>212.818</v>
      </c>
      <c r="DK5" t="n">
        <v>134.773</v>
      </c>
      <c r="DL5" t="n">
        <v>347.591</v>
      </c>
      <c r="DM5" t="n">
        <v>73.584</v>
      </c>
      <c r="DN5" t="n">
        <v>67.727</v>
      </c>
      <c r="DO5" t="n">
        <v>82.833</v>
      </c>
      <c r="DP5" t="n">
        <v>6.212</v>
      </c>
      <c r="DQ5" t="n">
        <v>51.5</v>
      </c>
      <c r="DR5" t="n">
        <v>42.227</v>
      </c>
      <c r="DS5" t="n">
        <v>76.904</v>
      </c>
      <c r="DT5" t="n">
        <v>5875.091</v>
      </c>
      <c r="DU5" t="n">
        <v>16.902</v>
      </c>
      <c r="DV5" t="n">
        <v>61.273</v>
      </c>
      <c r="DW5" t="n">
        <v>5.673</v>
      </c>
      <c r="DX5" t="n">
        <v>70.364</v>
      </c>
      <c r="DY5" t="n">
        <v>4.94</v>
      </c>
      <c r="DZ5" t="n">
        <v>-1.861</v>
      </c>
      <c r="EA5" t="n">
        <v>-1.71</v>
      </c>
      <c r="EB5" t="n">
        <v>132.545</v>
      </c>
      <c r="EC5" t="n">
        <v>206.773</v>
      </c>
      <c r="ED5" t="n">
        <v>339.318</v>
      </c>
      <c r="EE5" t="n">
        <v>39.062</v>
      </c>
      <c r="EF5" t="n">
        <v>69.136</v>
      </c>
      <c r="EG5" t="n">
        <v>85.773</v>
      </c>
      <c r="EH5" t="n">
        <v>14.409</v>
      </c>
      <c r="EI5" t="n">
        <v>26.5</v>
      </c>
      <c r="EJ5" t="n">
        <v>59.182</v>
      </c>
      <c r="EK5" t="n">
        <v>87.045</v>
      </c>
      <c r="EL5" t="n">
        <v>60.182</v>
      </c>
      <c r="EM5" t="n">
        <v>11.091</v>
      </c>
      <c r="EN5" t="n">
        <v>24.955</v>
      </c>
      <c r="EO5" t="n">
        <v>108.773</v>
      </c>
      <c r="EP5" t="n">
        <v>11.5</v>
      </c>
      <c r="EQ5" t="n">
        <v>22.682</v>
      </c>
      <c r="ER5" t="n">
        <v>34.182</v>
      </c>
      <c r="ES5" t="n">
        <v>37.5</v>
      </c>
      <c r="ET5" t="n">
        <v>76.364</v>
      </c>
      <c r="EU5" t="n">
        <v>90.045</v>
      </c>
      <c r="EV5" t="n">
        <v>11.909</v>
      </c>
      <c r="EW5" t="n">
        <v>10.455</v>
      </c>
      <c r="EX5" t="n">
        <v>20.3</v>
      </c>
      <c r="EY5" t="n">
        <v>15.864</v>
      </c>
      <c r="EZ5" t="n">
        <v>5.727</v>
      </c>
      <c r="FA5" t="n">
        <v>11.273</v>
      </c>
      <c r="FB5" t="n">
        <v>10.273</v>
      </c>
      <c r="FC5" t="n">
        <v>2.273</v>
      </c>
      <c r="FD5" t="n">
        <v>22.955</v>
      </c>
      <c r="FE5" t="n">
        <v>7.773</v>
      </c>
      <c r="FF5" t="n">
        <v>49.109</v>
      </c>
      <c r="FG5" t="n">
        <v>21.889</v>
      </c>
      <c r="FH5" t="n">
        <v>41.836</v>
      </c>
      <c r="FI5" t="n">
        <v>44.572</v>
      </c>
      <c r="FJ5" t="n">
        <v>21.409</v>
      </c>
      <c r="FK5" t="n">
        <v>75.605</v>
      </c>
      <c r="FL5" t="n">
        <v>0.031</v>
      </c>
      <c r="FM5" t="n">
        <v>3.294</v>
      </c>
      <c r="FN5" t="n">
        <v>0.001</v>
      </c>
      <c r="FO5" t="n">
        <v>3.568</v>
      </c>
      <c r="FP5" t="n">
        <v>-0.215</v>
      </c>
      <c r="FQ5" t="n">
        <v>2.958</v>
      </c>
      <c r="FR5" t="n">
        <v>0.267</v>
      </c>
      <c r="FS5" t="n">
        <v>4.545</v>
      </c>
      <c r="FT5" t="n">
        <v>25.955</v>
      </c>
      <c r="FU5" t="n">
        <v>47.409</v>
      </c>
      <c r="FV5" t="n">
        <v>30.227</v>
      </c>
      <c r="FW5" t="n">
        <v>40.455</v>
      </c>
      <c r="FX5" t="n">
        <v>7.227</v>
      </c>
      <c r="FY5" t="n">
        <v>19.059</v>
      </c>
      <c r="FZ5" t="n">
        <v>20.738</v>
      </c>
      <c r="GA5" t="n">
        <v>9.022</v>
      </c>
      <c r="GB5" t="n">
        <v>29.376</v>
      </c>
      <c r="GC5" t="n">
        <v>11.425</v>
      </c>
      <c r="GD5" t="n">
        <v>54.136</v>
      </c>
      <c r="GE5" t="n">
        <v>8.864000000000001</v>
      </c>
      <c r="GF5" t="n">
        <v>304.864</v>
      </c>
      <c r="GG5" t="n">
        <v>140.773</v>
      </c>
      <c r="GH5" t="n">
        <v>35.136</v>
      </c>
      <c r="GI5" t="n">
        <v>40.455</v>
      </c>
      <c r="GJ5" t="n">
        <v>45.853</v>
      </c>
      <c r="GK5" t="n">
        <v>11.909</v>
      </c>
      <c r="GL5" t="n">
        <v>29.438</v>
      </c>
      <c r="GM5" t="n">
        <v>3.5</v>
      </c>
      <c r="GN5" t="n">
        <v>11.136</v>
      </c>
      <c r="GO5" t="n">
        <v>87.34699999999999</v>
      </c>
      <c r="GP5" t="n">
        <v>5.409</v>
      </c>
      <c r="GQ5" t="n">
        <v>50.455</v>
      </c>
      <c r="GR5" t="n">
        <v>70.5</v>
      </c>
      <c r="GS5" t="n">
        <v>11.532</v>
      </c>
      <c r="GT5" t="n">
        <v>156.136</v>
      </c>
      <c r="GU5" t="n">
        <v>114.136</v>
      </c>
      <c r="GV5" t="n">
        <v>6.273</v>
      </c>
      <c r="GW5" t="n">
        <v>14.273</v>
      </c>
      <c r="GX5" t="n">
        <v>21.364</v>
      </c>
      <c r="GY5" t="n">
        <v>35.636</v>
      </c>
      <c r="GZ5" t="n">
        <v>3.409</v>
      </c>
      <c r="HA5" t="n">
        <v>74.364</v>
      </c>
      <c r="HB5" t="n">
        <v>-2</v>
      </c>
      <c r="HC5" t="n">
        <v>-1.227</v>
      </c>
      <c r="HD5" t="n">
        <v>4.277</v>
      </c>
      <c r="HE5" t="n">
        <v>3.491</v>
      </c>
      <c r="HF5" t="n">
        <v>12.909</v>
      </c>
      <c r="HG5" t="n">
        <v>28.273</v>
      </c>
      <c r="HH5" t="n">
        <v>41.182</v>
      </c>
      <c r="HI5" t="n">
        <v>1.455</v>
      </c>
      <c r="HJ5" t="n">
        <v>11.409</v>
      </c>
      <c r="HK5" t="n">
        <v>2.818</v>
      </c>
      <c r="HL5" t="n">
        <v>2.182</v>
      </c>
      <c r="HM5" t="n">
        <v>9.227</v>
      </c>
      <c r="HN5" t="n">
        <v>8.364000000000001</v>
      </c>
      <c r="HO5" t="n">
        <v>6.227</v>
      </c>
      <c r="HP5" t="n">
        <v>-1.591</v>
      </c>
      <c r="HQ5" t="n">
        <v>3.091</v>
      </c>
      <c r="HR5" t="n">
        <v>19.364</v>
      </c>
      <c r="HS5" t="n">
        <v>0.909</v>
      </c>
      <c r="HT5" t="n">
        <v>2.545</v>
      </c>
      <c r="HU5" t="n">
        <v>3.455</v>
      </c>
      <c r="HV5" t="n">
        <v>3.045</v>
      </c>
      <c r="HW5" t="n">
        <v>6.182</v>
      </c>
      <c r="HX5" t="n">
        <v>-0.364</v>
      </c>
      <c r="HY5" t="n">
        <v>0.636</v>
      </c>
      <c r="HZ5" t="n">
        <v>-1.273</v>
      </c>
      <c r="IA5" t="n">
        <v>3.682</v>
      </c>
      <c r="IB5" t="n">
        <v>0.909</v>
      </c>
      <c r="IC5" t="n">
        <v>1.045</v>
      </c>
      <c r="ID5" t="n">
        <v>2.864</v>
      </c>
      <c r="IE5" t="n">
        <v>-0.091</v>
      </c>
      <c r="IF5" t="n">
        <v>2.045</v>
      </c>
      <c r="IG5" t="n">
        <v>8.116</v>
      </c>
      <c r="IH5" t="n">
        <v>-1.207</v>
      </c>
      <c r="II5" t="n">
        <v>-0.045</v>
      </c>
      <c r="IJ5" t="n">
        <v>-2.591</v>
      </c>
      <c r="IK5" t="n">
        <v>8.409000000000001</v>
      </c>
      <c r="IL5" t="n">
        <v>0.6820000000000001</v>
      </c>
      <c r="IM5" t="n">
        <v>2.091</v>
      </c>
      <c r="IN5" t="n">
        <v>-0.227</v>
      </c>
      <c r="IO5" t="n">
        <v>4.636</v>
      </c>
      <c r="IP5" t="n">
        <v>1.818</v>
      </c>
      <c r="IQ5" t="n">
        <v>2.273</v>
      </c>
      <c r="IR5" t="n">
        <v>-27.636</v>
      </c>
      <c r="IS5" t="n">
        <v>-11.091</v>
      </c>
      <c r="IT5" t="n">
        <v>-0.227</v>
      </c>
      <c r="IU5" t="n">
        <v>-12.727</v>
      </c>
      <c r="IV5" t="n">
        <v>-1.727</v>
      </c>
      <c r="IW5" t="n">
        <v>-0.773</v>
      </c>
      <c r="IX5" t="n">
        <v>4.5</v>
      </c>
      <c r="IY5" t="n">
        <v>2.091</v>
      </c>
      <c r="IZ5" t="n">
        <v>1.364</v>
      </c>
    </row>
    <row r="6">
      <c r="A6" t="inlineStr">
        <is>
          <t>St Kilda</t>
        </is>
      </c>
      <c r="B6" t="inlineStr">
        <is>
          <t>St K</t>
        </is>
      </c>
      <c r="C6" t="n">
        <v>22</v>
      </c>
      <c r="D6" t="n">
        <v>35</v>
      </c>
      <c r="E6" t="n">
        <v>25.726</v>
      </c>
      <c r="F6" t="n">
        <v>91.83</v>
      </c>
      <c r="G6" t="n">
        <v>195.277</v>
      </c>
      <c r="H6" t="n">
        <v>1668.591</v>
      </c>
      <c r="I6" t="n">
        <v>1588</v>
      </c>
      <c r="J6" t="n">
        <v>15.136</v>
      </c>
      <c r="K6" t="n">
        <v>49.663</v>
      </c>
      <c r="L6" t="n">
        <v>230.591</v>
      </c>
      <c r="M6" t="n">
        <v>144.318</v>
      </c>
      <c r="N6" t="n">
        <v>374.909</v>
      </c>
      <c r="O6" t="n">
        <v>73.218</v>
      </c>
      <c r="P6" t="n">
        <v>66.64700000000001</v>
      </c>
      <c r="Q6" t="n">
        <v>83.717</v>
      </c>
      <c r="R6" t="n">
        <v>61.506</v>
      </c>
      <c r="S6" t="n">
        <v>6.625</v>
      </c>
      <c r="T6" t="n">
        <v>49.682</v>
      </c>
      <c r="U6" t="n">
        <v>39.045</v>
      </c>
      <c r="V6" t="n">
        <v>76.696</v>
      </c>
      <c r="W6" t="n">
        <v>5731.727</v>
      </c>
      <c r="X6" t="n">
        <v>15.288</v>
      </c>
      <c r="Y6" t="n">
        <v>62.636</v>
      </c>
      <c r="Z6" t="n">
        <v>5.985</v>
      </c>
      <c r="AA6" t="n">
        <v>69.682</v>
      </c>
      <c r="AB6" t="n">
        <v>5.38</v>
      </c>
      <c r="AC6" t="n">
        <v>-1.854</v>
      </c>
      <c r="AD6" t="n">
        <v>-0.134</v>
      </c>
      <c r="AE6" t="n">
        <v>135.909</v>
      </c>
      <c r="AF6" t="n">
        <v>232.227</v>
      </c>
      <c r="AG6" t="n">
        <v>368.136</v>
      </c>
      <c r="AH6" t="n">
        <v>36.918</v>
      </c>
      <c r="AI6" t="n">
        <v>69.182</v>
      </c>
      <c r="AJ6" t="n">
        <v>91.273</v>
      </c>
      <c r="AK6" t="n">
        <v>14.864</v>
      </c>
      <c r="AL6" t="n">
        <v>30.182</v>
      </c>
      <c r="AM6" t="n">
        <v>61.091</v>
      </c>
      <c r="AN6" t="n">
        <v>90.318</v>
      </c>
      <c r="AO6" t="n">
        <v>64</v>
      </c>
      <c r="AP6" t="n">
        <v>9.409000000000001</v>
      </c>
      <c r="AQ6" t="n">
        <v>25.045</v>
      </c>
      <c r="AR6" t="n">
        <v>117.864</v>
      </c>
      <c r="AS6" t="n">
        <v>11.955</v>
      </c>
      <c r="AT6" t="n">
        <v>22.909</v>
      </c>
      <c r="AU6" t="n">
        <v>34.864</v>
      </c>
      <c r="AV6" t="n">
        <v>39.136</v>
      </c>
      <c r="AW6" t="n">
        <v>74.913</v>
      </c>
      <c r="AX6" t="n">
        <v>102.955</v>
      </c>
      <c r="AY6" t="n">
        <v>10.636</v>
      </c>
      <c r="AZ6" t="n">
        <v>10.545</v>
      </c>
      <c r="BA6" t="n">
        <v>21.226</v>
      </c>
      <c r="BB6" t="n">
        <v>15.455</v>
      </c>
      <c r="BC6" t="n">
        <v>7.864</v>
      </c>
      <c r="BD6" t="n">
        <v>25</v>
      </c>
      <c r="BE6" t="n">
        <v>6.682</v>
      </c>
      <c r="BF6" t="n">
        <v>11.227</v>
      </c>
      <c r="BG6" t="n">
        <v>10.045</v>
      </c>
      <c r="BH6" t="n">
        <v>1.818</v>
      </c>
      <c r="BI6" t="n">
        <v>23.364</v>
      </c>
      <c r="BJ6" t="n">
        <v>7.273</v>
      </c>
      <c r="BK6" t="n">
        <v>48.054</v>
      </c>
      <c r="BL6" t="n">
        <v>22.598</v>
      </c>
      <c r="BM6" t="n">
        <v>42.818</v>
      </c>
      <c r="BN6" t="n">
        <v>47.027</v>
      </c>
      <c r="BO6" t="n">
        <v>21.273</v>
      </c>
      <c r="BP6" t="n">
        <v>16.091</v>
      </c>
      <c r="BQ6" t="n">
        <v>29.944</v>
      </c>
      <c r="BR6" t="n">
        <v>76.581</v>
      </c>
      <c r="BS6" t="n">
        <v>-0.99</v>
      </c>
      <c r="BT6" t="n">
        <v>3.278</v>
      </c>
      <c r="BU6" t="n">
        <v>-0.042</v>
      </c>
      <c r="BV6" t="n">
        <v>3.639</v>
      </c>
      <c r="BW6" t="n">
        <v>-0.12</v>
      </c>
      <c r="BX6" t="n">
        <v>2.821</v>
      </c>
      <c r="BY6" t="n">
        <v>0.055</v>
      </c>
      <c r="BZ6" t="n">
        <v>2.5</v>
      </c>
      <c r="CA6" t="n">
        <v>28.909</v>
      </c>
      <c r="CB6" t="n">
        <v>46</v>
      </c>
      <c r="CC6" t="n">
        <v>27.045</v>
      </c>
      <c r="CD6" t="n">
        <v>41.182</v>
      </c>
      <c r="CE6" t="n">
        <v>9.182</v>
      </c>
      <c r="CF6" t="n">
        <v>18.876</v>
      </c>
      <c r="CG6" t="n">
        <v>19.641</v>
      </c>
      <c r="CH6" t="n">
        <v>7.303</v>
      </c>
      <c r="CI6" t="n">
        <v>29.947</v>
      </c>
      <c r="CJ6" t="n">
        <v>10.638</v>
      </c>
      <c r="CK6" t="n">
        <v>14</v>
      </c>
      <c r="CL6" t="n">
        <v>26.623</v>
      </c>
      <c r="CM6" t="n">
        <v>57.545</v>
      </c>
      <c r="CN6" t="n">
        <v>10.409</v>
      </c>
      <c r="CO6" t="n">
        <v>289.227</v>
      </c>
      <c r="CP6" t="n">
        <v>136.182</v>
      </c>
      <c r="CQ6" t="n">
        <v>33.227</v>
      </c>
      <c r="CR6" t="n">
        <v>85.5</v>
      </c>
      <c r="CS6" t="n">
        <v>37.045</v>
      </c>
      <c r="CT6" t="n">
        <v>43.328</v>
      </c>
      <c r="CU6" t="n">
        <v>10.182</v>
      </c>
      <c r="CV6" t="n">
        <v>27.485</v>
      </c>
      <c r="CW6" t="n">
        <v>2.455</v>
      </c>
      <c r="CX6" t="n">
        <v>19.727</v>
      </c>
      <c r="CY6" t="n">
        <v>21.318</v>
      </c>
      <c r="CZ6" t="n">
        <v>-1.591</v>
      </c>
      <c r="DA6" t="n">
        <v>10.545</v>
      </c>
      <c r="DB6" t="n">
        <v>81.89700000000001</v>
      </c>
      <c r="DC6" t="n">
        <v>7.045</v>
      </c>
      <c r="DD6" t="n">
        <v>48.545</v>
      </c>
      <c r="DE6" t="n">
        <v>71.682</v>
      </c>
      <c r="DF6" t="n">
        <v>197.568</v>
      </c>
      <c r="DG6" t="n">
        <v>1631.136</v>
      </c>
      <c r="DH6" t="n">
        <v>1520.773</v>
      </c>
      <c r="DI6" t="n">
        <v>14.864</v>
      </c>
      <c r="DJ6" t="n">
        <v>216.409</v>
      </c>
      <c r="DK6" t="n">
        <v>143.682</v>
      </c>
      <c r="DL6" t="n">
        <v>360.091</v>
      </c>
      <c r="DM6" t="n">
        <v>74.173</v>
      </c>
      <c r="DN6" t="n">
        <v>68.242</v>
      </c>
      <c r="DO6" t="n">
        <v>83.107</v>
      </c>
      <c r="DP6" t="n">
        <v>6.258</v>
      </c>
      <c r="DQ6" t="n">
        <v>50.909</v>
      </c>
      <c r="DR6" t="n">
        <v>37.591</v>
      </c>
      <c r="DS6" t="n">
        <v>75.663</v>
      </c>
      <c r="DT6" t="n">
        <v>5653.045</v>
      </c>
      <c r="DU6" t="n">
        <v>15.699</v>
      </c>
      <c r="DV6" t="n">
        <v>58.136</v>
      </c>
      <c r="DW6" t="n">
        <v>6.194</v>
      </c>
      <c r="DX6" t="n">
        <v>69</v>
      </c>
      <c r="DY6" t="n">
        <v>5.219</v>
      </c>
      <c r="DZ6" t="n">
        <v>-0.224</v>
      </c>
      <c r="EA6" t="n">
        <v>0.142</v>
      </c>
      <c r="EB6" t="n">
        <v>133.318</v>
      </c>
      <c r="EC6" t="n">
        <v>223.864</v>
      </c>
      <c r="ED6" t="n">
        <v>357.182</v>
      </c>
      <c r="EE6" t="n">
        <v>37.325</v>
      </c>
      <c r="EF6" t="n">
        <v>69.90900000000001</v>
      </c>
      <c r="EG6" t="n">
        <v>88.273</v>
      </c>
      <c r="EH6" t="n">
        <v>16.091</v>
      </c>
      <c r="EI6" t="n">
        <v>26.864</v>
      </c>
      <c r="EJ6" t="n">
        <v>61.455</v>
      </c>
      <c r="EK6" t="n">
        <v>89.40900000000001</v>
      </c>
      <c r="EL6" t="n">
        <v>62.091</v>
      </c>
      <c r="EM6" t="n">
        <v>9.364000000000001</v>
      </c>
      <c r="EN6" t="n">
        <v>26.318</v>
      </c>
      <c r="EO6" t="n">
        <v>116.545</v>
      </c>
      <c r="EP6" t="n">
        <v>10.636</v>
      </c>
      <c r="EQ6" t="n">
        <v>23.455</v>
      </c>
      <c r="ER6" t="n">
        <v>34.091</v>
      </c>
      <c r="ES6" t="n">
        <v>35.5</v>
      </c>
      <c r="ET6" t="n">
        <v>77.337</v>
      </c>
      <c r="EU6" t="n">
        <v>95.40900000000001</v>
      </c>
      <c r="EV6" t="n">
        <v>10.636</v>
      </c>
      <c r="EW6" t="n">
        <v>10.318</v>
      </c>
      <c r="EX6" t="n">
        <v>20.268</v>
      </c>
      <c r="EY6" t="n">
        <v>15.636</v>
      </c>
      <c r="EZ6" t="n">
        <v>7.091</v>
      </c>
      <c r="FA6" t="n">
        <v>11.227</v>
      </c>
      <c r="FB6" t="n">
        <v>10.591</v>
      </c>
      <c r="FC6" t="n">
        <v>1.682</v>
      </c>
      <c r="FD6" t="n">
        <v>23.955</v>
      </c>
      <c r="FE6" t="n">
        <v>7.273</v>
      </c>
      <c r="FF6" t="n">
        <v>46.869</v>
      </c>
      <c r="FG6" t="n">
        <v>22.054</v>
      </c>
      <c r="FH6" t="n">
        <v>42.857</v>
      </c>
      <c r="FI6" t="n">
        <v>47.054</v>
      </c>
      <c r="FJ6" t="n">
        <v>21.591</v>
      </c>
      <c r="FK6" t="n">
        <v>79.39400000000001</v>
      </c>
      <c r="FL6" t="n">
        <v>-3.121</v>
      </c>
      <c r="FM6" t="n">
        <v>3.314</v>
      </c>
      <c r="FN6" t="n">
        <v>-0.13</v>
      </c>
      <c r="FO6" t="n">
        <v>3.667</v>
      </c>
      <c r="FP6" t="n">
        <v>-0.129</v>
      </c>
      <c r="FQ6" t="n">
        <v>2.912</v>
      </c>
      <c r="FR6" t="n">
        <v>-0.131</v>
      </c>
      <c r="FS6" t="n">
        <v>4.591</v>
      </c>
      <c r="FT6" t="n">
        <v>28.182</v>
      </c>
      <c r="FU6" t="n">
        <v>45.182</v>
      </c>
      <c r="FV6" t="n">
        <v>28.136</v>
      </c>
      <c r="FW6" t="n">
        <v>39.091</v>
      </c>
      <c r="FX6" t="n">
        <v>10.727</v>
      </c>
      <c r="FY6" t="n">
        <v>19.555</v>
      </c>
      <c r="FZ6" t="n">
        <v>21.158</v>
      </c>
      <c r="GA6" t="n">
        <v>8.294</v>
      </c>
      <c r="GB6" t="n">
        <v>29.836</v>
      </c>
      <c r="GC6" t="n">
        <v>11.111</v>
      </c>
      <c r="GD6" t="n">
        <v>56.591</v>
      </c>
      <c r="GE6" t="n">
        <v>10.727</v>
      </c>
      <c r="GF6" t="n">
        <v>296.591</v>
      </c>
      <c r="GG6" t="n">
        <v>135.455</v>
      </c>
      <c r="GH6" t="n">
        <v>34.273</v>
      </c>
      <c r="GI6" t="n">
        <v>32.909</v>
      </c>
      <c r="GJ6" t="n">
        <v>38.449</v>
      </c>
      <c r="GK6" t="n">
        <v>10.091</v>
      </c>
      <c r="GL6" t="n">
        <v>30.663</v>
      </c>
      <c r="GM6" t="n">
        <v>2.273</v>
      </c>
      <c r="GN6" t="n">
        <v>9.818</v>
      </c>
      <c r="GO6" t="n">
        <v>82.407</v>
      </c>
      <c r="GP6" t="n">
        <v>4.136</v>
      </c>
      <c r="GQ6" t="n">
        <v>50.045</v>
      </c>
      <c r="GR6" t="n">
        <v>70.571</v>
      </c>
      <c r="GS6" t="n">
        <v>-2.291</v>
      </c>
      <c r="GT6" t="n">
        <v>37.455</v>
      </c>
      <c r="GU6" t="n">
        <v>67.227</v>
      </c>
      <c r="GV6" t="n">
        <v>0.273</v>
      </c>
      <c r="GW6" t="n">
        <v>14.182</v>
      </c>
      <c r="GX6" t="n">
        <v>0.636</v>
      </c>
      <c r="GY6" t="n">
        <v>14.818</v>
      </c>
      <c r="GZ6" t="n">
        <v>-1.227</v>
      </c>
      <c r="HA6" t="n">
        <v>78.682</v>
      </c>
      <c r="HB6" t="n">
        <v>4.5</v>
      </c>
      <c r="HC6" t="n">
        <v>0.6820000000000001</v>
      </c>
      <c r="HD6" t="n">
        <v>-1.63</v>
      </c>
      <c r="HE6" t="n">
        <v>-0.275</v>
      </c>
      <c r="HF6" t="n">
        <v>2.591</v>
      </c>
      <c r="HG6" t="n">
        <v>8.364000000000001</v>
      </c>
      <c r="HH6" t="n">
        <v>10.955</v>
      </c>
      <c r="HI6" t="n">
        <v>-0.727</v>
      </c>
      <c r="HJ6" t="n">
        <v>3</v>
      </c>
      <c r="HK6" t="n">
        <v>-1.227</v>
      </c>
      <c r="HL6" t="n">
        <v>3.318</v>
      </c>
      <c r="HM6" t="n">
        <v>-0.364</v>
      </c>
      <c r="HN6" t="n">
        <v>0.909</v>
      </c>
      <c r="HO6" t="n">
        <v>1.909</v>
      </c>
      <c r="HP6" t="n">
        <v>0.045</v>
      </c>
      <c r="HQ6" t="n">
        <v>-1.273</v>
      </c>
      <c r="HR6" t="n">
        <v>1.318</v>
      </c>
      <c r="HS6" t="n">
        <v>1.318</v>
      </c>
      <c r="HT6" t="n">
        <v>-0.545</v>
      </c>
      <c r="HU6" t="n">
        <v>0.773</v>
      </c>
      <c r="HV6" t="n">
        <v>3.636</v>
      </c>
      <c r="HW6" t="n">
        <v>7.545</v>
      </c>
      <c r="HX6" t="n">
        <v>0</v>
      </c>
      <c r="HY6" t="n">
        <v>0.227</v>
      </c>
      <c r="HZ6" t="n">
        <v>-0.182</v>
      </c>
      <c r="IA6" t="n">
        <v>0.773</v>
      </c>
      <c r="IB6" t="n">
        <v>0</v>
      </c>
      <c r="IC6" t="n">
        <v>-0.545</v>
      </c>
      <c r="ID6" t="n">
        <v>-0.591</v>
      </c>
      <c r="IE6" t="n">
        <v>0</v>
      </c>
      <c r="IF6" t="n">
        <v>-0.318</v>
      </c>
      <c r="IG6" t="n">
        <v>-2.813</v>
      </c>
      <c r="IH6" t="n">
        <v>2.131</v>
      </c>
      <c r="II6" t="n">
        <v>-0.037</v>
      </c>
      <c r="IJ6" t="n">
        <v>-2.091</v>
      </c>
      <c r="IK6" t="n">
        <v>0.727</v>
      </c>
      <c r="IL6" t="n">
        <v>0.8179999999999999</v>
      </c>
      <c r="IM6" t="n">
        <v>-1.091</v>
      </c>
      <c r="IN6" t="n">
        <v>2.091</v>
      </c>
      <c r="IO6" t="n">
        <v>-1.545</v>
      </c>
      <c r="IP6" t="n">
        <v>0.955</v>
      </c>
      <c r="IQ6" t="n">
        <v>-0.318</v>
      </c>
      <c r="IR6" t="n">
        <v>-7.364</v>
      </c>
      <c r="IS6" t="n">
        <v>0.727</v>
      </c>
      <c r="IT6" t="n">
        <v>-1.045</v>
      </c>
      <c r="IU6" t="n">
        <v>4.136</v>
      </c>
      <c r="IV6" t="n">
        <v>0.091</v>
      </c>
      <c r="IW6" t="n">
        <v>0.182</v>
      </c>
      <c r="IX6" t="n">
        <v>2.909</v>
      </c>
      <c r="IY6" t="n">
        <v>-1.5</v>
      </c>
      <c r="IZ6" t="n">
        <v>0.952</v>
      </c>
    </row>
    <row r="7">
      <c r="A7" t="inlineStr">
        <is>
          <t>Collingwood</t>
        </is>
      </c>
      <c r="B7" t="inlineStr">
        <is>
          <t>Coll</t>
        </is>
      </c>
      <c r="C7" t="n">
        <v>25</v>
      </c>
      <c r="D7" t="n">
        <v>38</v>
      </c>
      <c r="E7" t="n">
        <v>25.892</v>
      </c>
      <c r="F7" t="n">
        <v>101.132</v>
      </c>
      <c r="G7" t="n">
        <v>208.412</v>
      </c>
      <c r="H7" t="n">
        <v>1624.36</v>
      </c>
      <c r="I7" t="n">
        <v>1489.36</v>
      </c>
      <c r="J7" t="n">
        <v>16.2</v>
      </c>
      <c r="K7" t="n">
        <v>51.801</v>
      </c>
      <c r="L7" t="n">
        <v>209.4</v>
      </c>
      <c r="M7" t="n">
        <v>140.4</v>
      </c>
      <c r="N7" t="n">
        <v>349.8</v>
      </c>
      <c r="O7" t="n">
        <v>70.28</v>
      </c>
      <c r="P7" t="n">
        <v>62.751</v>
      </c>
      <c r="Q7" t="n">
        <v>81.51000000000001</v>
      </c>
      <c r="R7" t="n">
        <v>59.863</v>
      </c>
      <c r="S7" t="n">
        <v>5.776</v>
      </c>
      <c r="T7" t="n">
        <v>54.32</v>
      </c>
      <c r="U7" t="n">
        <v>39.96</v>
      </c>
      <c r="V7" t="n">
        <v>76.027</v>
      </c>
      <c r="W7" t="n">
        <v>5997.8</v>
      </c>
      <c r="X7" t="n">
        <v>17.146</v>
      </c>
      <c r="Y7" t="n">
        <v>62.68</v>
      </c>
      <c r="Z7" t="n">
        <v>5.581</v>
      </c>
      <c r="AA7" t="n">
        <v>70.08</v>
      </c>
      <c r="AB7" t="n">
        <v>4.991</v>
      </c>
      <c r="AC7" t="n">
        <v>-1.541</v>
      </c>
      <c r="AD7" t="n">
        <v>-0.094</v>
      </c>
      <c r="AE7" t="n">
        <v>135.56</v>
      </c>
      <c r="AF7" t="n">
        <v>204.52</v>
      </c>
      <c r="AG7" t="n">
        <v>340.08</v>
      </c>
      <c r="AH7" t="n">
        <v>39.861</v>
      </c>
      <c r="AI7" t="n">
        <v>74.88</v>
      </c>
      <c r="AJ7" t="n">
        <v>89.48</v>
      </c>
      <c r="AK7" t="n">
        <v>15.32</v>
      </c>
      <c r="AL7" t="n">
        <v>26.6</v>
      </c>
      <c r="AM7" t="n">
        <v>62.92</v>
      </c>
      <c r="AN7" t="n">
        <v>90.12</v>
      </c>
      <c r="AO7" t="n">
        <v>62.04</v>
      </c>
      <c r="AP7" t="n">
        <v>9.199999999999999</v>
      </c>
      <c r="AQ7" t="n">
        <v>24.04</v>
      </c>
      <c r="AR7" t="n">
        <v>110.04</v>
      </c>
      <c r="AS7" t="n">
        <v>11.04</v>
      </c>
      <c r="AT7" t="n">
        <v>24.08</v>
      </c>
      <c r="AU7" t="n">
        <v>35.12</v>
      </c>
      <c r="AV7" t="n">
        <v>38.08</v>
      </c>
      <c r="AW7" t="n">
        <v>74.265</v>
      </c>
      <c r="AX7" t="n">
        <v>81.88</v>
      </c>
      <c r="AY7" t="n">
        <v>10.52</v>
      </c>
      <c r="AZ7" t="n">
        <v>10.6</v>
      </c>
      <c r="BA7" t="n">
        <v>19.514</v>
      </c>
      <c r="BB7" t="n">
        <v>17.36</v>
      </c>
      <c r="BC7" t="n">
        <v>6.52</v>
      </c>
      <c r="BD7" t="n">
        <v>30</v>
      </c>
      <c r="BE7" t="n">
        <v>7.92</v>
      </c>
      <c r="BF7" t="n">
        <v>12.12</v>
      </c>
      <c r="BG7" t="n">
        <v>10.64</v>
      </c>
      <c r="BH7" t="n">
        <v>2.6</v>
      </c>
      <c r="BI7" t="n">
        <v>24.28</v>
      </c>
      <c r="BJ7" t="n">
        <v>7.88</v>
      </c>
      <c r="BK7" t="n">
        <v>49.918</v>
      </c>
      <c r="BL7" t="n">
        <v>22.312</v>
      </c>
      <c r="BM7" t="n">
        <v>41.9</v>
      </c>
      <c r="BN7" t="n">
        <v>44.698</v>
      </c>
      <c r="BO7" t="n">
        <v>22.6</v>
      </c>
      <c r="BP7" t="n">
        <v>13.24</v>
      </c>
      <c r="BQ7" t="n">
        <v>28.399</v>
      </c>
      <c r="BR7" t="n">
        <v>79.73999999999999</v>
      </c>
      <c r="BS7" t="n">
        <v>1.02</v>
      </c>
      <c r="BT7" t="n">
        <v>3.284</v>
      </c>
      <c r="BU7" t="n">
        <v>0.042</v>
      </c>
      <c r="BV7" t="n">
        <v>3.539</v>
      </c>
      <c r="BW7" t="n">
        <v>-0.021</v>
      </c>
      <c r="BX7" t="n">
        <v>2.988</v>
      </c>
      <c r="BY7" t="n">
        <v>0.115</v>
      </c>
      <c r="BZ7" t="n">
        <v>3.24</v>
      </c>
      <c r="CA7" t="n">
        <v>28.4</v>
      </c>
      <c r="CB7" t="n">
        <v>51.72</v>
      </c>
      <c r="CC7" t="n">
        <v>32.6</v>
      </c>
      <c r="CD7" t="n">
        <v>42.4</v>
      </c>
      <c r="CE7" t="n">
        <v>8.359999999999999</v>
      </c>
      <c r="CF7" t="n">
        <v>19.383</v>
      </c>
      <c r="CG7" t="n">
        <v>22.222</v>
      </c>
      <c r="CH7" t="n">
        <v>9.403</v>
      </c>
      <c r="CI7" t="n">
        <v>31.302</v>
      </c>
      <c r="CJ7" t="n">
        <v>12.318</v>
      </c>
      <c r="CK7" t="n">
        <v>15.48</v>
      </c>
      <c r="CL7" t="n">
        <v>26.357</v>
      </c>
      <c r="CM7" t="n">
        <v>63.44</v>
      </c>
      <c r="CN7" t="n">
        <v>11.32</v>
      </c>
      <c r="CO7" t="n">
        <v>308.68</v>
      </c>
      <c r="CP7" t="n">
        <v>141.28</v>
      </c>
      <c r="CQ7" t="n">
        <v>33.64</v>
      </c>
      <c r="CR7" t="n">
        <v>91.68000000000001</v>
      </c>
      <c r="CS7" t="n">
        <v>37.64</v>
      </c>
      <c r="CT7" t="n">
        <v>41.056</v>
      </c>
      <c r="CU7" t="n">
        <v>10.44</v>
      </c>
      <c r="CV7" t="n">
        <v>27.736</v>
      </c>
      <c r="CW7" t="n">
        <v>2.36</v>
      </c>
      <c r="CX7" t="n">
        <v>20.4</v>
      </c>
      <c r="CY7" t="n">
        <v>19.44</v>
      </c>
      <c r="CZ7" t="n">
        <v>0.96</v>
      </c>
      <c r="DA7" t="n">
        <v>9.24</v>
      </c>
      <c r="DB7" t="n">
        <v>87.879</v>
      </c>
      <c r="DC7" t="n">
        <v>6.64</v>
      </c>
      <c r="DD7" t="n">
        <v>51.08</v>
      </c>
      <c r="DE7" t="n">
        <v>69.76000000000001</v>
      </c>
      <c r="DF7" t="n">
        <v>207.66</v>
      </c>
      <c r="DG7" t="n">
        <v>1675.8</v>
      </c>
      <c r="DH7" t="n">
        <v>1530.28</v>
      </c>
      <c r="DI7" t="n">
        <v>13.8</v>
      </c>
      <c r="DJ7" t="n">
        <v>218.8</v>
      </c>
      <c r="DK7" t="n">
        <v>150.84</v>
      </c>
      <c r="DL7" t="n">
        <v>369.64</v>
      </c>
      <c r="DM7" t="n">
        <v>72.048</v>
      </c>
      <c r="DN7" t="n">
        <v>65.73999999999999</v>
      </c>
      <c r="DO7" t="n">
        <v>81.199</v>
      </c>
      <c r="DP7" t="n">
        <v>5.827</v>
      </c>
      <c r="DQ7" t="n">
        <v>52.56</v>
      </c>
      <c r="DR7" t="n">
        <v>41.48</v>
      </c>
      <c r="DS7" t="n">
        <v>76.36199999999999</v>
      </c>
      <c r="DT7" t="n">
        <v>5885.52</v>
      </c>
      <c r="DU7" t="n">
        <v>15.922</v>
      </c>
      <c r="DV7" t="n">
        <v>66.56</v>
      </c>
      <c r="DW7" t="n">
        <v>5.553</v>
      </c>
      <c r="DX7" t="n">
        <v>74.84</v>
      </c>
      <c r="DY7" t="n">
        <v>4.939</v>
      </c>
      <c r="DZ7" t="n">
        <v>-1.421</v>
      </c>
      <c r="EA7" t="n">
        <v>-0.222</v>
      </c>
      <c r="EB7" t="n">
        <v>145.16</v>
      </c>
      <c r="EC7" t="n">
        <v>217.44</v>
      </c>
      <c r="ED7" t="n">
        <v>362.6</v>
      </c>
      <c r="EE7" t="n">
        <v>40.033</v>
      </c>
      <c r="EF7" t="n">
        <v>70.48</v>
      </c>
      <c r="EG7" t="n">
        <v>100.2</v>
      </c>
      <c r="EH7" t="n">
        <v>16.2</v>
      </c>
      <c r="EI7" t="n">
        <v>33.36</v>
      </c>
      <c r="EJ7" t="n">
        <v>66.84</v>
      </c>
      <c r="EK7" t="n">
        <v>91.52</v>
      </c>
      <c r="EL7" t="n">
        <v>65.84</v>
      </c>
      <c r="EM7" t="n">
        <v>9.84</v>
      </c>
      <c r="EN7" t="n">
        <v>25.28</v>
      </c>
      <c r="EO7" t="n">
        <v>118.48</v>
      </c>
      <c r="EP7" t="n">
        <v>13.04</v>
      </c>
      <c r="EQ7" t="n">
        <v>26.48</v>
      </c>
      <c r="ER7" t="n">
        <v>39.52</v>
      </c>
      <c r="ES7" t="n">
        <v>43.56</v>
      </c>
      <c r="ET7" t="n">
        <v>75.39</v>
      </c>
      <c r="EU7" t="n">
        <v>86.95999999999999</v>
      </c>
      <c r="EV7" t="n">
        <v>10.56</v>
      </c>
      <c r="EW7" t="n">
        <v>10.76</v>
      </c>
      <c r="EX7" t="n">
        <v>20.472</v>
      </c>
      <c r="EY7" t="n">
        <v>13.92</v>
      </c>
      <c r="EZ7" t="n">
        <v>5.12</v>
      </c>
      <c r="FA7" t="n">
        <v>11.72</v>
      </c>
      <c r="FB7" t="n">
        <v>9.48</v>
      </c>
      <c r="FC7" t="n">
        <v>2.12</v>
      </c>
      <c r="FD7" t="n">
        <v>22.76</v>
      </c>
      <c r="FE7" t="n">
        <v>7.92</v>
      </c>
      <c r="FF7" t="n">
        <v>51.494</v>
      </c>
      <c r="FG7" t="n">
        <v>22.298</v>
      </c>
      <c r="FH7" t="n">
        <v>40.335</v>
      </c>
      <c r="FI7" t="n">
        <v>43.303</v>
      </c>
      <c r="FJ7" t="n">
        <v>20.84</v>
      </c>
      <c r="FK7" t="n">
        <v>75.23699999999999</v>
      </c>
      <c r="FL7" t="n">
        <v>2.443</v>
      </c>
      <c r="FM7" t="n">
        <v>3.3</v>
      </c>
      <c r="FN7" t="n">
        <v>0.107</v>
      </c>
      <c r="FO7" t="n">
        <v>3.636</v>
      </c>
      <c r="FP7" t="n">
        <v>0.222</v>
      </c>
      <c r="FQ7" t="n">
        <v>2.882</v>
      </c>
      <c r="FR7" t="n">
        <v>-0.035</v>
      </c>
      <c r="FS7" t="n">
        <v>2.88</v>
      </c>
      <c r="FT7" t="n">
        <v>31.84</v>
      </c>
      <c r="FU7" t="n">
        <v>45.08</v>
      </c>
      <c r="FV7" t="n">
        <v>31.96</v>
      </c>
      <c r="FW7" t="n">
        <v>36.36</v>
      </c>
      <c r="FX7" t="n">
        <v>11.48</v>
      </c>
      <c r="FY7" t="n">
        <v>17.661</v>
      </c>
      <c r="FZ7" t="n">
        <v>20.21</v>
      </c>
      <c r="GA7" t="n">
        <v>7.436</v>
      </c>
      <c r="GB7" t="n">
        <v>28.424</v>
      </c>
      <c r="GC7" t="n">
        <v>10.827</v>
      </c>
      <c r="GD7" t="n">
        <v>60.56</v>
      </c>
      <c r="GE7" t="n">
        <v>8.720000000000001</v>
      </c>
      <c r="GF7" t="n">
        <v>290.28</v>
      </c>
      <c r="GG7" t="n">
        <v>139.8</v>
      </c>
      <c r="GH7" t="n">
        <v>34.48</v>
      </c>
      <c r="GI7" t="n">
        <v>33.04</v>
      </c>
      <c r="GJ7" t="n">
        <v>36.038</v>
      </c>
      <c r="GK7" t="n">
        <v>10.88</v>
      </c>
      <c r="GL7" t="n">
        <v>32.93</v>
      </c>
      <c r="GM7" t="n">
        <v>3.24</v>
      </c>
      <c r="GN7" t="n">
        <v>10.44</v>
      </c>
      <c r="GO7" t="n">
        <v>88.123</v>
      </c>
      <c r="GP7" t="n">
        <v>3.56</v>
      </c>
      <c r="GQ7" t="n">
        <v>49.64</v>
      </c>
      <c r="GR7" t="n">
        <v>71.2</v>
      </c>
      <c r="GS7" t="n">
        <v>0.752</v>
      </c>
      <c r="GT7" t="n">
        <v>-51.44</v>
      </c>
      <c r="GU7" t="n">
        <v>-40.92</v>
      </c>
      <c r="GV7" t="n">
        <v>2.4</v>
      </c>
      <c r="GW7" t="n">
        <v>-9.4</v>
      </c>
      <c r="GX7" t="n">
        <v>-10.44</v>
      </c>
      <c r="GY7" t="n">
        <v>-19.84</v>
      </c>
      <c r="GZ7" t="n">
        <v>1.76</v>
      </c>
      <c r="HA7" t="n">
        <v>112.28</v>
      </c>
      <c r="HB7" t="n">
        <v>-3.88</v>
      </c>
      <c r="HC7" t="n">
        <v>-4.76</v>
      </c>
      <c r="HD7" t="n">
        <v>-0.12</v>
      </c>
      <c r="HE7" t="n">
        <v>0.127</v>
      </c>
      <c r="HF7" t="n">
        <v>-9.6</v>
      </c>
      <c r="HG7" t="n">
        <v>-12.92</v>
      </c>
      <c r="HH7" t="n">
        <v>-22.52</v>
      </c>
      <c r="HI7" t="n">
        <v>4.4</v>
      </c>
      <c r="HJ7" t="n">
        <v>-10.72</v>
      </c>
      <c r="HK7" t="n">
        <v>-0.88</v>
      </c>
      <c r="HL7" t="n">
        <v>-6.76</v>
      </c>
      <c r="HM7" t="n">
        <v>-3.92</v>
      </c>
      <c r="HN7" t="n">
        <v>-1.4</v>
      </c>
      <c r="HO7" t="n">
        <v>-3.8</v>
      </c>
      <c r="HP7" t="n">
        <v>-0.64</v>
      </c>
      <c r="HQ7" t="n">
        <v>-1.24</v>
      </c>
      <c r="HR7" t="n">
        <v>-8.44</v>
      </c>
      <c r="HS7" t="n">
        <v>-2</v>
      </c>
      <c r="HT7" t="n">
        <v>-2.4</v>
      </c>
      <c r="HU7" t="n">
        <v>-4.4</v>
      </c>
      <c r="HV7" t="n">
        <v>-5.48</v>
      </c>
      <c r="HW7" t="n">
        <v>-5.08</v>
      </c>
      <c r="HX7" t="n">
        <v>-0.04</v>
      </c>
      <c r="HY7" t="n">
        <v>-0.16</v>
      </c>
      <c r="HZ7" t="n">
        <v>3.44</v>
      </c>
      <c r="IA7" t="n">
        <v>1.4</v>
      </c>
      <c r="IB7" t="n">
        <v>0.4</v>
      </c>
      <c r="IC7" t="n">
        <v>1.16</v>
      </c>
      <c r="ID7" t="n">
        <v>1.52</v>
      </c>
      <c r="IE7" t="n">
        <v>-0.04</v>
      </c>
      <c r="IF7" t="n">
        <v>1.76</v>
      </c>
      <c r="IG7" t="n">
        <v>4.503</v>
      </c>
      <c r="IH7" t="n">
        <v>-1.423</v>
      </c>
      <c r="II7" t="n">
        <v>-0.016</v>
      </c>
      <c r="IJ7" t="n">
        <v>0.36</v>
      </c>
      <c r="IK7" t="n">
        <v>-3.44</v>
      </c>
      <c r="IL7" t="n">
        <v>6.64</v>
      </c>
      <c r="IM7" t="n">
        <v>0.64</v>
      </c>
      <c r="IN7" t="n">
        <v>6.04</v>
      </c>
      <c r="IO7" t="n">
        <v>-3.12</v>
      </c>
      <c r="IP7" t="n">
        <v>2.88</v>
      </c>
      <c r="IQ7" t="n">
        <v>2.6</v>
      </c>
      <c r="IR7" t="n">
        <v>18.4</v>
      </c>
      <c r="IS7" t="n">
        <v>1.48</v>
      </c>
      <c r="IT7" t="n">
        <v>-0.84</v>
      </c>
      <c r="IU7" t="n">
        <v>4.6</v>
      </c>
      <c r="IV7" t="n">
        <v>-0.44</v>
      </c>
      <c r="IW7" t="n">
        <v>-0.88</v>
      </c>
      <c r="IX7" t="n">
        <v>3.08</v>
      </c>
      <c r="IY7" t="n">
        <v>1.44</v>
      </c>
      <c r="IZ7" t="n">
        <v>-1.44</v>
      </c>
    </row>
    <row r="8">
      <c r="A8" t="inlineStr">
        <is>
          <t>Essendon</t>
        </is>
      </c>
      <c r="B8" t="inlineStr">
        <is>
          <t>Ess</t>
        </is>
      </c>
      <c r="C8" t="n">
        <v>22</v>
      </c>
      <c r="D8" t="n">
        <v>39</v>
      </c>
      <c r="E8" t="n">
        <v>24.585</v>
      </c>
      <c r="F8" t="n">
        <v>74.435</v>
      </c>
      <c r="G8" t="n">
        <v>189.377</v>
      </c>
      <c r="H8" t="n">
        <v>1641.5</v>
      </c>
      <c r="I8" t="n">
        <v>1504.955</v>
      </c>
      <c r="J8" t="n">
        <v>12.045</v>
      </c>
      <c r="K8" t="n">
        <v>49.104</v>
      </c>
      <c r="L8" t="n">
        <v>212.364</v>
      </c>
      <c r="M8" t="n">
        <v>149.818</v>
      </c>
      <c r="N8" t="n">
        <v>362.182</v>
      </c>
      <c r="O8" t="n">
        <v>76.255</v>
      </c>
      <c r="P8" t="n">
        <v>70.27</v>
      </c>
      <c r="Q8" t="n">
        <v>84.739</v>
      </c>
      <c r="R8" t="n">
        <v>58.635</v>
      </c>
      <c r="S8" t="n">
        <v>7.503</v>
      </c>
      <c r="T8" t="n">
        <v>50.591</v>
      </c>
      <c r="U8" t="n">
        <v>38.591</v>
      </c>
      <c r="V8" t="n">
        <v>72.56399999999999</v>
      </c>
      <c r="W8" t="n">
        <v>5629.545</v>
      </c>
      <c r="X8" t="n">
        <v>15.543</v>
      </c>
      <c r="Y8" t="n">
        <v>56.5</v>
      </c>
      <c r="Z8" t="n">
        <v>6.41</v>
      </c>
      <c r="AA8" t="n">
        <v>64.818</v>
      </c>
      <c r="AB8" t="n">
        <v>5.588</v>
      </c>
      <c r="AC8" t="n">
        <v>0.533</v>
      </c>
      <c r="AD8" t="n">
        <v>0.457</v>
      </c>
      <c r="AE8" t="n">
        <v>126.545</v>
      </c>
      <c r="AF8" t="n">
        <v>230.273</v>
      </c>
      <c r="AG8" t="n">
        <v>356.818</v>
      </c>
      <c r="AH8" t="n">
        <v>35.465</v>
      </c>
      <c r="AI8" t="n">
        <v>65.045</v>
      </c>
      <c r="AJ8" t="n">
        <v>81.273</v>
      </c>
      <c r="AK8" t="n">
        <v>15</v>
      </c>
      <c r="AL8" t="n">
        <v>22.409</v>
      </c>
      <c r="AM8" t="n">
        <v>58.864</v>
      </c>
      <c r="AN8" t="n">
        <v>83.727</v>
      </c>
      <c r="AO8" t="n">
        <v>57.5</v>
      </c>
      <c r="AP8" t="n">
        <v>9.635999999999999</v>
      </c>
      <c r="AQ8" t="n">
        <v>23.318</v>
      </c>
      <c r="AR8" t="n">
        <v>122.909</v>
      </c>
      <c r="AS8" t="n">
        <v>13.318</v>
      </c>
      <c r="AT8" t="n">
        <v>20.5</v>
      </c>
      <c r="AU8" t="n">
        <v>33.818</v>
      </c>
      <c r="AV8" t="n">
        <v>35.318</v>
      </c>
      <c r="AW8" t="n">
        <v>80.051</v>
      </c>
      <c r="AX8" t="n">
        <v>97.727</v>
      </c>
      <c r="AY8" t="n">
        <v>10</v>
      </c>
      <c r="AZ8" t="n">
        <v>11.909</v>
      </c>
      <c r="BA8" t="n">
        <v>23.54</v>
      </c>
      <c r="BB8" t="n">
        <v>14.727</v>
      </c>
      <c r="BC8" t="n">
        <v>7.091</v>
      </c>
      <c r="BD8" t="n">
        <v>32</v>
      </c>
      <c r="BE8" t="n">
        <v>6.955</v>
      </c>
      <c r="BF8" t="n">
        <v>11.318</v>
      </c>
      <c r="BG8" t="n">
        <v>11.045</v>
      </c>
      <c r="BH8" t="n">
        <v>2.273</v>
      </c>
      <c r="BI8" t="n">
        <v>24.318</v>
      </c>
      <c r="BJ8" t="n">
        <v>8.727</v>
      </c>
      <c r="BK8" t="n">
        <v>46.542</v>
      </c>
      <c r="BL8" t="n">
        <v>22.372</v>
      </c>
      <c r="BM8" t="n">
        <v>44.205</v>
      </c>
      <c r="BN8" t="n">
        <v>48.068</v>
      </c>
      <c r="BO8" t="n">
        <v>21.864</v>
      </c>
      <c r="BP8" t="n">
        <v>13.636</v>
      </c>
      <c r="BQ8" t="n">
        <v>25.333</v>
      </c>
      <c r="BR8" t="n">
        <v>76.086</v>
      </c>
      <c r="BS8" t="n">
        <v>0.595</v>
      </c>
      <c r="BT8" t="n">
        <v>3.129</v>
      </c>
      <c r="BU8" t="n">
        <v>0.024</v>
      </c>
      <c r="BV8" t="n">
        <v>3.391</v>
      </c>
      <c r="BW8" t="n">
        <v>0.278</v>
      </c>
      <c r="BX8" t="n">
        <v>2.789</v>
      </c>
      <c r="BY8" t="n">
        <v>-0.304</v>
      </c>
      <c r="BZ8" t="n">
        <v>3.818</v>
      </c>
      <c r="CA8" t="n">
        <v>32.864</v>
      </c>
      <c r="CB8" t="n">
        <v>42.273</v>
      </c>
      <c r="CC8" t="n">
        <v>29.409</v>
      </c>
      <c r="CD8" t="n">
        <v>35.5</v>
      </c>
      <c r="CE8" t="n">
        <v>14.045</v>
      </c>
      <c r="CF8" t="n">
        <v>20.392</v>
      </c>
      <c r="CG8" t="n">
        <v>23.253</v>
      </c>
      <c r="CH8" t="n">
        <v>9.781000000000001</v>
      </c>
      <c r="CI8" t="n">
        <v>30.361</v>
      </c>
      <c r="CJ8" t="n">
        <v>11.861</v>
      </c>
      <c r="CK8" t="n">
        <v>17.364</v>
      </c>
      <c r="CL8" t="n">
        <v>31.937</v>
      </c>
      <c r="CM8" t="n">
        <v>50.136</v>
      </c>
      <c r="CN8" t="n">
        <v>9.635999999999999</v>
      </c>
      <c r="CO8" t="n">
        <v>272.318</v>
      </c>
      <c r="CP8" t="n">
        <v>126.727</v>
      </c>
      <c r="CQ8" t="n">
        <v>29.091</v>
      </c>
      <c r="CR8" t="n">
        <v>79.09099999999999</v>
      </c>
      <c r="CS8" t="n">
        <v>36</v>
      </c>
      <c r="CT8" t="n">
        <v>45.517</v>
      </c>
      <c r="CU8" t="n">
        <v>10.773</v>
      </c>
      <c r="CV8" t="n">
        <v>29.924</v>
      </c>
      <c r="CW8" t="n">
        <v>2.045</v>
      </c>
      <c r="CX8" t="n">
        <v>20.727</v>
      </c>
      <c r="CY8" t="n">
        <v>19.636</v>
      </c>
      <c r="CZ8" t="n">
        <v>1.091</v>
      </c>
      <c r="DA8" t="n">
        <v>11</v>
      </c>
      <c r="DB8" t="n">
        <v>88.43000000000001</v>
      </c>
      <c r="DC8" t="n">
        <v>7.091</v>
      </c>
      <c r="DD8" t="n">
        <v>44</v>
      </c>
      <c r="DE8" t="n">
        <v>71.455</v>
      </c>
      <c r="DF8" t="n">
        <v>203.659</v>
      </c>
      <c r="DG8" t="n">
        <v>1657.818</v>
      </c>
      <c r="DH8" t="n">
        <v>1503.545</v>
      </c>
      <c r="DI8" t="n">
        <v>17.955</v>
      </c>
      <c r="DJ8" t="n">
        <v>218.455</v>
      </c>
      <c r="DK8" t="n">
        <v>138.318</v>
      </c>
      <c r="DL8" t="n">
        <v>356.773</v>
      </c>
      <c r="DM8" t="n">
        <v>74.20099999999999</v>
      </c>
      <c r="DN8" t="n">
        <v>68.227</v>
      </c>
      <c r="DO8" t="n">
        <v>83.63500000000001</v>
      </c>
      <c r="DP8" t="n">
        <v>7.116</v>
      </c>
      <c r="DQ8" t="n">
        <v>53.182</v>
      </c>
      <c r="DR8" t="n">
        <v>38.364</v>
      </c>
      <c r="DS8" t="n">
        <v>75.831</v>
      </c>
      <c r="DT8" t="n">
        <v>5865.455</v>
      </c>
      <c r="DU8" t="n">
        <v>16.44</v>
      </c>
      <c r="DV8" t="n">
        <v>60.182</v>
      </c>
      <c r="DW8" t="n">
        <v>5.928</v>
      </c>
      <c r="DX8" t="n">
        <v>64.955</v>
      </c>
      <c r="DY8" t="n">
        <v>5.493</v>
      </c>
      <c r="DZ8" t="n">
        <v>2.584</v>
      </c>
      <c r="EA8" t="n">
        <v>2.953</v>
      </c>
      <c r="EB8" t="n">
        <v>129.955</v>
      </c>
      <c r="EC8" t="n">
        <v>219.636</v>
      </c>
      <c r="ED8" t="n">
        <v>349.591</v>
      </c>
      <c r="EE8" t="n">
        <v>37.173</v>
      </c>
      <c r="EF8" t="n">
        <v>65</v>
      </c>
      <c r="EG8" t="n">
        <v>86.364</v>
      </c>
      <c r="EH8" t="n">
        <v>14.727</v>
      </c>
      <c r="EI8" t="n">
        <v>24.955</v>
      </c>
      <c r="EJ8" t="n">
        <v>61.591</v>
      </c>
      <c r="EK8" t="n">
        <v>85.136</v>
      </c>
      <c r="EL8" t="n">
        <v>57.955</v>
      </c>
      <c r="EM8" t="n">
        <v>8.135999999999999</v>
      </c>
      <c r="EN8" t="n">
        <v>23.909</v>
      </c>
      <c r="EO8" t="n">
        <v>112.045</v>
      </c>
      <c r="EP8" t="n">
        <v>12.818</v>
      </c>
      <c r="EQ8" t="n">
        <v>21.318</v>
      </c>
      <c r="ER8" t="n">
        <v>34.136</v>
      </c>
      <c r="ES8" t="n">
        <v>37</v>
      </c>
      <c r="ET8" t="n">
        <v>77.64100000000001</v>
      </c>
      <c r="EU8" t="n">
        <v>100</v>
      </c>
      <c r="EV8" t="n">
        <v>11.364</v>
      </c>
      <c r="EW8" t="n">
        <v>13.045</v>
      </c>
      <c r="EX8" t="n">
        <v>24.53</v>
      </c>
      <c r="EY8" t="n">
        <v>13.955</v>
      </c>
      <c r="EZ8" t="n">
        <v>8.909000000000001</v>
      </c>
      <c r="FA8" t="n">
        <v>13.955</v>
      </c>
      <c r="FB8" t="n">
        <v>11.136</v>
      </c>
      <c r="FC8" t="n">
        <v>2.182</v>
      </c>
      <c r="FD8" t="n">
        <v>26.909</v>
      </c>
      <c r="FE8" t="n">
        <v>9.773</v>
      </c>
      <c r="FF8" t="n">
        <v>51.858</v>
      </c>
      <c r="FG8" t="n">
        <v>26.239</v>
      </c>
      <c r="FH8" t="n">
        <v>47.179</v>
      </c>
      <c r="FI8" t="n">
        <v>50.598</v>
      </c>
      <c r="FJ8" t="n">
        <v>24.864</v>
      </c>
      <c r="FK8" t="n">
        <v>87.79300000000001</v>
      </c>
      <c r="FL8" t="n">
        <v>4.889</v>
      </c>
      <c r="FM8" t="n">
        <v>3.257</v>
      </c>
      <c r="FN8" t="n">
        <v>0.181</v>
      </c>
      <c r="FO8" t="n">
        <v>3.443</v>
      </c>
      <c r="FP8" t="n">
        <v>0.15</v>
      </c>
      <c r="FQ8" t="n">
        <v>3.009</v>
      </c>
      <c r="FR8" t="n">
        <v>0.223</v>
      </c>
      <c r="FS8" t="n">
        <v>4.773</v>
      </c>
      <c r="FT8" t="n">
        <v>32.955</v>
      </c>
      <c r="FU8" t="n">
        <v>57.136</v>
      </c>
      <c r="FV8" t="n">
        <v>37.273</v>
      </c>
      <c r="FW8" t="n">
        <v>45</v>
      </c>
      <c r="FX8" t="n">
        <v>12.591</v>
      </c>
      <c r="FY8" t="n">
        <v>22.989</v>
      </c>
      <c r="FZ8" t="n">
        <v>27.842</v>
      </c>
      <c r="GA8" t="n">
        <v>12.66</v>
      </c>
      <c r="GB8" t="n">
        <v>35.126</v>
      </c>
      <c r="GC8" t="n">
        <v>15.024</v>
      </c>
      <c r="GD8" t="n">
        <v>48.273</v>
      </c>
      <c r="GE8" t="n">
        <v>8.545</v>
      </c>
      <c r="GF8" t="n">
        <v>277.818</v>
      </c>
      <c r="GG8" t="n">
        <v>132.409</v>
      </c>
      <c r="GH8" t="n">
        <v>32.318</v>
      </c>
      <c r="GI8" t="n">
        <v>28.318</v>
      </c>
      <c r="GJ8" t="n">
        <v>35.928</v>
      </c>
      <c r="GK8" t="n">
        <v>8.909000000000001</v>
      </c>
      <c r="GL8" t="n">
        <v>31.461</v>
      </c>
      <c r="GM8" t="n">
        <v>2.045</v>
      </c>
      <c r="GN8" t="n">
        <v>10.955</v>
      </c>
      <c r="GO8" t="n">
        <v>85.892</v>
      </c>
      <c r="GP8" t="n">
        <v>7.318</v>
      </c>
      <c r="GQ8" t="n">
        <v>45.909</v>
      </c>
      <c r="GR8" t="n">
        <v>71.09099999999999</v>
      </c>
      <c r="GS8" t="n">
        <v>-14.282</v>
      </c>
      <c r="GT8" t="n">
        <v>-16.318</v>
      </c>
      <c r="GU8" t="n">
        <v>1.409</v>
      </c>
      <c r="GV8" t="n">
        <v>-5.909</v>
      </c>
      <c r="GW8" t="n">
        <v>-6.091</v>
      </c>
      <c r="GX8" t="n">
        <v>11.5</v>
      </c>
      <c r="GY8" t="n">
        <v>5.409</v>
      </c>
      <c r="GZ8" t="n">
        <v>-2.591</v>
      </c>
      <c r="HA8" t="n">
        <v>-235.909</v>
      </c>
      <c r="HB8" t="n">
        <v>-3.682</v>
      </c>
      <c r="HC8" t="n">
        <v>-0.136</v>
      </c>
      <c r="HD8" t="n">
        <v>-2.05</v>
      </c>
      <c r="HE8" t="n">
        <v>-2.496</v>
      </c>
      <c r="HF8" t="n">
        <v>-3.409</v>
      </c>
      <c r="HG8" t="n">
        <v>10.636</v>
      </c>
      <c r="HH8" t="n">
        <v>7.227</v>
      </c>
      <c r="HI8" t="n">
        <v>0.045</v>
      </c>
      <c r="HJ8" t="n">
        <v>-5.091</v>
      </c>
      <c r="HK8" t="n">
        <v>0.273</v>
      </c>
      <c r="HL8" t="n">
        <v>-2.545</v>
      </c>
      <c r="HM8" t="n">
        <v>-2.727</v>
      </c>
      <c r="HN8" t="n">
        <v>-1.409</v>
      </c>
      <c r="HO8" t="n">
        <v>-0.455</v>
      </c>
      <c r="HP8" t="n">
        <v>1.5</v>
      </c>
      <c r="HQ8" t="n">
        <v>-0.591</v>
      </c>
      <c r="HR8" t="n">
        <v>10.864</v>
      </c>
      <c r="HS8" t="n">
        <v>0.5</v>
      </c>
      <c r="HT8" t="n">
        <v>-0.8179999999999999</v>
      </c>
      <c r="HU8" t="n">
        <v>-0.318</v>
      </c>
      <c r="HV8" t="n">
        <v>-1.682</v>
      </c>
      <c r="HW8" t="n">
        <v>-2.273</v>
      </c>
      <c r="HX8" t="n">
        <v>-1.364</v>
      </c>
      <c r="HY8" t="n">
        <v>-1.136</v>
      </c>
      <c r="HZ8" t="n">
        <v>0.773</v>
      </c>
      <c r="IA8" t="n">
        <v>-1.818</v>
      </c>
      <c r="IB8" t="n">
        <v>-2.636</v>
      </c>
      <c r="IC8" t="n">
        <v>-0.091</v>
      </c>
      <c r="ID8" t="n">
        <v>-2.591</v>
      </c>
      <c r="IE8" t="n">
        <v>-1.045</v>
      </c>
      <c r="IF8" t="n">
        <v>-3</v>
      </c>
      <c r="IG8" t="n">
        <v>-11.706</v>
      </c>
      <c r="IH8" t="n">
        <v>-4.294</v>
      </c>
      <c r="II8" t="n">
        <v>-0.128</v>
      </c>
      <c r="IJ8" t="n">
        <v>-0.955</v>
      </c>
      <c r="IK8" t="n">
        <v>-0.091</v>
      </c>
      <c r="IL8" t="n">
        <v>-14.864</v>
      </c>
      <c r="IM8" t="n">
        <v>-7.864</v>
      </c>
      <c r="IN8" t="n">
        <v>-9.5</v>
      </c>
      <c r="IO8" t="n">
        <v>1.455</v>
      </c>
      <c r="IP8" t="n">
        <v>1.864</v>
      </c>
      <c r="IQ8" t="n">
        <v>1.091</v>
      </c>
      <c r="IR8" t="n">
        <v>-5.5</v>
      </c>
      <c r="IS8" t="n">
        <v>-5.682</v>
      </c>
      <c r="IT8" t="n">
        <v>-3.227</v>
      </c>
      <c r="IU8" t="n">
        <v>7.682</v>
      </c>
      <c r="IV8" t="n">
        <v>1.864</v>
      </c>
      <c r="IW8" t="n">
        <v>0</v>
      </c>
      <c r="IX8" t="n">
        <v>-0.227</v>
      </c>
      <c r="IY8" t="n">
        <v>-1.909</v>
      </c>
      <c r="IZ8" t="n">
        <v>0.364</v>
      </c>
    </row>
    <row r="9">
      <c r="A9" t="inlineStr">
        <is>
          <t>Geelong</t>
        </is>
      </c>
      <c r="B9" t="inlineStr">
        <is>
          <t>Geel</t>
        </is>
      </c>
      <c r="C9" t="n">
        <v>25</v>
      </c>
      <c r="D9" t="n">
        <v>35</v>
      </c>
      <c r="E9" t="n">
        <v>27.813</v>
      </c>
      <c r="F9" t="n">
        <v>145.71</v>
      </c>
      <c r="G9" t="n">
        <v>217.088</v>
      </c>
      <c r="H9" t="n">
        <v>1725.04</v>
      </c>
      <c r="I9" t="n">
        <v>1589.2</v>
      </c>
      <c r="J9" t="n">
        <v>22.52</v>
      </c>
      <c r="K9" t="n">
        <v>54.562</v>
      </c>
      <c r="L9" t="n">
        <v>219.88</v>
      </c>
      <c r="M9" t="n">
        <v>154.44</v>
      </c>
      <c r="N9" t="n">
        <v>374.32</v>
      </c>
      <c r="O9" t="n">
        <v>73.071</v>
      </c>
      <c r="P9" t="n">
        <v>66.89100000000001</v>
      </c>
      <c r="Q9" t="n">
        <v>81.87</v>
      </c>
      <c r="R9" t="n">
        <v>58.741</v>
      </c>
      <c r="S9" t="n">
        <v>6.53</v>
      </c>
      <c r="T9" t="n">
        <v>57.88</v>
      </c>
      <c r="U9" t="n">
        <v>34.64</v>
      </c>
      <c r="V9" t="n">
        <v>77.11499999999999</v>
      </c>
      <c r="W9" t="n">
        <v>5954.96</v>
      </c>
      <c r="X9" t="n">
        <v>15.909</v>
      </c>
      <c r="Y9" t="n">
        <v>59.68</v>
      </c>
      <c r="Z9" t="n">
        <v>6.272</v>
      </c>
      <c r="AA9" t="n">
        <v>64.48</v>
      </c>
      <c r="AB9" t="n">
        <v>5.805</v>
      </c>
      <c r="AC9" t="n">
        <v>3.263</v>
      </c>
      <c r="AD9" t="n">
        <v>2.133</v>
      </c>
      <c r="AE9" t="n">
        <v>136.44</v>
      </c>
      <c r="AF9" t="n">
        <v>231.6</v>
      </c>
      <c r="AG9" t="n">
        <v>368.04</v>
      </c>
      <c r="AH9" t="n">
        <v>37.072</v>
      </c>
      <c r="AI9" t="n">
        <v>71.36</v>
      </c>
      <c r="AJ9" t="n">
        <v>91.44</v>
      </c>
      <c r="AK9" t="n">
        <v>15.8</v>
      </c>
      <c r="AL9" t="n">
        <v>28.84</v>
      </c>
      <c r="AM9" t="n">
        <v>62.6</v>
      </c>
      <c r="AN9" t="n">
        <v>86.04000000000001</v>
      </c>
      <c r="AO9" t="n">
        <v>60.88</v>
      </c>
      <c r="AP9" t="n">
        <v>9.4</v>
      </c>
      <c r="AQ9" t="n">
        <v>23.24</v>
      </c>
      <c r="AR9" t="n">
        <v>121.96</v>
      </c>
      <c r="AS9" t="n">
        <v>12.68</v>
      </c>
      <c r="AT9" t="n">
        <v>24.92</v>
      </c>
      <c r="AU9" t="n">
        <v>37.6</v>
      </c>
      <c r="AV9" t="n">
        <v>41.2</v>
      </c>
      <c r="AW9" t="n">
        <v>75.72799999999999</v>
      </c>
      <c r="AX9" t="n">
        <v>97.64</v>
      </c>
      <c r="AY9" t="n">
        <v>10.84</v>
      </c>
      <c r="AZ9" t="n">
        <v>15</v>
      </c>
      <c r="BA9" t="n">
        <v>25.916</v>
      </c>
      <c r="BB9" t="n">
        <v>17.12</v>
      </c>
      <c r="BC9" t="n">
        <v>9.84</v>
      </c>
      <c r="BD9" t="n">
        <v>28</v>
      </c>
      <c r="BE9" t="n">
        <v>8.039999999999999</v>
      </c>
      <c r="BF9" t="n">
        <v>14.36</v>
      </c>
      <c r="BG9" t="n">
        <v>12.92</v>
      </c>
      <c r="BH9" t="n">
        <v>2.84</v>
      </c>
      <c r="BI9" t="n">
        <v>28.68</v>
      </c>
      <c r="BJ9" t="n">
        <v>10.72</v>
      </c>
      <c r="BK9" t="n">
        <v>50.07</v>
      </c>
      <c r="BL9" t="n">
        <v>24.81</v>
      </c>
      <c r="BM9" t="n">
        <v>47.132</v>
      </c>
      <c r="BN9" t="n">
        <v>49.551</v>
      </c>
      <c r="BO9" t="n">
        <v>27.04</v>
      </c>
      <c r="BP9" t="n">
        <v>15.36</v>
      </c>
      <c r="BQ9" t="n">
        <v>29.167</v>
      </c>
      <c r="BR9" t="n">
        <v>91.65300000000001</v>
      </c>
      <c r="BS9" t="n">
        <v>4.587</v>
      </c>
      <c r="BT9" t="n">
        <v>3.196</v>
      </c>
      <c r="BU9" t="n">
        <v>0.16</v>
      </c>
      <c r="BV9" t="n">
        <v>3.347</v>
      </c>
      <c r="BW9" t="n">
        <v>0.077</v>
      </c>
      <c r="BX9" t="n">
        <v>3.011</v>
      </c>
      <c r="BY9" t="n">
        <v>0.261</v>
      </c>
      <c r="BZ9" t="n">
        <v>4.16</v>
      </c>
      <c r="CA9" t="n">
        <v>34.84</v>
      </c>
      <c r="CB9" t="n">
        <v>60.08</v>
      </c>
      <c r="CC9" t="n">
        <v>38.12</v>
      </c>
      <c r="CD9" t="n">
        <v>49.28</v>
      </c>
      <c r="CE9" t="n">
        <v>11.68</v>
      </c>
      <c r="CF9" t="n">
        <v>23.562</v>
      </c>
      <c r="CG9" t="n">
        <v>23.705</v>
      </c>
      <c r="CH9" t="n">
        <v>11.406</v>
      </c>
      <c r="CI9" t="n">
        <v>34.193</v>
      </c>
      <c r="CJ9" t="n">
        <v>15.271</v>
      </c>
      <c r="CK9" t="n">
        <v>12.12</v>
      </c>
      <c r="CL9" t="n">
        <v>24.752</v>
      </c>
      <c r="CM9" t="n">
        <v>58.28</v>
      </c>
      <c r="CN9" t="n">
        <v>9.68</v>
      </c>
      <c r="CO9" t="n">
        <v>286.64</v>
      </c>
      <c r="CP9" t="n">
        <v>126.4</v>
      </c>
      <c r="CQ9" t="n">
        <v>30.48</v>
      </c>
      <c r="CR9" t="n">
        <v>90.72</v>
      </c>
      <c r="CS9" t="n">
        <v>37.56</v>
      </c>
      <c r="CT9" t="n">
        <v>41.402</v>
      </c>
      <c r="CU9" t="n">
        <v>10.32</v>
      </c>
      <c r="CV9" t="n">
        <v>27.476</v>
      </c>
      <c r="CW9" t="n">
        <v>3.28</v>
      </c>
      <c r="CX9" t="n">
        <v>19.88</v>
      </c>
      <c r="CY9" t="n">
        <v>19.72</v>
      </c>
      <c r="CZ9" t="n">
        <v>0.16</v>
      </c>
      <c r="DA9" t="n">
        <v>7.88</v>
      </c>
      <c r="DB9" t="n">
        <v>77.66500000000001</v>
      </c>
      <c r="DC9" t="n">
        <v>4.24</v>
      </c>
      <c r="DD9" t="n">
        <v>46.96</v>
      </c>
      <c r="DE9" t="n">
        <v>72.92</v>
      </c>
      <c r="DF9" t="n">
        <v>183.36</v>
      </c>
      <c r="DG9" t="n">
        <v>1574.08</v>
      </c>
      <c r="DH9" t="n">
        <v>1501.2</v>
      </c>
      <c r="DI9" t="n">
        <v>8.08</v>
      </c>
      <c r="DJ9" t="n">
        <v>211.88</v>
      </c>
      <c r="DK9" t="n">
        <v>145.88</v>
      </c>
      <c r="DL9" t="n">
        <v>357.76</v>
      </c>
      <c r="DM9" t="n">
        <v>73.122</v>
      </c>
      <c r="DN9" t="n">
        <v>66.717</v>
      </c>
      <c r="DO9" t="n">
        <v>82.42400000000001</v>
      </c>
      <c r="DP9" t="n">
        <v>6.139</v>
      </c>
      <c r="DQ9" t="n">
        <v>44.92</v>
      </c>
      <c r="DR9" t="n">
        <v>42.56</v>
      </c>
      <c r="DS9" t="n">
        <v>73.53100000000001</v>
      </c>
      <c r="DT9" t="n">
        <v>5476.12</v>
      </c>
      <c r="DU9" t="n">
        <v>15.307</v>
      </c>
      <c r="DV9" t="n">
        <v>61.52</v>
      </c>
      <c r="DW9" t="n">
        <v>5.815</v>
      </c>
      <c r="DX9" t="n">
        <v>71.12</v>
      </c>
      <c r="DY9" t="n">
        <v>5.03</v>
      </c>
      <c r="DZ9" t="n">
        <v>-2.197</v>
      </c>
      <c r="EA9" t="n">
        <v>-2.048</v>
      </c>
      <c r="EB9" t="n">
        <v>129.16</v>
      </c>
      <c r="EC9" t="n">
        <v>222.32</v>
      </c>
      <c r="ED9" t="n">
        <v>351.48</v>
      </c>
      <c r="EE9" t="n">
        <v>36.747</v>
      </c>
      <c r="EF9" t="n">
        <v>64.52</v>
      </c>
      <c r="EG9" t="n">
        <v>87.48</v>
      </c>
      <c r="EH9" t="n">
        <v>12.36</v>
      </c>
      <c r="EI9" t="n">
        <v>25.32</v>
      </c>
      <c r="EJ9" t="n">
        <v>62.12</v>
      </c>
      <c r="EK9" t="n">
        <v>80.64</v>
      </c>
      <c r="EL9" t="n">
        <v>58.04</v>
      </c>
      <c r="EM9" t="n">
        <v>8.92</v>
      </c>
      <c r="EN9" t="n">
        <v>21.2</v>
      </c>
      <c r="EO9" t="n">
        <v>116.44</v>
      </c>
      <c r="EP9" t="n">
        <v>11.24</v>
      </c>
      <c r="EQ9" t="n">
        <v>24.96</v>
      </c>
      <c r="ER9" t="n">
        <v>36.2</v>
      </c>
      <c r="ES9" t="n">
        <v>39.04</v>
      </c>
      <c r="ET9" t="n">
        <v>76.434</v>
      </c>
      <c r="EU9" t="n">
        <v>95.12</v>
      </c>
      <c r="EV9" t="n">
        <v>8.68</v>
      </c>
      <c r="EW9" t="n">
        <v>9.44</v>
      </c>
      <c r="EX9" t="n">
        <v>21.015</v>
      </c>
      <c r="EY9" t="n">
        <v>14.68</v>
      </c>
      <c r="EZ9" t="n">
        <v>5.04</v>
      </c>
      <c r="FA9" t="n">
        <v>9.76</v>
      </c>
      <c r="FB9" t="n">
        <v>7.88</v>
      </c>
      <c r="FC9" t="n">
        <v>1.84</v>
      </c>
      <c r="FD9" t="n">
        <v>19.52</v>
      </c>
      <c r="FE9" t="n">
        <v>7</v>
      </c>
      <c r="FF9" t="n">
        <v>50</v>
      </c>
      <c r="FG9" t="n">
        <v>21.728</v>
      </c>
      <c r="FH9" t="n">
        <v>39.27</v>
      </c>
      <c r="FI9" t="n">
        <v>43.455</v>
      </c>
      <c r="FJ9" t="n">
        <v>17.44</v>
      </c>
      <c r="FK9" t="n">
        <v>62.981</v>
      </c>
      <c r="FL9" t="n">
        <v>1.619</v>
      </c>
      <c r="FM9" t="n">
        <v>3.227</v>
      </c>
      <c r="FN9" t="n">
        <v>0.083</v>
      </c>
      <c r="FO9" t="n">
        <v>3.499</v>
      </c>
      <c r="FP9" t="n">
        <v>0.039</v>
      </c>
      <c r="FQ9" t="n">
        <v>2.863</v>
      </c>
      <c r="FR9" t="n">
        <v>0.142</v>
      </c>
      <c r="FS9" t="n">
        <v>3.52</v>
      </c>
      <c r="FT9" t="n">
        <v>28.68</v>
      </c>
      <c r="FU9" t="n">
        <v>34.24</v>
      </c>
      <c r="FV9" t="n">
        <v>23.04</v>
      </c>
      <c r="FW9" t="n">
        <v>35.2</v>
      </c>
      <c r="FX9" t="n">
        <v>8.199999999999999</v>
      </c>
      <c r="FY9" t="n">
        <v>15.746</v>
      </c>
      <c r="FZ9" t="n">
        <v>17.064</v>
      </c>
      <c r="GA9" t="n">
        <v>6.147</v>
      </c>
      <c r="GB9" t="n">
        <v>24.889</v>
      </c>
      <c r="GC9" t="n">
        <v>8.691000000000001</v>
      </c>
      <c r="GD9" t="n">
        <v>57.32</v>
      </c>
      <c r="GE9" t="n">
        <v>9.76</v>
      </c>
      <c r="GF9" t="n">
        <v>296.72</v>
      </c>
      <c r="GG9" t="n">
        <v>157.2</v>
      </c>
      <c r="GH9" t="n">
        <v>29.64</v>
      </c>
      <c r="GI9" t="n">
        <v>34.36</v>
      </c>
      <c r="GJ9" t="n">
        <v>37.908</v>
      </c>
      <c r="GK9" t="n">
        <v>10.2</v>
      </c>
      <c r="GL9" t="n">
        <v>29.686</v>
      </c>
      <c r="GM9" t="n">
        <v>2.04</v>
      </c>
      <c r="GN9" t="n">
        <v>12.68</v>
      </c>
      <c r="GO9" t="n">
        <v>80.75700000000001</v>
      </c>
      <c r="GP9" t="n">
        <v>4.96</v>
      </c>
      <c r="GQ9" t="n">
        <v>44.08</v>
      </c>
      <c r="GR9" t="n">
        <v>70.28</v>
      </c>
      <c r="GS9" t="n">
        <v>33.728</v>
      </c>
      <c r="GT9" t="n">
        <v>150.96</v>
      </c>
      <c r="GU9" t="n">
        <v>88</v>
      </c>
      <c r="GV9" t="n">
        <v>14.44</v>
      </c>
      <c r="GW9" t="n">
        <v>8</v>
      </c>
      <c r="GX9" t="n">
        <v>8.56</v>
      </c>
      <c r="GY9" t="n">
        <v>16.56</v>
      </c>
      <c r="GZ9" t="n">
        <v>12.96</v>
      </c>
      <c r="HA9" t="n">
        <v>478.84</v>
      </c>
      <c r="HB9" t="n">
        <v>-1.84</v>
      </c>
      <c r="HC9" t="n">
        <v>-6.64</v>
      </c>
      <c r="HD9" t="n">
        <v>5.459</v>
      </c>
      <c r="HE9" t="n">
        <v>4.181</v>
      </c>
      <c r="HF9" t="n">
        <v>7.28</v>
      </c>
      <c r="HG9" t="n">
        <v>9.279999999999999</v>
      </c>
      <c r="HH9" t="n">
        <v>16.56</v>
      </c>
      <c r="HI9" t="n">
        <v>6.84</v>
      </c>
      <c r="HJ9" t="n">
        <v>3.96</v>
      </c>
      <c r="HK9" t="n">
        <v>3.44</v>
      </c>
      <c r="HL9" t="n">
        <v>3.52</v>
      </c>
      <c r="HM9" t="n">
        <v>0.48</v>
      </c>
      <c r="HN9" t="n">
        <v>5.4</v>
      </c>
      <c r="HO9" t="n">
        <v>2.84</v>
      </c>
      <c r="HP9" t="n">
        <v>0.48</v>
      </c>
      <c r="HQ9" t="n">
        <v>2.04</v>
      </c>
      <c r="HR9" t="n">
        <v>5.52</v>
      </c>
      <c r="HS9" t="n">
        <v>1.44</v>
      </c>
      <c r="HT9" t="n">
        <v>-0.04</v>
      </c>
      <c r="HU9" t="n">
        <v>1.4</v>
      </c>
      <c r="HV9" t="n">
        <v>2.16</v>
      </c>
      <c r="HW9" t="n">
        <v>2.52</v>
      </c>
      <c r="HX9" t="n">
        <v>2.16</v>
      </c>
      <c r="HY9" t="n">
        <v>5.56</v>
      </c>
      <c r="HZ9" t="n">
        <v>2.44</v>
      </c>
      <c r="IA9" t="n">
        <v>4.8</v>
      </c>
      <c r="IB9" t="n">
        <v>4.6</v>
      </c>
      <c r="IC9" t="n">
        <v>5.04</v>
      </c>
      <c r="ID9" t="n">
        <v>9.16</v>
      </c>
      <c r="IE9" t="n">
        <v>3.72</v>
      </c>
      <c r="IF9" t="n">
        <v>9.6</v>
      </c>
      <c r="IG9" t="n">
        <v>28.672</v>
      </c>
      <c r="IH9" t="n">
        <v>2.968</v>
      </c>
      <c r="II9" t="n">
        <v>-0.031</v>
      </c>
      <c r="IJ9" t="n">
        <v>0.64</v>
      </c>
      <c r="IK9" t="n">
        <v>6.16</v>
      </c>
      <c r="IL9" t="n">
        <v>25.84</v>
      </c>
      <c r="IM9" t="n">
        <v>15.08</v>
      </c>
      <c r="IN9" t="n">
        <v>14.08</v>
      </c>
      <c r="IO9" t="n">
        <v>3.48</v>
      </c>
      <c r="IP9" t="n">
        <v>0.96</v>
      </c>
      <c r="IQ9" t="n">
        <v>-0.08</v>
      </c>
      <c r="IR9" t="n">
        <v>-10.08</v>
      </c>
      <c r="IS9" t="n">
        <v>-30.8</v>
      </c>
      <c r="IT9" t="n">
        <v>0.84</v>
      </c>
      <c r="IU9" t="n">
        <v>3.2</v>
      </c>
      <c r="IV9" t="n">
        <v>0.12</v>
      </c>
      <c r="IW9" t="n">
        <v>1.24</v>
      </c>
      <c r="IX9" t="n">
        <v>-0.72</v>
      </c>
      <c r="IY9" t="n">
        <v>2.88</v>
      </c>
      <c r="IZ9" t="n">
        <v>2.64</v>
      </c>
    </row>
    <row r="10">
      <c r="A10" t="inlineStr">
        <is>
          <t>Greater Western Sydney</t>
        </is>
      </c>
      <c r="B10" t="inlineStr">
        <is>
          <t>GWS</t>
        </is>
      </c>
      <c r="C10" t="n">
        <v>22</v>
      </c>
      <c r="D10" t="n">
        <v>39</v>
      </c>
      <c r="E10" t="n">
        <v>25.575</v>
      </c>
      <c r="F10" t="n">
        <v>89</v>
      </c>
      <c r="G10" t="n">
        <v>195.982</v>
      </c>
      <c r="H10" t="n">
        <v>1642.364</v>
      </c>
      <c r="I10" t="n">
        <v>1553.318</v>
      </c>
      <c r="J10" t="n">
        <v>11.364</v>
      </c>
      <c r="K10" t="n">
        <v>46.344</v>
      </c>
      <c r="L10" t="n">
        <v>217.273</v>
      </c>
      <c r="M10" t="n">
        <v>147.182</v>
      </c>
      <c r="N10" t="n">
        <v>364.455</v>
      </c>
      <c r="O10" t="n">
        <v>73.79600000000001</v>
      </c>
      <c r="P10" t="n">
        <v>68.22199999999999</v>
      </c>
      <c r="Q10" t="n">
        <v>82.026</v>
      </c>
      <c r="R10" t="n">
        <v>59.616</v>
      </c>
      <c r="S10" t="n">
        <v>6.578</v>
      </c>
      <c r="T10" t="n">
        <v>48.955</v>
      </c>
      <c r="U10" t="n">
        <v>41.818</v>
      </c>
      <c r="V10" t="n">
        <v>75.41</v>
      </c>
      <c r="W10" t="n">
        <v>5648.818</v>
      </c>
      <c r="X10" t="n">
        <v>15.499</v>
      </c>
      <c r="Y10" t="n">
        <v>59.455</v>
      </c>
      <c r="Z10" t="n">
        <v>6.13</v>
      </c>
      <c r="AA10" t="n">
        <v>70.682</v>
      </c>
      <c r="AB10" t="n">
        <v>5.156</v>
      </c>
      <c r="AC10" t="n">
        <v>-2.371</v>
      </c>
      <c r="AD10" t="n">
        <v>-0.162</v>
      </c>
      <c r="AE10" t="n">
        <v>132.636</v>
      </c>
      <c r="AF10" t="n">
        <v>223.727</v>
      </c>
      <c r="AG10" t="n">
        <v>356.364</v>
      </c>
      <c r="AH10" t="n">
        <v>37.219</v>
      </c>
      <c r="AI10" t="n">
        <v>67.09099999999999</v>
      </c>
      <c r="AJ10" t="n">
        <v>87.09099999999999</v>
      </c>
      <c r="AK10" t="n">
        <v>14.455</v>
      </c>
      <c r="AL10" t="n">
        <v>31.136</v>
      </c>
      <c r="AM10" t="n">
        <v>55.955</v>
      </c>
      <c r="AN10" t="n">
        <v>83.90900000000001</v>
      </c>
      <c r="AO10" t="n">
        <v>56.909</v>
      </c>
      <c r="AP10" t="n">
        <v>11.409</v>
      </c>
      <c r="AQ10" t="n">
        <v>21.864</v>
      </c>
      <c r="AR10" t="n">
        <v>117.682</v>
      </c>
      <c r="AS10" t="n">
        <v>11.955</v>
      </c>
      <c r="AT10" t="n">
        <v>23.5</v>
      </c>
      <c r="AU10" t="n">
        <v>35.455</v>
      </c>
      <c r="AV10" t="n">
        <v>39.5</v>
      </c>
      <c r="AW10" t="n">
        <v>75.374</v>
      </c>
      <c r="AX10" t="n">
        <v>98.455</v>
      </c>
      <c r="AY10" t="n">
        <v>11.136</v>
      </c>
      <c r="AZ10" t="n">
        <v>9.682</v>
      </c>
      <c r="BA10" t="n">
        <v>19.777</v>
      </c>
      <c r="BB10" t="n">
        <v>15.273</v>
      </c>
      <c r="BC10" t="n">
        <v>8.273</v>
      </c>
      <c r="BD10" t="n">
        <v>31</v>
      </c>
      <c r="BE10" t="n">
        <v>6.591</v>
      </c>
      <c r="BF10" t="n">
        <v>10.773</v>
      </c>
      <c r="BG10" t="n">
        <v>9.5</v>
      </c>
      <c r="BH10" t="n">
        <v>1.455</v>
      </c>
      <c r="BI10" t="n">
        <v>21.773</v>
      </c>
      <c r="BJ10" t="n">
        <v>7.182</v>
      </c>
      <c r="BK10" t="n">
        <v>49.478</v>
      </c>
      <c r="BL10" t="n">
        <v>22.006</v>
      </c>
      <c r="BM10" t="n">
        <v>41.411</v>
      </c>
      <c r="BN10" t="n">
        <v>44.475</v>
      </c>
      <c r="BO10" t="n">
        <v>20.045</v>
      </c>
      <c r="BP10" t="n">
        <v>12.318</v>
      </c>
      <c r="BQ10" t="n">
        <v>25.83</v>
      </c>
      <c r="BR10" t="n">
        <v>71.79600000000001</v>
      </c>
      <c r="BS10" t="n">
        <v>0.885</v>
      </c>
      <c r="BT10" t="n">
        <v>3.291</v>
      </c>
      <c r="BU10" t="n">
        <v>0.041</v>
      </c>
      <c r="BV10" t="n">
        <v>3.668</v>
      </c>
      <c r="BW10" t="n">
        <v>-0.013</v>
      </c>
      <c r="BX10" t="n">
        <v>2.852</v>
      </c>
      <c r="BY10" t="n">
        <v>0.103</v>
      </c>
      <c r="BZ10" t="n">
        <v>4.5</v>
      </c>
      <c r="CA10" t="n">
        <v>27.818</v>
      </c>
      <c r="CB10" t="n">
        <v>41.818</v>
      </c>
      <c r="CC10" t="n">
        <v>28.182</v>
      </c>
      <c r="CD10" t="n">
        <v>35.682</v>
      </c>
      <c r="CE10" t="n">
        <v>10.273</v>
      </c>
      <c r="CF10" t="n">
        <v>17.949</v>
      </c>
      <c r="CG10" t="n">
        <v>21.716</v>
      </c>
      <c r="CH10" t="n">
        <v>8.369</v>
      </c>
      <c r="CI10" t="n">
        <v>29.205</v>
      </c>
      <c r="CJ10" t="n">
        <v>10.104</v>
      </c>
      <c r="CK10" t="n">
        <v>14.136</v>
      </c>
      <c r="CL10" t="n">
        <v>20.257</v>
      </c>
      <c r="CM10" t="n">
        <v>60.227</v>
      </c>
      <c r="CN10" t="n">
        <v>9.909000000000001</v>
      </c>
      <c r="CO10" t="n">
        <v>295.682</v>
      </c>
      <c r="CP10" t="n">
        <v>151.682</v>
      </c>
      <c r="CQ10" t="n">
        <v>33.045</v>
      </c>
      <c r="CR10" t="n">
        <v>89.864</v>
      </c>
      <c r="CS10" t="n">
        <v>36.818</v>
      </c>
      <c r="CT10" t="n">
        <v>40.971</v>
      </c>
      <c r="CU10" t="n">
        <v>12.182</v>
      </c>
      <c r="CV10" t="n">
        <v>33.086</v>
      </c>
      <c r="CW10" t="n">
        <v>1.864</v>
      </c>
      <c r="CX10" t="n">
        <v>19.591</v>
      </c>
      <c r="CY10" t="n">
        <v>19.545</v>
      </c>
      <c r="CZ10" t="n">
        <v>0.045</v>
      </c>
      <c r="DA10" t="n">
        <v>10.955</v>
      </c>
      <c r="DB10" t="n">
        <v>89.212</v>
      </c>
      <c r="DC10" t="n">
        <v>3.955</v>
      </c>
      <c r="DD10" t="n">
        <v>47.864</v>
      </c>
      <c r="DE10" t="n">
        <v>67.818</v>
      </c>
      <c r="DF10" t="n">
        <v>208.318</v>
      </c>
      <c r="DG10" t="n">
        <v>1654.136</v>
      </c>
      <c r="DH10" t="n">
        <v>1518.727</v>
      </c>
      <c r="DI10" t="n">
        <v>18.636</v>
      </c>
      <c r="DJ10" t="n">
        <v>215.727</v>
      </c>
      <c r="DK10" t="n">
        <v>148.136</v>
      </c>
      <c r="DL10" t="n">
        <v>363.864</v>
      </c>
      <c r="DM10" t="n">
        <v>72.842</v>
      </c>
      <c r="DN10" t="n">
        <v>66.625</v>
      </c>
      <c r="DO10" t="n">
        <v>81.896</v>
      </c>
      <c r="DP10" t="n">
        <v>6.042</v>
      </c>
      <c r="DQ10" t="n">
        <v>55.455</v>
      </c>
      <c r="DR10" t="n">
        <v>37.591</v>
      </c>
      <c r="DS10" t="n">
        <v>76.78700000000001</v>
      </c>
      <c r="DT10" t="n">
        <v>5879.273</v>
      </c>
      <c r="DU10" t="n">
        <v>16.158</v>
      </c>
      <c r="DV10" t="n">
        <v>57.545</v>
      </c>
      <c r="DW10" t="n">
        <v>6.323</v>
      </c>
      <c r="DX10" t="n">
        <v>66.90900000000001</v>
      </c>
      <c r="DY10" t="n">
        <v>5.438</v>
      </c>
      <c r="DZ10" t="n">
        <v>1.144</v>
      </c>
      <c r="EA10" t="n">
        <v>0.576</v>
      </c>
      <c r="EB10" t="n">
        <v>138.182</v>
      </c>
      <c r="EC10" t="n">
        <v>220.955</v>
      </c>
      <c r="ED10" t="n">
        <v>359.136</v>
      </c>
      <c r="EE10" t="n">
        <v>38.476</v>
      </c>
      <c r="EF10" t="n">
        <v>71.09099999999999</v>
      </c>
      <c r="EG10" t="n">
        <v>94.682</v>
      </c>
      <c r="EH10" t="n">
        <v>18.455</v>
      </c>
      <c r="EI10" t="n">
        <v>29.727</v>
      </c>
      <c r="EJ10" t="n">
        <v>64.955</v>
      </c>
      <c r="EK10" t="n">
        <v>88.136</v>
      </c>
      <c r="EL10" t="n">
        <v>64.318</v>
      </c>
      <c r="EM10" t="n">
        <v>9.135999999999999</v>
      </c>
      <c r="EN10" t="n">
        <v>27.318</v>
      </c>
      <c r="EO10" t="n">
        <v>119.136</v>
      </c>
      <c r="EP10" t="n">
        <v>11.318</v>
      </c>
      <c r="EQ10" t="n">
        <v>25.591</v>
      </c>
      <c r="ER10" t="n">
        <v>36.909</v>
      </c>
      <c r="ES10" t="n">
        <v>40.682</v>
      </c>
      <c r="ET10" t="n">
        <v>74.637</v>
      </c>
      <c r="EU10" t="n">
        <v>90.864</v>
      </c>
      <c r="EV10" t="n">
        <v>9.909000000000001</v>
      </c>
      <c r="EW10" t="n">
        <v>11.409</v>
      </c>
      <c r="EX10" t="n">
        <v>20.574</v>
      </c>
      <c r="EY10" t="n">
        <v>15.727</v>
      </c>
      <c r="EZ10" t="n">
        <v>9.182</v>
      </c>
      <c r="FA10" t="n">
        <v>12.727</v>
      </c>
      <c r="FB10" t="n">
        <v>11.227</v>
      </c>
      <c r="FC10" t="n">
        <v>2.455</v>
      </c>
      <c r="FD10" t="n">
        <v>27.364</v>
      </c>
      <c r="FE10" t="n">
        <v>8.318</v>
      </c>
      <c r="FF10" t="n">
        <v>46.512</v>
      </c>
      <c r="FG10" t="n">
        <v>22.951</v>
      </c>
      <c r="FH10" t="n">
        <v>43.197</v>
      </c>
      <c r="FI10" t="n">
        <v>49.344</v>
      </c>
      <c r="FJ10" t="n">
        <v>23.864</v>
      </c>
      <c r="FK10" t="n">
        <v>87.03</v>
      </c>
      <c r="FL10" t="n">
        <v>-1.894</v>
      </c>
      <c r="FM10" t="n">
        <v>3.181</v>
      </c>
      <c r="FN10" t="n">
        <v>-0.06900000000000001</v>
      </c>
      <c r="FO10" t="n">
        <v>3.388</v>
      </c>
      <c r="FP10" t="n">
        <v>0.101</v>
      </c>
      <c r="FQ10" t="n">
        <v>2.956</v>
      </c>
      <c r="FR10" t="n">
        <v>-0.254</v>
      </c>
      <c r="FS10" t="n">
        <v>2.136</v>
      </c>
      <c r="FT10" t="n">
        <v>33.273</v>
      </c>
      <c r="FU10" t="n">
        <v>52.182</v>
      </c>
      <c r="FV10" t="n">
        <v>33.091</v>
      </c>
      <c r="FW10" t="n">
        <v>45.591</v>
      </c>
      <c r="FX10" t="n">
        <v>8.909000000000001</v>
      </c>
      <c r="FY10" t="n">
        <v>20.891</v>
      </c>
      <c r="FZ10" t="n">
        <v>21.96</v>
      </c>
      <c r="GA10" t="n">
        <v>9.220000000000001</v>
      </c>
      <c r="GB10" t="n">
        <v>32.524</v>
      </c>
      <c r="GC10" t="n">
        <v>12.717</v>
      </c>
      <c r="GD10" t="n">
        <v>55.409</v>
      </c>
      <c r="GE10" t="n">
        <v>10.864</v>
      </c>
      <c r="GF10" t="n">
        <v>289.136</v>
      </c>
      <c r="GG10" t="n">
        <v>125.955</v>
      </c>
      <c r="GH10" t="n">
        <v>32.955</v>
      </c>
      <c r="GI10" t="n">
        <v>35.136</v>
      </c>
      <c r="GJ10" t="n">
        <v>39.119</v>
      </c>
      <c r="GK10" t="n">
        <v>10.227</v>
      </c>
      <c r="GL10" t="n">
        <v>29.107</v>
      </c>
      <c r="GM10" t="n">
        <v>3.727</v>
      </c>
      <c r="GN10" t="n">
        <v>9.364000000000001</v>
      </c>
      <c r="GO10" t="n">
        <v>83.01000000000001</v>
      </c>
      <c r="GP10" t="n">
        <v>5.727</v>
      </c>
      <c r="GQ10" t="n">
        <v>46.636</v>
      </c>
      <c r="GR10" t="n">
        <v>67.227</v>
      </c>
      <c r="GS10" t="n">
        <v>-12.336</v>
      </c>
      <c r="GT10" t="n">
        <v>-11.773</v>
      </c>
      <c r="GU10" t="n">
        <v>34.591</v>
      </c>
      <c r="GV10" t="n">
        <v>-7.273</v>
      </c>
      <c r="GW10" t="n">
        <v>1.545</v>
      </c>
      <c r="GX10" t="n">
        <v>-0.955</v>
      </c>
      <c r="GY10" t="n">
        <v>0.591</v>
      </c>
      <c r="GZ10" t="n">
        <v>-6.5</v>
      </c>
      <c r="HA10" t="n">
        <v>-230.455</v>
      </c>
      <c r="HB10" t="n">
        <v>1.909</v>
      </c>
      <c r="HC10" t="n">
        <v>3.773</v>
      </c>
      <c r="HD10" t="n">
        <v>-3.515</v>
      </c>
      <c r="HE10" t="n">
        <v>-0.737</v>
      </c>
      <c r="HF10" t="n">
        <v>-5.545</v>
      </c>
      <c r="HG10" t="n">
        <v>2.773</v>
      </c>
      <c r="HH10" t="n">
        <v>-2.773</v>
      </c>
      <c r="HI10" t="n">
        <v>-4</v>
      </c>
      <c r="HJ10" t="n">
        <v>-7.591</v>
      </c>
      <c r="HK10" t="n">
        <v>-4</v>
      </c>
      <c r="HL10" t="n">
        <v>1.409</v>
      </c>
      <c r="HM10" t="n">
        <v>-9</v>
      </c>
      <c r="HN10" t="n">
        <v>-4.227</v>
      </c>
      <c r="HO10" t="n">
        <v>-7.409</v>
      </c>
      <c r="HP10" t="n">
        <v>2.273</v>
      </c>
      <c r="HQ10" t="n">
        <v>-5.455</v>
      </c>
      <c r="HR10" t="n">
        <v>-1.455</v>
      </c>
      <c r="HS10" t="n">
        <v>0.636</v>
      </c>
      <c r="HT10" t="n">
        <v>-2.091</v>
      </c>
      <c r="HU10" t="n">
        <v>-1.455</v>
      </c>
      <c r="HV10" t="n">
        <v>-1.182</v>
      </c>
      <c r="HW10" t="n">
        <v>7.591</v>
      </c>
      <c r="HX10" t="n">
        <v>1.227</v>
      </c>
      <c r="HY10" t="n">
        <v>-1.727</v>
      </c>
      <c r="HZ10" t="n">
        <v>-0.455</v>
      </c>
      <c r="IA10" t="n">
        <v>-0.909</v>
      </c>
      <c r="IB10" t="n">
        <v>-1.955</v>
      </c>
      <c r="IC10" t="n">
        <v>-1.727</v>
      </c>
      <c r="ID10" t="n">
        <v>-5.591</v>
      </c>
      <c r="IE10" t="n">
        <v>-1.136</v>
      </c>
      <c r="IF10" t="n">
        <v>-3.818</v>
      </c>
      <c r="IG10" t="n">
        <v>-15.234</v>
      </c>
      <c r="IH10" t="n">
        <v>2.779</v>
      </c>
      <c r="II10" t="n">
        <v>0.11</v>
      </c>
      <c r="IJ10" t="n">
        <v>2.364</v>
      </c>
      <c r="IK10" t="n">
        <v>-5.455</v>
      </c>
      <c r="IL10" t="n">
        <v>-10.364</v>
      </c>
      <c r="IM10" t="n">
        <v>-4.909</v>
      </c>
      <c r="IN10" t="n">
        <v>-9.909000000000001</v>
      </c>
      <c r="IO10" t="n">
        <v>1.364</v>
      </c>
      <c r="IP10" t="n">
        <v>4.818</v>
      </c>
      <c r="IQ10" t="n">
        <v>-0.955</v>
      </c>
      <c r="IR10" t="n">
        <v>6.545</v>
      </c>
      <c r="IS10" t="n">
        <v>25.727</v>
      </c>
      <c r="IT10" t="n">
        <v>0.091</v>
      </c>
      <c r="IU10" t="n">
        <v>1.682</v>
      </c>
      <c r="IV10" t="n">
        <v>1.955</v>
      </c>
      <c r="IW10" t="n">
        <v>-1.864</v>
      </c>
      <c r="IX10" t="n">
        <v>-1.773</v>
      </c>
      <c r="IY10" t="n">
        <v>1.227</v>
      </c>
      <c r="IZ10" t="n">
        <v>0.591</v>
      </c>
    </row>
    <row r="11">
      <c r="A11" t="inlineStr">
        <is>
          <t>Sydney</t>
        </is>
      </c>
      <c r="B11" t="inlineStr">
        <is>
          <t>Syd</t>
        </is>
      </c>
      <c r="C11" t="n">
        <v>25</v>
      </c>
      <c r="D11" t="n">
        <v>35</v>
      </c>
      <c r="E11" t="n">
        <v>25.409</v>
      </c>
      <c r="F11" t="n">
        <v>104.777</v>
      </c>
      <c r="G11" t="n">
        <v>209.108</v>
      </c>
      <c r="H11" t="n">
        <v>1695.36</v>
      </c>
      <c r="I11" t="n">
        <v>1539.16</v>
      </c>
      <c r="J11" t="n">
        <v>17.52</v>
      </c>
      <c r="K11" t="n">
        <v>50.31</v>
      </c>
      <c r="L11" t="n">
        <v>222.16</v>
      </c>
      <c r="M11" t="n">
        <v>128.52</v>
      </c>
      <c r="N11" t="n">
        <v>350.68</v>
      </c>
      <c r="O11" t="n">
        <v>72.693</v>
      </c>
      <c r="P11" t="n">
        <v>67.789</v>
      </c>
      <c r="Q11" t="n">
        <v>81.17</v>
      </c>
      <c r="R11" t="n">
        <v>63.351</v>
      </c>
      <c r="S11" t="n">
        <v>5.833</v>
      </c>
      <c r="T11" t="n">
        <v>54.44</v>
      </c>
      <c r="U11" t="n">
        <v>39.16</v>
      </c>
      <c r="V11" t="n">
        <v>76.78400000000001</v>
      </c>
      <c r="W11" t="n">
        <v>5805.68</v>
      </c>
      <c r="X11" t="n">
        <v>16.555</v>
      </c>
      <c r="Y11" t="n">
        <v>59.48</v>
      </c>
      <c r="Z11" t="n">
        <v>5.896</v>
      </c>
      <c r="AA11" t="n">
        <v>67.8</v>
      </c>
      <c r="AB11" t="n">
        <v>5.172</v>
      </c>
      <c r="AC11" t="n">
        <v>1.004</v>
      </c>
      <c r="AD11" t="n">
        <v>1.221</v>
      </c>
      <c r="AE11" t="n">
        <v>139.4</v>
      </c>
      <c r="AF11" t="n">
        <v>205.32</v>
      </c>
      <c r="AG11" t="n">
        <v>344.72</v>
      </c>
      <c r="AH11" t="n">
        <v>40.439</v>
      </c>
      <c r="AI11" t="n">
        <v>68.76000000000001</v>
      </c>
      <c r="AJ11" t="n">
        <v>94.92</v>
      </c>
      <c r="AK11" t="n">
        <v>17.72</v>
      </c>
      <c r="AL11" t="n">
        <v>31.48</v>
      </c>
      <c r="AM11" t="n">
        <v>63.44</v>
      </c>
      <c r="AN11" t="n">
        <v>89.59999999999999</v>
      </c>
      <c r="AO11" t="n">
        <v>62.84</v>
      </c>
      <c r="AP11" t="n">
        <v>7.36</v>
      </c>
      <c r="AQ11" t="n">
        <v>24.24</v>
      </c>
      <c r="AR11" t="n">
        <v>101.44</v>
      </c>
      <c r="AS11" t="n">
        <v>11.48</v>
      </c>
      <c r="AT11" t="n">
        <v>26.04</v>
      </c>
      <c r="AU11" t="n">
        <v>37.52</v>
      </c>
      <c r="AV11" t="n">
        <v>39.52</v>
      </c>
      <c r="AW11" t="n">
        <v>78.13800000000001</v>
      </c>
      <c r="AX11" t="n">
        <v>93.31999999999999</v>
      </c>
      <c r="AY11" t="n">
        <v>10.92</v>
      </c>
      <c r="AZ11" t="n">
        <v>11.52</v>
      </c>
      <c r="BA11" t="n">
        <v>21.161</v>
      </c>
      <c r="BB11" t="n">
        <v>14.04</v>
      </c>
      <c r="BC11" t="n">
        <v>7.68</v>
      </c>
      <c r="BD11" t="n">
        <v>28</v>
      </c>
      <c r="BE11" t="n">
        <v>8.24</v>
      </c>
      <c r="BF11" t="n">
        <v>13.44</v>
      </c>
      <c r="BG11" t="n">
        <v>11.56</v>
      </c>
      <c r="BH11" t="n">
        <v>2.04</v>
      </c>
      <c r="BI11" t="n">
        <v>27.04</v>
      </c>
      <c r="BJ11" t="n">
        <v>9.08</v>
      </c>
      <c r="BK11" t="n">
        <v>49.704</v>
      </c>
      <c r="BL11" t="n">
        <v>24.688</v>
      </c>
      <c r="BM11" t="n">
        <v>45.922</v>
      </c>
      <c r="BN11" t="n">
        <v>49.669</v>
      </c>
      <c r="BO11" t="n">
        <v>24.76</v>
      </c>
      <c r="BP11" t="n">
        <v>16.56</v>
      </c>
      <c r="BQ11" t="n">
        <v>30.193</v>
      </c>
      <c r="BR11" t="n">
        <v>86.941</v>
      </c>
      <c r="BS11" t="n">
        <v>3.219</v>
      </c>
      <c r="BT11" t="n">
        <v>3.215</v>
      </c>
      <c r="BU11" t="n">
        <v>0.119</v>
      </c>
      <c r="BV11" t="n">
        <v>3.543</v>
      </c>
      <c r="BW11" t="n">
        <v>0.043</v>
      </c>
      <c r="BX11" t="n">
        <v>2.867</v>
      </c>
      <c r="BY11" t="n">
        <v>0.2</v>
      </c>
      <c r="BZ11" t="n">
        <v>3.12</v>
      </c>
      <c r="CA11" t="n">
        <v>32.4</v>
      </c>
      <c r="CB11" t="n">
        <v>56.68</v>
      </c>
      <c r="CC11" t="n">
        <v>36.28</v>
      </c>
      <c r="CD11" t="n">
        <v>43.4</v>
      </c>
      <c r="CE11" t="n">
        <v>12.52</v>
      </c>
      <c r="CF11" t="n">
        <v>21.834</v>
      </c>
      <c r="CG11" t="n">
        <v>23.123</v>
      </c>
      <c r="CH11" t="n">
        <v>10.41</v>
      </c>
      <c r="CI11" t="n">
        <v>32.303</v>
      </c>
      <c r="CJ11" t="n">
        <v>13.543</v>
      </c>
      <c r="CK11" t="n">
        <v>13.8</v>
      </c>
      <c r="CL11" t="n">
        <v>25.507</v>
      </c>
      <c r="CM11" t="n">
        <v>64.92</v>
      </c>
      <c r="CN11" t="n">
        <v>12</v>
      </c>
      <c r="CO11" t="n">
        <v>285.2</v>
      </c>
      <c r="CP11" t="n">
        <v>138</v>
      </c>
      <c r="CQ11" t="n">
        <v>35.8</v>
      </c>
      <c r="CR11" t="n">
        <v>89.76000000000001</v>
      </c>
      <c r="CS11" t="n">
        <v>30.24</v>
      </c>
      <c r="CT11" t="n">
        <v>33.69</v>
      </c>
      <c r="CU11" t="n">
        <v>7.92</v>
      </c>
      <c r="CV11" t="n">
        <v>26.19</v>
      </c>
      <c r="CW11" t="n">
        <v>3.88</v>
      </c>
      <c r="CX11" t="n">
        <v>20.52</v>
      </c>
      <c r="CY11" t="n">
        <v>21.64</v>
      </c>
      <c r="CZ11" t="n">
        <v>-1.12</v>
      </c>
      <c r="DA11" t="n">
        <v>9.880000000000001</v>
      </c>
      <c r="DB11" t="n">
        <v>96.761</v>
      </c>
      <c r="DC11" t="n">
        <v>5.32</v>
      </c>
      <c r="DD11" t="n">
        <v>49</v>
      </c>
      <c r="DE11" t="n">
        <v>68.92</v>
      </c>
      <c r="DF11" t="n">
        <v>192.524</v>
      </c>
      <c r="DG11" t="n">
        <v>1604.64</v>
      </c>
      <c r="DH11" t="n">
        <v>1469.72</v>
      </c>
      <c r="DI11" t="n">
        <v>13.08</v>
      </c>
      <c r="DJ11" t="n">
        <v>209.76</v>
      </c>
      <c r="DK11" t="n">
        <v>134.76</v>
      </c>
      <c r="DL11" t="n">
        <v>344.52</v>
      </c>
      <c r="DM11" t="n">
        <v>71.102</v>
      </c>
      <c r="DN11" t="n">
        <v>64.95</v>
      </c>
      <c r="DO11" t="n">
        <v>80.67700000000001</v>
      </c>
      <c r="DP11" t="n">
        <v>5.307</v>
      </c>
      <c r="DQ11" t="n">
        <v>51</v>
      </c>
      <c r="DR11" t="n">
        <v>40.44</v>
      </c>
      <c r="DS11" t="n">
        <v>74.28400000000001</v>
      </c>
      <c r="DT11" t="n">
        <v>5519.84</v>
      </c>
      <c r="DU11" t="n">
        <v>16.022</v>
      </c>
      <c r="DV11" t="n">
        <v>57.84</v>
      </c>
      <c r="DW11" t="n">
        <v>5.956</v>
      </c>
      <c r="DX11" t="n">
        <v>68.36</v>
      </c>
      <c r="DY11" t="n">
        <v>5.04</v>
      </c>
      <c r="DZ11" t="n">
        <v>-2.695</v>
      </c>
      <c r="EA11" t="n">
        <v>-3.034</v>
      </c>
      <c r="EB11" t="n">
        <v>138</v>
      </c>
      <c r="EC11" t="n">
        <v>199.92</v>
      </c>
      <c r="ED11" t="n">
        <v>337.92</v>
      </c>
      <c r="EE11" t="n">
        <v>40.838</v>
      </c>
      <c r="EF11" t="n">
        <v>67.92</v>
      </c>
      <c r="EG11" t="n">
        <v>92.28</v>
      </c>
      <c r="EH11" t="n">
        <v>16.32</v>
      </c>
      <c r="EI11" t="n">
        <v>31.04</v>
      </c>
      <c r="EJ11" t="n">
        <v>61.24</v>
      </c>
      <c r="EK11" t="n">
        <v>87.72</v>
      </c>
      <c r="EL11" t="n">
        <v>61.32</v>
      </c>
      <c r="EM11" t="n">
        <v>10.8</v>
      </c>
      <c r="EN11" t="n">
        <v>23.2</v>
      </c>
      <c r="EO11" t="n">
        <v>105.76</v>
      </c>
      <c r="EP11" t="n">
        <v>12.88</v>
      </c>
      <c r="EQ11" t="n">
        <v>23.64</v>
      </c>
      <c r="ER11" t="n">
        <v>36.52</v>
      </c>
      <c r="ES11" t="n">
        <v>40.68</v>
      </c>
      <c r="ET11" t="n">
        <v>76.205</v>
      </c>
      <c r="EU11" t="n">
        <v>86</v>
      </c>
      <c r="EV11" t="n">
        <v>9.4</v>
      </c>
      <c r="EW11" t="n">
        <v>9.279999999999999</v>
      </c>
      <c r="EX11" t="n">
        <v>18.196</v>
      </c>
      <c r="EY11" t="n">
        <v>16.04</v>
      </c>
      <c r="EZ11" t="n">
        <v>7.64</v>
      </c>
      <c r="FA11" t="n">
        <v>11.04</v>
      </c>
      <c r="FB11" t="n">
        <v>10.24</v>
      </c>
      <c r="FC11" t="n">
        <v>2.16</v>
      </c>
      <c r="FD11" t="n">
        <v>23.64</v>
      </c>
      <c r="FE11" t="n">
        <v>6.56</v>
      </c>
      <c r="FF11" t="n">
        <v>46.701</v>
      </c>
      <c r="FG11" t="n">
        <v>21.647</v>
      </c>
      <c r="FH11" t="n">
        <v>41.725</v>
      </c>
      <c r="FI11" t="n">
        <v>46.353</v>
      </c>
      <c r="FJ11" t="n">
        <v>21.08</v>
      </c>
      <c r="FK11" t="n">
        <v>74.16500000000001</v>
      </c>
      <c r="FL11" t="n">
        <v>0.155</v>
      </c>
      <c r="FM11" t="n">
        <v>3.137</v>
      </c>
      <c r="FN11" t="n">
        <v>0.007</v>
      </c>
      <c r="FO11" t="n">
        <v>3.308</v>
      </c>
      <c r="FP11" t="n">
        <v>0.004</v>
      </c>
      <c r="FQ11" t="n">
        <v>2.948</v>
      </c>
      <c r="FR11" t="n">
        <v>0.008999999999999999</v>
      </c>
      <c r="FS11" t="n">
        <v>2.68</v>
      </c>
      <c r="FT11" t="n">
        <v>33.2</v>
      </c>
      <c r="FU11" t="n">
        <v>40.6</v>
      </c>
      <c r="FV11" t="n">
        <v>23.28</v>
      </c>
      <c r="FW11" t="n">
        <v>39.48</v>
      </c>
      <c r="FX11" t="n">
        <v>13.72</v>
      </c>
      <c r="FY11" t="n">
        <v>18.491</v>
      </c>
      <c r="FZ11" t="n">
        <v>19.632</v>
      </c>
      <c r="GA11" t="n">
        <v>6.499</v>
      </c>
      <c r="GB11" t="n">
        <v>28.295</v>
      </c>
      <c r="GC11" t="n">
        <v>9.507</v>
      </c>
      <c r="GD11" t="n">
        <v>60.12</v>
      </c>
      <c r="GE11" t="n">
        <v>11.56</v>
      </c>
      <c r="GF11" t="n">
        <v>280.52</v>
      </c>
      <c r="GG11" t="n">
        <v>128.8</v>
      </c>
      <c r="GH11" t="n">
        <v>31.8</v>
      </c>
      <c r="GI11" t="n">
        <v>37.8</v>
      </c>
      <c r="GJ11" t="n">
        <v>42.131</v>
      </c>
      <c r="GK11" t="n">
        <v>11.68</v>
      </c>
      <c r="GL11" t="n">
        <v>30.899</v>
      </c>
      <c r="GM11" t="n">
        <v>2</v>
      </c>
      <c r="GN11" t="n">
        <v>11.36</v>
      </c>
      <c r="GO11" t="n">
        <v>91.54900000000001</v>
      </c>
      <c r="GP11" t="n">
        <v>4.32</v>
      </c>
      <c r="GQ11" t="n">
        <v>46.4</v>
      </c>
      <c r="GR11" t="n">
        <v>69.95999999999999</v>
      </c>
      <c r="GS11" t="n">
        <v>16.584</v>
      </c>
      <c r="GT11" t="n">
        <v>90.72</v>
      </c>
      <c r="GU11" t="n">
        <v>69.44</v>
      </c>
      <c r="GV11" t="n">
        <v>4.44</v>
      </c>
      <c r="GW11" t="n">
        <v>12.4</v>
      </c>
      <c r="GX11" t="n">
        <v>-6.24</v>
      </c>
      <c r="GY11" t="n">
        <v>6.16</v>
      </c>
      <c r="GZ11" t="n">
        <v>3.44</v>
      </c>
      <c r="HA11" t="n">
        <v>285.84</v>
      </c>
      <c r="HB11" t="n">
        <v>1.64</v>
      </c>
      <c r="HC11" t="n">
        <v>-0.5600000000000001</v>
      </c>
      <c r="HD11" t="n">
        <v>3.699</v>
      </c>
      <c r="HE11" t="n">
        <v>4.255</v>
      </c>
      <c r="HF11" t="n">
        <v>1.4</v>
      </c>
      <c r="HG11" t="n">
        <v>5.4</v>
      </c>
      <c r="HH11" t="n">
        <v>6.8</v>
      </c>
      <c r="HI11" t="n">
        <v>0.84</v>
      </c>
      <c r="HJ11" t="n">
        <v>2.64</v>
      </c>
      <c r="HK11" t="n">
        <v>1.4</v>
      </c>
      <c r="HL11" t="n">
        <v>0.44</v>
      </c>
      <c r="HM11" t="n">
        <v>2.2</v>
      </c>
      <c r="HN11" t="n">
        <v>1.88</v>
      </c>
      <c r="HO11" t="n">
        <v>1.52</v>
      </c>
      <c r="HP11" t="n">
        <v>-3.44</v>
      </c>
      <c r="HQ11" t="n">
        <v>1.04</v>
      </c>
      <c r="HR11" t="n">
        <v>-4.32</v>
      </c>
      <c r="HS11" t="n">
        <v>-1.4</v>
      </c>
      <c r="HT11" t="n">
        <v>2.4</v>
      </c>
      <c r="HU11" t="n">
        <v>1</v>
      </c>
      <c r="HV11" t="n">
        <v>-1.16</v>
      </c>
      <c r="HW11" t="n">
        <v>7.32</v>
      </c>
      <c r="HX11" t="n">
        <v>1.52</v>
      </c>
      <c r="HY11" t="n">
        <v>2.24</v>
      </c>
      <c r="HZ11" t="n">
        <v>-2</v>
      </c>
      <c r="IA11" t="n">
        <v>0.04</v>
      </c>
      <c r="IB11" t="n">
        <v>2.4</v>
      </c>
      <c r="IC11" t="n">
        <v>1.32</v>
      </c>
      <c r="ID11" t="n">
        <v>3.4</v>
      </c>
      <c r="IE11" t="n">
        <v>2.52</v>
      </c>
      <c r="IF11" t="n">
        <v>3.68</v>
      </c>
      <c r="IG11" t="n">
        <v>12.776</v>
      </c>
      <c r="IH11" t="n">
        <v>3.064</v>
      </c>
      <c r="II11" t="n">
        <v>0.078</v>
      </c>
      <c r="IJ11" t="n">
        <v>0.44</v>
      </c>
      <c r="IK11" t="n">
        <v>-0.8</v>
      </c>
      <c r="IL11" t="n">
        <v>16.08</v>
      </c>
      <c r="IM11" t="n">
        <v>13</v>
      </c>
      <c r="IN11" t="n">
        <v>3.92</v>
      </c>
      <c r="IO11" t="n">
        <v>-1.2</v>
      </c>
      <c r="IP11" t="n">
        <v>4.8</v>
      </c>
      <c r="IQ11" t="n">
        <v>0.44</v>
      </c>
      <c r="IR11" t="n">
        <v>4.68</v>
      </c>
      <c r="IS11" t="n">
        <v>9.199999999999999</v>
      </c>
      <c r="IT11" t="n">
        <v>4</v>
      </c>
      <c r="IU11" t="n">
        <v>-7.56</v>
      </c>
      <c r="IV11" t="n">
        <v>-3.76</v>
      </c>
      <c r="IW11" t="n">
        <v>1.88</v>
      </c>
      <c r="IX11" t="n">
        <v>1</v>
      </c>
      <c r="IY11" t="n">
        <v>2.6</v>
      </c>
      <c r="IZ11" t="n">
        <v>-1.04</v>
      </c>
    </row>
    <row r="12">
      <c r="A12" t="inlineStr">
        <is>
          <t>Port Adelaide</t>
        </is>
      </c>
      <c r="B12" t="inlineStr">
        <is>
          <t>Port</t>
        </is>
      </c>
      <c r="C12" t="n">
        <v>22</v>
      </c>
      <c r="D12" t="n">
        <v>37</v>
      </c>
      <c r="E12" t="n">
        <v>25.702</v>
      </c>
      <c r="F12" t="n">
        <v>104.557</v>
      </c>
      <c r="G12" t="n">
        <v>206.795</v>
      </c>
      <c r="H12" t="n">
        <v>1728.818</v>
      </c>
      <c r="I12" t="n">
        <v>1581.545</v>
      </c>
      <c r="J12" t="n">
        <v>14.955</v>
      </c>
      <c r="K12" t="n">
        <v>50.639</v>
      </c>
      <c r="L12" t="n">
        <v>224.818</v>
      </c>
      <c r="M12" t="n">
        <v>156.818</v>
      </c>
      <c r="N12" t="n">
        <v>381.636</v>
      </c>
      <c r="O12" t="n">
        <v>73.988</v>
      </c>
      <c r="P12" t="n">
        <v>67.044</v>
      </c>
      <c r="Q12" t="n">
        <v>83.94199999999999</v>
      </c>
      <c r="R12" t="n">
        <v>58.909</v>
      </c>
      <c r="S12" t="n">
        <v>6.985</v>
      </c>
      <c r="T12" t="n">
        <v>52.955</v>
      </c>
      <c r="U12" t="n">
        <v>38.682</v>
      </c>
      <c r="V12" t="n">
        <v>77.29300000000001</v>
      </c>
      <c r="W12" t="n">
        <v>5893.773</v>
      </c>
      <c r="X12" t="n">
        <v>15.443</v>
      </c>
      <c r="Y12" t="n">
        <v>62.136</v>
      </c>
      <c r="Z12" t="n">
        <v>6.142</v>
      </c>
      <c r="AA12" t="n">
        <v>70.864</v>
      </c>
      <c r="AB12" t="n">
        <v>5.386</v>
      </c>
      <c r="AC12" t="n">
        <v>-1.101</v>
      </c>
      <c r="AD12" t="n">
        <v>-0.5639999999999999</v>
      </c>
      <c r="AE12" t="n">
        <v>137.727</v>
      </c>
      <c r="AF12" t="n">
        <v>237.409</v>
      </c>
      <c r="AG12" t="n">
        <v>375.136</v>
      </c>
      <c r="AH12" t="n">
        <v>36.714</v>
      </c>
      <c r="AI12" t="n">
        <v>71.864</v>
      </c>
      <c r="AJ12" t="n">
        <v>95.182</v>
      </c>
      <c r="AK12" t="n">
        <v>15.591</v>
      </c>
      <c r="AL12" t="n">
        <v>30.455</v>
      </c>
      <c r="AM12" t="n">
        <v>64.682</v>
      </c>
      <c r="AN12" t="n">
        <v>90.773</v>
      </c>
      <c r="AO12" t="n">
        <v>65.727</v>
      </c>
      <c r="AP12" t="n">
        <v>7.409</v>
      </c>
      <c r="AQ12" t="n">
        <v>24.182</v>
      </c>
      <c r="AR12" t="n">
        <v>127.909</v>
      </c>
      <c r="AS12" t="n">
        <v>11.682</v>
      </c>
      <c r="AT12" t="n">
        <v>26.409</v>
      </c>
      <c r="AU12" t="n">
        <v>38.091</v>
      </c>
      <c r="AV12" t="n">
        <v>39.409</v>
      </c>
      <c r="AW12" t="n">
        <v>79.123</v>
      </c>
      <c r="AX12" t="n">
        <v>96.136</v>
      </c>
      <c r="AY12" t="n">
        <v>10.636</v>
      </c>
      <c r="AZ12" t="n">
        <v>12.773</v>
      </c>
      <c r="BA12" t="n">
        <v>24.12</v>
      </c>
      <c r="BB12" t="n">
        <v>14.864</v>
      </c>
      <c r="BC12" t="n">
        <v>7.545</v>
      </c>
      <c r="BD12" t="n">
        <v>28</v>
      </c>
      <c r="BE12" t="n">
        <v>7.818</v>
      </c>
      <c r="BF12" t="n">
        <v>11.864</v>
      </c>
      <c r="BG12" t="n">
        <v>10.909</v>
      </c>
      <c r="BH12" t="n">
        <v>1.909</v>
      </c>
      <c r="BI12" t="n">
        <v>25.091</v>
      </c>
      <c r="BJ12" t="n">
        <v>8.455</v>
      </c>
      <c r="BK12" t="n">
        <v>47.283</v>
      </c>
      <c r="BL12" t="n">
        <v>22.403</v>
      </c>
      <c r="BM12" t="n">
        <v>43.004</v>
      </c>
      <c r="BN12" t="n">
        <v>47.382</v>
      </c>
      <c r="BO12" t="n">
        <v>22.455</v>
      </c>
      <c r="BP12" t="n">
        <v>18.227</v>
      </c>
      <c r="BQ12" t="n">
        <v>27.182</v>
      </c>
      <c r="BR12" t="n">
        <v>79.672</v>
      </c>
      <c r="BS12" t="n">
        <v>0.51</v>
      </c>
      <c r="BT12" t="n">
        <v>3.175</v>
      </c>
      <c r="BU12" t="n">
        <v>0.02</v>
      </c>
      <c r="BV12" t="n">
        <v>3.411</v>
      </c>
      <c r="BW12" t="n">
        <v>-0.038</v>
      </c>
      <c r="BX12" t="n">
        <v>2.866</v>
      </c>
      <c r="BY12" t="n">
        <v>0.096</v>
      </c>
      <c r="BZ12" t="n">
        <v>3.182</v>
      </c>
      <c r="CA12" t="n">
        <v>32.909</v>
      </c>
      <c r="CB12" t="n">
        <v>46</v>
      </c>
      <c r="CC12" t="n">
        <v>27.591</v>
      </c>
      <c r="CD12" t="n">
        <v>44.318</v>
      </c>
      <c r="CE12" t="n">
        <v>10.182</v>
      </c>
      <c r="CF12" t="n">
        <v>18.993</v>
      </c>
      <c r="CG12" t="n">
        <v>19.863</v>
      </c>
      <c r="CH12" t="n">
        <v>7.429</v>
      </c>
      <c r="CI12" t="n">
        <v>28.24</v>
      </c>
      <c r="CJ12" t="n">
        <v>9.813000000000001</v>
      </c>
      <c r="CK12" t="n">
        <v>17.364</v>
      </c>
      <c r="CL12" t="n">
        <v>27.749</v>
      </c>
      <c r="CM12" t="n">
        <v>60.045</v>
      </c>
      <c r="CN12" t="n">
        <v>10.682</v>
      </c>
      <c r="CO12" t="n">
        <v>295.591</v>
      </c>
      <c r="CP12" t="n">
        <v>140.045</v>
      </c>
      <c r="CQ12" t="n">
        <v>34.591</v>
      </c>
      <c r="CR12" t="n">
        <v>88.045</v>
      </c>
      <c r="CS12" t="n">
        <v>26.5</v>
      </c>
      <c r="CT12" t="n">
        <v>30.098</v>
      </c>
      <c r="CU12" t="n">
        <v>8.455</v>
      </c>
      <c r="CV12" t="n">
        <v>31.904</v>
      </c>
      <c r="CW12" t="n">
        <v>2.182</v>
      </c>
      <c r="CX12" t="n">
        <v>18.864</v>
      </c>
      <c r="CY12" t="n">
        <v>20.273</v>
      </c>
      <c r="CZ12" t="n">
        <v>-1.409</v>
      </c>
      <c r="DA12" t="n">
        <v>10.773</v>
      </c>
      <c r="DB12" t="n">
        <v>83.122</v>
      </c>
      <c r="DC12" t="n">
        <v>4.364</v>
      </c>
      <c r="DD12" t="n">
        <v>51.682</v>
      </c>
      <c r="DE12" t="n">
        <v>70.227</v>
      </c>
      <c r="DF12" t="n">
        <v>192.014</v>
      </c>
      <c r="DG12" t="n">
        <v>1570.773</v>
      </c>
      <c r="DH12" t="n">
        <v>1424.227</v>
      </c>
      <c r="DI12" t="n">
        <v>15.045</v>
      </c>
      <c r="DJ12" t="n">
        <v>205.318</v>
      </c>
      <c r="DK12" t="n">
        <v>138.045</v>
      </c>
      <c r="DL12" t="n">
        <v>343.364</v>
      </c>
      <c r="DM12" t="n">
        <v>70.532</v>
      </c>
      <c r="DN12" t="n">
        <v>63.139</v>
      </c>
      <c r="DO12" t="n">
        <v>81.52800000000001</v>
      </c>
      <c r="DP12" t="n">
        <v>5.718</v>
      </c>
      <c r="DQ12" t="n">
        <v>50.045</v>
      </c>
      <c r="DR12" t="n">
        <v>40.091</v>
      </c>
      <c r="DS12" t="n">
        <v>75.708</v>
      </c>
      <c r="DT12" t="n">
        <v>5739.409</v>
      </c>
      <c r="DU12" t="n">
        <v>16.715</v>
      </c>
      <c r="DV12" t="n">
        <v>59</v>
      </c>
      <c r="DW12" t="n">
        <v>5.82</v>
      </c>
      <c r="DX12" t="n">
        <v>71.773</v>
      </c>
      <c r="DY12" t="n">
        <v>4.784</v>
      </c>
      <c r="DZ12" t="n">
        <v>-1.267</v>
      </c>
      <c r="EA12" t="n">
        <v>-2.272</v>
      </c>
      <c r="EB12" t="n">
        <v>137.455</v>
      </c>
      <c r="EC12" t="n">
        <v>197.909</v>
      </c>
      <c r="ED12" t="n">
        <v>335.364</v>
      </c>
      <c r="EE12" t="n">
        <v>40.987</v>
      </c>
      <c r="EF12" t="n">
        <v>70.90900000000001</v>
      </c>
      <c r="EG12" t="n">
        <v>88</v>
      </c>
      <c r="EH12" t="n">
        <v>15.045</v>
      </c>
      <c r="EI12" t="n">
        <v>30.182</v>
      </c>
      <c r="EJ12" t="n">
        <v>57.864</v>
      </c>
      <c r="EK12" t="n">
        <v>89.864</v>
      </c>
      <c r="EL12" t="n">
        <v>62.136</v>
      </c>
      <c r="EM12" t="n">
        <v>11.591</v>
      </c>
      <c r="EN12" t="n">
        <v>19.955</v>
      </c>
      <c r="EO12" t="n">
        <v>109</v>
      </c>
      <c r="EP12" t="n">
        <v>11.682</v>
      </c>
      <c r="EQ12" t="n">
        <v>24.727</v>
      </c>
      <c r="ER12" t="n">
        <v>36.409</v>
      </c>
      <c r="ES12" t="n">
        <v>40.227</v>
      </c>
      <c r="ET12" t="n">
        <v>75.932</v>
      </c>
      <c r="EU12" t="n">
        <v>78.864</v>
      </c>
      <c r="EV12" t="n">
        <v>11.591</v>
      </c>
      <c r="EW12" t="n">
        <v>10.136</v>
      </c>
      <c r="EX12" t="n">
        <v>20.254</v>
      </c>
      <c r="EY12" t="n">
        <v>16.591</v>
      </c>
      <c r="EZ12" t="n">
        <v>5.682</v>
      </c>
      <c r="FA12" t="n">
        <v>10.591</v>
      </c>
      <c r="FB12" t="n">
        <v>10.909</v>
      </c>
      <c r="FC12" t="n">
        <v>2.727</v>
      </c>
      <c r="FD12" t="n">
        <v>23.045</v>
      </c>
      <c r="FE12" t="n">
        <v>7.591</v>
      </c>
      <c r="FF12" t="n">
        <v>45.957</v>
      </c>
      <c r="FG12" t="n">
        <v>21.163</v>
      </c>
      <c r="FH12" t="n">
        <v>42.961</v>
      </c>
      <c r="FI12" t="n">
        <v>46.049</v>
      </c>
      <c r="FJ12" t="n">
        <v>21.182</v>
      </c>
      <c r="FK12" t="n">
        <v>76.116</v>
      </c>
      <c r="FL12" t="n">
        <v>-4.389</v>
      </c>
      <c r="FM12" t="n">
        <v>3.303</v>
      </c>
      <c r="FN12" t="n">
        <v>-0.19</v>
      </c>
      <c r="FO12" t="n">
        <v>3.635</v>
      </c>
      <c r="FP12" t="n">
        <v>-0.074</v>
      </c>
      <c r="FQ12" t="n">
        <v>2.916</v>
      </c>
      <c r="FR12" t="n">
        <v>-0.326</v>
      </c>
      <c r="FS12" t="n">
        <v>2.136</v>
      </c>
      <c r="FT12" t="n">
        <v>28.545</v>
      </c>
      <c r="FU12" t="n">
        <v>43.773</v>
      </c>
      <c r="FV12" t="n">
        <v>29.273</v>
      </c>
      <c r="FW12" t="n">
        <v>35.182</v>
      </c>
      <c r="FX12" t="n">
        <v>10</v>
      </c>
      <c r="FY12" t="n">
        <v>18.235</v>
      </c>
      <c r="FZ12" t="n">
        <v>19.824</v>
      </c>
      <c r="GA12" t="n">
        <v>8.15</v>
      </c>
      <c r="GB12" t="n">
        <v>28.241</v>
      </c>
      <c r="GC12" t="n">
        <v>11.496</v>
      </c>
      <c r="GD12" t="n">
        <v>54.636</v>
      </c>
      <c r="GE12" t="n">
        <v>9.045</v>
      </c>
      <c r="GF12" t="n">
        <v>310.136</v>
      </c>
      <c r="GG12" t="n">
        <v>156.273</v>
      </c>
      <c r="GH12" t="n">
        <v>31.864</v>
      </c>
      <c r="GI12" t="n">
        <v>41.5</v>
      </c>
      <c r="GJ12" t="n">
        <v>47.013</v>
      </c>
      <c r="GK12" t="n">
        <v>12.955</v>
      </c>
      <c r="GL12" t="n">
        <v>31.216</v>
      </c>
      <c r="GM12" t="n">
        <v>3.727</v>
      </c>
      <c r="GN12" t="n">
        <v>10.636</v>
      </c>
      <c r="GO12" t="n">
        <v>91.88</v>
      </c>
      <c r="GP12" t="n">
        <v>5.227</v>
      </c>
      <c r="GQ12" t="n">
        <v>48.818</v>
      </c>
      <c r="GR12" t="n">
        <v>71.182</v>
      </c>
      <c r="GS12" t="n">
        <v>14.782</v>
      </c>
      <c r="GT12" t="n">
        <v>158.045</v>
      </c>
      <c r="GU12" t="n">
        <v>157.318</v>
      </c>
      <c r="GV12" t="n">
        <v>-0.091</v>
      </c>
      <c r="GW12" t="n">
        <v>19.5</v>
      </c>
      <c r="GX12" t="n">
        <v>18.773</v>
      </c>
      <c r="GY12" t="n">
        <v>38.273</v>
      </c>
      <c r="GZ12" t="n">
        <v>2.909</v>
      </c>
      <c r="HA12" t="n">
        <v>154.364</v>
      </c>
      <c r="HB12" t="n">
        <v>3.136</v>
      </c>
      <c r="HC12" t="n">
        <v>-0.909</v>
      </c>
      <c r="HD12" t="n">
        <v>0.167</v>
      </c>
      <c r="HE12" t="n">
        <v>1.707</v>
      </c>
      <c r="HF12" t="n">
        <v>0.273</v>
      </c>
      <c r="HG12" t="n">
        <v>39.5</v>
      </c>
      <c r="HH12" t="n">
        <v>39.773</v>
      </c>
      <c r="HI12" t="n">
        <v>0.955</v>
      </c>
      <c r="HJ12" t="n">
        <v>7.182</v>
      </c>
      <c r="HK12" t="n">
        <v>0.545</v>
      </c>
      <c r="HL12" t="n">
        <v>0.273</v>
      </c>
      <c r="HM12" t="n">
        <v>6.818</v>
      </c>
      <c r="HN12" t="n">
        <v>0.909</v>
      </c>
      <c r="HO12" t="n">
        <v>3.591</v>
      </c>
      <c r="HP12" t="n">
        <v>-4.182</v>
      </c>
      <c r="HQ12" t="n">
        <v>4.227</v>
      </c>
      <c r="HR12" t="n">
        <v>18.909</v>
      </c>
      <c r="HS12" t="n">
        <v>0</v>
      </c>
      <c r="HT12" t="n">
        <v>1.682</v>
      </c>
      <c r="HU12" t="n">
        <v>1.682</v>
      </c>
      <c r="HV12" t="n">
        <v>-0.8179999999999999</v>
      </c>
      <c r="HW12" t="n">
        <v>17.273</v>
      </c>
      <c r="HX12" t="n">
        <v>-0.955</v>
      </c>
      <c r="HY12" t="n">
        <v>2.636</v>
      </c>
      <c r="HZ12" t="n">
        <v>-1.727</v>
      </c>
      <c r="IA12" t="n">
        <v>1.864</v>
      </c>
      <c r="IB12" t="n">
        <v>1.273</v>
      </c>
      <c r="IC12" t="n">
        <v>0</v>
      </c>
      <c r="ID12" t="n">
        <v>2.045</v>
      </c>
      <c r="IE12" t="n">
        <v>0.864</v>
      </c>
      <c r="IF12" t="n">
        <v>1.273</v>
      </c>
      <c r="IG12" t="n">
        <v>3.555</v>
      </c>
      <c r="IH12" t="n">
        <v>4.899</v>
      </c>
      <c r="II12" t="n">
        <v>-0.128</v>
      </c>
      <c r="IJ12" t="n">
        <v>1.045</v>
      </c>
      <c r="IK12" t="n">
        <v>4.364</v>
      </c>
      <c r="IL12" t="n">
        <v>2.227</v>
      </c>
      <c r="IM12" t="n">
        <v>-1.682</v>
      </c>
      <c r="IN12" t="n">
        <v>9.135999999999999</v>
      </c>
      <c r="IO12" t="n">
        <v>0.182</v>
      </c>
      <c r="IP12" t="n">
        <v>5.409</v>
      </c>
      <c r="IQ12" t="n">
        <v>1.636</v>
      </c>
      <c r="IR12" t="n">
        <v>-14.545</v>
      </c>
      <c r="IS12" t="n">
        <v>-16.227</v>
      </c>
      <c r="IT12" t="n">
        <v>2.727</v>
      </c>
      <c r="IU12" t="n">
        <v>-15</v>
      </c>
      <c r="IV12" t="n">
        <v>-4.5</v>
      </c>
      <c r="IW12" t="n">
        <v>-1.545</v>
      </c>
      <c r="IX12" t="n">
        <v>-0.864</v>
      </c>
      <c r="IY12" t="n">
        <v>2.864</v>
      </c>
      <c r="IZ12" t="n">
        <v>-0.955</v>
      </c>
    </row>
    <row r="13">
      <c r="A13" t="inlineStr">
        <is>
          <t>Brisbane</t>
        </is>
      </c>
      <c r="B13" t="inlineStr">
        <is>
          <t>Bris</t>
        </is>
      </c>
      <c r="C13" t="n">
        <v>25</v>
      </c>
      <c r="D13" t="n">
        <v>37</v>
      </c>
      <c r="E13" t="n">
        <v>26.212</v>
      </c>
      <c r="F13" t="n">
        <v>110.563</v>
      </c>
      <c r="G13" t="n">
        <v>213.804</v>
      </c>
      <c r="H13" t="n">
        <v>1677.72</v>
      </c>
      <c r="I13" t="n">
        <v>1524.36</v>
      </c>
      <c r="J13" t="n">
        <v>18.2</v>
      </c>
      <c r="K13" t="n">
        <v>50.069</v>
      </c>
      <c r="L13" t="n">
        <v>224.12</v>
      </c>
      <c r="M13" t="n">
        <v>122.2</v>
      </c>
      <c r="N13" t="n">
        <v>346.32</v>
      </c>
      <c r="O13" t="n">
        <v>71.298</v>
      </c>
      <c r="P13" t="n">
        <v>65.911</v>
      </c>
      <c r="Q13" t="n">
        <v>81.178</v>
      </c>
      <c r="R13" t="n">
        <v>64.715</v>
      </c>
      <c r="S13" t="n">
        <v>5.874</v>
      </c>
      <c r="T13" t="n">
        <v>55.76</v>
      </c>
      <c r="U13" t="n">
        <v>38.76</v>
      </c>
      <c r="V13" t="n">
        <v>74.76900000000001</v>
      </c>
      <c r="W13" t="n">
        <v>5956.4</v>
      </c>
      <c r="X13" t="n">
        <v>17.199</v>
      </c>
      <c r="Y13" t="n">
        <v>59.56</v>
      </c>
      <c r="Z13" t="n">
        <v>5.815</v>
      </c>
      <c r="AA13" t="n">
        <v>68.08</v>
      </c>
      <c r="AB13" t="n">
        <v>5.087</v>
      </c>
      <c r="AC13" t="n">
        <v>0.364</v>
      </c>
      <c r="AD13" t="n">
        <v>-0.278</v>
      </c>
      <c r="AE13" t="n">
        <v>139.92</v>
      </c>
      <c r="AF13" t="n">
        <v>200.52</v>
      </c>
      <c r="AG13" t="n">
        <v>340.44</v>
      </c>
      <c r="AH13" t="n">
        <v>41.1</v>
      </c>
      <c r="AI13" t="n">
        <v>68</v>
      </c>
      <c r="AJ13" t="n">
        <v>90.95999999999999</v>
      </c>
      <c r="AK13" t="n">
        <v>16.56</v>
      </c>
      <c r="AL13" t="n">
        <v>29.6</v>
      </c>
      <c r="AM13" t="n">
        <v>61.4</v>
      </c>
      <c r="AN13" t="n">
        <v>88.23999999999999</v>
      </c>
      <c r="AO13" t="n">
        <v>61.04</v>
      </c>
      <c r="AP13" t="n">
        <v>10.08</v>
      </c>
      <c r="AQ13" t="n">
        <v>23.44</v>
      </c>
      <c r="AR13" t="n">
        <v>96.48</v>
      </c>
      <c r="AS13" t="n">
        <v>13.72</v>
      </c>
      <c r="AT13" t="n">
        <v>26.04</v>
      </c>
      <c r="AU13" t="n">
        <v>39.76</v>
      </c>
      <c r="AV13" t="n">
        <v>42.92</v>
      </c>
      <c r="AW13" t="n">
        <v>76.142</v>
      </c>
      <c r="AX13" t="n">
        <v>94.8</v>
      </c>
      <c r="AY13" t="n">
        <v>11.2</v>
      </c>
      <c r="AZ13" t="n">
        <v>11.84</v>
      </c>
      <c r="BA13" t="n">
        <v>21.234</v>
      </c>
      <c r="BB13" t="n">
        <v>15.68</v>
      </c>
      <c r="BC13" t="n">
        <v>8.640000000000001</v>
      </c>
      <c r="BD13" t="n">
        <v>30</v>
      </c>
      <c r="BE13" t="n">
        <v>8.44</v>
      </c>
      <c r="BF13" t="n">
        <v>14.24</v>
      </c>
      <c r="BG13" t="n">
        <v>10.32</v>
      </c>
      <c r="BH13" t="n">
        <v>1.8</v>
      </c>
      <c r="BI13" t="n">
        <v>27</v>
      </c>
      <c r="BJ13" t="n">
        <v>9.68</v>
      </c>
      <c r="BK13" t="n">
        <v>52.741</v>
      </c>
      <c r="BL13" t="n">
        <v>25.538</v>
      </c>
      <c r="BM13" t="n">
        <v>44.046</v>
      </c>
      <c r="BN13" t="n">
        <v>48.422</v>
      </c>
      <c r="BO13" t="n">
        <v>24.4</v>
      </c>
      <c r="BP13" t="n">
        <v>16.28</v>
      </c>
      <c r="BQ13" t="n">
        <v>26.781</v>
      </c>
      <c r="BR13" t="n">
        <v>88.369</v>
      </c>
      <c r="BS13" t="n">
        <v>5.351</v>
      </c>
      <c r="BT13" t="n">
        <v>3.273</v>
      </c>
      <c r="BU13" t="n">
        <v>0.198</v>
      </c>
      <c r="BV13" t="n">
        <v>3.503</v>
      </c>
      <c r="BW13" t="n">
        <v>0.058</v>
      </c>
      <c r="BX13" t="n">
        <v>3.018</v>
      </c>
      <c r="BY13" t="n">
        <v>0.354</v>
      </c>
      <c r="BZ13" t="n">
        <v>3.84</v>
      </c>
      <c r="CA13" t="n">
        <v>37.12</v>
      </c>
      <c r="CB13" t="n">
        <v>54.8</v>
      </c>
      <c r="CC13" t="n">
        <v>33.72</v>
      </c>
      <c r="CD13" t="n">
        <v>47.68</v>
      </c>
      <c r="CE13" t="n">
        <v>14.36</v>
      </c>
      <c r="CF13" t="n">
        <v>21.166</v>
      </c>
      <c r="CG13" t="n">
        <v>24.719</v>
      </c>
      <c r="CH13" t="n">
        <v>10.85</v>
      </c>
      <c r="CI13" t="n">
        <v>32.097</v>
      </c>
      <c r="CJ13" t="n">
        <v>12.861</v>
      </c>
      <c r="CK13" t="n">
        <v>17.6</v>
      </c>
      <c r="CL13" t="n">
        <v>22.045</v>
      </c>
      <c r="CM13" t="n">
        <v>57.28</v>
      </c>
      <c r="CN13" t="n">
        <v>10.44</v>
      </c>
      <c r="CO13" t="n">
        <v>280.84</v>
      </c>
      <c r="CP13" t="n">
        <v>131.12</v>
      </c>
      <c r="CQ13" t="n">
        <v>36.48</v>
      </c>
      <c r="CR13" t="n">
        <v>95.59999999999999</v>
      </c>
      <c r="CS13" t="n">
        <v>38.56</v>
      </c>
      <c r="CT13" t="n">
        <v>40.335</v>
      </c>
      <c r="CU13" t="n">
        <v>11.36</v>
      </c>
      <c r="CV13" t="n">
        <v>29.461</v>
      </c>
      <c r="CW13" t="n">
        <v>4.12</v>
      </c>
      <c r="CX13" t="n">
        <v>21.2</v>
      </c>
      <c r="CY13" t="n">
        <v>19.96</v>
      </c>
      <c r="CZ13" t="n">
        <v>1.24</v>
      </c>
      <c r="DA13" t="n">
        <v>10.12</v>
      </c>
      <c r="DB13" t="n">
        <v>81.818</v>
      </c>
      <c r="DC13" t="n">
        <v>2.68</v>
      </c>
      <c r="DD13" t="n">
        <v>51.52</v>
      </c>
      <c r="DE13" t="n">
        <v>67</v>
      </c>
      <c r="DF13" t="n">
        <v>200.196</v>
      </c>
      <c r="DG13" t="n">
        <v>1621.64</v>
      </c>
      <c r="DH13" t="n">
        <v>1466.96</v>
      </c>
      <c r="DI13" t="n">
        <v>11.8</v>
      </c>
      <c r="DJ13" t="n">
        <v>207.96</v>
      </c>
      <c r="DK13" t="n">
        <v>136.24</v>
      </c>
      <c r="DL13" t="n">
        <v>344.2</v>
      </c>
      <c r="DM13" t="n">
        <v>71.749</v>
      </c>
      <c r="DN13" t="n">
        <v>65.917</v>
      </c>
      <c r="DO13" t="n">
        <v>80.652</v>
      </c>
      <c r="DP13" t="n">
        <v>6.009</v>
      </c>
      <c r="DQ13" t="n">
        <v>51.84</v>
      </c>
      <c r="DR13" t="n">
        <v>40.84</v>
      </c>
      <c r="DS13" t="n">
        <v>73.242</v>
      </c>
      <c r="DT13" t="n">
        <v>5808.8</v>
      </c>
      <c r="DU13" t="n">
        <v>16.876</v>
      </c>
      <c r="DV13" t="n">
        <v>60.4</v>
      </c>
      <c r="DW13" t="n">
        <v>5.699</v>
      </c>
      <c r="DX13" t="n">
        <v>67.8</v>
      </c>
      <c r="DY13" t="n">
        <v>5.077</v>
      </c>
      <c r="DZ13" t="n">
        <v>0.872</v>
      </c>
      <c r="EA13" t="n">
        <v>-1.111</v>
      </c>
      <c r="EB13" t="n">
        <v>136.84</v>
      </c>
      <c r="EC13" t="n">
        <v>202.36</v>
      </c>
      <c r="ED13" t="n">
        <v>339.2</v>
      </c>
      <c r="EE13" t="n">
        <v>40.342</v>
      </c>
      <c r="EF13" t="n">
        <v>68.44</v>
      </c>
      <c r="EG13" t="n">
        <v>90.56</v>
      </c>
      <c r="EH13" t="n">
        <v>14.36</v>
      </c>
      <c r="EI13" t="n">
        <v>27.48</v>
      </c>
      <c r="EJ13" t="n">
        <v>63.04</v>
      </c>
      <c r="EK13" t="n">
        <v>84.8</v>
      </c>
      <c r="EL13" t="n">
        <v>58.84</v>
      </c>
      <c r="EM13" t="n">
        <v>10.6</v>
      </c>
      <c r="EN13" t="n">
        <v>23.16</v>
      </c>
      <c r="EO13" t="n">
        <v>106.48</v>
      </c>
      <c r="EP13" t="n">
        <v>13.28</v>
      </c>
      <c r="EQ13" t="n">
        <v>25.96</v>
      </c>
      <c r="ER13" t="n">
        <v>39.24</v>
      </c>
      <c r="ES13" t="n">
        <v>42.52</v>
      </c>
      <c r="ET13" t="n">
        <v>76.105</v>
      </c>
      <c r="EU13" t="n">
        <v>86.40000000000001</v>
      </c>
      <c r="EV13" t="n">
        <v>10.84</v>
      </c>
      <c r="EW13" t="n">
        <v>11.32</v>
      </c>
      <c r="EX13" t="n">
        <v>21.836</v>
      </c>
      <c r="EY13" t="n">
        <v>15.84</v>
      </c>
      <c r="EZ13" t="n">
        <v>7.84</v>
      </c>
      <c r="FA13" t="n">
        <v>12.28</v>
      </c>
      <c r="FB13" t="n">
        <v>10.4</v>
      </c>
      <c r="FC13" t="n">
        <v>2.12</v>
      </c>
      <c r="FD13" t="n">
        <v>24.52</v>
      </c>
      <c r="FE13" t="n">
        <v>8.24</v>
      </c>
      <c r="FF13" t="n">
        <v>50.082</v>
      </c>
      <c r="FG13" t="n">
        <v>23.688</v>
      </c>
      <c r="FH13" t="n">
        <v>43.75</v>
      </c>
      <c r="FI13" t="n">
        <v>47.299</v>
      </c>
      <c r="FJ13" t="n">
        <v>22.52</v>
      </c>
      <c r="FK13" t="n">
        <v>78.435</v>
      </c>
      <c r="FL13" t="n">
        <v>3.525</v>
      </c>
      <c r="FM13" t="n">
        <v>3.204</v>
      </c>
      <c r="FN13" t="n">
        <v>0.144</v>
      </c>
      <c r="FO13" t="n">
        <v>3.509</v>
      </c>
      <c r="FP13" t="n">
        <v>0.115</v>
      </c>
      <c r="FQ13" t="n">
        <v>2.823</v>
      </c>
      <c r="FR13" t="n">
        <v>0.181</v>
      </c>
      <c r="FS13" t="n">
        <v>4.08</v>
      </c>
      <c r="FT13" t="n">
        <v>32.56</v>
      </c>
      <c r="FU13" t="n">
        <v>47.44</v>
      </c>
      <c r="FV13" t="n">
        <v>33.08</v>
      </c>
      <c r="FW13" t="n">
        <v>37.88</v>
      </c>
      <c r="FX13" t="n">
        <v>13.12</v>
      </c>
      <c r="FY13" t="n">
        <v>19.289</v>
      </c>
      <c r="FZ13" t="n">
        <v>21.023</v>
      </c>
      <c r="GA13" t="n">
        <v>8.815</v>
      </c>
      <c r="GB13" t="n">
        <v>28.524</v>
      </c>
      <c r="GC13" t="n">
        <v>12.34</v>
      </c>
      <c r="GD13" t="n">
        <v>58.96</v>
      </c>
      <c r="GE13" t="n">
        <v>9.08</v>
      </c>
      <c r="GF13" t="n">
        <v>278.8</v>
      </c>
      <c r="GG13" t="n">
        <v>135.12</v>
      </c>
      <c r="GH13" t="n">
        <v>34.16</v>
      </c>
      <c r="GI13" t="n">
        <v>37.24</v>
      </c>
      <c r="GJ13" t="n">
        <v>38.954</v>
      </c>
      <c r="GK13" t="n">
        <v>11.6</v>
      </c>
      <c r="GL13" t="n">
        <v>31.149</v>
      </c>
      <c r="GM13" t="n">
        <v>3.32</v>
      </c>
      <c r="GN13" t="n">
        <v>10.28</v>
      </c>
      <c r="GO13" t="n">
        <v>87.16</v>
      </c>
      <c r="GP13" t="n">
        <v>5.64</v>
      </c>
      <c r="GQ13" t="n">
        <v>50.36</v>
      </c>
      <c r="GR13" t="n">
        <v>69.08</v>
      </c>
      <c r="GS13" t="n">
        <v>13.608</v>
      </c>
      <c r="GT13" t="n">
        <v>56.08</v>
      </c>
      <c r="GU13" t="n">
        <v>57.4</v>
      </c>
      <c r="GV13" t="n">
        <v>6.4</v>
      </c>
      <c r="GW13" t="n">
        <v>16.16</v>
      </c>
      <c r="GX13" t="n">
        <v>-14.04</v>
      </c>
      <c r="GY13" t="n">
        <v>2.12</v>
      </c>
      <c r="GZ13" t="n">
        <v>3.92</v>
      </c>
      <c r="HA13" t="n">
        <v>147.6</v>
      </c>
      <c r="HB13" t="n">
        <v>-0.84</v>
      </c>
      <c r="HC13" t="n">
        <v>0.28</v>
      </c>
      <c r="HD13" t="n">
        <v>-0.508</v>
      </c>
      <c r="HE13" t="n">
        <v>0.833</v>
      </c>
      <c r="HF13" t="n">
        <v>3.08</v>
      </c>
      <c r="HG13" t="n">
        <v>-1.84</v>
      </c>
      <c r="HH13" t="n">
        <v>1.24</v>
      </c>
      <c r="HI13" t="n">
        <v>-0.44</v>
      </c>
      <c r="HJ13" t="n">
        <v>0.4</v>
      </c>
      <c r="HK13" t="n">
        <v>2.2</v>
      </c>
      <c r="HL13" t="n">
        <v>2.12</v>
      </c>
      <c r="HM13" t="n">
        <v>-1.64</v>
      </c>
      <c r="HN13" t="n">
        <v>3.44</v>
      </c>
      <c r="HO13" t="n">
        <v>2.2</v>
      </c>
      <c r="HP13" t="n">
        <v>-0.52</v>
      </c>
      <c r="HQ13" t="n">
        <v>0.28</v>
      </c>
      <c r="HR13" t="n">
        <v>-10</v>
      </c>
      <c r="HS13" t="n">
        <v>0.44</v>
      </c>
      <c r="HT13" t="n">
        <v>0.08</v>
      </c>
      <c r="HU13" t="n">
        <v>0.52</v>
      </c>
      <c r="HV13" t="n">
        <v>0.4</v>
      </c>
      <c r="HW13" t="n">
        <v>8.4</v>
      </c>
      <c r="HX13" t="n">
        <v>0.36</v>
      </c>
      <c r="HY13" t="n">
        <v>0.52</v>
      </c>
      <c r="HZ13" t="n">
        <v>-0.16</v>
      </c>
      <c r="IA13" t="n">
        <v>0.8</v>
      </c>
      <c r="IB13" t="n">
        <v>1.96</v>
      </c>
      <c r="IC13" t="n">
        <v>-0.08</v>
      </c>
      <c r="ID13" t="n">
        <v>2.48</v>
      </c>
      <c r="IE13" t="n">
        <v>1.44</v>
      </c>
      <c r="IF13" t="n">
        <v>1.88</v>
      </c>
      <c r="IG13" t="n">
        <v>9.933999999999999</v>
      </c>
      <c r="IH13" t="n">
        <v>1.826</v>
      </c>
      <c r="II13" t="n">
        <v>0.06900000000000001</v>
      </c>
      <c r="IJ13" t="n">
        <v>-0.24</v>
      </c>
      <c r="IK13" t="n">
        <v>4.56</v>
      </c>
      <c r="IL13" t="n">
        <v>7.36</v>
      </c>
      <c r="IM13" t="n">
        <v>0.64</v>
      </c>
      <c r="IN13" t="n">
        <v>9.800000000000001</v>
      </c>
      <c r="IO13" t="n">
        <v>1.24</v>
      </c>
      <c r="IP13" t="n">
        <v>-1.68</v>
      </c>
      <c r="IQ13" t="n">
        <v>1.36</v>
      </c>
      <c r="IR13" t="n">
        <v>2.04</v>
      </c>
      <c r="IS13" t="n">
        <v>-4</v>
      </c>
      <c r="IT13" t="n">
        <v>2.32</v>
      </c>
      <c r="IU13" t="n">
        <v>1.32</v>
      </c>
      <c r="IV13" t="n">
        <v>-0.24</v>
      </c>
      <c r="IW13" t="n">
        <v>0.8</v>
      </c>
      <c r="IX13" t="n">
        <v>-2.96</v>
      </c>
      <c r="IY13" t="n">
        <v>1.16</v>
      </c>
      <c r="IZ13" t="n">
        <v>-2.08</v>
      </c>
    </row>
    <row r="14">
      <c r="A14" t="inlineStr">
        <is>
          <t>North Melbourne</t>
        </is>
      </c>
      <c r="B14" t="inlineStr">
        <is>
          <t>NM</t>
        </is>
      </c>
      <c r="C14" t="n">
        <v>22</v>
      </c>
      <c r="D14" t="n">
        <v>39</v>
      </c>
      <c r="E14" t="n">
        <v>24.638</v>
      </c>
      <c r="F14" t="n">
        <v>77.57899999999999</v>
      </c>
      <c r="G14" t="n">
        <v>172.918</v>
      </c>
      <c r="H14" t="n">
        <v>1497.182</v>
      </c>
      <c r="I14" t="n">
        <v>1402.636</v>
      </c>
      <c r="J14" t="n">
        <v>5.682</v>
      </c>
      <c r="K14" t="n">
        <v>42.434</v>
      </c>
      <c r="L14" t="n">
        <v>200.091</v>
      </c>
      <c r="M14" t="n">
        <v>134.773</v>
      </c>
      <c r="N14" t="n">
        <v>334.864</v>
      </c>
      <c r="O14" t="n">
        <v>72.431</v>
      </c>
      <c r="P14" t="n">
        <v>64.925</v>
      </c>
      <c r="Q14" t="n">
        <v>83.575</v>
      </c>
      <c r="R14" t="n">
        <v>59.753</v>
      </c>
      <c r="S14" t="n">
        <v>5.331</v>
      </c>
      <c r="T14" t="n">
        <v>43.591</v>
      </c>
      <c r="U14" t="n">
        <v>45.682</v>
      </c>
      <c r="V14" t="n">
        <v>72.82599999999999</v>
      </c>
      <c r="W14" t="n">
        <v>5405.227</v>
      </c>
      <c r="X14" t="n">
        <v>16.142</v>
      </c>
      <c r="Y14" t="n">
        <v>61.636</v>
      </c>
      <c r="Z14" t="n">
        <v>5.433</v>
      </c>
      <c r="AA14" t="n">
        <v>69</v>
      </c>
      <c r="AB14" t="n">
        <v>4.853</v>
      </c>
      <c r="AC14" t="n">
        <v>-3.927</v>
      </c>
      <c r="AD14" t="n">
        <v>-3.796</v>
      </c>
      <c r="AE14" t="n">
        <v>127.727</v>
      </c>
      <c r="AF14" t="n">
        <v>199.818</v>
      </c>
      <c r="AG14" t="n">
        <v>327.545</v>
      </c>
      <c r="AH14" t="n">
        <v>38.995</v>
      </c>
      <c r="AI14" t="n">
        <v>60.818</v>
      </c>
      <c r="AJ14" t="n">
        <v>84.045</v>
      </c>
      <c r="AK14" t="n">
        <v>11.227</v>
      </c>
      <c r="AL14" t="n">
        <v>26.727</v>
      </c>
      <c r="AM14" t="n">
        <v>57.318</v>
      </c>
      <c r="AN14" t="n">
        <v>77.5</v>
      </c>
      <c r="AO14" t="n">
        <v>53.5</v>
      </c>
      <c r="AP14" t="n">
        <v>11.273</v>
      </c>
      <c r="AQ14" t="n">
        <v>19.455</v>
      </c>
      <c r="AR14" t="n">
        <v>109.955</v>
      </c>
      <c r="AS14" t="n">
        <v>12.318</v>
      </c>
      <c r="AT14" t="n">
        <v>24.045</v>
      </c>
      <c r="AU14" t="n">
        <v>36.364</v>
      </c>
      <c r="AV14" t="n">
        <v>41.136</v>
      </c>
      <c r="AW14" t="n">
        <v>76.02200000000001</v>
      </c>
      <c r="AX14" t="n">
        <v>84.727</v>
      </c>
      <c r="AY14" t="n">
        <v>10.136</v>
      </c>
      <c r="AZ14" t="n">
        <v>8.227</v>
      </c>
      <c r="BA14" t="n">
        <v>18.874</v>
      </c>
      <c r="BB14" t="n">
        <v>15</v>
      </c>
      <c r="BC14" t="n">
        <v>5.591</v>
      </c>
      <c r="BD14" t="n">
        <v>26</v>
      </c>
      <c r="BE14" t="n">
        <v>5.955</v>
      </c>
      <c r="BF14" t="n">
        <v>8.773</v>
      </c>
      <c r="BG14" t="n">
        <v>8.135999999999999</v>
      </c>
      <c r="BH14" t="n">
        <v>1.864</v>
      </c>
      <c r="BI14" t="n">
        <v>19.773</v>
      </c>
      <c r="BJ14" t="n">
        <v>5.636</v>
      </c>
      <c r="BK14" t="n">
        <v>44.368</v>
      </c>
      <c r="BL14" t="n">
        <v>20.125</v>
      </c>
      <c r="BM14" t="n">
        <v>38.79</v>
      </c>
      <c r="BN14" t="n">
        <v>45.36</v>
      </c>
      <c r="BO14" t="n">
        <v>16.773</v>
      </c>
      <c r="BP14" t="n">
        <v>14.318</v>
      </c>
      <c r="BQ14" t="n">
        <v>22.857</v>
      </c>
      <c r="BR14" t="n">
        <v>64.767</v>
      </c>
      <c r="BS14" t="n">
        <v>-5.858</v>
      </c>
      <c r="BT14" t="n">
        <v>3.276</v>
      </c>
      <c r="BU14" t="n">
        <v>-0.296</v>
      </c>
      <c r="BV14" t="n">
        <v>3.62</v>
      </c>
      <c r="BW14" t="n">
        <v>-0.287</v>
      </c>
      <c r="BX14" t="n">
        <v>2.906</v>
      </c>
      <c r="BY14" t="n">
        <v>-0.306</v>
      </c>
      <c r="BZ14" t="n">
        <v>2.364</v>
      </c>
      <c r="CA14" t="n">
        <v>27.773</v>
      </c>
      <c r="CB14" t="n">
        <v>30.636</v>
      </c>
      <c r="CC14" t="n">
        <v>19.318</v>
      </c>
      <c r="CD14" t="n">
        <v>31.5</v>
      </c>
      <c r="CE14" t="n">
        <v>9.955</v>
      </c>
      <c r="CF14" t="n">
        <v>15.504</v>
      </c>
      <c r="CG14" t="n">
        <v>17.181</v>
      </c>
      <c r="CH14" t="n">
        <v>4.739</v>
      </c>
      <c r="CI14" t="n">
        <v>24.235</v>
      </c>
      <c r="CJ14" t="n">
        <v>7.348</v>
      </c>
      <c r="CK14" t="n">
        <v>16.864</v>
      </c>
      <c r="CL14" t="n">
        <v>25.337</v>
      </c>
      <c r="CM14" t="n">
        <v>55.909</v>
      </c>
      <c r="CN14" t="n">
        <v>6.773</v>
      </c>
      <c r="CO14" t="n">
        <v>288.955</v>
      </c>
      <c r="CP14" t="n">
        <v>157.591</v>
      </c>
      <c r="CQ14" t="n">
        <v>33.636</v>
      </c>
      <c r="CR14" t="n">
        <v>94.045</v>
      </c>
      <c r="CS14" t="n">
        <v>40.682</v>
      </c>
      <c r="CT14" t="n">
        <v>43.258</v>
      </c>
      <c r="CU14" t="n">
        <v>12.318</v>
      </c>
      <c r="CV14" t="n">
        <v>30.279</v>
      </c>
      <c r="CW14" t="n">
        <v>1.864</v>
      </c>
      <c r="CX14" t="n">
        <v>19.909</v>
      </c>
      <c r="CY14" t="n">
        <v>21.545</v>
      </c>
      <c r="CZ14" t="n">
        <v>-1.636</v>
      </c>
      <c r="DA14" t="n">
        <v>13.5</v>
      </c>
      <c r="DB14" t="n">
        <v>87.879</v>
      </c>
      <c r="DC14" t="n">
        <v>4.273</v>
      </c>
      <c r="DD14" t="n">
        <v>45.455</v>
      </c>
      <c r="DE14" t="n">
        <v>71.727</v>
      </c>
      <c r="DF14" t="n">
        <v>226.323</v>
      </c>
      <c r="DG14" t="n">
        <v>1801.455</v>
      </c>
      <c r="DH14" t="n">
        <v>1623.773</v>
      </c>
      <c r="DI14" t="n">
        <v>24.318</v>
      </c>
      <c r="DJ14" t="n">
        <v>227</v>
      </c>
      <c r="DK14" t="n">
        <v>144.182</v>
      </c>
      <c r="DL14" t="n">
        <v>371.182</v>
      </c>
      <c r="DM14" t="n">
        <v>74.93300000000001</v>
      </c>
      <c r="DN14" t="n">
        <v>68.742</v>
      </c>
      <c r="DO14" t="n">
        <v>84.678</v>
      </c>
      <c r="DP14" t="n">
        <v>6.639</v>
      </c>
      <c r="DQ14" t="n">
        <v>62.727</v>
      </c>
      <c r="DR14" t="n">
        <v>34.045</v>
      </c>
      <c r="DS14" t="n">
        <v>78.102</v>
      </c>
      <c r="DT14" t="n">
        <v>6118.364</v>
      </c>
      <c r="DU14" t="n">
        <v>16.483</v>
      </c>
      <c r="DV14" t="n">
        <v>57.318</v>
      </c>
      <c r="DW14" t="n">
        <v>6.476</v>
      </c>
      <c r="DX14" t="n">
        <v>60.591</v>
      </c>
      <c r="DY14" t="n">
        <v>6.126</v>
      </c>
      <c r="DZ14" t="n">
        <v>2.864</v>
      </c>
      <c r="EA14" t="n">
        <v>3.601</v>
      </c>
      <c r="EB14" t="n">
        <v>136.773</v>
      </c>
      <c r="EC14" t="n">
        <v>231.227</v>
      </c>
      <c r="ED14" t="n">
        <v>368</v>
      </c>
      <c r="EE14" t="n">
        <v>37.167</v>
      </c>
      <c r="EF14" t="n">
        <v>69.318</v>
      </c>
      <c r="EG14" t="n">
        <v>90.40900000000001</v>
      </c>
      <c r="EH14" t="n">
        <v>19.227</v>
      </c>
      <c r="EI14" t="n">
        <v>29.591</v>
      </c>
      <c r="EJ14" t="n">
        <v>60.773</v>
      </c>
      <c r="EK14" t="n">
        <v>88.318</v>
      </c>
      <c r="EL14" t="n">
        <v>60.955</v>
      </c>
      <c r="EM14" t="n">
        <v>9.635999999999999</v>
      </c>
      <c r="EN14" t="n">
        <v>24.727</v>
      </c>
      <c r="EO14" t="n">
        <v>118.045</v>
      </c>
      <c r="EP14" t="n">
        <v>12.227</v>
      </c>
      <c r="EQ14" t="n">
        <v>25.909</v>
      </c>
      <c r="ER14" t="n">
        <v>38.136</v>
      </c>
      <c r="ES14" t="n">
        <v>40.136</v>
      </c>
      <c r="ET14" t="n">
        <v>80.068</v>
      </c>
      <c r="EU14" t="n">
        <v>99.682</v>
      </c>
      <c r="EV14" t="n">
        <v>11.136</v>
      </c>
      <c r="EW14" t="n">
        <v>14.636</v>
      </c>
      <c r="EX14" t="n">
        <v>23.333</v>
      </c>
      <c r="EY14" t="n">
        <v>16.455</v>
      </c>
      <c r="EZ14" t="n">
        <v>12.727</v>
      </c>
      <c r="FA14" t="n">
        <v>15.864</v>
      </c>
      <c r="FB14" t="n">
        <v>13.773</v>
      </c>
      <c r="FC14" t="n">
        <v>2.409</v>
      </c>
      <c r="FD14" t="n">
        <v>32.273</v>
      </c>
      <c r="FE14" t="n">
        <v>11.273</v>
      </c>
      <c r="FF14" t="n">
        <v>49.155</v>
      </c>
      <c r="FG14" t="n">
        <v>25.29</v>
      </c>
      <c r="FH14" t="n">
        <v>47.246</v>
      </c>
      <c r="FI14" t="n">
        <v>51.449</v>
      </c>
      <c r="FJ14" t="n">
        <v>29.136</v>
      </c>
      <c r="FK14" t="n">
        <v>103.512</v>
      </c>
      <c r="FL14" t="n">
        <v>3.034</v>
      </c>
      <c r="FM14" t="n">
        <v>3.207</v>
      </c>
      <c r="FN14" t="n">
        <v>0.094</v>
      </c>
      <c r="FO14" t="n">
        <v>3.509</v>
      </c>
      <c r="FP14" t="n">
        <v>0.139</v>
      </c>
      <c r="FQ14" t="n">
        <v>2.87</v>
      </c>
      <c r="FR14" t="n">
        <v>0.043</v>
      </c>
      <c r="FS14" t="n">
        <v>2.409</v>
      </c>
      <c r="FT14" t="n">
        <v>40.682</v>
      </c>
      <c r="FU14" t="n">
        <v>65.864</v>
      </c>
      <c r="FV14" t="n">
        <v>40.182</v>
      </c>
      <c r="FW14" t="n">
        <v>56.5</v>
      </c>
      <c r="FX14" t="n">
        <v>12.273</v>
      </c>
      <c r="FY14" t="n">
        <v>25.64</v>
      </c>
      <c r="FZ14" t="n">
        <v>29.934</v>
      </c>
      <c r="GA14" t="n">
        <v>12.583</v>
      </c>
      <c r="GB14" t="n">
        <v>40.148</v>
      </c>
      <c r="GC14" t="n">
        <v>16.976</v>
      </c>
      <c r="GD14" t="n">
        <v>62.818</v>
      </c>
      <c r="GE14" t="n">
        <v>14.636</v>
      </c>
      <c r="GF14" t="n">
        <v>276.227</v>
      </c>
      <c r="GG14" t="n">
        <v>112.545</v>
      </c>
      <c r="GH14" t="n">
        <v>31.364</v>
      </c>
      <c r="GI14" t="n">
        <v>35.727</v>
      </c>
      <c r="GJ14" t="n">
        <v>38.045</v>
      </c>
      <c r="GK14" t="n">
        <v>10.455</v>
      </c>
      <c r="GL14" t="n">
        <v>29.262</v>
      </c>
      <c r="GM14" t="n">
        <v>2.364</v>
      </c>
      <c r="GN14" t="n">
        <v>7.955</v>
      </c>
      <c r="GO14" t="n">
        <v>84</v>
      </c>
      <c r="GP14" t="n">
        <v>6.5</v>
      </c>
      <c r="GQ14" t="n">
        <v>48.409</v>
      </c>
      <c r="GR14" t="n">
        <v>72.045</v>
      </c>
      <c r="GS14" t="n">
        <v>-53.405</v>
      </c>
      <c r="GT14" t="n">
        <v>-304.273</v>
      </c>
      <c r="GU14" t="n">
        <v>-221.136</v>
      </c>
      <c r="GV14" t="n">
        <v>-18.636</v>
      </c>
      <c r="GW14" t="n">
        <v>-26.909</v>
      </c>
      <c r="GX14" t="n">
        <v>-9.409000000000001</v>
      </c>
      <c r="GY14" t="n">
        <v>-36.318</v>
      </c>
      <c r="GZ14" t="n">
        <v>-19.136</v>
      </c>
      <c r="HA14" t="n">
        <v>-713.136</v>
      </c>
      <c r="HB14" t="n">
        <v>4.318</v>
      </c>
      <c r="HC14" t="n">
        <v>8.409000000000001</v>
      </c>
      <c r="HD14" t="n">
        <v>-6.79</v>
      </c>
      <c r="HE14" t="n">
        <v>-7.397</v>
      </c>
      <c r="HF14" t="n">
        <v>-9.045</v>
      </c>
      <c r="HG14" t="n">
        <v>-31.409</v>
      </c>
      <c r="HH14" t="n">
        <v>-40.455</v>
      </c>
      <c r="HI14" t="n">
        <v>-8.5</v>
      </c>
      <c r="HJ14" t="n">
        <v>-6.364</v>
      </c>
      <c r="HK14" t="n">
        <v>-8</v>
      </c>
      <c r="HL14" t="n">
        <v>-2.864</v>
      </c>
      <c r="HM14" t="n">
        <v>-3.455</v>
      </c>
      <c r="HN14" t="n">
        <v>-10.818</v>
      </c>
      <c r="HO14" t="n">
        <v>-7.455</v>
      </c>
      <c r="HP14" t="n">
        <v>1.636</v>
      </c>
      <c r="HQ14" t="n">
        <v>-5.273</v>
      </c>
      <c r="HR14" t="n">
        <v>-8.090999999999999</v>
      </c>
      <c r="HS14" t="n">
        <v>0.091</v>
      </c>
      <c r="HT14" t="n">
        <v>-1.864</v>
      </c>
      <c r="HU14" t="n">
        <v>-1.773</v>
      </c>
      <c r="HV14" t="n">
        <v>1</v>
      </c>
      <c r="HW14" t="n">
        <v>-14.955</v>
      </c>
      <c r="HX14" t="n">
        <v>-1</v>
      </c>
      <c r="HY14" t="n">
        <v>-6.409</v>
      </c>
      <c r="HZ14" t="n">
        <v>-1.455</v>
      </c>
      <c r="IA14" t="n">
        <v>-7.136</v>
      </c>
      <c r="IB14" t="n">
        <v>-7.091</v>
      </c>
      <c r="IC14" t="n">
        <v>-5.636</v>
      </c>
      <c r="ID14" t="n">
        <v>-12.5</v>
      </c>
      <c r="IE14" t="n">
        <v>-5.636</v>
      </c>
      <c r="IF14" t="n">
        <v>-12.364</v>
      </c>
      <c r="IG14" t="n">
        <v>-38.745</v>
      </c>
      <c r="IH14" t="n">
        <v>-8.891999999999999</v>
      </c>
      <c r="II14" t="n">
        <v>0.068</v>
      </c>
      <c r="IJ14" t="n">
        <v>-0.045</v>
      </c>
      <c r="IK14" t="n">
        <v>-12.909</v>
      </c>
      <c r="IL14" t="n">
        <v>-35.227</v>
      </c>
      <c r="IM14" t="n">
        <v>-20.864</v>
      </c>
      <c r="IN14" t="n">
        <v>-25</v>
      </c>
      <c r="IO14" t="n">
        <v>-2.318</v>
      </c>
      <c r="IP14" t="n">
        <v>-6.909</v>
      </c>
      <c r="IQ14" t="n">
        <v>-7.864</v>
      </c>
      <c r="IR14" t="n">
        <v>12.727</v>
      </c>
      <c r="IS14" t="n">
        <v>45.045</v>
      </c>
      <c r="IT14" t="n">
        <v>2.273</v>
      </c>
      <c r="IU14" t="n">
        <v>4.955</v>
      </c>
      <c r="IV14" t="n">
        <v>1.864</v>
      </c>
      <c r="IW14" t="n">
        <v>-0.5</v>
      </c>
      <c r="IX14" t="n">
        <v>-2.227</v>
      </c>
      <c r="IY14" t="n">
        <v>-2.955</v>
      </c>
      <c r="IZ14" t="n">
        <v>-0.318</v>
      </c>
    </row>
    <row r="15">
      <c r="A15" t="inlineStr">
        <is>
          <t>Hawthorn</t>
        </is>
      </c>
      <c r="B15" t="inlineStr">
        <is>
          <t>Haw</t>
        </is>
      </c>
      <c r="C15" t="n">
        <v>22</v>
      </c>
      <c r="D15" t="n">
        <v>39</v>
      </c>
      <c r="E15" t="n">
        <v>24.589</v>
      </c>
      <c r="F15" t="n">
        <v>80.54900000000001</v>
      </c>
      <c r="G15" t="n">
        <v>206.073</v>
      </c>
      <c r="H15" t="n">
        <v>1563.545</v>
      </c>
      <c r="I15" t="n">
        <v>1481</v>
      </c>
      <c r="J15" t="n">
        <v>12.182</v>
      </c>
      <c r="K15" t="n">
        <v>47.19</v>
      </c>
      <c r="L15" t="n">
        <v>209.909</v>
      </c>
      <c r="M15" t="n">
        <v>141.364</v>
      </c>
      <c r="N15" t="n">
        <v>351.273</v>
      </c>
      <c r="O15" t="n">
        <v>71.209</v>
      </c>
      <c r="P15" t="n">
        <v>64.92</v>
      </c>
      <c r="Q15" t="n">
        <v>80.547</v>
      </c>
      <c r="R15" t="n">
        <v>59.757</v>
      </c>
      <c r="S15" t="n">
        <v>5.243</v>
      </c>
      <c r="T15" t="n">
        <v>49.818</v>
      </c>
      <c r="U15" t="n">
        <v>41.864</v>
      </c>
      <c r="V15" t="n">
        <v>74.756</v>
      </c>
      <c r="W15" t="n">
        <v>5936.273</v>
      </c>
      <c r="X15" t="n">
        <v>16.899</v>
      </c>
      <c r="Y15" t="n">
        <v>63.136</v>
      </c>
      <c r="Z15" t="n">
        <v>5.564</v>
      </c>
      <c r="AA15" t="n">
        <v>71.818</v>
      </c>
      <c r="AB15" t="n">
        <v>4.891</v>
      </c>
      <c r="AC15" t="n">
        <v>-0.224</v>
      </c>
      <c r="AD15" t="n">
        <v>-1.962</v>
      </c>
      <c r="AE15" t="n">
        <v>135.682</v>
      </c>
      <c r="AF15" t="n">
        <v>208.455</v>
      </c>
      <c r="AG15" t="n">
        <v>344.136</v>
      </c>
      <c r="AH15" t="n">
        <v>39.427</v>
      </c>
      <c r="AI15" t="n">
        <v>72.227</v>
      </c>
      <c r="AJ15" t="n">
        <v>93.09099999999999</v>
      </c>
      <c r="AK15" t="n">
        <v>16.136</v>
      </c>
      <c r="AL15" t="n">
        <v>31.091</v>
      </c>
      <c r="AM15" t="n">
        <v>61.864</v>
      </c>
      <c r="AN15" t="n">
        <v>91.364</v>
      </c>
      <c r="AO15" t="n">
        <v>64.955</v>
      </c>
      <c r="AP15" t="n">
        <v>9.045</v>
      </c>
      <c r="AQ15" t="n">
        <v>25.136</v>
      </c>
      <c r="AR15" t="n">
        <v>110.455</v>
      </c>
      <c r="AS15" t="n">
        <v>10.591</v>
      </c>
      <c r="AT15" t="n">
        <v>21.909</v>
      </c>
      <c r="AU15" t="n">
        <v>32.5</v>
      </c>
      <c r="AV15" t="n">
        <v>36.455</v>
      </c>
      <c r="AW15" t="n">
        <v>74.43899999999999</v>
      </c>
      <c r="AX15" t="n">
        <v>87.227</v>
      </c>
      <c r="AY15" t="n">
        <v>10.136</v>
      </c>
      <c r="AZ15" t="n">
        <v>9.818</v>
      </c>
      <c r="BA15" t="n">
        <v>19.708</v>
      </c>
      <c r="BB15" t="n">
        <v>15.364</v>
      </c>
      <c r="BC15" t="n">
        <v>6.091</v>
      </c>
      <c r="BD15" t="n">
        <v>29</v>
      </c>
      <c r="BE15" t="n">
        <v>7.364</v>
      </c>
      <c r="BF15" t="n">
        <v>11.909</v>
      </c>
      <c r="BG15" t="n">
        <v>9.773</v>
      </c>
      <c r="BH15" t="n">
        <v>2.136</v>
      </c>
      <c r="BI15" t="n">
        <v>22.909</v>
      </c>
      <c r="BJ15" t="n">
        <v>7.636</v>
      </c>
      <c r="BK15" t="n">
        <v>51.984</v>
      </c>
      <c r="BL15" t="n">
        <v>23.905</v>
      </c>
      <c r="BM15" t="n">
        <v>43.522</v>
      </c>
      <c r="BN15" t="n">
        <v>45.985</v>
      </c>
      <c r="BO15" t="n">
        <v>21.364</v>
      </c>
      <c r="BP15" t="n">
        <v>16.409</v>
      </c>
      <c r="BQ15" t="n">
        <v>22.992</v>
      </c>
      <c r="BR15" t="n">
        <v>77.125</v>
      </c>
      <c r="BS15" t="n">
        <v>1.966</v>
      </c>
      <c r="BT15" t="n">
        <v>3.367</v>
      </c>
      <c r="BU15" t="n">
        <v>0.08599999999999999</v>
      </c>
      <c r="BV15" t="n">
        <v>3.722</v>
      </c>
      <c r="BW15" t="n">
        <v>0.163</v>
      </c>
      <c r="BX15" t="n">
        <v>2.926</v>
      </c>
      <c r="BY15" t="n">
        <v>-0.01</v>
      </c>
      <c r="BZ15" t="n">
        <v>4.636</v>
      </c>
      <c r="CA15" t="n">
        <v>27.318</v>
      </c>
      <c r="CB15" t="n">
        <v>49.273</v>
      </c>
      <c r="CC15" t="n">
        <v>34.273</v>
      </c>
      <c r="CD15" t="n">
        <v>36.773</v>
      </c>
      <c r="CE15" t="n">
        <v>10.182</v>
      </c>
      <c r="CF15" t="n">
        <v>18.911</v>
      </c>
      <c r="CG15" t="n">
        <v>24.71</v>
      </c>
      <c r="CH15" t="n">
        <v>9.311999999999999</v>
      </c>
      <c r="CI15" t="n">
        <v>29.785</v>
      </c>
      <c r="CJ15" t="n">
        <v>11.683</v>
      </c>
      <c r="CK15" t="n">
        <v>14.909</v>
      </c>
      <c r="CL15" t="n">
        <v>29.573</v>
      </c>
      <c r="CM15" t="n">
        <v>59</v>
      </c>
      <c r="CN15" t="n">
        <v>10.318</v>
      </c>
      <c r="CO15" t="n">
        <v>309.909</v>
      </c>
      <c r="CP15" t="n">
        <v>149.409</v>
      </c>
      <c r="CQ15" t="n">
        <v>34.045</v>
      </c>
      <c r="CR15" t="n">
        <v>89.227</v>
      </c>
      <c r="CS15" t="n">
        <v>33.273</v>
      </c>
      <c r="CT15" t="n">
        <v>37.29</v>
      </c>
      <c r="CU15" t="n">
        <v>9.635999999999999</v>
      </c>
      <c r="CV15" t="n">
        <v>28.962</v>
      </c>
      <c r="CW15" t="n">
        <v>0.864</v>
      </c>
      <c r="CX15" t="n">
        <v>20.273</v>
      </c>
      <c r="CY15" t="n">
        <v>20.636</v>
      </c>
      <c r="CZ15" t="n">
        <v>-0.364</v>
      </c>
      <c r="DA15" t="n">
        <v>10.955</v>
      </c>
      <c r="DB15" t="n">
        <v>81.328</v>
      </c>
      <c r="DC15" t="n">
        <v>6.318</v>
      </c>
      <c r="DD15" t="n">
        <v>49.682</v>
      </c>
      <c r="DE15" t="n">
        <v>70.90900000000001</v>
      </c>
      <c r="DF15" t="n">
        <v>217.059</v>
      </c>
      <c r="DG15" t="n">
        <v>1733.364</v>
      </c>
      <c r="DH15" t="n">
        <v>1610.364</v>
      </c>
      <c r="DI15" t="n">
        <v>17.818</v>
      </c>
      <c r="DJ15" t="n">
        <v>225.636</v>
      </c>
      <c r="DK15" t="n">
        <v>151.955</v>
      </c>
      <c r="DL15" t="n">
        <v>377.591</v>
      </c>
      <c r="DM15" t="n">
        <v>72.63800000000001</v>
      </c>
      <c r="DN15" t="n">
        <v>65.351</v>
      </c>
      <c r="DO15" t="n">
        <v>83.458</v>
      </c>
      <c r="DP15" t="n">
        <v>6.4</v>
      </c>
      <c r="DQ15" t="n">
        <v>56</v>
      </c>
      <c r="DR15" t="n">
        <v>37.182</v>
      </c>
      <c r="DS15" t="n">
        <v>74.63500000000001</v>
      </c>
      <c r="DT15" t="n">
        <v>5981.682</v>
      </c>
      <c r="DU15" t="n">
        <v>15.842</v>
      </c>
      <c r="DV15" t="n">
        <v>61.545</v>
      </c>
      <c r="DW15" t="n">
        <v>6.135</v>
      </c>
      <c r="DX15" t="n">
        <v>71.818</v>
      </c>
      <c r="DY15" t="n">
        <v>5.258</v>
      </c>
      <c r="DZ15" t="n">
        <v>-0.657</v>
      </c>
      <c r="EA15" t="n">
        <v>0.626</v>
      </c>
      <c r="EB15" t="n">
        <v>144.682</v>
      </c>
      <c r="EC15" t="n">
        <v>226.045</v>
      </c>
      <c r="ED15" t="n">
        <v>370.727</v>
      </c>
      <c r="EE15" t="n">
        <v>39.026</v>
      </c>
      <c r="EF15" t="n">
        <v>72.09099999999999</v>
      </c>
      <c r="EG15" t="n">
        <v>94.5</v>
      </c>
      <c r="EH15" t="n">
        <v>18</v>
      </c>
      <c r="EI15" t="n">
        <v>31.318</v>
      </c>
      <c r="EJ15" t="n">
        <v>63.227</v>
      </c>
      <c r="EK15" t="n">
        <v>94.40900000000001</v>
      </c>
      <c r="EL15" t="n">
        <v>66.773</v>
      </c>
      <c r="EM15" t="n">
        <v>11.909</v>
      </c>
      <c r="EN15" t="n">
        <v>26.136</v>
      </c>
      <c r="EO15" t="n">
        <v>122.591</v>
      </c>
      <c r="EP15" t="n">
        <v>14.636</v>
      </c>
      <c r="EQ15" t="n">
        <v>24.636</v>
      </c>
      <c r="ER15" t="n">
        <v>39.273</v>
      </c>
      <c r="ES15" t="n">
        <v>41.909</v>
      </c>
      <c r="ET15" t="n">
        <v>77.11499999999999</v>
      </c>
      <c r="EU15" t="n">
        <v>90.545</v>
      </c>
      <c r="EV15" t="n">
        <v>10.591</v>
      </c>
      <c r="EW15" t="n">
        <v>12.5</v>
      </c>
      <c r="EX15" t="n">
        <v>22.321</v>
      </c>
      <c r="EY15" t="n">
        <v>15</v>
      </c>
      <c r="EZ15" t="n">
        <v>9.090999999999999</v>
      </c>
      <c r="FA15" t="n">
        <v>13.227</v>
      </c>
      <c r="FB15" t="n">
        <v>11.136</v>
      </c>
      <c r="FC15" t="n">
        <v>2</v>
      </c>
      <c r="FD15" t="n">
        <v>27.5</v>
      </c>
      <c r="FE15" t="n">
        <v>8.909000000000001</v>
      </c>
      <c r="FF15" t="n">
        <v>48.099</v>
      </c>
      <c r="FG15" t="n">
        <v>23.62</v>
      </c>
      <c r="FH15" t="n">
        <v>43.506</v>
      </c>
      <c r="FI15" t="n">
        <v>49.107</v>
      </c>
      <c r="FJ15" t="n">
        <v>24.273</v>
      </c>
      <c r="FK15" t="n">
        <v>91.256</v>
      </c>
      <c r="FL15" t="n">
        <v>-2.756</v>
      </c>
      <c r="FM15" t="n">
        <v>3.318</v>
      </c>
      <c r="FN15" t="n">
        <v>-0.1</v>
      </c>
      <c r="FO15" t="n">
        <v>3.659</v>
      </c>
      <c r="FP15" t="n">
        <v>-0.24</v>
      </c>
      <c r="FQ15" t="n">
        <v>2.931</v>
      </c>
      <c r="FR15" t="n">
        <v>0.059</v>
      </c>
      <c r="FS15" t="n">
        <v>2.591</v>
      </c>
      <c r="FT15" t="n">
        <v>32.364</v>
      </c>
      <c r="FU15" t="n">
        <v>55.545</v>
      </c>
      <c r="FV15" t="n">
        <v>30</v>
      </c>
      <c r="FW15" t="n">
        <v>46.591</v>
      </c>
      <c r="FX15" t="n">
        <v>13.909</v>
      </c>
      <c r="FY15" t="n">
        <v>20.406</v>
      </c>
      <c r="FZ15" t="n">
        <v>19.738</v>
      </c>
      <c r="GA15" t="n">
        <v>8.224</v>
      </c>
      <c r="GB15" t="n">
        <v>30.244</v>
      </c>
      <c r="GC15" t="n">
        <v>11.525</v>
      </c>
      <c r="GD15" t="n">
        <v>67</v>
      </c>
      <c r="GE15" t="n">
        <v>11.909</v>
      </c>
      <c r="GF15" t="n">
        <v>298.182</v>
      </c>
      <c r="GG15" t="n">
        <v>134.591</v>
      </c>
      <c r="GH15" t="n">
        <v>35.182</v>
      </c>
      <c r="GI15" t="n">
        <v>41.318</v>
      </c>
      <c r="GJ15" t="n">
        <v>46.26</v>
      </c>
      <c r="GK15" t="n">
        <v>13.773</v>
      </c>
      <c r="GL15" t="n">
        <v>33.333</v>
      </c>
      <c r="GM15" t="n">
        <v>3.864</v>
      </c>
      <c r="GN15" t="n">
        <v>9.727</v>
      </c>
      <c r="GO15" t="n">
        <v>89.252</v>
      </c>
      <c r="GP15" t="n">
        <v>5.909</v>
      </c>
      <c r="GQ15" t="n">
        <v>54</v>
      </c>
      <c r="GR15" t="n">
        <v>72.045</v>
      </c>
      <c r="GS15" t="n">
        <v>-10.986</v>
      </c>
      <c r="GT15" t="n">
        <v>-169.818</v>
      </c>
      <c r="GU15" t="n">
        <v>-129.364</v>
      </c>
      <c r="GV15" t="n">
        <v>-5.636</v>
      </c>
      <c r="GW15" t="n">
        <v>-15.727</v>
      </c>
      <c r="GX15" t="n">
        <v>-10.591</v>
      </c>
      <c r="GY15" t="n">
        <v>-26.318</v>
      </c>
      <c r="GZ15" t="n">
        <v>-6.182</v>
      </c>
      <c r="HA15" t="n">
        <v>-45.409</v>
      </c>
      <c r="HB15" t="n">
        <v>1.591</v>
      </c>
      <c r="HC15" t="n">
        <v>0</v>
      </c>
      <c r="HD15" t="n">
        <v>0.433</v>
      </c>
      <c r="HE15" t="n">
        <v>-2.587</v>
      </c>
      <c r="HF15" t="n">
        <v>-9</v>
      </c>
      <c r="HG15" t="n">
        <v>-17.591</v>
      </c>
      <c r="HH15" t="n">
        <v>-26.591</v>
      </c>
      <c r="HI15" t="n">
        <v>0.136</v>
      </c>
      <c r="HJ15" t="n">
        <v>-1.409</v>
      </c>
      <c r="HK15" t="n">
        <v>-1.864</v>
      </c>
      <c r="HL15" t="n">
        <v>-0.227</v>
      </c>
      <c r="HM15" t="n">
        <v>-1.364</v>
      </c>
      <c r="HN15" t="n">
        <v>-3.045</v>
      </c>
      <c r="HO15" t="n">
        <v>-1.818</v>
      </c>
      <c r="HP15" t="n">
        <v>-2.864</v>
      </c>
      <c r="HQ15" t="n">
        <v>-1</v>
      </c>
      <c r="HR15" t="n">
        <v>-12.136</v>
      </c>
      <c r="HS15" t="n">
        <v>-4.045</v>
      </c>
      <c r="HT15" t="n">
        <v>-2.727</v>
      </c>
      <c r="HU15" t="n">
        <v>-6.773</v>
      </c>
      <c r="HV15" t="n">
        <v>-5.455</v>
      </c>
      <c r="HW15" t="n">
        <v>-3.318</v>
      </c>
      <c r="HX15" t="n">
        <v>-0.455</v>
      </c>
      <c r="HY15" t="n">
        <v>-2.682</v>
      </c>
      <c r="HZ15" t="n">
        <v>0.364</v>
      </c>
      <c r="IA15" t="n">
        <v>-3</v>
      </c>
      <c r="IB15" t="n">
        <v>-1.318</v>
      </c>
      <c r="IC15" t="n">
        <v>-1.364</v>
      </c>
      <c r="ID15" t="n">
        <v>-4.591</v>
      </c>
      <c r="IE15" t="n">
        <v>-1.273</v>
      </c>
      <c r="IF15" t="n">
        <v>-2.909</v>
      </c>
      <c r="IG15" t="n">
        <v>-14.131</v>
      </c>
      <c r="IH15" t="n">
        <v>4.722</v>
      </c>
      <c r="II15" t="n">
        <v>0.048</v>
      </c>
      <c r="IJ15" t="n">
        <v>2.045</v>
      </c>
      <c r="IK15" t="n">
        <v>-5.045</v>
      </c>
      <c r="IL15" t="n">
        <v>-6.273</v>
      </c>
      <c r="IM15" t="n">
        <v>4.273</v>
      </c>
      <c r="IN15" t="n">
        <v>-9.818</v>
      </c>
      <c r="IO15" t="n">
        <v>-3.727</v>
      </c>
      <c r="IP15" t="n">
        <v>-8</v>
      </c>
      <c r="IQ15" t="n">
        <v>-1.591</v>
      </c>
      <c r="IR15" t="n">
        <v>11.727</v>
      </c>
      <c r="IS15" t="n">
        <v>14.818</v>
      </c>
      <c r="IT15" t="n">
        <v>-1.136</v>
      </c>
      <c r="IU15" t="n">
        <v>-8.045</v>
      </c>
      <c r="IV15" t="n">
        <v>-4.136</v>
      </c>
      <c r="IW15" t="n">
        <v>-3</v>
      </c>
      <c r="IX15" t="n">
        <v>0.409</v>
      </c>
      <c r="IY15" t="n">
        <v>-4.318</v>
      </c>
      <c r="IZ15" t="n">
        <v>-1.136</v>
      </c>
    </row>
    <row r="16">
      <c r="A16" t="inlineStr">
        <is>
          <t>Adelaide</t>
        </is>
      </c>
      <c r="B16" t="inlineStr">
        <is>
          <t>Adel</t>
        </is>
      </c>
      <c r="C16" t="n">
        <v>22</v>
      </c>
      <c r="D16" t="n">
        <v>38</v>
      </c>
      <c r="E16" t="n">
        <v>24.028</v>
      </c>
      <c r="F16" t="n">
        <v>64.245</v>
      </c>
      <c r="G16" t="n">
        <v>195.768</v>
      </c>
      <c r="H16" t="n">
        <v>1607.818</v>
      </c>
      <c r="I16" t="n">
        <v>1470.818</v>
      </c>
      <c r="J16" t="n">
        <v>11.182</v>
      </c>
      <c r="K16" t="n">
        <v>49.175</v>
      </c>
      <c r="L16" t="n">
        <v>199.5</v>
      </c>
      <c r="M16" t="n">
        <v>151.591</v>
      </c>
      <c r="N16" t="n">
        <v>351.091</v>
      </c>
      <c r="O16" t="n">
        <v>72.268</v>
      </c>
      <c r="P16" t="n">
        <v>64.73</v>
      </c>
      <c r="Q16" t="n">
        <v>82.18899999999999</v>
      </c>
      <c r="R16" t="n">
        <v>56.823</v>
      </c>
      <c r="S16" t="n">
        <v>5.146</v>
      </c>
      <c r="T16" t="n">
        <v>50.455</v>
      </c>
      <c r="U16" t="n">
        <v>40.864</v>
      </c>
      <c r="V16" t="n">
        <v>74.42100000000001</v>
      </c>
      <c r="W16" t="n">
        <v>5685.182</v>
      </c>
      <c r="X16" t="n">
        <v>16.193</v>
      </c>
      <c r="Y16" t="n">
        <v>61.864</v>
      </c>
      <c r="Z16" t="n">
        <v>5.675</v>
      </c>
      <c r="AA16" t="n">
        <v>68.727</v>
      </c>
      <c r="AB16" t="n">
        <v>5.108</v>
      </c>
      <c r="AC16" t="n">
        <v>-1.725</v>
      </c>
      <c r="AD16" t="n">
        <v>-4.821</v>
      </c>
      <c r="AE16" t="n">
        <v>143.318</v>
      </c>
      <c r="AF16" t="n">
        <v>203.318</v>
      </c>
      <c r="AG16" t="n">
        <v>346.636</v>
      </c>
      <c r="AH16" t="n">
        <v>41.345</v>
      </c>
      <c r="AI16" t="n">
        <v>68.136</v>
      </c>
      <c r="AJ16" t="n">
        <v>97.90900000000001</v>
      </c>
      <c r="AK16" t="n">
        <v>15.591</v>
      </c>
      <c r="AL16" t="n">
        <v>35.136</v>
      </c>
      <c r="AM16" t="n">
        <v>62.682</v>
      </c>
      <c r="AN16" t="n">
        <v>89.364</v>
      </c>
      <c r="AO16" t="n">
        <v>64.182</v>
      </c>
      <c r="AP16" t="n">
        <v>10.864</v>
      </c>
      <c r="AQ16" t="n">
        <v>25.773</v>
      </c>
      <c r="AR16" t="n">
        <v>120.773</v>
      </c>
      <c r="AS16" t="n">
        <v>11.591</v>
      </c>
      <c r="AT16" t="n">
        <v>27.909</v>
      </c>
      <c r="AU16" t="n">
        <v>39.5</v>
      </c>
      <c r="AV16" t="n">
        <v>42.773</v>
      </c>
      <c r="AW16" t="n">
        <v>75.027</v>
      </c>
      <c r="AX16" t="n">
        <v>74.636</v>
      </c>
      <c r="AY16" t="n">
        <v>10</v>
      </c>
      <c r="AZ16" t="n">
        <v>9.955</v>
      </c>
      <c r="BA16" t="n">
        <v>19.73</v>
      </c>
      <c r="BB16" t="n">
        <v>13.682</v>
      </c>
      <c r="BC16" t="n">
        <v>5.955</v>
      </c>
      <c r="BD16" t="n">
        <v>26</v>
      </c>
      <c r="BE16" t="n">
        <v>7</v>
      </c>
      <c r="BF16" t="n">
        <v>11.318</v>
      </c>
      <c r="BG16" t="n">
        <v>10.318</v>
      </c>
      <c r="BH16" t="n">
        <v>2.227</v>
      </c>
      <c r="BI16" t="n">
        <v>23.364</v>
      </c>
      <c r="BJ16" t="n">
        <v>7.636</v>
      </c>
      <c r="BK16" t="n">
        <v>48.444</v>
      </c>
      <c r="BL16" t="n">
        <v>22.432</v>
      </c>
      <c r="BM16" t="n">
        <v>42.883</v>
      </c>
      <c r="BN16" t="n">
        <v>46.306</v>
      </c>
      <c r="BO16" t="n">
        <v>21.409</v>
      </c>
      <c r="BP16" t="n">
        <v>17.5</v>
      </c>
      <c r="BQ16" t="n">
        <v>24.935</v>
      </c>
      <c r="BR16" t="n">
        <v>76.489</v>
      </c>
      <c r="BS16" t="n">
        <v>-0.489</v>
      </c>
      <c r="BT16" t="n">
        <v>3.274</v>
      </c>
      <c r="BU16" t="n">
        <v>-0.021</v>
      </c>
      <c r="BV16" t="n">
        <v>3.564</v>
      </c>
      <c r="BW16" t="n">
        <v>0.017</v>
      </c>
      <c r="BX16" t="n">
        <v>2.935</v>
      </c>
      <c r="BY16" t="n">
        <v>-0.066</v>
      </c>
      <c r="BZ16" t="n">
        <v>2.773</v>
      </c>
      <c r="CA16" t="n">
        <v>30.636</v>
      </c>
      <c r="CB16" t="n">
        <v>44.818</v>
      </c>
      <c r="CC16" t="n">
        <v>29.455</v>
      </c>
      <c r="CD16" t="n">
        <v>40.545</v>
      </c>
      <c r="CE16" t="n">
        <v>8.227</v>
      </c>
      <c r="CF16" t="n">
        <v>18.46</v>
      </c>
      <c r="CG16" t="n">
        <v>19.91</v>
      </c>
      <c r="CH16" t="n">
        <v>7.823</v>
      </c>
      <c r="CI16" t="n">
        <v>27.565</v>
      </c>
      <c r="CJ16" t="n">
        <v>10.908</v>
      </c>
      <c r="CK16" t="n">
        <v>18.091</v>
      </c>
      <c r="CL16" t="n">
        <v>29.648</v>
      </c>
      <c r="CM16" t="n">
        <v>67.59099999999999</v>
      </c>
      <c r="CN16" t="n">
        <v>11</v>
      </c>
      <c r="CO16" t="n">
        <v>302.182</v>
      </c>
      <c r="CP16" t="n">
        <v>147.545</v>
      </c>
      <c r="CQ16" t="n">
        <v>35</v>
      </c>
      <c r="CR16" t="n">
        <v>99.682</v>
      </c>
      <c r="CS16" t="n">
        <v>41.273</v>
      </c>
      <c r="CT16" t="n">
        <v>41.404</v>
      </c>
      <c r="CU16" t="n">
        <v>11.864</v>
      </c>
      <c r="CV16" t="n">
        <v>28.744</v>
      </c>
      <c r="CW16" t="n">
        <v>2.682</v>
      </c>
      <c r="CX16" t="n">
        <v>22.227</v>
      </c>
      <c r="CY16" t="n">
        <v>21.682</v>
      </c>
      <c r="CZ16" t="n">
        <v>0.545</v>
      </c>
      <c r="DA16" t="n">
        <v>10.045</v>
      </c>
      <c r="DB16" t="n">
        <v>80.995</v>
      </c>
      <c r="DC16" t="n">
        <v>2.273</v>
      </c>
      <c r="DD16" t="n">
        <v>49.091</v>
      </c>
      <c r="DE16" t="n">
        <v>73.318</v>
      </c>
      <c r="DF16" t="n">
        <v>209.077</v>
      </c>
      <c r="DG16" t="n">
        <v>1692.455</v>
      </c>
      <c r="DH16" t="n">
        <v>1557.091</v>
      </c>
      <c r="DI16" t="n">
        <v>18.818</v>
      </c>
      <c r="DJ16" t="n">
        <v>214.591</v>
      </c>
      <c r="DK16" t="n">
        <v>149.045</v>
      </c>
      <c r="DL16" t="n">
        <v>363.636</v>
      </c>
      <c r="DM16" t="n">
        <v>72.325</v>
      </c>
      <c r="DN16" t="n">
        <v>65.834</v>
      </c>
      <c r="DO16" t="n">
        <v>81.67100000000001</v>
      </c>
      <c r="DP16" t="n">
        <v>5.38</v>
      </c>
      <c r="DQ16" t="n">
        <v>54.909</v>
      </c>
      <c r="DR16" t="n">
        <v>38.273</v>
      </c>
      <c r="DS16" t="n">
        <v>75.85599999999999</v>
      </c>
      <c r="DT16" t="n">
        <v>5987.864</v>
      </c>
      <c r="DU16" t="n">
        <v>16.467</v>
      </c>
      <c r="DV16" t="n">
        <v>61.682</v>
      </c>
      <c r="DW16" t="n">
        <v>5.895</v>
      </c>
      <c r="DX16" t="n">
        <v>67.682</v>
      </c>
      <c r="DY16" t="n">
        <v>5.373</v>
      </c>
      <c r="DZ16" t="n">
        <v>-0.717</v>
      </c>
      <c r="EA16" t="n">
        <v>-0.929</v>
      </c>
      <c r="EB16" t="n">
        <v>142.364</v>
      </c>
      <c r="EC16" t="n">
        <v>212.727</v>
      </c>
      <c r="ED16" t="n">
        <v>355.091</v>
      </c>
      <c r="EE16" t="n">
        <v>40.092</v>
      </c>
      <c r="EF16" t="n">
        <v>69.136</v>
      </c>
      <c r="EG16" t="n">
        <v>96.773</v>
      </c>
      <c r="EH16" t="n">
        <v>17.136</v>
      </c>
      <c r="EI16" t="n">
        <v>36.455</v>
      </c>
      <c r="EJ16" t="n">
        <v>60.182</v>
      </c>
      <c r="EK16" t="n">
        <v>88.727</v>
      </c>
      <c r="EL16" t="n">
        <v>62.909</v>
      </c>
      <c r="EM16" t="n">
        <v>9.318</v>
      </c>
      <c r="EN16" t="n">
        <v>24.136</v>
      </c>
      <c r="EO16" t="n">
        <v>117.545</v>
      </c>
      <c r="EP16" t="n">
        <v>12.091</v>
      </c>
      <c r="EQ16" t="n">
        <v>27.955</v>
      </c>
      <c r="ER16" t="n">
        <v>40.045</v>
      </c>
      <c r="ES16" t="n">
        <v>44.227</v>
      </c>
      <c r="ET16" t="n">
        <v>75.437</v>
      </c>
      <c r="EU16" t="n">
        <v>86.5</v>
      </c>
      <c r="EV16" t="n">
        <v>11.227</v>
      </c>
      <c r="EW16" t="n">
        <v>10.5</v>
      </c>
      <c r="EX16" t="n">
        <v>19.123</v>
      </c>
      <c r="EY16" t="n">
        <v>17.091</v>
      </c>
      <c r="EZ16" t="n">
        <v>7.5</v>
      </c>
      <c r="FA16" t="n">
        <v>13.318</v>
      </c>
      <c r="FB16" t="n">
        <v>10.364</v>
      </c>
      <c r="FC16" t="n">
        <v>2.5</v>
      </c>
      <c r="FD16" t="n">
        <v>25.773</v>
      </c>
      <c r="FE16" t="n">
        <v>9.318</v>
      </c>
      <c r="FF16" t="n">
        <v>51.675</v>
      </c>
      <c r="FG16" t="n">
        <v>24.255</v>
      </c>
      <c r="FH16" t="n">
        <v>43.129</v>
      </c>
      <c r="FI16" t="n">
        <v>46.937</v>
      </c>
      <c r="FJ16" t="n">
        <v>23.455</v>
      </c>
      <c r="FK16" t="n">
        <v>84.20699999999999</v>
      </c>
      <c r="FL16" t="n">
        <v>3.565</v>
      </c>
      <c r="FM16" t="n">
        <v>3.267</v>
      </c>
      <c r="FN16" t="n">
        <v>0.138</v>
      </c>
      <c r="FO16" t="n">
        <v>3.528</v>
      </c>
      <c r="FP16" t="n">
        <v>0.03</v>
      </c>
      <c r="FQ16" t="n">
        <v>3.02</v>
      </c>
      <c r="FR16" t="n">
        <v>0.241</v>
      </c>
      <c r="FS16" t="n">
        <v>2</v>
      </c>
      <c r="FT16" t="n">
        <v>38.045</v>
      </c>
      <c r="FU16" t="n">
        <v>50.227</v>
      </c>
      <c r="FV16" t="n">
        <v>30.182</v>
      </c>
      <c r="FW16" t="n">
        <v>46.864</v>
      </c>
      <c r="FX16" t="n">
        <v>13.227</v>
      </c>
      <c r="FY16" t="n">
        <v>20.047</v>
      </c>
      <c r="FZ16" t="n">
        <v>18.061</v>
      </c>
      <c r="GA16" t="n">
        <v>7.152</v>
      </c>
      <c r="GB16" t="n">
        <v>28.665</v>
      </c>
      <c r="GC16" t="n">
        <v>10.747</v>
      </c>
      <c r="GD16" t="n">
        <v>68.227</v>
      </c>
      <c r="GE16" t="n">
        <v>12.545</v>
      </c>
      <c r="GF16" t="n">
        <v>306.273</v>
      </c>
      <c r="GG16" t="n">
        <v>138.227</v>
      </c>
      <c r="GH16" t="n">
        <v>36.409</v>
      </c>
      <c r="GI16" t="n">
        <v>39.364</v>
      </c>
      <c r="GJ16" t="n">
        <v>39.471</v>
      </c>
      <c r="GK16" t="n">
        <v>10.636</v>
      </c>
      <c r="GL16" t="n">
        <v>27.021</v>
      </c>
      <c r="GM16" t="n">
        <v>2.136</v>
      </c>
      <c r="GN16" t="n">
        <v>10.091</v>
      </c>
      <c r="GO16" t="n">
        <v>86.036</v>
      </c>
      <c r="GP16" t="n">
        <v>5</v>
      </c>
      <c r="GQ16" t="n">
        <v>52.091</v>
      </c>
      <c r="GR16" t="n">
        <v>71.136</v>
      </c>
      <c r="GS16" t="n">
        <v>-13.309</v>
      </c>
      <c r="GT16" t="n">
        <v>-84.636</v>
      </c>
      <c r="GU16" t="n">
        <v>-86.273</v>
      </c>
      <c r="GV16" t="n">
        <v>-7.636</v>
      </c>
      <c r="GW16" t="n">
        <v>-15.091</v>
      </c>
      <c r="GX16" t="n">
        <v>2.545</v>
      </c>
      <c r="GY16" t="n">
        <v>-12.545</v>
      </c>
      <c r="GZ16" t="n">
        <v>-4.455</v>
      </c>
      <c r="HA16" t="n">
        <v>-302.682</v>
      </c>
      <c r="HB16" t="n">
        <v>0.182</v>
      </c>
      <c r="HC16" t="n">
        <v>1.045</v>
      </c>
      <c r="HD16" t="n">
        <v>-1.008</v>
      </c>
      <c r="HE16" t="n">
        <v>-3.892</v>
      </c>
      <c r="HF16" t="n">
        <v>0.955</v>
      </c>
      <c r="HG16" t="n">
        <v>-9.409000000000001</v>
      </c>
      <c r="HH16" t="n">
        <v>-8.455</v>
      </c>
      <c r="HI16" t="n">
        <v>-1</v>
      </c>
      <c r="HJ16" t="n">
        <v>1.136</v>
      </c>
      <c r="HK16" t="n">
        <v>-1.545</v>
      </c>
      <c r="HL16" t="n">
        <v>-1.318</v>
      </c>
      <c r="HM16" t="n">
        <v>2.5</v>
      </c>
      <c r="HN16" t="n">
        <v>0.636</v>
      </c>
      <c r="HO16" t="n">
        <v>1.273</v>
      </c>
      <c r="HP16" t="n">
        <v>1.545</v>
      </c>
      <c r="HQ16" t="n">
        <v>1.636</v>
      </c>
      <c r="HR16" t="n">
        <v>3.227</v>
      </c>
      <c r="HS16" t="n">
        <v>-0.5</v>
      </c>
      <c r="HT16" t="n">
        <v>-0.045</v>
      </c>
      <c r="HU16" t="n">
        <v>-0.545</v>
      </c>
      <c r="HV16" t="n">
        <v>-1.455</v>
      </c>
      <c r="HW16" t="n">
        <v>-11.864</v>
      </c>
      <c r="HX16" t="n">
        <v>-1.227</v>
      </c>
      <c r="HY16" t="n">
        <v>-0.545</v>
      </c>
      <c r="HZ16" t="n">
        <v>-3.409</v>
      </c>
      <c r="IA16" t="n">
        <v>-1.545</v>
      </c>
      <c r="IB16" t="n">
        <v>-2</v>
      </c>
      <c r="IC16" t="n">
        <v>-0.045</v>
      </c>
      <c r="ID16" t="n">
        <v>-2.409</v>
      </c>
      <c r="IE16" t="n">
        <v>-1.682</v>
      </c>
      <c r="IF16" t="n">
        <v>-2.045</v>
      </c>
      <c r="IG16" t="n">
        <v>-7.718</v>
      </c>
      <c r="IH16" t="n">
        <v>-4.055</v>
      </c>
      <c r="II16" t="n">
        <v>0.007</v>
      </c>
      <c r="IJ16" t="n">
        <v>0.773</v>
      </c>
      <c r="IK16" t="n">
        <v>-7.409</v>
      </c>
      <c r="IL16" t="n">
        <v>-5.409</v>
      </c>
      <c r="IM16" t="n">
        <v>-0.727</v>
      </c>
      <c r="IN16" t="n">
        <v>-6.318</v>
      </c>
      <c r="IO16" t="n">
        <v>-5</v>
      </c>
      <c r="IP16" t="n">
        <v>-0.636</v>
      </c>
      <c r="IQ16" t="n">
        <v>-1.545</v>
      </c>
      <c r="IR16" t="n">
        <v>-4.091</v>
      </c>
      <c r="IS16" t="n">
        <v>9.318</v>
      </c>
      <c r="IT16" t="n">
        <v>-1.409</v>
      </c>
      <c r="IU16" t="n">
        <v>1.909</v>
      </c>
      <c r="IV16" t="n">
        <v>1.227</v>
      </c>
      <c r="IW16" t="n">
        <v>0.545</v>
      </c>
      <c r="IX16" t="n">
        <v>-2.727</v>
      </c>
      <c r="IY16" t="n">
        <v>-3</v>
      </c>
      <c r="IZ16" t="n">
        <v>2.182</v>
      </c>
    </row>
    <row r="17">
      <c r="A17" t="inlineStr">
        <is>
          <t>Fremantle</t>
        </is>
      </c>
      <c r="B17" t="inlineStr">
        <is>
          <t>Frem</t>
        </is>
      </c>
      <c r="C17" t="n">
        <v>24</v>
      </c>
      <c r="D17" t="n">
        <v>35</v>
      </c>
      <c r="E17" t="n">
        <v>25.034</v>
      </c>
      <c r="F17" t="n">
        <v>82.89700000000001</v>
      </c>
      <c r="G17" t="n">
        <v>201.504</v>
      </c>
      <c r="H17" t="n">
        <v>1708.5</v>
      </c>
      <c r="I17" t="n">
        <v>1577.958</v>
      </c>
      <c r="J17" t="n">
        <v>17.542</v>
      </c>
      <c r="K17" t="n">
        <v>51.117</v>
      </c>
      <c r="L17" t="n">
        <v>218.542</v>
      </c>
      <c r="M17" t="n">
        <v>164.792</v>
      </c>
      <c r="N17" t="n">
        <v>383.333</v>
      </c>
      <c r="O17" t="n">
        <v>75.20699999999999</v>
      </c>
      <c r="P17" t="n">
        <v>68.19799999999999</v>
      </c>
      <c r="Q17" t="n">
        <v>84.501</v>
      </c>
      <c r="R17" t="n">
        <v>57.011</v>
      </c>
      <c r="S17" t="n">
        <v>6.474</v>
      </c>
      <c r="T17" t="n">
        <v>51.667</v>
      </c>
      <c r="U17" t="n">
        <v>39.542</v>
      </c>
      <c r="V17" t="n">
        <v>79.017</v>
      </c>
      <c r="W17" t="n">
        <v>5753.458</v>
      </c>
      <c r="X17" t="n">
        <v>15.009</v>
      </c>
      <c r="Y17" t="n">
        <v>57.708</v>
      </c>
      <c r="Z17" t="n">
        <v>6.643</v>
      </c>
      <c r="AA17" t="n">
        <v>70.417</v>
      </c>
      <c r="AB17" t="n">
        <v>5.444</v>
      </c>
      <c r="AC17" t="n">
        <v>-1.573</v>
      </c>
      <c r="AD17" t="n">
        <v>-2</v>
      </c>
      <c r="AE17" t="n">
        <v>138.792</v>
      </c>
      <c r="AF17" t="n">
        <v>238.5</v>
      </c>
      <c r="AG17" t="n">
        <v>377.292</v>
      </c>
      <c r="AH17" t="n">
        <v>36.786</v>
      </c>
      <c r="AI17" t="n">
        <v>70.083</v>
      </c>
      <c r="AJ17" t="n">
        <v>91.042</v>
      </c>
      <c r="AK17" t="n">
        <v>14.833</v>
      </c>
      <c r="AL17" t="n">
        <v>31.792</v>
      </c>
      <c r="AM17" t="n">
        <v>59.25</v>
      </c>
      <c r="AN17" t="n">
        <v>88.167</v>
      </c>
      <c r="AO17" t="n">
        <v>61.875</v>
      </c>
      <c r="AP17" t="n">
        <v>13.292</v>
      </c>
      <c r="AQ17" t="n">
        <v>25.375</v>
      </c>
      <c r="AR17" t="n">
        <v>134.75</v>
      </c>
      <c r="AS17" t="n">
        <v>11.083</v>
      </c>
      <c r="AT17" t="n">
        <v>26.75</v>
      </c>
      <c r="AU17" t="n">
        <v>37.833</v>
      </c>
      <c r="AV17" t="n">
        <v>40.958</v>
      </c>
      <c r="AW17" t="n">
        <v>77.111</v>
      </c>
      <c r="AX17" t="n">
        <v>94.583</v>
      </c>
      <c r="AY17" t="n">
        <v>10.375</v>
      </c>
      <c r="AZ17" t="n">
        <v>9.208</v>
      </c>
      <c r="BA17" t="n">
        <v>17.823</v>
      </c>
      <c r="BB17" t="n">
        <v>15</v>
      </c>
      <c r="BC17" t="n">
        <v>6.167</v>
      </c>
      <c r="BD17" t="n">
        <v>29</v>
      </c>
      <c r="BE17" t="n">
        <v>7.25</v>
      </c>
      <c r="BF17" t="n">
        <v>11.292</v>
      </c>
      <c r="BG17" t="n">
        <v>10.208</v>
      </c>
      <c r="BH17" t="n">
        <v>2.042</v>
      </c>
      <c r="BI17" t="n">
        <v>24.708</v>
      </c>
      <c r="BJ17" t="n">
        <v>7.917</v>
      </c>
      <c r="BK17" t="n">
        <v>45.7</v>
      </c>
      <c r="BL17" t="n">
        <v>21.855</v>
      </c>
      <c r="BM17" t="n">
        <v>41.613</v>
      </c>
      <c r="BN17" t="n">
        <v>47.823</v>
      </c>
      <c r="BO17" t="n">
        <v>21.25</v>
      </c>
      <c r="BP17" t="n">
        <v>16.167</v>
      </c>
      <c r="BQ17" t="n">
        <v>24.227</v>
      </c>
      <c r="BR17" t="n">
        <v>78.23399999999999</v>
      </c>
      <c r="BS17" t="n">
        <v>-2.317</v>
      </c>
      <c r="BT17" t="n">
        <v>3.166</v>
      </c>
      <c r="BU17" t="n">
        <v>-0.094</v>
      </c>
      <c r="BV17" t="n">
        <v>3.488</v>
      </c>
      <c r="BW17" t="n">
        <v>-0.152</v>
      </c>
      <c r="BX17" t="n">
        <v>2.867</v>
      </c>
      <c r="BY17" t="n">
        <v>-0.039</v>
      </c>
      <c r="BZ17" t="n">
        <v>2.458</v>
      </c>
      <c r="CA17" t="n">
        <v>30.5</v>
      </c>
      <c r="CB17" t="n">
        <v>45</v>
      </c>
      <c r="CC17" t="n">
        <v>28.833</v>
      </c>
      <c r="CD17" t="n">
        <v>39.417</v>
      </c>
      <c r="CE17" t="n">
        <v>9.708</v>
      </c>
      <c r="CF17" t="n">
        <v>18.432</v>
      </c>
      <c r="CG17" t="n">
        <v>18.558</v>
      </c>
      <c r="CH17" t="n">
        <v>7.741</v>
      </c>
      <c r="CI17" t="n">
        <v>27.93</v>
      </c>
      <c r="CJ17" t="n">
        <v>10.766</v>
      </c>
      <c r="CK17" t="n">
        <v>15.625</v>
      </c>
      <c r="CL17" t="n">
        <v>25.333</v>
      </c>
      <c r="CM17" t="n">
        <v>57.917</v>
      </c>
      <c r="CN17" t="n">
        <v>11.25</v>
      </c>
      <c r="CO17" t="n">
        <v>290.542</v>
      </c>
      <c r="CP17" t="n">
        <v>129.833</v>
      </c>
      <c r="CQ17" t="n">
        <v>34.208</v>
      </c>
      <c r="CR17" t="n">
        <v>89.417</v>
      </c>
      <c r="CS17" t="n">
        <v>42.375</v>
      </c>
      <c r="CT17" t="n">
        <v>47.39</v>
      </c>
      <c r="CU17" t="n">
        <v>13.792</v>
      </c>
      <c r="CV17" t="n">
        <v>32.547</v>
      </c>
      <c r="CW17" t="n">
        <v>3.167</v>
      </c>
      <c r="CX17" t="n">
        <v>20.167</v>
      </c>
      <c r="CY17" t="n">
        <v>20.417</v>
      </c>
      <c r="CZ17" t="n">
        <v>-0.25</v>
      </c>
      <c r="DA17" t="n">
        <v>9.25</v>
      </c>
      <c r="DB17" t="n">
        <v>85.586</v>
      </c>
      <c r="DC17" t="n">
        <v>4.125</v>
      </c>
      <c r="DD17" t="n">
        <v>50.292</v>
      </c>
      <c r="DE17" t="n">
        <v>72.348</v>
      </c>
      <c r="DF17" t="n">
        <v>192.079</v>
      </c>
      <c r="DG17" t="n">
        <v>1590.458</v>
      </c>
      <c r="DH17" t="n">
        <v>1476.375</v>
      </c>
      <c r="DI17" t="n">
        <v>12.458</v>
      </c>
      <c r="DJ17" t="n">
        <v>211.875</v>
      </c>
      <c r="DK17" t="n">
        <v>139.75</v>
      </c>
      <c r="DL17" t="n">
        <v>351.625</v>
      </c>
      <c r="DM17" t="n">
        <v>71.94</v>
      </c>
      <c r="DN17" t="n">
        <v>65.369</v>
      </c>
      <c r="DO17" t="n">
        <v>81.902</v>
      </c>
      <c r="DP17" t="n">
        <v>6.071</v>
      </c>
      <c r="DQ17" t="n">
        <v>50.042</v>
      </c>
      <c r="DR17" t="n">
        <v>39.583</v>
      </c>
      <c r="DS17" t="n">
        <v>76.613</v>
      </c>
      <c r="DT17" t="n">
        <v>5620.75</v>
      </c>
      <c r="DU17" t="n">
        <v>15.985</v>
      </c>
      <c r="DV17" t="n">
        <v>59.917</v>
      </c>
      <c r="DW17" t="n">
        <v>5.869</v>
      </c>
      <c r="DX17" t="n">
        <v>69.75</v>
      </c>
      <c r="DY17" t="n">
        <v>5.041</v>
      </c>
      <c r="DZ17" t="n">
        <v>-3.084</v>
      </c>
      <c r="EA17" t="n">
        <v>-2.102</v>
      </c>
      <c r="EB17" t="n">
        <v>137.958</v>
      </c>
      <c r="EC17" t="n">
        <v>210.375</v>
      </c>
      <c r="ED17" t="n">
        <v>348.333</v>
      </c>
      <c r="EE17" t="n">
        <v>39.605</v>
      </c>
      <c r="EF17" t="n">
        <v>70.667</v>
      </c>
      <c r="EG17" t="n">
        <v>92.083</v>
      </c>
      <c r="EH17" t="n">
        <v>15.75</v>
      </c>
      <c r="EI17" t="n">
        <v>30.083</v>
      </c>
      <c r="EJ17" t="n">
        <v>62</v>
      </c>
      <c r="EK17" t="n">
        <v>90.333</v>
      </c>
      <c r="EL17" t="n">
        <v>62.75</v>
      </c>
      <c r="EM17" t="n">
        <v>8.958</v>
      </c>
      <c r="EN17" t="n">
        <v>24.375</v>
      </c>
      <c r="EO17" t="n">
        <v>111.167</v>
      </c>
      <c r="EP17" t="n">
        <v>11.083</v>
      </c>
      <c r="EQ17" t="n">
        <v>24</v>
      </c>
      <c r="ER17" t="n">
        <v>35.083</v>
      </c>
      <c r="ES17" t="n">
        <v>38.792</v>
      </c>
      <c r="ET17" t="n">
        <v>73.684</v>
      </c>
      <c r="EU17" t="n">
        <v>89</v>
      </c>
      <c r="EV17" t="n">
        <v>10.542</v>
      </c>
      <c r="EW17" t="n">
        <v>9.458</v>
      </c>
      <c r="EX17" t="n">
        <v>18.901</v>
      </c>
      <c r="EY17" t="n">
        <v>15.75</v>
      </c>
      <c r="EZ17" t="n">
        <v>5.958</v>
      </c>
      <c r="FA17" t="n">
        <v>9.708</v>
      </c>
      <c r="FB17" t="n">
        <v>9.458</v>
      </c>
      <c r="FC17" t="n">
        <v>1.875</v>
      </c>
      <c r="FD17" t="n">
        <v>21.333</v>
      </c>
      <c r="FE17" t="n">
        <v>6</v>
      </c>
      <c r="FF17" t="n">
        <v>45.508</v>
      </c>
      <c r="FG17" t="n">
        <v>19.4</v>
      </c>
      <c r="FH17" t="n">
        <v>38.301</v>
      </c>
      <c r="FI17" t="n">
        <v>42.631</v>
      </c>
      <c r="FJ17" t="n">
        <v>18.958</v>
      </c>
      <c r="FK17" t="n">
        <v>69.13500000000001</v>
      </c>
      <c r="FL17" t="n">
        <v>-3.302</v>
      </c>
      <c r="FM17" t="n">
        <v>3.241</v>
      </c>
      <c r="FN17" t="n">
        <v>-0.155</v>
      </c>
      <c r="FO17" t="n">
        <v>3.574</v>
      </c>
      <c r="FP17" t="n">
        <v>-0.217</v>
      </c>
      <c r="FQ17" t="n">
        <v>2.903</v>
      </c>
      <c r="FR17" t="n">
        <v>-0.092</v>
      </c>
      <c r="FS17" t="n">
        <v>2</v>
      </c>
      <c r="FT17" t="n">
        <v>28.458</v>
      </c>
      <c r="FU17" t="n">
        <v>37.25</v>
      </c>
      <c r="FV17" t="n">
        <v>21.875</v>
      </c>
      <c r="FW17" t="n">
        <v>36.5</v>
      </c>
      <c r="FX17" t="n">
        <v>9.333</v>
      </c>
      <c r="FY17" t="n">
        <v>16.827</v>
      </c>
      <c r="FZ17" t="n">
        <v>19.857</v>
      </c>
      <c r="GA17" t="n">
        <v>6.051</v>
      </c>
      <c r="GB17" t="n">
        <v>27.267</v>
      </c>
      <c r="GC17" t="n">
        <v>8.186999999999999</v>
      </c>
      <c r="GD17" t="n">
        <v>59.208</v>
      </c>
      <c r="GE17" t="n">
        <v>12.042</v>
      </c>
      <c r="GF17" t="n">
        <v>310.708</v>
      </c>
      <c r="GG17" t="n">
        <v>147.292</v>
      </c>
      <c r="GH17" t="n">
        <v>36.625</v>
      </c>
      <c r="GI17" t="n">
        <v>31.292</v>
      </c>
      <c r="GJ17" t="n">
        <v>35.028</v>
      </c>
      <c r="GK17" t="n">
        <v>10.083</v>
      </c>
      <c r="GL17" t="n">
        <v>32.224</v>
      </c>
      <c r="GM17" t="n">
        <v>1.917</v>
      </c>
      <c r="GN17" t="n">
        <v>9.917</v>
      </c>
      <c r="GO17" t="n">
        <v>80.252</v>
      </c>
      <c r="GP17" t="n">
        <v>4.792</v>
      </c>
      <c r="GQ17" t="n">
        <v>51.75</v>
      </c>
      <c r="GR17" t="n">
        <v>71.75</v>
      </c>
      <c r="GS17" t="n">
        <v>9.425000000000001</v>
      </c>
      <c r="GT17" t="n">
        <v>118.042</v>
      </c>
      <c r="GU17" t="n">
        <v>101.583</v>
      </c>
      <c r="GV17" t="n">
        <v>5.083</v>
      </c>
      <c r="GW17" t="n">
        <v>6.667</v>
      </c>
      <c r="GX17" t="n">
        <v>25.042</v>
      </c>
      <c r="GY17" t="n">
        <v>31.708</v>
      </c>
      <c r="GZ17" t="n">
        <v>1.625</v>
      </c>
      <c r="HA17" t="n">
        <v>132.708</v>
      </c>
      <c r="HB17" t="n">
        <v>-2.208</v>
      </c>
      <c r="HC17" t="n">
        <v>0.667</v>
      </c>
      <c r="HD17" t="n">
        <v>1.511</v>
      </c>
      <c r="HE17" t="n">
        <v>0.102</v>
      </c>
      <c r="HF17" t="n">
        <v>0.833</v>
      </c>
      <c r="HG17" t="n">
        <v>28.125</v>
      </c>
      <c r="HH17" t="n">
        <v>28.958</v>
      </c>
      <c r="HI17" t="n">
        <v>-0.583</v>
      </c>
      <c r="HJ17" t="n">
        <v>-1.042</v>
      </c>
      <c r="HK17" t="n">
        <v>-0.917</v>
      </c>
      <c r="HL17" t="n">
        <v>1.708</v>
      </c>
      <c r="HM17" t="n">
        <v>-2.75</v>
      </c>
      <c r="HN17" t="n">
        <v>-2.167</v>
      </c>
      <c r="HO17" t="n">
        <v>-0.875</v>
      </c>
      <c r="HP17" t="n">
        <v>4.333</v>
      </c>
      <c r="HQ17" t="n">
        <v>1</v>
      </c>
      <c r="HR17" t="n">
        <v>23.583</v>
      </c>
      <c r="HS17" t="n">
        <v>0</v>
      </c>
      <c r="HT17" t="n">
        <v>2.75</v>
      </c>
      <c r="HU17" t="n">
        <v>2.75</v>
      </c>
      <c r="HV17" t="n">
        <v>2.167</v>
      </c>
      <c r="HW17" t="n">
        <v>5.583</v>
      </c>
      <c r="HX17" t="n">
        <v>-0.167</v>
      </c>
      <c r="HY17" t="n">
        <v>-0.25</v>
      </c>
      <c r="HZ17" t="n">
        <v>-0.75</v>
      </c>
      <c r="IA17" t="n">
        <v>0.208</v>
      </c>
      <c r="IB17" t="n">
        <v>1.583</v>
      </c>
      <c r="IC17" t="n">
        <v>0.75</v>
      </c>
      <c r="ID17" t="n">
        <v>3.375</v>
      </c>
      <c r="IE17" t="n">
        <v>1.917</v>
      </c>
      <c r="IF17" t="n">
        <v>2.292</v>
      </c>
      <c r="IG17" t="n">
        <v>9.098000000000001</v>
      </c>
      <c r="IH17" t="n">
        <v>0.985</v>
      </c>
      <c r="II17" t="n">
        <v>-0.074</v>
      </c>
      <c r="IJ17" t="n">
        <v>0.458</v>
      </c>
      <c r="IK17" t="n">
        <v>2.042</v>
      </c>
      <c r="IL17" t="n">
        <v>7.75</v>
      </c>
      <c r="IM17" t="n">
        <v>6.958</v>
      </c>
      <c r="IN17" t="n">
        <v>2.917</v>
      </c>
      <c r="IO17" t="n">
        <v>0.375</v>
      </c>
      <c r="IP17" t="n">
        <v>-1.292</v>
      </c>
      <c r="IQ17" t="n">
        <v>-0.792</v>
      </c>
      <c r="IR17" t="n">
        <v>-20.167</v>
      </c>
      <c r="IS17" t="n">
        <v>-17.458</v>
      </c>
      <c r="IT17" t="n">
        <v>-2.417</v>
      </c>
      <c r="IU17" t="n">
        <v>11.083</v>
      </c>
      <c r="IV17" t="n">
        <v>3.708</v>
      </c>
      <c r="IW17" t="n">
        <v>1.25</v>
      </c>
      <c r="IX17" t="n">
        <v>-0.667</v>
      </c>
      <c r="IY17" t="n">
        <v>-1.458</v>
      </c>
      <c r="IZ17" t="n">
        <v>0.739</v>
      </c>
    </row>
    <row r="18">
      <c r="A18" t="inlineStr">
        <is>
          <t>Gold Coast</t>
        </is>
      </c>
      <c r="B18" t="inlineStr">
        <is>
          <t>GC</t>
        </is>
      </c>
      <c r="C18" t="n">
        <v>22</v>
      </c>
      <c r="D18" t="n">
        <v>40</v>
      </c>
      <c r="E18" t="n">
        <v>24.982</v>
      </c>
      <c r="F18" t="n">
        <v>79.514</v>
      </c>
      <c r="G18" t="n">
        <v>203.45</v>
      </c>
      <c r="H18" t="n">
        <v>1599.5</v>
      </c>
      <c r="I18" t="n">
        <v>1437.318</v>
      </c>
      <c r="J18" t="n">
        <v>15.136</v>
      </c>
      <c r="K18" t="n">
        <v>52.784</v>
      </c>
      <c r="L18" t="n">
        <v>215.273</v>
      </c>
      <c r="M18" t="n">
        <v>110.636</v>
      </c>
      <c r="N18" t="n">
        <v>325.909</v>
      </c>
      <c r="O18" t="n">
        <v>68.42400000000001</v>
      </c>
      <c r="P18" t="n">
        <v>63.471</v>
      </c>
      <c r="Q18" t="n">
        <v>78.06100000000001</v>
      </c>
      <c r="R18" t="n">
        <v>66.053</v>
      </c>
      <c r="S18" t="n">
        <v>5.307</v>
      </c>
      <c r="T18" t="n">
        <v>55.909</v>
      </c>
      <c r="U18" t="n">
        <v>38.727</v>
      </c>
      <c r="V18" t="n">
        <v>75.265</v>
      </c>
      <c r="W18" t="n">
        <v>6018.636</v>
      </c>
      <c r="X18" t="n">
        <v>18.467</v>
      </c>
      <c r="Y18" t="n">
        <v>62.955</v>
      </c>
      <c r="Z18" t="n">
        <v>5.177</v>
      </c>
      <c r="AA18" t="n">
        <v>72.955</v>
      </c>
      <c r="AB18" t="n">
        <v>4.467</v>
      </c>
      <c r="AC18" t="n">
        <v>-0.86</v>
      </c>
      <c r="AD18" t="n">
        <v>-0.724</v>
      </c>
      <c r="AE18" t="n">
        <v>142.591</v>
      </c>
      <c r="AF18" t="n">
        <v>177.864</v>
      </c>
      <c r="AG18" t="n">
        <v>320.455</v>
      </c>
      <c r="AH18" t="n">
        <v>44.496</v>
      </c>
      <c r="AI18" t="n">
        <v>70.682</v>
      </c>
      <c r="AJ18" t="n">
        <v>94.59099999999999</v>
      </c>
      <c r="AK18" t="n">
        <v>19.182</v>
      </c>
      <c r="AL18" t="n">
        <v>29.227</v>
      </c>
      <c r="AM18" t="n">
        <v>65.364</v>
      </c>
      <c r="AN18" t="n">
        <v>90.182</v>
      </c>
      <c r="AO18" t="n">
        <v>65.545</v>
      </c>
      <c r="AP18" t="n">
        <v>13.227</v>
      </c>
      <c r="AQ18" t="n">
        <v>24.909</v>
      </c>
      <c r="AR18" t="n">
        <v>82.955</v>
      </c>
      <c r="AS18" t="n">
        <v>12.682</v>
      </c>
      <c r="AT18" t="n">
        <v>26.5</v>
      </c>
      <c r="AU18" t="n">
        <v>39.182</v>
      </c>
      <c r="AV18" t="n">
        <v>43.636</v>
      </c>
      <c r="AW18" t="n">
        <v>76.875</v>
      </c>
      <c r="AX18" t="n">
        <v>83.364</v>
      </c>
      <c r="AY18" t="n">
        <v>9.590999999999999</v>
      </c>
      <c r="AZ18" t="n">
        <v>11.273</v>
      </c>
      <c r="BA18" t="n">
        <v>20.163</v>
      </c>
      <c r="BB18" t="n">
        <v>14.455</v>
      </c>
      <c r="BC18" t="n">
        <v>6.955</v>
      </c>
      <c r="BD18" t="n">
        <v>28</v>
      </c>
      <c r="BE18" t="n">
        <v>7.682</v>
      </c>
      <c r="BF18" t="n">
        <v>12.318</v>
      </c>
      <c r="BG18" t="n">
        <v>11.136</v>
      </c>
      <c r="BH18" t="n">
        <v>2.364</v>
      </c>
      <c r="BI18" t="n">
        <v>25.818</v>
      </c>
      <c r="BJ18" t="n">
        <v>8.227</v>
      </c>
      <c r="BK18" t="n">
        <v>47.711</v>
      </c>
      <c r="BL18" t="n">
        <v>22.033</v>
      </c>
      <c r="BM18" t="n">
        <v>41.951</v>
      </c>
      <c r="BN18" t="n">
        <v>46.179</v>
      </c>
      <c r="BO18" t="n">
        <v>22.955</v>
      </c>
      <c r="BP18" t="n">
        <v>15.273</v>
      </c>
      <c r="BQ18" t="n">
        <v>23.81</v>
      </c>
      <c r="BR18" t="n">
        <v>86.127</v>
      </c>
      <c r="BS18" t="n">
        <v>-3.445</v>
      </c>
      <c r="BT18" t="n">
        <v>3.336</v>
      </c>
      <c r="BU18" t="n">
        <v>-0.133</v>
      </c>
      <c r="BV18" t="n">
        <v>3.668</v>
      </c>
      <c r="BW18" t="n">
        <v>-0.184</v>
      </c>
      <c r="BX18" t="n">
        <v>2.982</v>
      </c>
      <c r="BY18" t="n">
        <v>-0.08</v>
      </c>
      <c r="BZ18" t="n">
        <v>2.273</v>
      </c>
      <c r="CA18" t="n">
        <v>31.818</v>
      </c>
      <c r="CB18" t="n">
        <v>50.955</v>
      </c>
      <c r="CC18" t="n">
        <v>29.864</v>
      </c>
      <c r="CD18" t="n">
        <v>43.227</v>
      </c>
      <c r="CE18" t="n">
        <v>11.955</v>
      </c>
      <c r="CF18" t="n">
        <v>19.347</v>
      </c>
      <c r="CG18" t="n">
        <v>21.578</v>
      </c>
      <c r="CH18" t="n">
        <v>7.309</v>
      </c>
      <c r="CI18" t="n">
        <v>29.834</v>
      </c>
      <c r="CJ18" t="n">
        <v>11.104</v>
      </c>
      <c r="CK18" t="n">
        <v>15.773</v>
      </c>
      <c r="CL18" t="n">
        <v>25.937</v>
      </c>
      <c r="CM18" t="n">
        <v>59.318</v>
      </c>
      <c r="CN18" t="n">
        <v>11.227</v>
      </c>
      <c r="CO18" t="n">
        <v>301.636</v>
      </c>
      <c r="CP18" t="n">
        <v>139.909</v>
      </c>
      <c r="CQ18" t="n">
        <v>37.545</v>
      </c>
      <c r="CR18" t="n">
        <v>92.955</v>
      </c>
      <c r="CS18" t="n">
        <v>42.864</v>
      </c>
      <c r="CT18" t="n">
        <v>46.112</v>
      </c>
      <c r="CU18" t="n">
        <v>14.545</v>
      </c>
      <c r="CV18" t="n">
        <v>33.934</v>
      </c>
      <c r="CW18" t="n">
        <v>3.364</v>
      </c>
      <c r="CX18" t="n">
        <v>20.455</v>
      </c>
      <c r="CY18" t="n">
        <v>21.045</v>
      </c>
      <c r="CZ18" t="n">
        <v>-0.591</v>
      </c>
      <c r="DA18" t="n">
        <v>11.273</v>
      </c>
      <c r="DB18" t="n">
        <v>80.242</v>
      </c>
      <c r="DC18" t="n">
        <v>6.182</v>
      </c>
      <c r="DD18" t="n">
        <v>54</v>
      </c>
      <c r="DE18" t="n">
        <v>70.59099999999999</v>
      </c>
      <c r="DF18" t="n">
        <v>203.905</v>
      </c>
      <c r="DG18" t="n">
        <v>1701.136</v>
      </c>
      <c r="DH18" t="n">
        <v>1540.682</v>
      </c>
      <c r="DI18" t="n">
        <v>14.864</v>
      </c>
      <c r="DJ18" t="n">
        <v>219.864</v>
      </c>
      <c r="DK18" t="n">
        <v>145.636</v>
      </c>
      <c r="DL18" t="n">
        <v>365.5</v>
      </c>
      <c r="DM18" t="n">
        <v>72.628</v>
      </c>
      <c r="DN18" t="n">
        <v>65.371</v>
      </c>
      <c r="DO18" t="n">
        <v>83.583</v>
      </c>
      <c r="DP18" t="n">
        <v>6.162</v>
      </c>
      <c r="DQ18" t="n">
        <v>51.455</v>
      </c>
      <c r="DR18" t="n">
        <v>42.818</v>
      </c>
      <c r="DS18" t="n">
        <v>76.58499999999999</v>
      </c>
      <c r="DT18" t="n">
        <v>6035.727</v>
      </c>
      <c r="DU18" t="n">
        <v>16.514</v>
      </c>
      <c r="DV18" t="n">
        <v>63.682</v>
      </c>
      <c r="DW18" t="n">
        <v>5.739</v>
      </c>
      <c r="DX18" t="n">
        <v>70.455</v>
      </c>
      <c r="DY18" t="n">
        <v>5.188</v>
      </c>
      <c r="DZ18" t="n">
        <v>-0.045</v>
      </c>
      <c r="EA18" t="n">
        <v>-1.436</v>
      </c>
      <c r="EB18" t="n">
        <v>139.455</v>
      </c>
      <c r="EC18" t="n">
        <v>218.136</v>
      </c>
      <c r="ED18" t="n">
        <v>357.591</v>
      </c>
      <c r="EE18" t="n">
        <v>38.998</v>
      </c>
      <c r="EF18" t="n">
        <v>73.045</v>
      </c>
      <c r="EG18" t="n">
        <v>95.273</v>
      </c>
      <c r="EH18" t="n">
        <v>16.455</v>
      </c>
      <c r="EI18" t="n">
        <v>31.273</v>
      </c>
      <c r="EJ18" t="n">
        <v>64</v>
      </c>
      <c r="EK18" t="n">
        <v>92.045</v>
      </c>
      <c r="EL18" t="n">
        <v>65.364</v>
      </c>
      <c r="EM18" t="n">
        <v>8.364000000000001</v>
      </c>
      <c r="EN18" t="n">
        <v>26.227</v>
      </c>
      <c r="EO18" t="n">
        <v>118.045</v>
      </c>
      <c r="EP18" t="n">
        <v>11.545</v>
      </c>
      <c r="EQ18" t="n">
        <v>25.636</v>
      </c>
      <c r="ER18" t="n">
        <v>37.182</v>
      </c>
      <c r="ES18" t="n">
        <v>39.318</v>
      </c>
      <c r="ET18" t="n">
        <v>78.38200000000001</v>
      </c>
      <c r="EU18" t="n">
        <v>90.545</v>
      </c>
      <c r="EV18" t="n">
        <v>10.5</v>
      </c>
      <c r="EW18" t="n">
        <v>11.227</v>
      </c>
      <c r="EX18" t="n">
        <v>21.82</v>
      </c>
      <c r="EY18" t="n">
        <v>15.773</v>
      </c>
      <c r="EZ18" t="n">
        <v>7.545</v>
      </c>
      <c r="FA18" t="n">
        <v>11.864</v>
      </c>
      <c r="FB18" t="n">
        <v>11.545</v>
      </c>
      <c r="FC18" t="n">
        <v>2.273</v>
      </c>
      <c r="FD18" t="n">
        <v>25.682</v>
      </c>
      <c r="FE18" t="n">
        <v>8.182</v>
      </c>
      <c r="FF18" t="n">
        <v>46.195</v>
      </c>
      <c r="FG18" t="n">
        <v>23.057</v>
      </c>
      <c r="FH18" t="n">
        <v>45.495</v>
      </c>
      <c r="FI18" t="n">
        <v>49.912</v>
      </c>
      <c r="FJ18" t="n">
        <v>23.091</v>
      </c>
      <c r="FK18" t="n">
        <v>84.032</v>
      </c>
      <c r="FL18" t="n">
        <v>-3.577</v>
      </c>
      <c r="FM18" t="n">
        <v>3.272</v>
      </c>
      <c r="FN18" t="n">
        <v>-0.139</v>
      </c>
      <c r="FO18" t="n">
        <v>3.552</v>
      </c>
      <c r="FP18" t="n">
        <v>-0.24</v>
      </c>
      <c r="FQ18" t="n">
        <v>2.981</v>
      </c>
      <c r="FR18" t="n">
        <v>-0.035</v>
      </c>
      <c r="FS18" t="n">
        <v>3.227</v>
      </c>
      <c r="FT18" t="n">
        <v>31.318</v>
      </c>
      <c r="FU18" t="n">
        <v>48.182</v>
      </c>
      <c r="FV18" t="n">
        <v>29</v>
      </c>
      <c r="FW18" t="n">
        <v>43</v>
      </c>
      <c r="FX18" t="n">
        <v>10.727</v>
      </c>
      <c r="FY18" t="n">
        <v>19.508</v>
      </c>
      <c r="FZ18" t="n">
        <v>20.994</v>
      </c>
      <c r="GA18" t="n">
        <v>8.840999999999999</v>
      </c>
      <c r="GB18" t="n">
        <v>27.689</v>
      </c>
      <c r="GC18" t="n">
        <v>11.029</v>
      </c>
      <c r="GD18" t="n">
        <v>61.409</v>
      </c>
      <c r="GE18" t="n">
        <v>9.590999999999999</v>
      </c>
      <c r="GF18" t="n">
        <v>269.364</v>
      </c>
      <c r="GG18" t="n">
        <v>136.636</v>
      </c>
      <c r="GH18" t="n">
        <v>34.864</v>
      </c>
      <c r="GI18" t="n">
        <v>32.273</v>
      </c>
      <c r="GJ18" t="n">
        <v>34.77</v>
      </c>
      <c r="GK18" t="n">
        <v>9.5</v>
      </c>
      <c r="GL18" t="n">
        <v>29.437</v>
      </c>
      <c r="GM18" t="n">
        <v>1.909</v>
      </c>
      <c r="GN18" t="n">
        <v>10.955</v>
      </c>
      <c r="GO18" t="n">
        <v>89.627</v>
      </c>
      <c r="GP18" t="n">
        <v>6.5</v>
      </c>
      <c r="GQ18" t="n">
        <v>51.318</v>
      </c>
      <c r="GR18" t="n">
        <v>72.227</v>
      </c>
      <c r="GS18" t="n">
        <v>-0.455</v>
      </c>
      <c r="GT18" t="n">
        <v>-101.636</v>
      </c>
      <c r="GU18" t="n">
        <v>-103.364</v>
      </c>
      <c r="GV18" t="n">
        <v>0.273</v>
      </c>
      <c r="GW18" t="n">
        <v>-4.591</v>
      </c>
      <c r="GX18" t="n">
        <v>-35</v>
      </c>
      <c r="GY18" t="n">
        <v>-39.591</v>
      </c>
      <c r="GZ18" t="n">
        <v>4.455</v>
      </c>
      <c r="HA18" t="n">
        <v>-17.091</v>
      </c>
      <c r="HB18" t="n">
        <v>-0.727</v>
      </c>
      <c r="HC18" t="n">
        <v>2.5</v>
      </c>
      <c r="HD18" t="n">
        <v>-0.8149999999999999</v>
      </c>
      <c r="HE18" t="n">
        <v>0.712</v>
      </c>
      <c r="HF18" t="n">
        <v>3.136</v>
      </c>
      <c r="HG18" t="n">
        <v>-40.273</v>
      </c>
      <c r="HH18" t="n">
        <v>-37.136</v>
      </c>
      <c r="HI18" t="n">
        <v>-2.364</v>
      </c>
      <c r="HJ18" t="n">
        <v>-0.6820000000000001</v>
      </c>
      <c r="HK18" t="n">
        <v>2.727</v>
      </c>
      <c r="HL18" t="n">
        <v>-2.045</v>
      </c>
      <c r="HM18" t="n">
        <v>1.364</v>
      </c>
      <c r="HN18" t="n">
        <v>-1.864</v>
      </c>
      <c r="HO18" t="n">
        <v>0.182</v>
      </c>
      <c r="HP18" t="n">
        <v>4.864</v>
      </c>
      <c r="HQ18" t="n">
        <v>-1.318</v>
      </c>
      <c r="HR18" t="n">
        <v>-35.091</v>
      </c>
      <c r="HS18" t="n">
        <v>1.136</v>
      </c>
      <c r="HT18" t="n">
        <v>0.864</v>
      </c>
      <c r="HU18" t="n">
        <v>2</v>
      </c>
      <c r="HV18" t="n">
        <v>4.318</v>
      </c>
      <c r="HW18" t="n">
        <v>-7.182</v>
      </c>
      <c r="HX18" t="n">
        <v>-0.909</v>
      </c>
      <c r="HY18" t="n">
        <v>0.045</v>
      </c>
      <c r="HZ18" t="n">
        <v>-1.318</v>
      </c>
      <c r="IA18" t="n">
        <v>-0.591</v>
      </c>
      <c r="IB18" t="n">
        <v>0.455</v>
      </c>
      <c r="IC18" t="n">
        <v>-0.409</v>
      </c>
      <c r="ID18" t="n">
        <v>0.136</v>
      </c>
      <c r="IE18" t="n">
        <v>0.045</v>
      </c>
      <c r="IF18" t="n">
        <v>-0.136</v>
      </c>
      <c r="IG18" t="n">
        <v>2.095</v>
      </c>
      <c r="IH18" t="n">
        <v>0.132</v>
      </c>
      <c r="II18" t="n">
        <v>0.064</v>
      </c>
      <c r="IJ18" t="n">
        <v>-0.955</v>
      </c>
      <c r="IK18" t="n">
        <v>0.5</v>
      </c>
      <c r="IL18" t="n">
        <v>2.773</v>
      </c>
      <c r="IM18" t="n">
        <v>0.864</v>
      </c>
      <c r="IN18" t="n">
        <v>0.227</v>
      </c>
      <c r="IO18" t="n">
        <v>1.227</v>
      </c>
      <c r="IP18" t="n">
        <v>-2.091</v>
      </c>
      <c r="IQ18" t="n">
        <v>1.636</v>
      </c>
      <c r="IR18" t="n">
        <v>32.273</v>
      </c>
      <c r="IS18" t="n">
        <v>3.273</v>
      </c>
      <c r="IT18" t="n">
        <v>2.682</v>
      </c>
      <c r="IU18" t="n">
        <v>10.591</v>
      </c>
      <c r="IV18" t="n">
        <v>5.045</v>
      </c>
      <c r="IW18" t="n">
        <v>1.455</v>
      </c>
      <c r="IX18" t="n">
        <v>-0.318</v>
      </c>
      <c r="IY18" t="n">
        <v>2.682</v>
      </c>
      <c r="IZ18" t="n">
        <v>-1.636</v>
      </c>
    </row>
    <row r="19">
      <c r="A19" t="inlineStr">
        <is>
          <t>West Coast</t>
        </is>
      </c>
      <c r="B19" t="inlineStr">
        <is>
          <t>WC</t>
        </is>
      </c>
      <c r="C19" t="n">
        <v>22</v>
      </c>
      <c r="D19" t="n">
        <v>47</v>
      </c>
      <c r="E19" t="n">
        <v>26.102</v>
      </c>
      <c r="F19" t="n">
        <v>104.243</v>
      </c>
      <c r="G19" t="n">
        <v>170.673</v>
      </c>
      <c r="H19" t="n">
        <v>1531.727</v>
      </c>
      <c r="I19" t="n">
        <v>1458.545</v>
      </c>
      <c r="J19" t="n">
        <v>7.091</v>
      </c>
      <c r="K19" t="n">
        <v>42.683</v>
      </c>
      <c r="L19" t="n">
        <v>209.773</v>
      </c>
      <c r="M19" t="n">
        <v>123.273</v>
      </c>
      <c r="N19" t="n">
        <v>333.045</v>
      </c>
      <c r="O19" t="n">
        <v>73.413</v>
      </c>
      <c r="P19" t="n">
        <v>68.039</v>
      </c>
      <c r="Q19" t="n">
        <v>82.559</v>
      </c>
      <c r="R19" t="n">
        <v>62.986</v>
      </c>
      <c r="S19" t="n">
        <v>5.756</v>
      </c>
      <c r="T19" t="n">
        <v>40.636</v>
      </c>
      <c r="U19" t="n">
        <v>41.318</v>
      </c>
      <c r="V19" t="n">
        <v>70.684</v>
      </c>
      <c r="W19" t="n">
        <v>5111.773</v>
      </c>
      <c r="X19" t="n">
        <v>15.349</v>
      </c>
      <c r="Y19" t="n">
        <v>55.545</v>
      </c>
      <c r="Z19" t="n">
        <v>5.996</v>
      </c>
      <c r="AA19" t="n">
        <v>68.136</v>
      </c>
      <c r="AB19" t="n">
        <v>4.888</v>
      </c>
      <c r="AC19" t="n">
        <v>-4.087</v>
      </c>
      <c r="AD19" t="n">
        <v>-2.728</v>
      </c>
      <c r="AE19" t="n">
        <v>121.773</v>
      </c>
      <c r="AF19" t="n">
        <v>205.682</v>
      </c>
      <c r="AG19" t="n">
        <v>327.455</v>
      </c>
      <c r="AH19" t="n">
        <v>37.188</v>
      </c>
      <c r="AI19" t="n">
        <v>64.136</v>
      </c>
      <c r="AJ19" t="n">
        <v>81.182</v>
      </c>
      <c r="AK19" t="n">
        <v>11.545</v>
      </c>
      <c r="AL19" t="n">
        <v>24.364</v>
      </c>
      <c r="AM19" t="n">
        <v>56.818</v>
      </c>
      <c r="AN19" t="n">
        <v>77.59099999999999</v>
      </c>
      <c r="AO19" t="n">
        <v>52.5</v>
      </c>
      <c r="AP19" t="n">
        <v>6.364</v>
      </c>
      <c r="AQ19" t="n">
        <v>19.318</v>
      </c>
      <c r="AR19" t="n">
        <v>99.09099999999999</v>
      </c>
      <c r="AS19" t="n">
        <v>11.682</v>
      </c>
      <c r="AT19" t="n">
        <v>22.318</v>
      </c>
      <c r="AU19" t="n">
        <v>34</v>
      </c>
      <c r="AV19" t="n">
        <v>34.864</v>
      </c>
      <c r="AW19" t="n">
        <v>77.053</v>
      </c>
      <c r="AX19" t="n">
        <v>98.182</v>
      </c>
      <c r="AY19" t="n">
        <v>9.727</v>
      </c>
      <c r="AZ19" t="n">
        <v>9</v>
      </c>
      <c r="BA19" t="n">
        <v>22.148</v>
      </c>
      <c r="BB19" t="n">
        <v>16.227</v>
      </c>
      <c r="BC19" t="n">
        <v>6.318</v>
      </c>
      <c r="BD19" t="n">
        <v>34</v>
      </c>
      <c r="BE19" t="n">
        <v>6.091</v>
      </c>
      <c r="BF19" t="n">
        <v>9.635999999999999</v>
      </c>
      <c r="BG19" t="n">
        <v>7.136</v>
      </c>
      <c r="BH19" t="n">
        <v>1.636</v>
      </c>
      <c r="BI19" t="n">
        <v>18</v>
      </c>
      <c r="BJ19" t="n">
        <v>6.5</v>
      </c>
      <c r="BK19" t="n">
        <v>53.535</v>
      </c>
      <c r="BL19" t="n">
        <v>23.714</v>
      </c>
      <c r="BM19" t="n">
        <v>41.275</v>
      </c>
      <c r="BN19" t="n">
        <v>44.295</v>
      </c>
      <c r="BO19" t="n">
        <v>16.455</v>
      </c>
      <c r="BP19" t="n">
        <v>12.818</v>
      </c>
      <c r="BQ19" t="n">
        <v>23.404</v>
      </c>
      <c r="BR19" t="n">
        <v>58.708</v>
      </c>
      <c r="BS19" t="n">
        <v>4.61</v>
      </c>
      <c r="BT19" t="n">
        <v>3.262</v>
      </c>
      <c r="BU19" t="n">
        <v>0.256</v>
      </c>
      <c r="BV19" t="n">
        <v>3.533</v>
      </c>
      <c r="BW19" t="n">
        <v>0.39</v>
      </c>
      <c r="BX19" t="n">
        <v>2.878</v>
      </c>
      <c r="BY19" t="n">
        <v>0.067</v>
      </c>
      <c r="BZ19" t="n">
        <v>3.091</v>
      </c>
      <c r="CA19" t="n">
        <v>30.273</v>
      </c>
      <c r="CB19" t="n">
        <v>31.591</v>
      </c>
      <c r="CC19" t="n">
        <v>20.409</v>
      </c>
      <c r="CD19" t="n">
        <v>29.5</v>
      </c>
      <c r="CE19" t="n">
        <v>15.045</v>
      </c>
      <c r="CF19" t="n">
        <v>15.323</v>
      </c>
      <c r="CG19" t="n">
        <v>12.211</v>
      </c>
      <c r="CH19" t="n">
        <v>5.053</v>
      </c>
      <c r="CI19" t="n">
        <v>20.746</v>
      </c>
      <c r="CJ19" t="n">
        <v>7.148</v>
      </c>
      <c r="CK19" t="n">
        <v>12.682</v>
      </c>
      <c r="CL19" t="n">
        <v>30.108</v>
      </c>
      <c r="CM19" t="n">
        <v>58.727</v>
      </c>
      <c r="CN19" t="n">
        <v>8.409000000000001</v>
      </c>
      <c r="CO19" t="n">
        <v>298.909</v>
      </c>
      <c r="CP19" t="n">
        <v>158.545</v>
      </c>
      <c r="CQ19" t="n">
        <v>30.409</v>
      </c>
      <c r="CR19" t="n">
        <v>90</v>
      </c>
      <c r="CS19" t="n">
        <v>29.591</v>
      </c>
      <c r="CT19" t="n">
        <v>32.879</v>
      </c>
      <c r="CU19" t="n">
        <v>7.455</v>
      </c>
      <c r="CV19" t="n">
        <v>25.192</v>
      </c>
      <c r="CW19" t="n">
        <v>2.455</v>
      </c>
      <c r="CX19" t="n">
        <v>20.045</v>
      </c>
      <c r="CY19" t="n">
        <v>20.091</v>
      </c>
      <c r="CZ19" t="n">
        <v>-0.045</v>
      </c>
      <c r="DA19" t="n">
        <v>11.727</v>
      </c>
      <c r="DB19" t="n">
        <v>78.682</v>
      </c>
      <c r="DC19" t="n">
        <v>3.545</v>
      </c>
      <c r="DD19" t="n">
        <v>43.091</v>
      </c>
      <c r="DE19" t="n">
        <v>71.227</v>
      </c>
      <c r="DF19" t="n">
        <v>220.855</v>
      </c>
      <c r="DG19" t="n">
        <v>1769.045</v>
      </c>
      <c r="DH19" t="n">
        <v>1585.273</v>
      </c>
      <c r="DI19" t="n">
        <v>22.909</v>
      </c>
      <c r="DJ19" t="n">
        <v>219</v>
      </c>
      <c r="DK19" t="n">
        <v>150.364</v>
      </c>
      <c r="DL19" t="n">
        <v>369.364</v>
      </c>
      <c r="DM19" t="n">
        <v>73.751</v>
      </c>
      <c r="DN19" t="n">
        <v>67.435</v>
      </c>
      <c r="DO19" t="n">
        <v>82.95</v>
      </c>
      <c r="DP19" t="n">
        <v>6.289</v>
      </c>
      <c r="DQ19" t="n">
        <v>58.455</v>
      </c>
      <c r="DR19" t="n">
        <v>30.318</v>
      </c>
      <c r="DS19" t="n">
        <v>74.60899999999999</v>
      </c>
      <c r="DT19" t="n">
        <v>5830.727</v>
      </c>
      <c r="DU19" t="n">
        <v>15.786</v>
      </c>
      <c r="DV19" t="n">
        <v>57.091</v>
      </c>
      <c r="DW19" t="n">
        <v>6.47</v>
      </c>
      <c r="DX19" t="n">
        <v>63.955</v>
      </c>
      <c r="DY19" t="n">
        <v>5.775</v>
      </c>
      <c r="DZ19" t="n">
        <v>2.881</v>
      </c>
      <c r="EA19" t="n">
        <v>2.936</v>
      </c>
      <c r="EB19" t="n">
        <v>139.455</v>
      </c>
      <c r="EC19" t="n">
        <v>228.818</v>
      </c>
      <c r="ED19" t="n">
        <v>368.273</v>
      </c>
      <c r="EE19" t="n">
        <v>37.867</v>
      </c>
      <c r="EF19" t="n">
        <v>68.5</v>
      </c>
      <c r="EG19" t="n">
        <v>91.864</v>
      </c>
      <c r="EH19" t="n">
        <v>18.136</v>
      </c>
      <c r="EI19" t="n">
        <v>31.182</v>
      </c>
      <c r="EJ19" t="n">
        <v>60.636</v>
      </c>
      <c r="EK19" t="n">
        <v>87.727</v>
      </c>
      <c r="EL19" t="n">
        <v>62.364</v>
      </c>
      <c r="EM19" t="n">
        <v>11.318</v>
      </c>
      <c r="EN19" t="n">
        <v>25.045</v>
      </c>
      <c r="EO19" t="n">
        <v>121.409</v>
      </c>
      <c r="EP19" t="n">
        <v>14</v>
      </c>
      <c r="EQ19" t="n">
        <v>24.864</v>
      </c>
      <c r="ER19" t="n">
        <v>38.864</v>
      </c>
      <c r="ES19" t="n">
        <v>43.773</v>
      </c>
      <c r="ET19" t="n">
        <v>77.46599999999999</v>
      </c>
      <c r="EU19" t="n">
        <v>95.636</v>
      </c>
      <c r="EV19" t="n">
        <v>10.182</v>
      </c>
      <c r="EW19" t="n">
        <v>14.455</v>
      </c>
      <c r="EX19" t="n">
        <v>24.728</v>
      </c>
      <c r="EY19" t="n">
        <v>14.909</v>
      </c>
      <c r="EZ19" t="n">
        <v>7.182</v>
      </c>
      <c r="FA19" t="n">
        <v>16.136</v>
      </c>
      <c r="FB19" t="n">
        <v>11.773</v>
      </c>
      <c r="FC19" t="n">
        <v>2.455</v>
      </c>
      <c r="FD19" t="n">
        <v>30.5</v>
      </c>
      <c r="FE19" t="n">
        <v>11</v>
      </c>
      <c r="FF19" t="n">
        <v>52.906</v>
      </c>
      <c r="FG19" t="n">
        <v>27.605</v>
      </c>
      <c r="FH19" t="n">
        <v>47.745</v>
      </c>
      <c r="FI19" t="n">
        <v>52.177</v>
      </c>
      <c r="FJ19" t="n">
        <v>27.455</v>
      </c>
      <c r="FK19" t="n">
        <v>100.825</v>
      </c>
      <c r="FL19" t="n">
        <v>5.311</v>
      </c>
      <c r="FM19" t="n">
        <v>3.306</v>
      </c>
      <c r="FN19" t="n">
        <v>0.174</v>
      </c>
      <c r="FO19" t="n">
        <v>3.555</v>
      </c>
      <c r="FP19" t="n">
        <v>0.099</v>
      </c>
      <c r="FQ19" t="n">
        <v>3.008</v>
      </c>
      <c r="FR19" t="n">
        <v>0.263</v>
      </c>
      <c r="FS19" t="n">
        <v>3.364</v>
      </c>
      <c r="FT19" t="n">
        <v>39.273</v>
      </c>
      <c r="FU19" t="n">
        <v>65.955</v>
      </c>
      <c r="FV19" t="n">
        <v>36.136</v>
      </c>
      <c r="FW19" t="n">
        <v>56.909</v>
      </c>
      <c r="FX19" t="n">
        <v>15.545</v>
      </c>
      <c r="FY19" t="n">
        <v>24.453</v>
      </c>
      <c r="FZ19" t="n">
        <v>26.239</v>
      </c>
      <c r="GA19" t="n">
        <v>10.395</v>
      </c>
      <c r="GB19" t="n">
        <v>35.469</v>
      </c>
      <c r="GC19" t="n">
        <v>14.92</v>
      </c>
      <c r="GD19" t="n">
        <v>57.864</v>
      </c>
      <c r="GE19" t="n">
        <v>12</v>
      </c>
      <c r="GF19" t="n">
        <v>257.636</v>
      </c>
      <c r="GG19" t="n">
        <v>106.5</v>
      </c>
      <c r="GH19" t="n">
        <v>31.818</v>
      </c>
      <c r="GI19" t="n">
        <v>42.955</v>
      </c>
      <c r="GJ19" t="n">
        <v>47.631</v>
      </c>
      <c r="GK19" t="n">
        <v>12.545</v>
      </c>
      <c r="GL19" t="n">
        <v>29.206</v>
      </c>
      <c r="GM19" t="n">
        <v>3.409</v>
      </c>
      <c r="GN19" t="n">
        <v>7</v>
      </c>
      <c r="GO19" t="n">
        <v>82.468</v>
      </c>
      <c r="GP19" t="n">
        <v>6.045</v>
      </c>
      <c r="GQ19" t="n">
        <v>46.591</v>
      </c>
      <c r="GR19" t="n">
        <v>71.90900000000001</v>
      </c>
      <c r="GS19" t="n">
        <v>-50.182</v>
      </c>
      <c r="GT19" t="n">
        <v>-237.318</v>
      </c>
      <c r="GU19" t="n">
        <v>-126.727</v>
      </c>
      <c r="GV19" t="n">
        <v>-15.818</v>
      </c>
      <c r="GW19" t="n">
        <v>-9.227</v>
      </c>
      <c r="GX19" t="n">
        <v>-27.091</v>
      </c>
      <c r="GY19" t="n">
        <v>-36.318</v>
      </c>
      <c r="GZ19" t="n">
        <v>-17.818</v>
      </c>
      <c r="HA19" t="n">
        <v>-718.955</v>
      </c>
      <c r="HB19" t="n">
        <v>-1.545</v>
      </c>
      <c r="HC19" t="n">
        <v>4.182</v>
      </c>
      <c r="HD19" t="n">
        <v>-6.968</v>
      </c>
      <c r="HE19" t="n">
        <v>-5.664</v>
      </c>
      <c r="HF19" t="n">
        <v>-17.682</v>
      </c>
      <c r="HG19" t="n">
        <v>-23.136</v>
      </c>
      <c r="HH19" t="n">
        <v>-40.818</v>
      </c>
      <c r="HI19" t="n">
        <v>-4.364</v>
      </c>
      <c r="HJ19" t="n">
        <v>-10.682</v>
      </c>
      <c r="HK19" t="n">
        <v>-6.591</v>
      </c>
      <c r="HL19" t="n">
        <v>-6.818</v>
      </c>
      <c r="HM19" t="n">
        <v>-3.818</v>
      </c>
      <c r="HN19" t="n">
        <v>-10.136</v>
      </c>
      <c r="HO19" t="n">
        <v>-9.864000000000001</v>
      </c>
      <c r="HP19" t="n">
        <v>-4.955</v>
      </c>
      <c r="HQ19" t="n">
        <v>-5.727</v>
      </c>
      <c r="HR19" t="n">
        <v>-22.318</v>
      </c>
      <c r="HS19" t="n">
        <v>-2.318</v>
      </c>
      <c r="HT19" t="n">
        <v>-2.545</v>
      </c>
      <c r="HU19" t="n">
        <v>-4.864</v>
      </c>
      <c r="HV19" t="n">
        <v>-8.909000000000001</v>
      </c>
      <c r="HW19" t="n">
        <v>2.545</v>
      </c>
      <c r="HX19" t="n">
        <v>-0.455</v>
      </c>
      <c r="HY19" t="n">
        <v>-5.455</v>
      </c>
      <c r="HZ19" t="n">
        <v>1.318</v>
      </c>
      <c r="IA19" t="n">
        <v>-0.864</v>
      </c>
      <c r="IB19" t="n">
        <v>-6.5</v>
      </c>
      <c r="IC19" t="n">
        <v>-4.636</v>
      </c>
      <c r="ID19" t="n">
        <v>-12.5</v>
      </c>
      <c r="IE19" t="n">
        <v>-4.5</v>
      </c>
      <c r="IF19" t="n">
        <v>-11</v>
      </c>
      <c r="IG19" t="n">
        <v>-42.117</v>
      </c>
      <c r="IH19" t="n">
        <v>-0.702</v>
      </c>
      <c r="II19" t="n">
        <v>-0.044</v>
      </c>
      <c r="IJ19" t="n">
        <v>-0.273</v>
      </c>
      <c r="IK19" t="n">
        <v>-9</v>
      </c>
      <c r="IL19" t="n">
        <v>-34.364</v>
      </c>
      <c r="IM19" t="n">
        <v>-15.727</v>
      </c>
      <c r="IN19" t="n">
        <v>-27.409</v>
      </c>
      <c r="IO19" t="n">
        <v>-0.5</v>
      </c>
      <c r="IP19" t="n">
        <v>0.864</v>
      </c>
      <c r="IQ19" t="n">
        <v>-3.591</v>
      </c>
      <c r="IR19" t="n">
        <v>41.273</v>
      </c>
      <c r="IS19" t="n">
        <v>52.045</v>
      </c>
      <c r="IT19" t="n">
        <v>-1.409</v>
      </c>
      <c r="IU19" t="n">
        <v>-13.364</v>
      </c>
      <c r="IV19" t="n">
        <v>-5.091</v>
      </c>
      <c r="IW19" t="n">
        <v>-0.955</v>
      </c>
      <c r="IX19" t="n">
        <v>-2.5</v>
      </c>
      <c r="IY19" t="n">
        <v>-3.5</v>
      </c>
      <c r="IZ19" t="n">
        <v>-0.6820000000000001</v>
      </c>
    </row>
    <row r="20">
      <c r="A20" t="inlineStr">
        <is>
          <t>Average</t>
        </is>
      </c>
      <c r="B20" t="inlineStr">
        <is>
          <t>AFL</t>
        </is>
      </c>
      <c r="C20" t="n">
        <v>207</v>
      </c>
      <c r="D20" t="n">
        <v>38</v>
      </c>
      <c r="E20" t="n">
        <v>25.511</v>
      </c>
      <c r="F20" t="n">
        <v>95.271</v>
      </c>
      <c r="G20" t="n">
        <v>202.223</v>
      </c>
      <c r="H20" t="n">
        <v>1649.727</v>
      </c>
      <c r="I20" t="n">
        <v>1519.336</v>
      </c>
      <c r="J20" t="n">
        <v>15.036</v>
      </c>
      <c r="K20" t="n">
        <v>50</v>
      </c>
      <c r="L20" t="n">
        <v>216.043</v>
      </c>
      <c r="M20" t="n">
        <v>143.075</v>
      </c>
      <c r="N20" t="n">
        <v>359.118</v>
      </c>
      <c r="O20" t="n">
        <v>72.852</v>
      </c>
      <c r="P20" t="n">
        <v>66.486</v>
      </c>
      <c r="Q20" t="n">
        <v>82.464</v>
      </c>
      <c r="R20" t="n">
        <v>60.159</v>
      </c>
      <c r="S20" t="n">
        <v>6.157</v>
      </c>
      <c r="T20" t="n">
        <v>52.444</v>
      </c>
      <c r="U20" t="n">
        <v>39.575</v>
      </c>
      <c r="V20" t="n">
        <v>75.461</v>
      </c>
      <c r="W20" t="n">
        <v>5814.473</v>
      </c>
      <c r="X20" t="n">
        <v>16.191</v>
      </c>
      <c r="Y20" t="n">
        <v>60.266</v>
      </c>
      <c r="Z20" t="n">
        <v>5.959</v>
      </c>
      <c r="AA20" t="n">
        <v>68.949</v>
      </c>
      <c r="AB20" t="n">
        <v>5.208</v>
      </c>
      <c r="AC20" t="n">
        <v>-0.494</v>
      </c>
      <c r="AD20" t="n">
        <v>-0.446</v>
      </c>
      <c r="AE20" t="n">
        <v>136.942</v>
      </c>
      <c r="AF20" t="n">
        <v>216.271</v>
      </c>
      <c r="AG20" t="n">
        <v>353.213</v>
      </c>
      <c r="AH20" t="n">
        <v>38.77</v>
      </c>
      <c r="AI20" t="n">
        <v>69.15900000000001</v>
      </c>
      <c r="AJ20" t="n">
        <v>91.425</v>
      </c>
      <c r="AK20" t="n">
        <v>15.804</v>
      </c>
      <c r="AL20" t="n">
        <v>29.254</v>
      </c>
      <c r="AM20" t="n">
        <v>62.162</v>
      </c>
      <c r="AN20" t="n">
        <v>88.181</v>
      </c>
      <c r="AO20" t="n">
        <v>61.915</v>
      </c>
      <c r="AP20" t="n">
        <v>9.833</v>
      </c>
      <c r="AQ20" t="n">
        <v>24.329</v>
      </c>
      <c r="AR20" t="n">
        <v>114.495</v>
      </c>
      <c r="AS20" t="n">
        <v>12.215</v>
      </c>
      <c r="AT20" t="n">
        <v>24.534</v>
      </c>
      <c r="AU20" t="n">
        <v>36.749</v>
      </c>
      <c r="AV20" t="n">
        <v>39.884</v>
      </c>
      <c r="AW20" t="n">
        <v>76.45999999999999</v>
      </c>
      <c r="AX20" t="n">
        <v>91.73399999999999</v>
      </c>
      <c r="AY20" t="n">
        <v>10.65</v>
      </c>
      <c r="AZ20" t="n">
        <v>11.075</v>
      </c>
      <c r="BA20" t="n">
        <v>21.117</v>
      </c>
      <c r="BB20" t="n">
        <v>15.539</v>
      </c>
      <c r="BC20" t="n">
        <v>7.278</v>
      </c>
      <c r="BD20" t="n">
        <v>28.611</v>
      </c>
      <c r="BE20" t="n">
        <v>7.459</v>
      </c>
      <c r="BF20" t="n">
        <v>12.085</v>
      </c>
      <c r="BG20" t="n">
        <v>10.575</v>
      </c>
      <c r="BH20" t="n">
        <v>2.152</v>
      </c>
      <c r="BI20" t="n">
        <v>24.756</v>
      </c>
      <c r="BJ20" t="n">
        <v>8.167</v>
      </c>
      <c r="BK20" t="n">
        <v>48.815</v>
      </c>
      <c r="BL20" t="n">
        <v>23.043</v>
      </c>
      <c r="BM20" t="n">
        <v>43.207</v>
      </c>
      <c r="BN20" t="n">
        <v>47.204</v>
      </c>
      <c r="BO20" t="n">
        <v>22.403</v>
      </c>
      <c r="BP20" t="n">
        <v>15.3</v>
      </c>
      <c r="BQ20" t="n">
        <v>26.76</v>
      </c>
      <c r="BR20" t="n">
        <v>80.351</v>
      </c>
      <c r="BS20" t="n">
        <v>0.5649999999999999</v>
      </c>
      <c r="BT20" t="n">
        <v>3.245</v>
      </c>
      <c r="BU20" t="n">
        <v>0.023</v>
      </c>
      <c r="BV20" t="n">
        <v>3.521</v>
      </c>
      <c r="BW20" t="n">
        <v>0.014</v>
      </c>
      <c r="BX20" t="n">
        <v>2.926</v>
      </c>
      <c r="BY20" t="n">
        <v>0.033</v>
      </c>
      <c r="BZ20" t="n">
        <v>3.191</v>
      </c>
      <c r="CA20" t="n">
        <v>31.928</v>
      </c>
      <c r="CB20" t="n">
        <v>47.964</v>
      </c>
      <c r="CC20" t="n">
        <v>30.449</v>
      </c>
      <c r="CD20" t="n">
        <v>41.162</v>
      </c>
      <c r="CE20" t="n">
        <v>11.471</v>
      </c>
      <c r="CF20" t="n">
        <v>19.651</v>
      </c>
      <c r="CG20" t="n">
        <v>21.288</v>
      </c>
      <c r="CH20" t="n">
        <v>8.587999999999999</v>
      </c>
      <c r="CI20" t="n">
        <v>29.843</v>
      </c>
      <c r="CJ20" t="n">
        <v>11.577</v>
      </c>
      <c r="CK20" t="n">
        <v>15.3</v>
      </c>
      <c r="CL20" t="n">
        <v>26.76</v>
      </c>
      <c r="CM20" t="n">
        <v>58.329</v>
      </c>
      <c r="CN20" t="n">
        <v>10.343</v>
      </c>
      <c r="CO20" t="n">
        <v>290.947</v>
      </c>
      <c r="CP20" t="n">
        <v>137.645</v>
      </c>
      <c r="CQ20" t="n">
        <v>33.729</v>
      </c>
      <c r="CR20" t="n">
        <v>89.729</v>
      </c>
      <c r="CS20" t="n">
        <v>35.831</v>
      </c>
      <c r="CT20" t="n">
        <v>39.932</v>
      </c>
      <c r="CU20" t="n">
        <v>10.841</v>
      </c>
      <c r="CV20" t="n">
        <v>30.255</v>
      </c>
      <c r="CW20" t="n">
        <v>2.737</v>
      </c>
      <c r="CX20" t="n">
        <v>20.198</v>
      </c>
      <c r="CY20" t="n">
        <v>20.198</v>
      </c>
      <c r="CZ20" t="n">
        <v>0</v>
      </c>
      <c r="DA20" t="n">
        <v>10.384</v>
      </c>
      <c r="DB20" t="n">
        <v>85.41500000000001</v>
      </c>
      <c r="DC20" t="n">
        <v>5.312</v>
      </c>
      <c r="DD20" t="n">
        <v>49.232</v>
      </c>
      <c r="DE20" t="n">
        <v>70.806</v>
      </c>
      <c r="DF20" t="n">
        <v>202.223</v>
      </c>
      <c r="DG20" t="n">
        <v>1649.727</v>
      </c>
      <c r="DH20" t="n">
        <v>1519.336</v>
      </c>
      <c r="DI20" t="n">
        <v>15.036</v>
      </c>
      <c r="DJ20" t="n">
        <v>216.043</v>
      </c>
      <c r="DK20" t="n">
        <v>143.075</v>
      </c>
      <c r="DL20" t="n">
        <v>359.118</v>
      </c>
      <c r="DM20" t="n">
        <v>72.852</v>
      </c>
      <c r="DN20" t="n">
        <v>66.486</v>
      </c>
      <c r="DO20" t="n">
        <v>82.464</v>
      </c>
      <c r="DP20" t="n">
        <v>6.157</v>
      </c>
      <c r="DQ20" t="n">
        <v>52.444</v>
      </c>
      <c r="DR20" t="n">
        <v>39.575</v>
      </c>
      <c r="DS20" t="n">
        <v>75.461</v>
      </c>
      <c r="DT20" t="n">
        <v>5814.473</v>
      </c>
      <c r="DU20" t="n">
        <v>16.191</v>
      </c>
      <c r="DV20" t="n">
        <v>60.266</v>
      </c>
      <c r="DW20" t="n">
        <v>5.959</v>
      </c>
      <c r="DX20" t="n">
        <v>68.949</v>
      </c>
      <c r="DY20" t="n">
        <v>5.208</v>
      </c>
      <c r="DZ20" t="n">
        <v>-0.494</v>
      </c>
      <c r="EA20" t="n">
        <v>-0.446</v>
      </c>
      <c r="EB20" t="n">
        <v>136.942</v>
      </c>
      <c r="EC20" t="n">
        <v>216.271</v>
      </c>
      <c r="ED20" t="n">
        <v>353.213</v>
      </c>
      <c r="EE20" t="n">
        <v>38.77</v>
      </c>
      <c r="EF20" t="n">
        <v>69.15900000000001</v>
      </c>
      <c r="EG20" t="n">
        <v>91.425</v>
      </c>
      <c r="EH20" t="n">
        <v>15.804</v>
      </c>
      <c r="EI20" t="n">
        <v>29.254</v>
      </c>
      <c r="EJ20" t="n">
        <v>62.162</v>
      </c>
      <c r="EK20" t="n">
        <v>88.181</v>
      </c>
      <c r="EL20" t="n">
        <v>61.915</v>
      </c>
      <c r="EM20" t="n">
        <v>9.833</v>
      </c>
      <c r="EN20" t="n">
        <v>24.329</v>
      </c>
      <c r="EO20" t="n">
        <v>114.495</v>
      </c>
      <c r="EP20" t="n">
        <v>12.215</v>
      </c>
      <c r="EQ20" t="n">
        <v>24.534</v>
      </c>
      <c r="ER20" t="n">
        <v>36.749</v>
      </c>
      <c r="ES20" t="n">
        <v>39.884</v>
      </c>
      <c r="ET20" t="n">
        <v>76.45999999999999</v>
      </c>
      <c r="EU20" t="n">
        <v>91.73399999999999</v>
      </c>
      <c r="EV20" t="n">
        <v>10.65</v>
      </c>
      <c r="EW20" t="n">
        <v>11.075</v>
      </c>
      <c r="EX20" t="n">
        <v>21.117</v>
      </c>
      <c r="EY20" t="n">
        <v>15.539</v>
      </c>
      <c r="EZ20" t="n">
        <v>7.278</v>
      </c>
      <c r="FA20" t="n">
        <v>12.085</v>
      </c>
      <c r="FB20" t="n">
        <v>10.575</v>
      </c>
      <c r="FC20" t="n">
        <v>2.152</v>
      </c>
      <c r="FD20" t="n">
        <v>24.756</v>
      </c>
      <c r="FE20" t="n">
        <v>8.167</v>
      </c>
      <c r="FF20" t="n">
        <v>48.815</v>
      </c>
      <c r="FG20" t="n">
        <v>23.043</v>
      </c>
      <c r="FH20" t="n">
        <v>43.207</v>
      </c>
      <c r="FI20" t="n">
        <v>47.204</v>
      </c>
      <c r="FJ20" t="n">
        <v>22.403</v>
      </c>
      <c r="FK20" t="n">
        <v>80.351</v>
      </c>
      <c r="FL20" t="n">
        <v>0.5649999999999999</v>
      </c>
      <c r="FM20" t="n">
        <v>3.245</v>
      </c>
      <c r="FN20" t="n">
        <v>0.023</v>
      </c>
      <c r="FO20" t="n">
        <v>3.521</v>
      </c>
      <c r="FP20" t="n">
        <v>0.014</v>
      </c>
      <c r="FQ20" t="n">
        <v>2.926</v>
      </c>
      <c r="FR20" t="n">
        <v>0.033</v>
      </c>
      <c r="FS20" t="n">
        <v>3.191</v>
      </c>
      <c r="FT20" t="n">
        <v>31.928</v>
      </c>
      <c r="FU20" t="n">
        <v>47.964</v>
      </c>
      <c r="FV20" t="n">
        <v>30.449</v>
      </c>
      <c r="FW20" t="n">
        <v>41.162</v>
      </c>
      <c r="FX20" t="n">
        <v>11.471</v>
      </c>
      <c r="FY20" t="n">
        <v>19.651</v>
      </c>
      <c r="FZ20" t="n">
        <v>21.288</v>
      </c>
      <c r="GA20" t="n">
        <v>8.587999999999999</v>
      </c>
      <c r="GB20" t="n">
        <v>29.843</v>
      </c>
      <c r="GC20" t="n">
        <v>11.577</v>
      </c>
      <c r="GD20" t="n">
        <v>58.329</v>
      </c>
      <c r="GE20" t="n">
        <v>10.343</v>
      </c>
      <c r="GF20" t="n">
        <v>290.947</v>
      </c>
      <c r="GG20" t="n">
        <v>137.645</v>
      </c>
      <c r="GH20" t="n">
        <v>33.729</v>
      </c>
      <c r="GI20" t="n">
        <v>35.831</v>
      </c>
      <c r="GJ20" t="n">
        <v>39.932</v>
      </c>
      <c r="GK20" t="n">
        <v>10.841</v>
      </c>
      <c r="GL20" t="n">
        <v>30.255</v>
      </c>
      <c r="GM20" t="n">
        <v>2.737</v>
      </c>
      <c r="GN20" t="n">
        <v>10.384</v>
      </c>
      <c r="GO20" t="n">
        <v>85.41500000000001</v>
      </c>
      <c r="GP20" t="n">
        <v>5.312</v>
      </c>
      <c r="GQ20" t="n">
        <v>49.232</v>
      </c>
      <c r="GR20" t="n">
        <v>70.806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0</v>
      </c>
      <c r="HE20" t="n">
        <v>0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0</v>
      </c>
      <c r="HP20" t="n">
        <v>0</v>
      </c>
      <c r="HQ20" t="n">
        <v>0</v>
      </c>
      <c r="HR20" t="n">
        <v>0</v>
      </c>
      <c r="HS20" t="n">
        <v>0</v>
      </c>
      <c r="HT20" t="n">
        <v>0</v>
      </c>
      <c r="HU20" t="n">
        <v>0</v>
      </c>
      <c r="HV20" t="n">
        <v>0</v>
      </c>
      <c r="HW20" t="n">
        <v>0</v>
      </c>
      <c r="HX20" t="n">
        <v>0</v>
      </c>
      <c r="HY20" t="n">
        <v>0</v>
      </c>
      <c r="HZ20" t="n">
        <v>0</v>
      </c>
      <c r="IA20" t="n">
        <v>0</v>
      </c>
      <c r="IB20" t="n">
        <v>0</v>
      </c>
      <c r="IC20" t="n">
        <v>0</v>
      </c>
      <c r="ID20" t="n">
        <v>0</v>
      </c>
      <c r="IE20" t="n">
        <v>0</v>
      </c>
      <c r="IF20" t="n">
        <v>0</v>
      </c>
      <c r="IG20" t="n">
        <v>0</v>
      </c>
      <c r="IH20" t="n">
        <v>0</v>
      </c>
      <c r="II20" t="n">
        <v>0</v>
      </c>
      <c r="IJ20" t="n">
        <v>0</v>
      </c>
      <c r="IK20" t="n">
        <v>0</v>
      </c>
      <c r="IL20" t="n">
        <v>0</v>
      </c>
      <c r="IM20" t="n">
        <v>0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Z20"/>
  <sheetViews>
    <sheetView workbookViewId="0">
      <selection activeCell="G25" sqref="G25"/>
    </sheetView>
  </sheetViews>
  <sheetFormatPr baseColWidth="10" defaultRowHeight="16"/>
  <sheetData>
    <row r="1">
      <c r="A1" t="inlineStr">
        <is>
          <t>Team</t>
        </is>
      </c>
      <c r="B1" t="inlineStr">
        <is>
          <t>Abbreviation</t>
        </is>
      </c>
      <c r="C1" t="inlineStr">
        <is>
          <t>Matches</t>
        </is>
      </c>
      <c r="D1" t="inlineStr">
        <is>
          <t>Players</t>
        </is>
      </c>
      <c r="E1" t="inlineStr">
        <is>
          <t>Age</t>
        </is>
      </c>
      <c r="F1" t="inlineStr">
        <is>
          <t>Experience</t>
        </is>
      </c>
      <c r="G1" t="inlineStr">
        <is>
          <t>RatingPoints</t>
        </is>
      </c>
      <c r="H1" t="inlineStr">
        <is>
          <t>Supercoach</t>
        </is>
      </c>
      <c r="I1" t="inlineStr">
        <is>
          <t>DreamTeamPoints</t>
        </is>
      </c>
      <c r="J1" t="inlineStr">
        <is>
          <t>CoachesVotes</t>
        </is>
      </c>
      <c r="K1" t="inlineStr">
        <is>
          <t>ForwardHalf</t>
        </is>
      </c>
      <c r="L1" t="inlineStr">
        <is>
          <t>Kicks</t>
        </is>
      </c>
      <c r="M1" t="inlineStr">
        <is>
          <t>Handballs</t>
        </is>
      </c>
      <c r="N1" t="inlineStr">
        <is>
          <t>Disposals</t>
        </is>
      </c>
      <c r="O1" t="inlineStr">
        <is>
          <t>DisposalEfficiency</t>
        </is>
      </c>
      <c r="P1" t="inlineStr">
        <is>
          <t>KickingEfficiency</t>
        </is>
      </c>
      <c r="Q1" t="inlineStr">
        <is>
          <t>HandballEfficiency</t>
        </is>
      </c>
      <c r="R1" t="inlineStr">
        <is>
          <t>KickPercentage</t>
        </is>
      </c>
      <c r="S1" t="inlineStr">
        <is>
          <t>DisposalsPerOppositionTackle</t>
        </is>
      </c>
      <c r="T1" t="inlineStr">
        <is>
          <t>Inside50s</t>
        </is>
      </c>
      <c r="U1" t="inlineStr">
        <is>
          <t>Rebound50s</t>
        </is>
      </c>
      <c r="V1" t="inlineStr">
        <is>
          <t>Rebound50sPerOppositionInside50s</t>
        </is>
      </c>
      <c r="W1" t="inlineStr">
        <is>
          <t>MetresGained</t>
        </is>
      </c>
      <c r="X1" t="inlineStr">
        <is>
          <t>MetresGainedPerDisposal</t>
        </is>
      </c>
      <c r="Y1" t="inlineStr">
        <is>
          <t>Clangers</t>
        </is>
      </c>
      <c r="Z1" t="inlineStr">
        <is>
          <t>DisposalsPerClanger</t>
        </is>
      </c>
      <c r="AA1" t="inlineStr">
        <is>
          <t>Turnovers</t>
        </is>
      </c>
      <c r="AB1" t="inlineStr">
        <is>
          <t>DisposalsPerTurnover</t>
        </is>
      </c>
      <c r="AC1" t="inlineStr">
        <is>
          <t>ThreatRating</t>
        </is>
      </c>
      <c r="AD1" t="inlineStr">
        <is>
          <t>RetentionRating</t>
        </is>
      </c>
      <c r="AE1" t="inlineStr">
        <is>
          <t>ContestedPossessions</t>
        </is>
      </c>
      <c r="AF1" t="inlineStr">
        <is>
          <t>UncontestedPossessions</t>
        </is>
      </c>
      <c r="AG1" t="inlineStr">
        <is>
          <t>TotalPossessions</t>
        </is>
      </c>
      <c r="AH1" t="inlineStr">
        <is>
          <t>ContestedPossessionRate</t>
        </is>
      </c>
      <c r="AI1" t="inlineStr">
        <is>
          <t>Intercepts</t>
        </is>
      </c>
      <c r="AJ1" t="inlineStr">
        <is>
          <t>GroundBallGets</t>
        </is>
      </c>
      <c r="AK1" t="inlineStr">
        <is>
          <t>GroundBallGetsForward50</t>
        </is>
      </c>
      <c r="AL1" t="inlineStr">
        <is>
          <t>HardBallGets</t>
        </is>
      </c>
      <c r="AM1" t="inlineStr">
        <is>
          <t>LooseBallGets</t>
        </is>
      </c>
      <c r="AN1" t="inlineStr">
        <is>
          <t>PostClearanceContestedPossessions</t>
        </is>
      </c>
      <c r="AO1" t="inlineStr">
        <is>
          <t>PostClearanceGroundBallGets</t>
        </is>
      </c>
      <c r="AP1" t="inlineStr">
        <is>
          <t>GathersFromHitout</t>
        </is>
      </c>
      <c r="AQ1" t="inlineStr">
        <is>
          <t>CrumbingPossessions</t>
        </is>
      </c>
      <c r="AR1" t="inlineStr">
        <is>
          <t>HandballReceives</t>
        </is>
      </c>
      <c r="AS1" t="inlineStr">
        <is>
          <t>CentreClearances</t>
        </is>
      </c>
      <c r="AT1" t="inlineStr">
        <is>
          <t>StoppageClearances</t>
        </is>
      </c>
      <c r="AU1" t="inlineStr">
        <is>
          <t>TotalClearances</t>
        </is>
      </c>
      <c r="AV1" t="inlineStr">
        <is>
          <t>FirstPossessions</t>
        </is>
      </c>
      <c r="AW1" t="inlineStr">
        <is>
          <t>FirstPossessionToClearance</t>
        </is>
      </c>
      <c r="AX1" t="inlineStr">
        <is>
          <t>Marks</t>
        </is>
      </c>
      <c r="AY1" t="inlineStr">
        <is>
          <t>ContestedMarks</t>
        </is>
      </c>
      <c r="AZ1" t="inlineStr">
        <is>
          <t>MarksInside50</t>
        </is>
      </c>
      <c r="BA1" t="inlineStr">
        <is>
          <t>MarksInside50PerInside50</t>
        </is>
      </c>
      <c r="BB1" t="inlineStr">
        <is>
          <t>InterceptMarks</t>
        </is>
      </c>
      <c r="BC1" t="inlineStr">
        <is>
          <t>MarksOnLead</t>
        </is>
      </c>
      <c r="BD1" t="inlineStr">
        <is>
          <t>GoalScorers_Total</t>
        </is>
      </c>
      <c r="BE1" t="inlineStr">
        <is>
          <t>GoalScorers</t>
        </is>
      </c>
      <c r="BF1" t="inlineStr">
        <is>
          <t>Goals</t>
        </is>
      </c>
      <c r="BG1" t="inlineStr">
        <is>
          <t>Behinds</t>
        </is>
      </c>
      <c r="BH1" t="inlineStr">
        <is>
          <t>RushedBehinds</t>
        </is>
      </c>
      <c r="BI1" t="inlineStr">
        <is>
          <t>ShotsAtGoal</t>
        </is>
      </c>
      <c r="BJ1" t="inlineStr">
        <is>
          <t>GoalAssists</t>
        </is>
      </c>
      <c r="BK1" t="inlineStr">
        <is>
          <t>GoalAccuracy</t>
        </is>
      </c>
      <c r="BL1" t="inlineStr">
        <is>
          <t>GoalsPerInside50</t>
        </is>
      </c>
      <c r="BM1" t="inlineStr">
        <is>
          <t>ScoringShotsPerInside50</t>
        </is>
      </c>
      <c r="BN1" t="inlineStr">
        <is>
          <t>ShotsPerInside50</t>
        </is>
      </c>
      <c r="BO1" t="inlineStr">
        <is>
          <t>ScoreLaunches</t>
        </is>
      </c>
      <c r="BP1" t="inlineStr">
        <is>
          <t>ContestOffensiveOneOnOnes</t>
        </is>
      </c>
      <c r="BQ1" t="inlineStr">
        <is>
          <t>ContestOffensiveWinPercentage</t>
        </is>
      </c>
      <c r="BR1" t="inlineStr">
        <is>
          <t>xScore</t>
        </is>
      </c>
      <c r="BS1" t="inlineStr">
        <is>
          <t>xScoreRating</t>
        </is>
      </c>
      <c r="BT1" t="inlineStr">
        <is>
          <t>xScorePerShot</t>
        </is>
      </c>
      <c r="BU1" t="inlineStr">
        <is>
          <t>xScoreRatingPerShot</t>
        </is>
      </c>
      <c r="BV1" t="inlineStr">
        <is>
          <t>xScorePerShot_Set</t>
        </is>
      </c>
      <c r="BW1" t="inlineStr">
        <is>
          <t>xScoreRatingPerShot_Set</t>
        </is>
      </c>
      <c r="BX1" t="inlineStr">
        <is>
          <t>xScorePerShot_General</t>
        </is>
      </c>
      <c r="BY1" t="inlineStr">
        <is>
          <t>xScoreRatingPerShot_General</t>
        </is>
      </c>
      <c r="BZ1" t="inlineStr">
        <is>
          <t>PointsFromKickIn</t>
        </is>
      </c>
      <c r="CA1" t="inlineStr">
        <is>
          <t>PointsFromStoppage</t>
        </is>
      </c>
      <c r="CB1" t="inlineStr">
        <is>
          <t>PointsFromTurnover</t>
        </is>
      </c>
      <c r="CC1" t="inlineStr">
        <is>
          <t>PointsFromDefensiveHalf</t>
        </is>
      </c>
      <c r="CD1" t="inlineStr">
        <is>
          <t>PointsFromForwardHalf</t>
        </is>
      </c>
      <c r="CE1" t="inlineStr">
        <is>
          <t>PointsFromCentreBounce</t>
        </is>
      </c>
      <c r="CF1" t="inlineStr">
        <is>
          <t>ChainToScore</t>
        </is>
      </c>
      <c r="CG1" t="inlineStr">
        <is>
          <t>D50ToF50</t>
        </is>
      </c>
      <c r="CH1" t="inlineStr">
        <is>
          <t>D50ToScore</t>
        </is>
      </c>
      <c r="CI1" t="inlineStr">
        <is>
          <t>DefHalfToF50</t>
        </is>
      </c>
      <c r="CJ1" t="inlineStr">
        <is>
          <t>DefHalfToScore</t>
        </is>
      </c>
      <c r="CK1" t="inlineStr">
        <is>
          <t>ContestDefensiveOneOnOnes</t>
        </is>
      </c>
      <c r="CL1" t="inlineStr">
        <is>
          <t>ContestDefensiveLossPercentage</t>
        </is>
      </c>
      <c r="CM1" t="inlineStr">
        <is>
          <t>Tackles</t>
        </is>
      </c>
      <c r="CN1" t="inlineStr">
        <is>
          <t>TacklesInside50</t>
        </is>
      </c>
      <c r="CO1" t="inlineStr">
        <is>
          <t>PressureActs</t>
        </is>
      </c>
      <c r="CP1" t="inlineStr">
        <is>
          <t>PressureActsDefensiveHalf</t>
        </is>
      </c>
      <c r="CQ1" t="inlineStr">
        <is>
          <t>Spoils</t>
        </is>
      </c>
      <c r="CR1" t="inlineStr">
        <is>
          <t>RuckContests</t>
        </is>
      </c>
      <c r="CS1" t="inlineStr">
        <is>
          <t>Hitouts</t>
        </is>
      </c>
      <c r="CT1" t="inlineStr">
        <is>
          <t>HitoutsWinPercentage</t>
        </is>
      </c>
      <c r="CU1" t="inlineStr">
        <is>
          <t>HitoutsToAdvantage</t>
        </is>
      </c>
      <c r="CV1" t="inlineStr">
        <is>
          <t>HitoutsToAdvantagePercentage</t>
        </is>
      </c>
      <c r="CW1" t="inlineStr">
        <is>
          <t>RuckHardBallGets</t>
        </is>
      </c>
      <c r="CX1" t="inlineStr">
        <is>
          <t>FreesFor</t>
        </is>
      </c>
      <c r="CY1" t="inlineStr">
        <is>
          <t>FreesAgainst</t>
        </is>
      </c>
      <c r="CZ1" t="inlineStr">
        <is>
          <t>FreesDiff</t>
        </is>
      </c>
      <c r="DA1" t="inlineStr">
        <is>
          <t>KickIns</t>
        </is>
      </c>
      <c r="DB1" t="inlineStr">
        <is>
          <t>KickInsPlayOnPercentage</t>
        </is>
      </c>
      <c r="DC1" t="inlineStr">
        <is>
          <t>Bounces</t>
        </is>
      </c>
      <c r="DD1" t="inlineStr">
        <is>
          <t>OnePercenters</t>
        </is>
      </c>
      <c r="DE1" t="inlineStr">
        <is>
          <t>InterchangeCount</t>
        </is>
      </c>
      <c r="DF1" t="inlineStr">
        <is>
          <t>RatingPoints_Opposition</t>
        </is>
      </c>
      <c r="DG1" t="inlineStr">
        <is>
          <t>Supercoach_Opposition</t>
        </is>
      </c>
      <c r="DH1" t="inlineStr">
        <is>
          <t>DreamTeamPoints_Opposition</t>
        </is>
      </c>
      <c r="DI1" t="inlineStr">
        <is>
          <t>CoachesVotes_Opposition</t>
        </is>
      </c>
      <c r="DJ1" t="inlineStr">
        <is>
          <t>Kicks_Opposition</t>
        </is>
      </c>
      <c r="DK1" t="inlineStr">
        <is>
          <t>Handballs_Opposition</t>
        </is>
      </c>
      <c r="DL1" t="inlineStr">
        <is>
          <t>Disposals_Opposition</t>
        </is>
      </c>
      <c r="DM1" t="inlineStr">
        <is>
          <t>DisposalEfficiency_Opposition</t>
        </is>
      </c>
      <c r="DN1" t="inlineStr">
        <is>
          <t>KickingEfficiency_Opposition</t>
        </is>
      </c>
      <c r="DO1" t="inlineStr">
        <is>
          <t>HandballEfficiency_Opposition</t>
        </is>
      </c>
      <c r="DP1" t="inlineStr">
        <is>
          <t>OppositionDisposalsPerTackle</t>
        </is>
      </c>
      <c r="DQ1" t="inlineStr">
        <is>
          <t>Inside50s_Opposition</t>
        </is>
      </c>
      <c r="DR1" t="inlineStr">
        <is>
          <t>Rebound50s_Opposition</t>
        </is>
      </c>
      <c r="DS1" t="inlineStr">
        <is>
          <t>OppositionRebound50sPerInside50s</t>
        </is>
      </c>
      <c r="DT1" t="inlineStr">
        <is>
          <t>MetresGained_Opposition</t>
        </is>
      </c>
      <c r="DU1" t="inlineStr">
        <is>
          <t>MetresGainedPerDisposal_Opposition</t>
        </is>
      </c>
      <c r="DV1" t="inlineStr">
        <is>
          <t>Clangers_Opposition</t>
        </is>
      </c>
      <c r="DW1" t="inlineStr">
        <is>
          <t>DisposalsPerClanger_Opposition</t>
        </is>
      </c>
      <c r="DX1" t="inlineStr">
        <is>
          <t>Turnovers_Opposition</t>
        </is>
      </c>
      <c r="DY1" t="inlineStr">
        <is>
          <t>DisposalsPerTurnover_Opposition</t>
        </is>
      </c>
      <c r="DZ1" t="inlineStr">
        <is>
          <t>ThreatRating_Opposition</t>
        </is>
      </c>
      <c r="EA1" t="inlineStr">
        <is>
          <t>RetentionRating_Opposition</t>
        </is>
      </c>
      <c r="EB1" t="inlineStr">
        <is>
          <t>ContestedPossessions_Opposition</t>
        </is>
      </c>
      <c r="EC1" t="inlineStr">
        <is>
          <t>UncontestedPossessions_Opposition</t>
        </is>
      </c>
      <c r="ED1" t="inlineStr">
        <is>
          <t>TotalPossessions_Opposition</t>
        </is>
      </c>
      <c r="EE1" t="inlineStr">
        <is>
          <t>ContestedPossessionRate_Opposition</t>
        </is>
      </c>
      <c r="EF1" t="inlineStr">
        <is>
          <t>Intercepts_Opposition</t>
        </is>
      </c>
      <c r="EG1" t="inlineStr">
        <is>
          <t>GroundBallGets_Opposition</t>
        </is>
      </c>
      <c r="EH1" t="inlineStr">
        <is>
          <t>GroundBallGetsForward50_Opposition</t>
        </is>
      </c>
      <c r="EI1" t="inlineStr">
        <is>
          <t>HardBallGets_Opposition</t>
        </is>
      </c>
      <c r="EJ1" t="inlineStr">
        <is>
          <t>LooseBallGets_Opposition</t>
        </is>
      </c>
      <c r="EK1" t="inlineStr">
        <is>
          <t>PostClearanceContestedPossessions_Opposition</t>
        </is>
      </c>
      <c r="EL1" t="inlineStr">
        <is>
          <t>PostClearanceGroundBallGets_Opposition</t>
        </is>
      </c>
      <c r="EM1" t="inlineStr">
        <is>
          <t>GathersFromHitout_Opposition</t>
        </is>
      </c>
      <c r="EN1" t="inlineStr">
        <is>
          <t>CrumbingPossessions_Opposition</t>
        </is>
      </c>
      <c r="EO1" t="inlineStr">
        <is>
          <t>HandballReceives_Opposition</t>
        </is>
      </c>
      <c r="EP1" t="inlineStr">
        <is>
          <t>CentreClearances_Opposition</t>
        </is>
      </c>
      <c r="EQ1" t="inlineStr">
        <is>
          <t>StoppageClearances_Opposition</t>
        </is>
      </c>
      <c r="ER1" t="inlineStr">
        <is>
          <t>TotalClearances_Opposition</t>
        </is>
      </c>
      <c r="ES1" t="inlineStr">
        <is>
          <t>FirstPossessions_Opposition</t>
        </is>
      </c>
      <c r="ET1" t="inlineStr">
        <is>
          <t>FirstPossessionToClearance_Opposition</t>
        </is>
      </c>
      <c r="EU1" t="inlineStr">
        <is>
          <t>Marks_Opposition</t>
        </is>
      </c>
      <c r="EV1" t="inlineStr">
        <is>
          <t>ContestedMarks_Opposition</t>
        </is>
      </c>
      <c r="EW1" t="inlineStr">
        <is>
          <t>MarksInside50_Opposition</t>
        </is>
      </c>
      <c r="EX1" t="inlineStr">
        <is>
          <t>MarksInside50PerInside50_Opposition</t>
        </is>
      </c>
      <c r="EY1" t="inlineStr">
        <is>
          <t>InterceptMarks_Opposition</t>
        </is>
      </c>
      <c r="EZ1" t="inlineStr">
        <is>
          <t>MarksOnLead_Opposition</t>
        </is>
      </c>
      <c r="FA1" t="inlineStr">
        <is>
          <t>Goals_Opposition</t>
        </is>
      </c>
      <c r="FB1" t="inlineStr">
        <is>
          <t>Behinds_Opposition</t>
        </is>
      </c>
      <c r="FC1" t="inlineStr">
        <is>
          <t>RushedBehinds_Opposition</t>
        </is>
      </c>
      <c r="FD1" t="inlineStr">
        <is>
          <t>ShotsAtGoal_Opposition</t>
        </is>
      </c>
      <c r="FE1" t="inlineStr">
        <is>
          <t>GoalAssists_Opposition</t>
        </is>
      </c>
      <c r="FF1" t="inlineStr">
        <is>
          <t>GoalAccuracy_Opposition</t>
        </is>
      </c>
      <c r="FG1" t="inlineStr">
        <is>
          <t>GoalsPerInside50_Opposition</t>
        </is>
      </c>
      <c r="FH1" t="inlineStr">
        <is>
          <t>ScoringShotsPerInside50_Opposition</t>
        </is>
      </c>
      <c r="FI1" t="inlineStr">
        <is>
          <t>ShotsPerInside50_Opposition</t>
        </is>
      </c>
      <c r="FJ1" t="inlineStr">
        <is>
          <t>ScoreLaunches_Opposition</t>
        </is>
      </c>
      <c r="FK1" t="inlineStr">
        <is>
          <t>xScore_Opposition</t>
        </is>
      </c>
      <c r="FL1" t="inlineStr">
        <is>
          <t>xScoreRating_Opposition</t>
        </is>
      </c>
      <c r="FM1" t="inlineStr">
        <is>
          <t>xScorePerShot_Opposition</t>
        </is>
      </c>
      <c r="FN1" t="inlineStr">
        <is>
          <t>xScoreRatingPerShot_Opposition</t>
        </is>
      </c>
      <c r="FO1" t="inlineStr">
        <is>
          <t>xScorePerShot_Set_Opposition</t>
        </is>
      </c>
      <c r="FP1" t="inlineStr">
        <is>
          <t>xScoreRatingPerShot_Set_Opposition</t>
        </is>
      </c>
      <c r="FQ1" t="inlineStr">
        <is>
          <t>xScorePerShot_General_Opposition</t>
        </is>
      </c>
      <c r="FR1" t="inlineStr">
        <is>
          <t>xScoreRatingPerShot_General_Opposition</t>
        </is>
      </c>
      <c r="FS1" t="inlineStr">
        <is>
          <t>PointsFromKickIn_Opposition</t>
        </is>
      </c>
      <c r="FT1" t="inlineStr">
        <is>
          <t>PointsFromStoppage_Opposition</t>
        </is>
      </c>
      <c r="FU1" t="inlineStr">
        <is>
          <t>PointsFromTurnover_Opposition</t>
        </is>
      </c>
      <c r="FV1" t="inlineStr">
        <is>
          <t>PointsFromDefensiveHalf_Opposition</t>
        </is>
      </c>
      <c r="FW1" t="inlineStr">
        <is>
          <t>PointsFromForwardHalf_Opposition</t>
        </is>
      </c>
      <c r="FX1" t="inlineStr">
        <is>
          <t>PointsFromCentreBounce_Opposition</t>
        </is>
      </c>
      <c r="FY1" t="inlineStr">
        <is>
          <t>ChainToScore_Opposition</t>
        </is>
      </c>
      <c r="FZ1" t="inlineStr">
        <is>
          <t>D50ToF50_Opposition</t>
        </is>
      </c>
      <c r="GA1" t="inlineStr">
        <is>
          <t>D50ToScore_Opposition</t>
        </is>
      </c>
      <c r="GB1" t="inlineStr">
        <is>
          <t>DefHalfToF50_Opposition</t>
        </is>
      </c>
      <c r="GC1" t="inlineStr">
        <is>
          <t>DefHalfToScore_Opposition</t>
        </is>
      </c>
      <c r="GD1" t="inlineStr">
        <is>
          <t>Tackles_Opposition</t>
        </is>
      </c>
      <c r="GE1" t="inlineStr">
        <is>
          <t>TacklesInside50_Opposition</t>
        </is>
      </c>
      <c r="GF1" t="inlineStr">
        <is>
          <t>PressureActs_Opposition</t>
        </is>
      </c>
      <c r="GG1" t="inlineStr">
        <is>
          <t>PressureActsDefensiveHalf_Opposition</t>
        </is>
      </c>
      <c r="GH1" t="inlineStr">
        <is>
          <t>Spoils_Opposition</t>
        </is>
      </c>
      <c r="GI1" t="inlineStr">
        <is>
          <t>Hitouts_Opposition</t>
        </is>
      </c>
      <c r="GJ1" t="inlineStr">
        <is>
          <t>HitoutsWinPercentage_Opposition</t>
        </is>
      </c>
      <c r="GK1" t="inlineStr">
        <is>
          <t>HitoutsToAdvantage_Opposition</t>
        </is>
      </c>
      <c r="GL1" t="inlineStr">
        <is>
          <t>HitoutsToAdvantagePercentage_Opposition</t>
        </is>
      </c>
      <c r="GM1" t="inlineStr">
        <is>
          <t>RuckHardBallGets_Opposition</t>
        </is>
      </c>
      <c r="GN1" t="inlineStr">
        <is>
          <t>KickIns_Opposition</t>
        </is>
      </c>
      <c r="GO1" t="inlineStr">
        <is>
          <t>KickInsPlayOnPercentage_Opposition</t>
        </is>
      </c>
      <c r="GP1" t="inlineStr">
        <is>
          <t>Bounces_Opposition</t>
        </is>
      </c>
      <c r="GQ1" t="inlineStr">
        <is>
          <t>OnePercenters_Opposition</t>
        </is>
      </c>
      <c r="GR1" t="inlineStr">
        <is>
          <t>InterchangeCount_Opposition</t>
        </is>
      </c>
      <c r="GS1" t="inlineStr">
        <is>
          <t>RatingPoints_Diff</t>
        </is>
      </c>
      <c r="GT1" t="inlineStr">
        <is>
          <t>Supercoach_Diff</t>
        </is>
      </c>
      <c r="GU1" t="inlineStr">
        <is>
          <t>DreamTeamPoints_Diff</t>
        </is>
      </c>
      <c r="GV1" t="inlineStr">
        <is>
          <t>CoachesVotes_Diff</t>
        </is>
      </c>
      <c r="GW1" t="inlineStr">
        <is>
          <t>Kicks_Diff</t>
        </is>
      </c>
      <c r="GX1" t="inlineStr">
        <is>
          <t>Handballs_Diff</t>
        </is>
      </c>
      <c r="GY1" t="inlineStr">
        <is>
          <t>Disposals_Diff</t>
        </is>
      </c>
      <c r="GZ1" t="inlineStr">
        <is>
          <t>Inside50s_Diff</t>
        </is>
      </c>
      <c r="HA1" t="inlineStr">
        <is>
          <t>MetresGained_Diff</t>
        </is>
      </c>
      <c r="HB1" t="inlineStr">
        <is>
          <t>Clangers_Diff</t>
        </is>
      </c>
      <c r="HC1" t="inlineStr">
        <is>
          <t>Turnovers_Diff</t>
        </is>
      </c>
      <c r="HD1" t="inlineStr">
        <is>
          <t>ThreatRating_Diff</t>
        </is>
      </c>
      <c r="HE1" t="inlineStr">
        <is>
          <t>RetentionRating_Diff</t>
        </is>
      </c>
      <c r="HF1" t="inlineStr">
        <is>
          <t>ContestedPossessions_Diff</t>
        </is>
      </c>
      <c r="HG1" t="inlineStr">
        <is>
          <t>UncontestedPossessions_Diff</t>
        </is>
      </c>
      <c r="HH1" t="inlineStr">
        <is>
          <t>TotalPossessions_Diff</t>
        </is>
      </c>
      <c r="HI1" t="inlineStr">
        <is>
          <t>Intercepts_Diff</t>
        </is>
      </c>
      <c r="HJ1" t="inlineStr">
        <is>
          <t>GroundBallGets_Diff</t>
        </is>
      </c>
      <c r="HK1" t="inlineStr">
        <is>
          <t>GroundBallGetsForward50_Diff</t>
        </is>
      </c>
      <c r="HL1" t="inlineStr">
        <is>
          <t>HardBallGets_Diff</t>
        </is>
      </c>
      <c r="HM1" t="inlineStr">
        <is>
          <t>LooseBallGets_Diff</t>
        </is>
      </c>
      <c r="HN1" t="inlineStr">
        <is>
          <t>PostClearanceContestedPossessions_Diff</t>
        </is>
      </c>
      <c r="HO1" t="inlineStr">
        <is>
          <t>PostClearanceGroundBallGets_Diff</t>
        </is>
      </c>
      <c r="HP1" t="inlineStr">
        <is>
          <t>GathersFromHitout_Diff</t>
        </is>
      </c>
      <c r="HQ1" t="inlineStr">
        <is>
          <t>CrumbingPossessions_Diff</t>
        </is>
      </c>
      <c r="HR1" t="inlineStr">
        <is>
          <t>HandballReceives_Diff</t>
        </is>
      </c>
      <c r="HS1" t="inlineStr">
        <is>
          <t>CentreClearances_Diff</t>
        </is>
      </c>
      <c r="HT1" t="inlineStr">
        <is>
          <t>StoppageClearances_Diff</t>
        </is>
      </c>
      <c r="HU1" t="inlineStr">
        <is>
          <t>TotalClearances_Diff</t>
        </is>
      </c>
      <c r="HV1" t="inlineStr">
        <is>
          <t>FirstPossessions_Diff</t>
        </is>
      </c>
      <c r="HW1" t="inlineStr">
        <is>
          <t>Marks_Diff</t>
        </is>
      </c>
      <c r="HX1" t="inlineStr">
        <is>
          <t>ContestedMarks_Diff</t>
        </is>
      </c>
      <c r="HY1" t="inlineStr">
        <is>
          <t>MarksInside50_Diff</t>
        </is>
      </c>
      <c r="HZ1" t="inlineStr">
        <is>
          <t>InterceptMarks_Diff</t>
        </is>
      </c>
      <c r="IA1" t="inlineStr">
        <is>
          <t>MarksOnLead_Diff</t>
        </is>
      </c>
      <c r="IB1" t="inlineStr">
        <is>
          <t>Goals_Diff</t>
        </is>
      </c>
      <c r="IC1" t="inlineStr">
        <is>
          <t>Behinds_Diff</t>
        </is>
      </c>
      <c r="ID1" t="inlineStr">
        <is>
          <t>ShotsAtGoal_Diff</t>
        </is>
      </c>
      <c r="IE1" t="inlineStr">
        <is>
          <t>GoalAssists_Diff</t>
        </is>
      </c>
      <c r="IF1" t="inlineStr">
        <is>
          <t>ScoreLaunches_Diff</t>
        </is>
      </c>
      <c r="IG1" t="inlineStr">
        <is>
          <t>xScore_Diff</t>
        </is>
      </c>
      <c r="IH1" t="inlineStr">
        <is>
          <t>xScoreRating_Diff</t>
        </is>
      </c>
      <c r="II1" t="inlineStr">
        <is>
          <t>xScorePerShot_Diff</t>
        </is>
      </c>
      <c r="IJ1" t="inlineStr">
        <is>
          <t>PointsFromKickIn_Diff</t>
        </is>
      </c>
      <c r="IK1" t="inlineStr">
        <is>
          <t>PointsFromStoppage_Diff</t>
        </is>
      </c>
      <c r="IL1" t="inlineStr">
        <is>
          <t>PointsFromTurnover_Diff</t>
        </is>
      </c>
      <c r="IM1" t="inlineStr">
        <is>
          <t>PointsFromDefensiveHalf_Diff</t>
        </is>
      </c>
      <c r="IN1" t="inlineStr">
        <is>
          <t>PointsFromForwardHalf_Diff</t>
        </is>
      </c>
      <c r="IO1" t="inlineStr">
        <is>
          <t>PointsFromCentreBounce_Diff</t>
        </is>
      </c>
      <c r="IP1" t="inlineStr">
        <is>
          <t>Tackles_Diff</t>
        </is>
      </c>
      <c r="IQ1" t="inlineStr">
        <is>
          <t>TacklesInside50_Diff</t>
        </is>
      </c>
      <c r="IR1" t="inlineStr">
        <is>
          <t>PressureActs_Diff</t>
        </is>
      </c>
      <c r="IS1" t="inlineStr">
        <is>
          <t>PressureActsDefensiveHalf_Diff</t>
        </is>
      </c>
      <c r="IT1" t="inlineStr">
        <is>
          <t>Spoils_Diff</t>
        </is>
      </c>
      <c r="IU1" t="inlineStr">
        <is>
          <t>Hitouts_Diff</t>
        </is>
      </c>
      <c r="IV1" t="inlineStr">
        <is>
          <t>HitoutsToAdvantage_Diff</t>
        </is>
      </c>
      <c r="IW1" t="inlineStr">
        <is>
          <t>RuckHardBallGets_Diff</t>
        </is>
      </c>
      <c r="IX1" t="inlineStr">
        <is>
          <t>Bounces_Diff</t>
        </is>
      </c>
      <c r="IY1" t="inlineStr">
        <is>
          <t>OnePercenters_Diff</t>
        </is>
      </c>
      <c r="IZ1" t="inlineStr">
        <is>
          <t>InterchangeCount_Diff</t>
        </is>
      </c>
    </row>
    <row r="2">
      <c r="A2" t="inlineStr">
        <is>
          <t>Richmond</t>
        </is>
      </c>
      <c r="B2" t="inlineStr">
        <is>
          <t>Rich</t>
        </is>
      </c>
      <c r="C2" t="n">
        <v>22</v>
      </c>
      <c r="D2" t="n">
        <v>40</v>
      </c>
      <c r="E2" t="n">
        <v>26.353</v>
      </c>
      <c r="F2" t="n">
        <v>109.751</v>
      </c>
      <c r="G2" t="n">
        <v>200.432</v>
      </c>
      <c r="H2" t="n">
        <v>1599.091</v>
      </c>
      <c r="I2" t="n">
        <v>1473.136</v>
      </c>
      <c r="J2" t="n">
        <v>12.182</v>
      </c>
      <c r="K2" t="n">
        <v>51.788</v>
      </c>
      <c r="L2" t="n">
        <v>204.091</v>
      </c>
      <c r="M2" t="n">
        <v>153.045</v>
      </c>
      <c r="N2" t="n">
        <v>357.136</v>
      </c>
      <c r="O2" t="n">
        <v>72.712</v>
      </c>
      <c r="P2" t="n">
        <v>67.194</v>
      </c>
      <c r="Q2" t="n">
        <v>80.071</v>
      </c>
      <c r="R2" t="n">
        <v>57.146</v>
      </c>
      <c r="S2" t="n">
        <v>6.721</v>
      </c>
      <c r="T2" t="n">
        <v>51.364</v>
      </c>
      <c r="U2" t="n">
        <v>38</v>
      </c>
      <c r="V2" t="n">
        <v>75.45099999999999</v>
      </c>
      <c r="W2" t="n">
        <v>5788.227</v>
      </c>
      <c r="X2" t="n">
        <v>16.207</v>
      </c>
      <c r="Y2" t="n">
        <v>61.455</v>
      </c>
      <c r="Z2" t="n">
        <v>5.811</v>
      </c>
      <c r="AA2" t="n">
        <v>69.682</v>
      </c>
      <c r="AB2" t="n">
        <v>5.125</v>
      </c>
      <c r="AC2" t="n">
        <v>-0.466</v>
      </c>
      <c r="AD2" t="n">
        <v>0.213</v>
      </c>
      <c r="AE2" t="n">
        <v>129.636</v>
      </c>
      <c r="AF2" t="n">
        <v>222.182</v>
      </c>
      <c r="AG2" t="n">
        <v>351.818</v>
      </c>
      <c r="AH2" t="n">
        <v>36.848</v>
      </c>
      <c r="AI2" t="n">
        <v>71.636</v>
      </c>
      <c r="AJ2" t="n">
        <v>89</v>
      </c>
      <c r="AK2" t="n">
        <v>14.136</v>
      </c>
      <c r="AL2" t="n">
        <v>27.773</v>
      </c>
      <c r="AM2" t="n">
        <v>61.227</v>
      </c>
      <c r="AN2" t="n">
        <v>87</v>
      </c>
      <c r="AO2" t="n">
        <v>62.864</v>
      </c>
      <c r="AP2" t="n">
        <v>6.682</v>
      </c>
      <c r="AQ2" t="n">
        <v>23.273</v>
      </c>
      <c r="AR2" t="n">
        <v>118.455</v>
      </c>
      <c r="AS2" t="n">
        <v>11.455</v>
      </c>
      <c r="AT2" t="n">
        <v>18.591</v>
      </c>
      <c r="AU2" t="n">
        <v>30.045</v>
      </c>
      <c r="AV2" t="n">
        <v>34.545</v>
      </c>
      <c r="AW2" t="n">
        <v>74.605</v>
      </c>
      <c r="AX2" t="n">
        <v>90.136</v>
      </c>
      <c r="AY2" t="n">
        <v>9.727</v>
      </c>
      <c r="AZ2" t="n">
        <v>12.227</v>
      </c>
      <c r="BA2" t="n">
        <v>23.805</v>
      </c>
      <c r="BB2" t="n">
        <v>16.727</v>
      </c>
      <c r="BC2" t="n">
        <v>7.136</v>
      </c>
      <c r="BD2" t="n">
        <v>30</v>
      </c>
      <c r="BE2" t="n">
        <v>6.727</v>
      </c>
      <c r="BF2" t="n">
        <v>11.5</v>
      </c>
      <c r="BG2" t="n">
        <v>10.227</v>
      </c>
      <c r="BH2" t="n">
        <v>1.909</v>
      </c>
      <c r="BI2" t="n">
        <v>24</v>
      </c>
      <c r="BJ2" t="n">
        <v>8.135999999999999</v>
      </c>
      <c r="BK2" t="n">
        <v>47.917</v>
      </c>
      <c r="BL2" t="n">
        <v>22.389</v>
      </c>
      <c r="BM2" t="n">
        <v>42.301</v>
      </c>
      <c r="BN2" t="n">
        <v>46.726</v>
      </c>
      <c r="BO2" t="n">
        <v>21.455</v>
      </c>
      <c r="BP2" t="n">
        <v>17</v>
      </c>
      <c r="BQ2" t="n">
        <v>29.679</v>
      </c>
      <c r="BR2" t="n">
        <v>78.706</v>
      </c>
      <c r="BS2" t="n">
        <v>-1.388</v>
      </c>
      <c r="BT2" t="n">
        <v>3.279</v>
      </c>
      <c r="BU2" t="n">
        <v>-0.058</v>
      </c>
      <c r="BV2" t="n">
        <v>3.459</v>
      </c>
      <c r="BW2" t="n">
        <v>-0.01</v>
      </c>
      <c r="BX2" t="n">
        <v>3.058</v>
      </c>
      <c r="BY2" t="n">
        <v>-0.117</v>
      </c>
      <c r="BZ2" t="n">
        <v>1.318</v>
      </c>
      <c r="CA2" t="n">
        <v>22.682</v>
      </c>
      <c r="CB2" t="n">
        <v>55.227</v>
      </c>
      <c r="CC2" t="n">
        <v>30.409</v>
      </c>
      <c r="CD2" t="n">
        <v>40.909</v>
      </c>
      <c r="CE2" t="n">
        <v>7.909</v>
      </c>
      <c r="CF2" t="n">
        <v>19.545</v>
      </c>
      <c r="CG2" t="n">
        <v>21.905</v>
      </c>
      <c r="CH2" t="n">
        <v>8.224</v>
      </c>
      <c r="CI2" t="n">
        <v>31.023</v>
      </c>
      <c r="CJ2" t="n">
        <v>11.975</v>
      </c>
      <c r="CK2" t="n">
        <v>15.045</v>
      </c>
      <c r="CL2" t="n">
        <v>26.888</v>
      </c>
      <c r="CM2" t="n">
        <v>56.227</v>
      </c>
      <c r="CN2" t="n">
        <v>9.590999999999999</v>
      </c>
      <c r="CO2" t="n">
        <v>299.045</v>
      </c>
      <c r="CP2" t="n">
        <v>134.773</v>
      </c>
      <c r="CQ2" t="n">
        <v>29.864</v>
      </c>
      <c r="CR2" t="n">
        <v>79.182</v>
      </c>
      <c r="CS2" t="n">
        <v>27.909</v>
      </c>
      <c r="CT2" t="n">
        <v>35.247</v>
      </c>
      <c r="CU2" t="n">
        <v>7.318</v>
      </c>
      <c r="CV2" t="n">
        <v>26.221</v>
      </c>
      <c r="CW2" t="n">
        <v>3.864</v>
      </c>
      <c r="CX2" t="n">
        <v>17.091</v>
      </c>
      <c r="CY2" t="n">
        <v>21</v>
      </c>
      <c r="CZ2" t="n">
        <v>-3.909</v>
      </c>
      <c r="DA2" t="n">
        <v>10.364</v>
      </c>
      <c r="DB2" t="n">
        <v>77.63200000000001</v>
      </c>
      <c r="DC2" t="n">
        <v>7.455</v>
      </c>
      <c r="DD2" t="n">
        <v>47.455</v>
      </c>
      <c r="DE2" t="n">
        <v>70.864</v>
      </c>
      <c r="DF2" t="n">
        <v>204.941</v>
      </c>
      <c r="DG2" t="n">
        <v>1701.091</v>
      </c>
      <c r="DH2" t="n">
        <v>1580.727</v>
      </c>
      <c r="DI2" t="n">
        <v>17.818</v>
      </c>
      <c r="DJ2" t="n">
        <v>223.682</v>
      </c>
      <c r="DK2" t="n">
        <v>154.727</v>
      </c>
      <c r="DL2" t="n">
        <v>378.409</v>
      </c>
      <c r="DM2" t="n">
        <v>73.297</v>
      </c>
      <c r="DN2" t="n">
        <v>66.755</v>
      </c>
      <c r="DO2" t="n">
        <v>82.756</v>
      </c>
      <c r="DP2" t="n">
        <v>6.73</v>
      </c>
      <c r="DQ2" t="n">
        <v>50.364</v>
      </c>
      <c r="DR2" t="n">
        <v>39</v>
      </c>
      <c r="DS2" t="n">
        <v>75.929</v>
      </c>
      <c r="DT2" t="n">
        <v>5723.409</v>
      </c>
      <c r="DU2" t="n">
        <v>15.125</v>
      </c>
      <c r="DV2" t="n">
        <v>56.682</v>
      </c>
      <c r="DW2" t="n">
        <v>6.676</v>
      </c>
      <c r="DX2" t="n">
        <v>71.545</v>
      </c>
      <c r="DY2" t="n">
        <v>5.289</v>
      </c>
      <c r="DZ2" t="n">
        <v>0.596</v>
      </c>
      <c r="EA2" t="n">
        <v>1.277</v>
      </c>
      <c r="EB2" t="n">
        <v>137.318</v>
      </c>
      <c r="EC2" t="n">
        <v>237.091</v>
      </c>
      <c r="ED2" t="n">
        <v>374.409</v>
      </c>
      <c r="EE2" t="n">
        <v>36.676</v>
      </c>
      <c r="EF2" t="n">
        <v>69.90900000000001</v>
      </c>
      <c r="EG2" t="n">
        <v>91.773</v>
      </c>
      <c r="EH2" t="n">
        <v>15.227</v>
      </c>
      <c r="EI2" t="n">
        <v>29.318</v>
      </c>
      <c r="EJ2" t="n">
        <v>62.455</v>
      </c>
      <c r="EK2" t="n">
        <v>89.273</v>
      </c>
      <c r="EL2" t="n">
        <v>62.591</v>
      </c>
      <c r="EM2" t="n">
        <v>10.5</v>
      </c>
      <c r="EN2" t="n">
        <v>23.091</v>
      </c>
      <c r="EO2" t="n">
        <v>124.818</v>
      </c>
      <c r="EP2" t="n">
        <v>12.091</v>
      </c>
      <c r="EQ2" t="n">
        <v>24.455</v>
      </c>
      <c r="ER2" t="n">
        <v>36.545</v>
      </c>
      <c r="ES2" t="n">
        <v>37.545</v>
      </c>
      <c r="ET2" t="n">
        <v>80.99299999999999</v>
      </c>
      <c r="EU2" t="n">
        <v>101.455</v>
      </c>
      <c r="EV2" t="n">
        <v>9.955</v>
      </c>
      <c r="EW2" t="n">
        <v>12.182</v>
      </c>
      <c r="EX2" t="n">
        <v>24.188</v>
      </c>
      <c r="EY2" t="n">
        <v>15.591</v>
      </c>
      <c r="EZ2" t="n">
        <v>5.909</v>
      </c>
      <c r="FA2" t="n">
        <v>11.727</v>
      </c>
      <c r="FB2" t="n">
        <v>10.545</v>
      </c>
      <c r="FC2" t="n">
        <v>2.045</v>
      </c>
      <c r="FD2" t="n">
        <v>24.5</v>
      </c>
      <c r="FE2" t="n">
        <v>8.227</v>
      </c>
      <c r="FF2" t="n">
        <v>47.866</v>
      </c>
      <c r="FG2" t="n">
        <v>23.285</v>
      </c>
      <c r="FH2" t="n">
        <v>44.224</v>
      </c>
      <c r="FI2" t="n">
        <v>48.646</v>
      </c>
      <c r="FJ2" t="n">
        <v>22.182</v>
      </c>
      <c r="FK2" t="n">
        <v>79.59699999999999</v>
      </c>
      <c r="FL2" t="n">
        <v>-0.733</v>
      </c>
      <c r="FM2" t="n">
        <v>3.249</v>
      </c>
      <c r="FN2" t="n">
        <v>-0.03</v>
      </c>
      <c r="FO2" t="n">
        <v>3.478</v>
      </c>
      <c r="FP2" t="n">
        <v>0.068</v>
      </c>
      <c r="FQ2" t="n">
        <v>2.921</v>
      </c>
      <c r="FR2" t="n">
        <v>-0.169</v>
      </c>
      <c r="FS2" t="n">
        <v>5.091</v>
      </c>
      <c r="FT2" t="n">
        <v>30.818</v>
      </c>
      <c r="FU2" t="n">
        <v>45</v>
      </c>
      <c r="FV2" t="n">
        <v>31.091</v>
      </c>
      <c r="FW2" t="n">
        <v>37.227</v>
      </c>
      <c r="FX2" t="n">
        <v>12.591</v>
      </c>
      <c r="FY2" t="n">
        <v>19.372</v>
      </c>
      <c r="FZ2" t="n">
        <v>20.694</v>
      </c>
      <c r="GA2" t="n">
        <v>9.843</v>
      </c>
      <c r="GB2" t="n">
        <v>28.316</v>
      </c>
      <c r="GC2" t="n">
        <v>11.997</v>
      </c>
      <c r="GD2" t="n">
        <v>53.136</v>
      </c>
      <c r="GE2" t="n">
        <v>8.227</v>
      </c>
      <c r="GF2" t="n">
        <v>283.5</v>
      </c>
      <c r="GG2" t="n">
        <v>136.182</v>
      </c>
      <c r="GH2" t="n">
        <v>31.227</v>
      </c>
      <c r="GI2" t="n">
        <v>34.727</v>
      </c>
      <c r="GJ2" t="n">
        <v>43.782</v>
      </c>
      <c r="GK2" t="n">
        <v>11.591</v>
      </c>
      <c r="GL2" t="n">
        <v>33.377</v>
      </c>
      <c r="GM2" t="n">
        <v>2.364</v>
      </c>
      <c r="GN2" t="n">
        <v>10.045</v>
      </c>
      <c r="GO2" t="n">
        <v>87.783</v>
      </c>
      <c r="GP2" t="n">
        <v>4.818</v>
      </c>
      <c r="GQ2" t="n">
        <v>47.5</v>
      </c>
      <c r="GR2" t="n">
        <v>71.318</v>
      </c>
      <c r="GS2" t="n">
        <v>-4.509</v>
      </c>
      <c r="GT2" t="n">
        <v>-102</v>
      </c>
      <c r="GU2" t="n">
        <v>-107.591</v>
      </c>
      <c r="GV2" t="n">
        <v>-5.636</v>
      </c>
      <c r="GW2" t="n">
        <v>-19.591</v>
      </c>
      <c r="GX2" t="n">
        <v>-1.682</v>
      </c>
      <c r="GY2" t="n">
        <v>-21.273</v>
      </c>
      <c r="GZ2" t="n">
        <v>1</v>
      </c>
      <c r="HA2" t="n">
        <v>64.818</v>
      </c>
      <c r="HB2" t="n">
        <v>4.773</v>
      </c>
      <c r="HC2" t="n">
        <v>-1.864</v>
      </c>
      <c r="HD2" t="n">
        <v>-1.062</v>
      </c>
      <c r="HE2" t="n">
        <v>-1.064</v>
      </c>
      <c r="HF2" t="n">
        <v>-7.682</v>
      </c>
      <c r="HG2" t="n">
        <v>-14.909</v>
      </c>
      <c r="HH2" t="n">
        <v>-22.591</v>
      </c>
      <c r="HI2" t="n">
        <v>1.727</v>
      </c>
      <c r="HJ2" t="n">
        <v>-2.773</v>
      </c>
      <c r="HK2" t="n">
        <v>-1.091</v>
      </c>
      <c r="HL2" t="n">
        <v>-1.545</v>
      </c>
      <c r="HM2" t="n">
        <v>-1.227</v>
      </c>
      <c r="HN2" t="n">
        <v>-2.273</v>
      </c>
      <c r="HO2" t="n">
        <v>0.273</v>
      </c>
      <c r="HP2" t="n">
        <v>-3.818</v>
      </c>
      <c r="HQ2" t="n">
        <v>0.182</v>
      </c>
      <c r="HR2" t="n">
        <v>-6.364</v>
      </c>
      <c r="HS2" t="n">
        <v>-0.636</v>
      </c>
      <c r="HT2" t="n">
        <v>-5.864</v>
      </c>
      <c r="HU2" t="n">
        <v>-6.5</v>
      </c>
      <c r="HV2" t="n">
        <v>-3</v>
      </c>
      <c r="HW2" t="n">
        <v>-11.318</v>
      </c>
      <c r="HX2" t="n">
        <v>-0.227</v>
      </c>
      <c r="HY2" t="n">
        <v>0.045</v>
      </c>
      <c r="HZ2" t="n">
        <v>1.136</v>
      </c>
      <c r="IA2" t="n">
        <v>1.227</v>
      </c>
      <c r="IB2" t="n">
        <v>-0.227</v>
      </c>
      <c r="IC2" t="n">
        <v>-0.318</v>
      </c>
      <c r="ID2" t="n">
        <v>-0.5</v>
      </c>
      <c r="IE2" t="n">
        <v>-0.091</v>
      </c>
      <c r="IF2" t="n">
        <v>-0.727</v>
      </c>
      <c r="IG2" t="n">
        <v>-0.89</v>
      </c>
      <c r="IH2" t="n">
        <v>-0.655</v>
      </c>
      <c r="II2" t="n">
        <v>0.031</v>
      </c>
      <c r="IJ2" t="n">
        <v>-3.773</v>
      </c>
      <c r="IK2" t="n">
        <v>-8.135999999999999</v>
      </c>
      <c r="IL2" t="n">
        <v>10.227</v>
      </c>
      <c r="IM2" t="n">
        <v>-0.6820000000000001</v>
      </c>
      <c r="IN2" t="n">
        <v>3.682</v>
      </c>
      <c r="IO2" t="n">
        <v>-4.682</v>
      </c>
      <c r="IP2" t="n">
        <v>3.091</v>
      </c>
      <c r="IQ2" t="n">
        <v>1.364</v>
      </c>
      <c r="IR2" t="n">
        <v>15.545</v>
      </c>
      <c r="IS2" t="n">
        <v>-1.409</v>
      </c>
      <c r="IT2" t="n">
        <v>-1.364</v>
      </c>
      <c r="IU2" t="n">
        <v>-6.818</v>
      </c>
      <c r="IV2" t="n">
        <v>-4.273</v>
      </c>
      <c r="IW2" t="n">
        <v>1.5</v>
      </c>
      <c r="IX2" t="n">
        <v>2.636</v>
      </c>
      <c r="IY2" t="n">
        <v>-0.045</v>
      </c>
      <c r="IZ2" t="n">
        <v>-0.455</v>
      </c>
    </row>
    <row r="3">
      <c r="A3" t="inlineStr">
        <is>
          <t>Carlton</t>
        </is>
      </c>
      <c r="B3" t="inlineStr">
        <is>
          <t>Carl</t>
        </is>
      </c>
      <c r="C3" t="n">
        <v>22</v>
      </c>
      <c r="D3" t="n">
        <v>39</v>
      </c>
      <c r="E3" t="n">
        <v>25.595</v>
      </c>
      <c r="F3" t="n">
        <v>96.88500000000001</v>
      </c>
      <c r="G3" t="n">
        <v>199.164</v>
      </c>
      <c r="H3" t="n">
        <v>1593.727</v>
      </c>
      <c r="I3" t="n">
        <v>1488.545</v>
      </c>
      <c r="J3" t="n">
        <v>12</v>
      </c>
      <c r="K3" t="n">
        <v>49.821</v>
      </c>
      <c r="L3" t="n">
        <v>219.818</v>
      </c>
      <c r="M3" t="n">
        <v>128.955</v>
      </c>
      <c r="N3" t="n">
        <v>348.773</v>
      </c>
      <c r="O3" t="n">
        <v>71.71899999999999</v>
      </c>
      <c r="P3" t="n">
        <v>64.53700000000001</v>
      </c>
      <c r="Q3" t="n">
        <v>83.962</v>
      </c>
      <c r="R3" t="n">
        <v>63.026</v>
      </c>
      <c r="S3" t="n">
        <v>5.663</v>
      </c>
      <c r="T3" t="n">
        <v>50.318</v>
      </c>
      <c r="U3" t="n">
        <v>40.364</v>
      </c>
      <c r="V3" t="n">
        <v>74.497</v>
      </c>
      <c r="W3" t="n">
        <v>5762.318</v>
      </c>
      <c r="X3" t="n">
        <v>16.522</v>
      </c>
      <c r="Y3" t="n">
        <v>57.227</v>
      </c>
      <c r="Z3" t="n">
        <v>6.095</v>
      </c>
      <c r="AA3" t="n">
        <v>67</v>
      </c>
      <c r="AB3" t="n">
        <v>5.206</v>
      </c>
      <c r="AC3" t="n">
        <v>0.946</v>
      </c>
      <c r="AD3" t="n">
        <v>1.282</v>
      </c>
      <c r="AE3" t="n">
        <v>131.273</v>
      </c>
      <c r="AF3" t="n">
        <v>209.5</v>
      </c>
      <c r="AG3" t="n">
        <v>340.773</v>
      </c>
      <c r="AH3" t="n">
        <v>38.522</v>
      </c>
      <c r="AI3" t="n">
        <v>68.773</v>
      </c>
      <c r="AJ3" t="n">
        <v>85.59099999999999</v>
      </c>
      <c r="AK3" t="n">
        <v>14.773</v>
      </c>
      <c r="AL3" t="n">
        <v>30.5</v>
      </c>
      <c r="AM3" t="n">
        <v>55.045</v>
      </c>
      <c r="AN3" t="n">
        <v>84.682</v>
      </c>
      <c r="AO3" t="n">
        <v>56.773</v>
      </c>
      <c r="AP3" t="n">
        <v>9.409000000000001</v>
      </c>
      <c r="AQ3" t="n">
        <v>21.864</v>
      </c>
      <c r="AR3" t="n">
        <v>105.318</v>
      </c>
      <c r="AS3" t="n">
        <v>11.091</v>
      </c>
      <c r="AT3" t="n">
        <v>22.955</v>
      </c>
      <c r="AU3" t="n">
        <v>34.045</v>
      </c>
      <c r="AV3" t="n">
        <v>36.682</v>
      </c>
      <c r="AW3" t="n">
        <v>76.33199999999999</v>
      </c>
      <c r="AX3" t="n">
        <v>95.364</v>
      </c>
      <c r="AY3" t="n">
        <v>12</v>
      </c>
      <c r="AZ3" t="n">
        <v>11.727</v>
      </c>
      <c r="BA3" t="n">
        <v>23.306</v>
      </c>
      <c r="BB3" t="n">
        <v>17.636</v>
      </c>
      <c r="BC3" t="n">
        <v>9.364000000000001</v>
      </c>
      <c r="BD3" t="n">
        <v>33</v>
      </c>
      <c r="BE3" t="n">
        <v>7.136</v>
      </c>
      <c r="BF3" t="n">
        <v>11.364</v>
      </c>
      <c r="BG3" t="n">
        <v>11.182</v>
      </c>
      <c r="BH3" t="n">
        <v>2.045</v>
      </c>
      <c r="BI3" t="n">
        <v>24.682</v>
      </c>
      <c r="BJ3" t="n">
        <v>8.318</v>
      </c>
      <c r="BK3" t="n">
        <v>46.041</v>
      </c>
      <c r="BL3" t="n">
        <v>22.584</v>
      </c>
      <c r="BM3" t="n">
        <v>44.806</v>
      </c>
      <c r="BN3" t="n">
        <v>49.051</v>
      </c>
      <c r="BO3" t="n">
        <v>22.364</v>
      </c>
      <c r="BP3" t="n">
        <v>17.818</v>
      </c>
      <c r="BQ3" t="n">
        <v>25.255</v>
      </c>
      <c r="BR3" t="n">
        <v>81.983</v>
      </c>
      <c r="BS3" t="n">
        <v>-4.664</v>
      </c>
      <c r="BT3" t="n">
        <v>3.322</v>
      </c>
      <c r="BU3" t="n">
        <v>-0.189</v>
      </c>
      <c r="BV3" t="n">
        <v>3.708</v>
      </c>
      <c r="BW3" t="n">
        <v>-0.249</v>
      </c>
      <c r="BX3" t="n">
        <v>2.858</v>
      </c>
      <c r="BY3" t="n">
        <v>-0.118</v>
      </c>
      <c r="BZ3" t="n">
        <v>3.909</v>
      </c>
      <c r="CA3" t="n">
        <v>29.5</v>
      </c>
      <c r="CB3" t="n">
        <v>45.955</v>
      </c>
      <c r="CC3" t="n">
        <v>29.5</v>
      </c>
      <c r="CD3" t="n">
        <v>38.273</v>
      </c>
      <c r="CE3" t="n">
        <v>11.591</v>
      </c>
      <c r="CF3" t="n">
        <v>20.008</v>
      </c>
      <c r="CG3" t="n">
        <v>22.661</v>
      </c>
      <c r="CH3" t="n">
        <v>9.132</v>
      </c>
      <c r="CI3" t="n">
        <v>29.598</v>
      </c>
      <c r="CJ3" t="n">
        <v>11.8</v>
      </c>
      <c r="CK3" t="n">
        <v>20.682</v>
      </c>
      <c r="CL3" t="n">
        <v>23.516</v>
      </c>
      <c r="CM3" t="n">
        <v>53.409</v>
      </c>
      <c r="CN3" t="n">
        <v>8.090999999999999</v>
      </c>
      <c r="CO3" t="n">
        <v>271.864</v>
      </c>
      <c r="CP3" t="n">
        <v>128.182</v>
      </c>
      <c r="CQ3" t="n">
        <v>34.5</v>
      </c>
      <c r="CR3" t="n">
        <v>86.136</v>
      </c>
      <c r="CS3" t="n">
        <v>32.045</v>
      </c>
      <c r="CT3" t="n">
        <v>37.203</v>
      </c>
      <c r="CU3" t="n">
        <v>10.364</v>
      </c>
      <c r="CV3" t="n">
        <v>32.34</v>
      </c>
      <c r="CW3" t="n">
        <v>2.136</v>
      </c>
      <c r="CX3" t="n">
        <v>20.318</v>
      </c>
      <c r="CY3" t="n">
        <v>19.409</v>
      </c>
      <c r="CZ3" t="n">
        <v>0.909</v>
      </c>
      <c r="DA3" t="n">
        <v>11</v>
      </c>
      <c r="DB3" t="n">
        <v>83.471</v>
      </c>
      <c r="DC3" t="n">
        <v>7.818</v>
      </c>
      <c r="DD3" t="n">
        <v>49.318</v>
      </c>
      <c r="DE3" t="n">
        <v>73.545</v>
      </c>
      <c r="DF3" t="n">
        <v>210.2</v>
      </c>
      <c r="DG3" t="n">
        <v>1705.818</v>
      </c>
      <c r="DH3" t="n">
        <v>1575.955</v>
      </c>
      <c r="DI3" t="n">
        <v>18</v>
      </c>
      <c r="DJ3" t="n">
        <v>225.273</v>
      </c>
      <c r="DK3" t="n">
        <v>140.136</v>
      </c>
      <c r="DL3" t="n">
        <v>365.409</v>
      </c>
      <c r="DM3" t="n">
        <v>73.964</v>
      </c>
      <c r="DN3" t="n">
        <v>68.301</v>
      </c>
      <c r="DO3" t="n">
        <v>83.068</v>
      </c>
      <c r="DP3" t="n">
        <v>6.842</v>
      </c>
      <c r="DQ3" t="n">
        <v>54.182</v>
      </c>
      <c r="DR3" t="n">
        <v>38.545</v>
      </c>
      <c r="DS3" t="n">
        <v>76.60299999999999</v>
      </c>
      <c r="DT3" t="n">
        <v>5987.045</v>
      </c>
      <c r="DU3" t="n">
        <v>16.385</v>
      </c>
      <c r="DV3" t="n">
        <v>60.364</v>
      </c>
      <c r="DW3" t="n">
        <v>6.053</v>
      </c>
      <c r="DX3" t="n">
        <v>68.727</v>
      </c>
      <c r="DY3" t="n">
        <v>5.317</v>
      </c>
      <c r="DZ3" t="n">
        <v>2.084</v>
      </c>
      <c r="EA3" t="n">
        <v>0.965</v>
      </c>
      <c r="EB3" t="n">
        <v>138.364</v>
      </c>
      <c r="EC3" t="n">
        <v>220.818</v>
      </c>
      <c r="ED3" t="n">
        <v>359.182</v>
      </c>
      <c r="EE3" t="n">
        <v>38.522</v>
      </c>
      <c r="EF3" t="n">
        <v>67.045</v>
      </c>
      <c r="EG3" t="n">
        <v>89.727</v>
      </c>
      <c r="EH3" t="n">
        <v>15.727</v>
      </c>
      <c r="EI3" t="n">
        <v>31.273</v>
      </c>
      <c r="EJ3" t="n">
        <v>58.455</v>
      </c>
      <c r="EK3" t="n">
        <v>88.273</v>
      </c>
      <c r="EL3" t="n">
        <v>61</v>
      </c>
      <c r="EM3" t="n">
        <v>11.591</v>
      </c>
      <c r="EN3" t="n">
        <v>25</v>
      </c>
      <c r="EO3" t="n">
        <v>113.182</v>
      </c>
      <c r="EP3" t="n">
        <v>13.818</v>
      </c>
      <c r="EQ3" t="n">
        <v>24</v>
      </c>
      <c r="ER3" t="n">
        <v>37.818</v>
      </c>
      <c r="ES3" t="n">
        <v>41.182</v>
      </c>
      <c r="ET3" t="n">
        <v>77.483</v>
      </c>
      <c r="EU3" t="n">
        <v>97.182</v>
      </c>
      <c r="EV3" t="n">
        <v>11.273</v>
      </c>
      <c r="EW3" t="n">
        <v>12.909</v>
      </c>
      <c r="EX3" t="n">
        <v>23.826</v>
      </c>
      <c r="EY3" t="n">
        <v>14.5</v>
      </c>
      <c r="EZ3" t="n">
        <v>11.227</v>
      </c>
      <c r="FA3" t="n">
        <v>13.091</v>
      </c>
      <c r="FB3" t="n">
        <v>11.091</v>
      </c>
      <c r="FC3" t="n">
        <v>2.773</v>
      </c>
      <c r="FD3" t="n">
        <v>25.955</v>
      </c>
      <c r="FE3" t="n">
        <v>9.727</v>
      </c>
      <c r="FF3" t="n">
        <v>50.438</v>
      </c>
      <c r="FG3" t="n">
        <v>24.161</v>
      </c>
      <c r="FH3" t="n">
        <v>44.631</v>
      </c>
      <c r="FI3" t="n">
        <v>47.903</v>
      </c>
      <c r="FJ3" t="n">
        <v>23.864</v>
      </c>
      <c r="FK3" t="n">
        <v>84.48</v>
      </c>
      <c r="FL3" t="n">
        <v>2.384</v>
      </c>
      <c r="FM3" t="n">
        <v>3.249</v>
      </c>
      <c r="FN3" t="n">
        <v>0.092</v>
      </c>
      <c r="FO3" t="n">
        <v>3.511</v>
      </c>
      <c r="FP3" t="n">
        <v>0.272</v>
      </c>
      <c r="FQ3" t="n">
        <v>2.933</v>
      </c>
      <c r="FR3" t="n">
        <v>-0.126</v>
      </c>
      <c r="FS3" t="n">
        <v>2.5</v>
      </c>
      <c r="FT3" t="n">
        <v>33.955</v>
      </c>
      <c r="FU3" t="n">
        <v>53.182</v>
      </c>
      <c r="FV3" t="n">
        <v>35.045</v>
      </c>
      <c r="FW3" t="n">
        <v>42.455</v>
      </c>
      <c r="FX3" t="n">
        <v>12.136</v>
      </c>
      <c r="FY3" t="n">
        <v>20.977</v>
      </c>
      <c r="FZ3" t="n">
        <v>23.421</v>
      </c>
      <c r="GA3" t="n">
        <v>9.436</v>
      </c>
      <c r="GB3" t="n">
        <v>31.678</v>
      </c>
      <c r="GC3" t="n">
        <v>13.535</v>
      </c>
      <c r="GD3" t="n">
        <v>61.591</v>
      </c>
      <c r="GE3" t="n">
        <v>10.273</v>
      </c>
      <c r="GF3" t="n">
        <v>274.682</v>
      </c>
      <c r="GG3" t="n">
        <v>134.636</v>
      </c>
      <c r="GH3" t="n">
        <v>31.727</v>
      </c>
      <c r="GI3" t="n">
        <v>36.545</v>
      </c>
      <c r="GJ3" t="n">
        <v>42.495</v>
      </c>
      <c r="GK3" t="n">
        <v>12.909</v>
      </c>
      <c r="GL3" t="n">
        <v>35.323</v>
      </c>
      <c r="GM3" t="n">
        <v>2.773</v>
      </c>
      <c r="GN3" t="n">
        <v>11.091</v>
      </c>
      <c r="GO3" t="n">
        <v>86.066</v>
      </c>
      <c r="GP3" t="n">
        <v>5.727</v>
      </c>
      <c r="GQ3" t="n">
        <v>47.636</v>
      </c>
      <c r="GR3" t="n">
        <v>72.227</v>
      </c>
      <c r="GS3" t="n">
        <v>-11.036</v>
      </c>
      <c r="GT3" t="n">
        <v>-112.091</v>
      </c>
      <c r="GU3" t="n">
        <v>-87.40900000000001</v>
      </c>
      <c r="GV3" t="n">
        <v>-6</v>
      </c>
      <c r="GW3" t="n">
        <v>-5.455</v>
      </c>
      <c r="GX3" t="n">
        <v>-11.182</v>
      </c>
      <c r="GY3" t="n">
        <v>-16.636</v>
      </c>
      <c r="GZ3" t="n">
        <v>-3.864</v>
      </c>
      <c r="HA3" t="n">
        <v>-224.727</v>
      </c>
      <c r="HB3" t="n">
        <v>-3.136</v>
      </c>
      <c r="HC3" t="n">
        <v>-1.727</v>
      </c>
      <c r="HD3" t="n">
        <v>-1.138</v>
      </c>
      <c r="HE3" t="n">
        <v>0.317</v>
      </c>
      <c r="HF3" t="n">
        <v>-7.091</v>
      </c>
      <c r="HG3" t="n">
        <v>-11.318</v>
      </c>
      <c r="HH3" t="n">
        <v>-18.409</v>
      </c>
      <c r="HI3" t="n">
        <v>1.727</v>
      </c>
      <c r="HJ3" t="n">
        <v>-4.136</v>
      </c>
      <c r="HK3" t="n">
        <v>-0.955</v>
      </c>
      <c r="HL3" t="n">
        <v>-0.773</v>
      </c>
      <c r="HM3" t="n">
        <v>-3.409</v>
      </c>
      <c r="HN3" t="n">
        <v>-3.591</v>
      </c>
      <c r="HO3" t="n">
        <v>-4.227</v>
      </c>
      <c r="HP3" t="n">
        <v>-2.182</v>
      </c>
      <c r="HQ3" t="n">
        <v>-3.136</v>
      </c>
      <c r="HR3" t="n">
        <v>-7.864</v>
      </c>
      <c r="HS3" t="n">
        <v>-2.727</v>
      </c>
      <c r="HT3" t="n">
        <v>-1.045</v>
      </c>
      <c r="HU3" t="n">
        <v>-3.773</v>
      </c>
      <c r="HV3" t="n">
        <v>-4.5</v>
      </c>
      <c r="HW3" t="n">
        <v>-1.818</v>
      </c>
      <c r="HX3" t="n">
        <v>0.727</v>
      </c>
      <c r="HY3" t="n">
        <v>-1.182</v>
      </c>
      <c r="HZ3" t="n">
        <v>3.136</v>
      </c>
      <c r="IA3" t="n">
        <v>-1.864</v>
      </c>
      <c r="IB3" t="n">
        <v>-1.727</v>
      </c>
      <c r="IC3" t="n">
        <v>0.091</v>
      </c>
      <c r="ID3" t="n">
        <v>-1.273</v>
      </c>
      <c r="IE3" t="n">
        <v>-1.409</v>
      </c>
      <c r="IF3" t="n">
        <v>-1.5</v>
      </c>
      <c r="IG3" t="n">
        <v>-2.497</v>
      </c>
      <c r="IH3" t="n">
        <v>-7.048</v>
      </c>
      <c r="II3" t="n">
        <v>0.07199999999999999</v>
      </c>
      <c r="IJ3" t="n">
        <v>1.409</v>
      </c>
      <c r="IK3" t="n">
        <v>-4.455</v>
      </c>
      <c r="IL3" t="n">
        <v>-7.227</v>
      </c>
      <c r="IM3" t="n">
        <v>-5.545</v>
      </c>
      <c r="IN3" t="n">
        <v>-4.182</v>
      </c>
      <c r="IO3" t="n">
        <v>-0.545</v>
      </c>
      <c r="IP3" t="n">
        <v>-8.182</v>
      </c>
      <c r="IQ3" t="n">
        <v>-2.182</v>
      </c>
      <c r="IR3" t="n">
        <v>-2.818</v>
      </c>
      <c r="IS3" t="n">
        <v>-6.455</v>
      </c>
      <c r="IT3" t="n">
        <v>2.773</v>
      </c>
      <c r="IU3" t="n">
        <v>-4.5</v>
      </c>
      <c r="IV3" t="n">
        <v>-2.545</v>
      </c>
      <c r="IW3" t="n">
        <v>-0.636</v>
      </c>
      <c r="IX3" t="n">
        <v>2.091</v>
      </c>
      <c r="IY3" t="n">
        <v>1.682</v>
      </c>
      <c r="IZ3" t="n">
        <v>1.318</v>
      </c>
    </row>
    <row r="4">
      <c r="A4" t="inlineStr">
        <is>
          <t>Western Bulldogs</t>
        </is>
      </c>
      <c r="B4" t="inlineStr">
        <is>
          <t>WB</t>
        </is>
      </c>
      <c r="C4" t="n">
        <v>26</v>
      </c>
      <c r="D4" t="n">
        <v>41</v>
      </c>
      <c r="E4" t="n">
        <v>25.554</v>
      </c>
      <c r="F4" t="n">
        <v>93.20699999999999</v>
      </c>
      <c r="G4" t="n">
        <v>216.2</v>
      </c>
      <c r="H4" t="n">
        <v>1703.385</v>
      </c>
      <c r="I4" t="n">
        <v>1536.615</v>
      </c>
      <c r="J4" t="n">
        <v>19.5</v>
      </c>
      <c r="K4" t="n">
        <v>53.666</v>
      </c>
      <c r="L4" t="n">
        <v>214.346</v>
      </c>
      <c r="M4" t="n">
        <v>160.731</v>
      </c>
      <c r="N4" t="n">
        <v>375.077</v>
      </c>
      <c r="O4" t="n">
        <v>74.262</v>
      </c>
      <c r="P4" t="n">
        <v>66.122</v>
      </c>
      <c r="Q4" t="n">
        <v>85.116</v>
      </c>
      <c r="R4" t="n">
        <v>57.147</v>
      </c>
      <c r="S4" t="n">
        <v>6.634</v>
      </c>
      <c r="T4" t="n">
        <v>54.769</v>
      </c>
      <c r="U4" t="n">
        <v>36.385</v>
      </c>
      <c r="V4" t="n">
        <v>76.973</v>
      </c>
      <c r="W4" t="n">
        <v>5938.308</v>
      </c>
      <c r="X4" t="n">
        <v>15.832</v>
      </c>
      <c r="Y4" t="n">
        <v>53.615</v>
      </c>
      <c r="Z4" t="n">
        <v>6.996</v>
      </c>
      <c r="AA4" t="n">
        <v>68.654</v>
      </c>
      <c r="AB4" t="n">
        <v>5.463</v>
      </c>
      <c r="AC4" t="n">
        <v>-1.253</v>
      </c>
      <c r="AD4" t="n">
        <v>0.398</v>
      </c>
      <c r="AE4" t="n">
        <v>143.346</v>
      </c>
      <c r="AF4" t="n">
        <v>228.885</v>
      </c>
      <c r="AG4" t="n">
        <v>372.231</v>
      </c>
      <c r="AH4" t="n">
        <v>38.51</v>
      </c>
      <c r="AI4" t="n">
        <v>68.88500000000001</v>
      </c>
      <c r="AJ4" t="n">
        <v>99.26900000000001</v>
      </c>
      <c r="AK4" t="n">
        <v>18.962</v>
      </c>
      <c r="AL4" t="n">
        <v>37.577</v>
      </c>
      <c r="AM4" t="n">
        <v>61.692</v>
      </c>
      <c r="AN4" t="n">
        <v>92.538</v>
      </c>
      <c r="AO4" t="n">
        <v>65.26900000000001</v>
      </c>
      <c r="AP4" t="n">
        <v>8.231</v>
      </c>
      <c r="AQ4" t="n">
        <v>26.154</v>
      </c>
      <c r="AR4" t="n">
        <v>132.692</v>
      </c>
      <c r="AS4" t="n">
        <v>12.692</v>
      </c>
      <c r="AT4" t="n">
        <v>27.077</v>
      </c>
      <c r="AU4" t="n">
        <v>39.769</v>
      </c>
      <c r="AV4" t="n">
        <v>39.846</v>
      </c>
      <c r="AW4" t="n">
        <v>82.529</v>
      </c>
      <c r="AX4" t="n">
        <v>84.962</v>
      </c>
      <c r="AY4" t="n">
        <v>11.692</v>
      </c>
      <c r="AZ4" t="n">
        <v>12.923</v>
      </c>
      <c r="BA4" t="n">
        <v>23.596</v>
      </c>
      <c r="BB4" t="n">
        <v>13.885</v>
      </c>
      <c r="BC4" t="n">
        <v>6.346</v>
      </c>
      <c r="BD4" t="n">
        <v>32</v>
      </c>
      <c r="BE4" t="n">
        <v>8.154</v>
      </c>
      <c r="BF4" t="n">
        <v>13.038</v>
      </c>
      <c r="BG4" t="n">
        <v>11.769</v>
      </c>
      <c r="BH4" t="n">
        <v>2.615</v>
      </c>
      <c r="BI4" t="n">
        <v>27.154</v>
      </c>
      <c r="BJ4" t="n">
        <v>9.231</v>
      </c>
      <c r="BK4" t="n">
        <v>48.017</v>
      </c>
      <c r="BL4" t="n">
        <v>23.806</v>
      </c>
      <c r="BM4" t="n">
        <v>45.295</v>
      </c>
      <c r="BN4" t="n">
        <v>49.579</v>
      </c>
      <c r="BO4" t="n">
        <v>24.538</v>
      </c>
      <c r="BP4" t="n">
        <v>16.346</v>
      </c>
      <c r="BQ4" t="n">
        <v>24.941</v>
      </c>
      <c r="BR4" t="n">
        <v>90.151</v>
      </c>
      <c r="BS4" t="n">
        <v>-2.767</v>
      </c>
      <c r="BT4" t="n">
        <v>3.32</v>
      </c>
      <c r="BU4" t="n">
        <v>-0.102</v>
      </c>
      <c r="BV4" t="n">
        <v>3.694</v>
      </c>
      <c r="BW4" t="n">
        <v>-0.128</v>
      </c>
      <c r="BX4" t="n">
        <v>2.867</v>
      </c>
      <c r="BY4" t="n">
        <v>-0.07000000000000001</v>
      </c>
      <c r="BZ4" t="n">
        <v>2.154</v>
      </c>
      <c r="CA4" t="n">
        <v>33.5</v>
      </c>
      <c r="CB4" t="n">
        <v>54.346</v>
      </c>
      <c r="CC4" t="n">
        <v>29.769</v>
      </c>
      <c r="CD4" t="n">
        <v>48.192</v>
      </c>
      <c r="CE4" t="n">
        <v>12.038</v>
      </c>
      <c r="CF4" t="n">
        <v>21.14</v>
      </c>
      <c r="CG4" t="n">
        <v>21.031</v>
      </c>
      <c r="CH4" t="n">
        <v>7.938</v>
      </c>
      <c r="CI4" t="n">
        <v>30.747</v>
      </c>
      <c r="CJ4" t="n">
        <v>11.24</v>
      </c>
      <c r="CK4" t="n">
        <v>14.462</v>
      </c>
      <c r="CL4" t="n">
        <v>30.319</v>
      </c>
      <c r="CM4" t="n">
        <v>58.115</v>
      </c>
      <c r="CN4" t="n">
        <v>11.615</v>
      </c>
      <c r="CO4" t="n">
        <v>282.077</v>
      </c>
      <c r="CP4" t="n">
        <v>125.923</v>
      </c>
      <c r="CQ4" t="n">
        <v>32.846</v>
      </c>
      <c r="CR4" t="n">
        <v>89.69199999999999</v>
      </c>
      <c r="CS4" t="n">
        <v>28.192</v>
      </c>
      <c r="CT4" t="n">
        <v>31.432</v>
      </c>
      <c r="CU4" t="n">
        <v>8.846</v>
      </c>
      <c r="CV4" t="n">
        <v>31.378</v>
      </c>
      <c r="CW4" t="n">
        <v>1.385</v>
      </c>
      <c r="CX4" t="n">
        <v>19.846</v>
      </c>
      <c r="CY4" t="n">
        <v>16.885</v>
      </c>
      <c r="CZ4" t="n">
        <v>2.962</v>
      </c>
      <c r="DA4" t="n">
        <v>9.692</v>
      </c>
      <c r="DB4" t="n">
        <v>93.651</v>
      </c>
      <c r="DC4" t="n">
        <v>7.654</v>
      </c>
      <c r="DD4" t="n">
        <v>53.577</v>
      </c>
      <c r="DE4" t="n">
        <v>72.538</v>
      </c>
      <c r="DF4" t="n">
        <v>191.477</v>
      </c>
      <c r="DG4" t="n">
        <v>1596.692</v>
      </c>
      <c r="DH4" t="n">
        <v>1513.808</v>
      </c>
      <c r="DI4" t="n">
        <v>10.5</v>
      </c>
      <c r="DJ4" t="n">
        <v>217.538</v>
      </c>
      <c r="DK4" t="n">
        <v>136.385</v>
      </c>
      <c r="DL4" t="n">
        <v>353.923</v>
      </c>
      <c r="DM4" t="n">
        <v>73.125</v>
      </c>
      <c r="DN4" t="n">
        <v>68.193</v>
      </c>
      <c r="DO4" t="n">
        <v>80.99299999999999</v>
      </c>
      <c r="DP4" t="n">
        <v>6.09</v>
      </c>
      <c r="DQ4" t="n">
        <v>47.269</v>
      </c>
      <c r="DR4" t="n">
        <v>40.962</v>
      </c>
      <c r="DS4" t="n">
        <v>74.789</v>
      </c>
      <c r="DT4" t="n">
        <v>5613.462</v>
      </c>
      <c r="DU4" t="n">
        <v>15.861</v>
      </c>
      <c r="DV4" t="n">
        <v>58.808</v>
      </c>
      <c r="DW4" t="n">
        <v>6.018</v>
      </c>
      <c r="DX4" t="n">
        <v>68.654</v>
      </c>
      <c r="DY4" t="n">
        <v>5.155</v>
      </c>
      <c r="DZ4" t="n">
        <v>-0.276</v>
      </c>
      <c r="EA4" t="n">
        <v>-0.549</v>
      </c>
      <c r="EB4" t="n">
        <v>135.231</v>
      </c>
      <c r="EC4" t="n">
        <v>213.423</v>
      </c>
      <c r="ED4" t="n">
        <v>348.654</v>
      </c>
      <c r="EE4" t="n">
        <v>38.787</v>
      </c>
      <c r="EF4" t="n">
        <v>68.654</v>
      </c>
      <c r="EG4" t="n">
        <v>87</v>
      </c>
      <c r="EH4" t="n">
        <v>13.846</v>
      </c>
      <c r="EI4" t="n">
        <v>29.808</v>
      </c>
      <c r="EJ4" t="n">
        <v>57.231</v>
      </c>
      <c r="EK4" t="n">
        <v>87.346</v>
      </c>
      <c r="EL4" t="n">
        <v>60.385</v>
      </c>
      <c r="EM4" t="n">
        <v>11.538</v>
      </c>
      <c r="EN4" t="n">
        <v>25.885</v>
      </c>
      <c r="EO4" t="n">
        <v>107.538</v>
      </c>
      <c r="EP4" t="n">
        <v>11.154</v>
      </c>
      <c r="EQ4" t="n">
        <v>23.462</v>
      </c>
      <c r="ER4" t="n">
        <v>34.615</v>
      </c>
      <c r="ES4" t="n">
        <v>40.038</v>
      </c>
      <c r="ET4" t="n">
        <v>74.063</v>
      </c>
      <c r="EU4" t="n">
        <v>97.69199999999999</v>
      </c>
      <c r="EV4" t="n">
        <v>13.269</v>
      </c>
      <c r="EW4" t="n">
        <v>10.538</v>
      </c>
      <c r="EX4" t="n">
        <v>22.295</v>
      </c>
      <c r="EY4" t="n">
        <v>16.385</v>
      </c>
      <c r="EZ4" t="n">
        <v>6.885</v>
      </c>
      <c r="FA4" t="n">
        <v>9.885</v>
      </c>
      <c r="FB4" t="n">
        <v>9.923</v>
      </c>
      <c r="FC4" t="n">
        <v>1.385</v>
      </c>
      <c r="FD4" t="n">
        <v>21.962</v>
      </c>
      <c r="FE4" t="n">
        <v>7.308</v>
      </c>
      <c r="FF4" t="n">
        <v>45.009</v>
      </c>
      <c r="FG4" t="n">
        <v>20.911</v>
      </c>
      <c r="FH4" t="n">
        <v>41.904</v>
      </c>
      <c r="FI4" t="n">
        <v>46.461</v>
      </c>
      <c r="FJ4" t="n">
        <v>19.654</v>
      </c>
      <c r="FK4" t="n">
        <v>69.788</v>
      </c>
      <c r="FL4" t="n">
        <v>-1.942</v>
      </c>
      <c r="FM4" t="n">
        <v>3.178</v>
      </c>
      <c r="FN4" t="n">
        <v>-0.08799999999999999</v>
      </c>
      <c r="FO4" t="n">
        <v>3.412</v>
      </c>
      <c r="FP4" t="n">
        <v>-0.056</v>
      </c>
      <c r="FQ4" t="n">
        <v>2.902</v>
      </c>
      <c r="FR4" t="n">
        <v>-0.127</v>
      </c>
      <c r="FS4" t="n">
        <v>2.462</v>
      </c>
      <c r="FT4" t="n">
        <v>26.731</v>
      </c>
      <c r="FU4" t="n">
        <v>40.038</v>
      </c>
      <c r="FV4" t="n">
        <v>27</v>
      </c>
      <c r="FW4" t="n">
        <v>31.038</v>
      </c>
      <c r="FX4" t="n">
        <v>11.192</v>
      </c>
      <c r="FY4" t="n">
        <v>17.512</v>
      </c>
      <c r="FZ4" t="n">
        <v>18.223</v>
      </c>
      <c r="GA4" t="n">
        <v>8.523999999999999</v>
      </c>
      <c r="GB4" t="n">
        <v>25.373</v>
      </c>
      <c r="GC4" t="n">
        <v>10.267</v>
      </c>
      <c r="GD4" t="n">
        <v>56.538</v>
      </c>
      <c r="GE4" t="n">
        <v>8.462</v>
      </c>
      <c r="GF4" t="n">
        <v>315.808</v>
      </c>
      <c r="GG4" t="n">
        <v>155.577</v>
      </c>
      <c r="GH4" t="n">
        <v>35.538</v>
      </c>
      <c r="GI4" t="n">
        <v>43.769</v>
      </c>
      <c r="GJ4" t="n">
        <v>48.862</v>
      </c>
      <c r="GK4" t="n">
        <v>12.654</v>
      </c>
      <c r="GL4" t="n">
        <v>28.91</v>
      </c>
      <c r="GM4" t="n">
        <v>4.154</v>
      </c>
      <c r="GN4" t="n">
        <v>11.5</v>
      </c>
      <c r="GO4" t="n">
        <v>80.268</v>
      </c>
      <c r="GP4" t="n">
        <v>3.538</v>
      </c>
      <c r="GQ4" t="n">
        <v>50.692</v>
      </c>
      <c r="GR4" t="n">
        <v>72.38500000000001</v>
      </c>
      <c r="GS4" t="n">
        <v>24.723</v>
      </c>
      <c r="GT4" t="n">
        <v>106.692</v>
      </c>
      <c r="GU4" t="n">
        <v>22.808</v>
      </c>
      <c r="GV4" t="n">
        <v>9</v>
      </c>
      <c r="GW4" t="n">
        <v>-3.192</v>
      </c>
      <c r="GX4" t="n">
        <v>24.346</v>
      </c>
      <c r="GY4" t="n">
        <v>21.154</v>
      </c>
      <c r="GZ4" t="n">
        <v>7.5</v>
      </c>
      <c r="HA4" t="n">
        <v>324.846</v>
      </c>
      <c r="HB4" t="n">
        <v>-5.192</v>
      </c>
      <c r="HC4" t="n">
        <v>0</v>
      </c>
      <c r="HD4" t="n">
        <v>-0.977</v>
      </c>
      <c r="HE4" t="n">
        <v>0.946</v>
      </c>
      <c r="HF4" t="n">
        <v>8.115</v>
      </c>
      <c r="HG4" t="n">
        <v>15.462</v>
      </c>
      <c r="HH4" t="n">
        <v>23.577</v>
      </c>
      <c r="HI4" t="n">
        <v>0.231</v>
      </c>
      <c r="HJ4" t="n">
        <v>12.269</v>
      </c>
      <c r="HK4" t="n">
        <v>5.115</v>
      </c>
      <c r="HL4" t="n">
        <v>7.769</v>
      </c>
      <c r="HM4" t="n">
        <v>4.462</v>
      </c>
      <c r="HN4" t="n">
        <v>5.192</v>
      </c>
      <c r="HO4" t="n">
        <v>4.885</v>
      </c>
      <c r="HP4" t="n">
        <v>-3.308</v>
      </c>
      <c r="HQ4" t="n">
        <v>0.269</v>
      </c>
      <c r="HR4" t="n">
        <v>25.154</v>
      </c>
      <c r="HS4" t="n">
        <v>1.538</v>
      </c>
      <c r="HT4" t="n">
        <v>3.615</v>
      </c>
      <c r="HU4" t="n">
        <v>5.154</v>
      </c>
      <c r="HV4" t="n">
        <v>-0.192</v>
      </c>
      <c r="HW4" t="n">
        <v>-12.731</v>
      </c>
      <c r="HX4" t="n">
        <v>-1.577</v>
      </c>
      <c r="HY4" t="n">
        <v>2.385</v>
      </c>
      <c r="HZ4" t="n">
        <v>-2.5</v>
      </c>
      <c r="IA4" t="n">
        <v>-0.538</v>
      </c>
      <c r="IB4" t="n">
        <v>3.154</v>
      </c>
      <c r="IC4" t="n">
        <v>1.846</v>
      </c>
      <c r="ID4" t="n">
        <v>5.192</v>
      </c>
      <c r="IE4" t="n">
        <v>1.923</v>
      </c>
      <c r="IF4" t="n">
        <v>4.885</v>
      </c>
      <c r="IG4" t="n">
        <v>20.363</v>
      </c>
      <c r="IH4" t="n">
        <v>-0.825</v>
      </c>
      <c r="II4" t="n">
        <v>0.142</v>
      </c>
      <c r="IJ4" t="n">
        <v>-0.308</v>
      </c>
      <c r="IK4" t="n">
        <v>6.769</v>
      </c>
      <c r="IL4" t="n">
        <v>14.308</v>
      </c>
      <c r="IM4" t="n">
        <v>2.769</v>
      </c>
      <c r="IN4" t="n">
        <v>17.154</v>
      </c>
      <c r="IO4" t="n">
        <v>0.846</v>
      </c>
      <c r="IP4" t="n">
        <v>1.577</v>
      </c>
      <c r="IQ4" t="n">
        <v>3.154</v>
      </c>
      <c r="IR4" t="n">
        <v>-33.731</v>
      </c>
      <c r="IS4" t="n">
        <v>-29.654</v>
      </c>
      <c r="IT4" t="n">
        <v>-2.692</v>
      </c>
      <c r="IU4" t="n">
        <v>-15.577</v>
      </c>
      <c r="IV4" t="n">
        <v>-3.808</v>
      </c>
      <c r="IW4" t="n">
        <v>-2.769</v>
      </c>
      <c r="IX4" t="n">
        <v>4.115</v>
      </c>
      <c r="IY4" t="n">
        <v>2.885</v>
      </c>
      <c r="IZ4" t="n">
        <v>0.154</v>
      </c>
    </row>
    <row r="5">
      <c r="A5" t="inlineStr">
        <is>
          <t>Collingwood</t>
        </is>
      </c>
      <c r="B5" t="inlineStr">
        <is>
          <t>Coll</t>
        </is>
      </c>
      <c r="C5" t="n">
        <v>22</v>
      </c>
      <c r="D5" t="n">
        <v>39</v>
      </c>
      <c r="E5" t="n">
        <v>25.777</v>
      </c>
      <c r="F5" t="n">
        <v>97.77500000000001</v>
      </c>
      <c r="G5" t="n">
        <v>195.4</v>
      </c>
      <c r="H5" t="n">
        <v>1623.409</v>
      </c>
      <c r="I5" t="n">
        <v>1588.727</v>
      </c>
      <c r="J5" t="n">
        <v>11.364</v>
      </c>
      <c r="K5" t="n">
        <v>48.576</v>
      </c>
      <c r="L5" t="n">
        <v>223.045</v>
      </c>
      <c r="M5" t="n">
        <v>155.818</v>
      </c>
      <c r="N5" t="n">
        <v>378.864</v>
      </c>
      <c r="O5" t="n">
        <v>74.06100000000001</v>
      </c>
      <c r="P5" t="n">
        <v>67.373</v>
      </c>
      <c r="Q5" t="n">
        <v>83.63500000000001</v>
      </c>
      <c r="R5" t="n">
        <v>58.872</v>
      </c>
      <c r="S5" t="n">
        <v>7.07</v>
      </c>
      <c r="T5" t="n">
        <v>46.591</v>
      </c>
      <c r="U5" t="n">
        <v>40.136</v>
      </c>
      <c r="V5" t="n">
        <v>75.85899999999999</v>
      </c>
      <c r="W5" t="n">
        <v>5413.857</v>
      </c>
      <c r="X5" t="n">
        <v>14.243</v>
      </c>
      <c r="Y5" t="n">
        <v>59.5</v>
      </c>
      <c r="Z5" t="n">
        <v>6.367</v>
      </c>
      <c r="AA5" t="n">
        <v>69.727</v>
      </c>
      <c r="AB5" t="n">
        <v>5.434</v>
      </c>
      <c r="AC5" t="n">
        <v>-1.794</v>
      </c>
      <c r="AD5" t="n">
        <v>1.635</v>
      </c>
      <c r="AE5" t="n">
        <v>131.182</v>
      </c>
      <c r="AF5" t="n">
        <v>243.136</v>
      </c>
      <c r="AG5" t="n">
        <v>374.318</v>
      </c>
      <c r="AH5" t="n">
        <v>35.046</v>
      </c>
      <c r="AI5" t="n">
        <v>69.182</v>
      </c>
      <c r="AJ5" t="n">
        <v>85.09099999999999</v>
      </c>
      <c r="AK5" t="n">
        <v>12.364</v>
      </c>
      <c r="AL5" t="n">
        <v>28.955</v>
      </c>
      <c r="AM5" t="n">
        <v>56.136</v>
      </c>
      <c r="AN5" t="n">
        <v>86.818</v>
      </c>
      <c r="AO5" t="n">
        <v>59.636</v>
      </c>
      <c r="AP5" t="n">
        <v>11.227</v>
      </c>
      <c r="AQ5" t="n">
        <v>22.364</v>
      </c>
      <c r="AR5" t="n">
        <v>126.318</v>
      </c>
      <c r="AS5" t="n">
        <v>11.682</v>
      </c>
      <c r="AT5" t="n">
        <v>20.727</v>
      </c>
      <c r="AU5" t="n">
        <v>32.409</v>
      </c>
      <c r="AV5" t="n">
        <v>35.636</v>
      </c>
      <c r="AW5" t="n">
        <v>75.765</v>
      </c>
      <c r="AX5" t="n">
        <v>107.273</v>
      </c>
      <c r="AY5" t="n">
        <v>12.045</v>
      </c>
      <c r="AZ5" t="n">
        <v>10.955</v>
      </c>
      <c r="BA5" t="n">
        <v>23.512</v>
      </c>
      <c r="BB5" t="n">
        <v>15.682</v>
      </c>
      <c r="BC5" t="n">
        <v>10.636</v>
      </c>
      <c r="BD5" t="n">
        <v>29</v>
      </c>
      <c r="BE5" t="n">
        <v>6.773</v>
      </c>
      <c r="BF5" t="n">
        <v>10.227</v>
      </c>
      <c r="BG5" t="n">
        <v>9.409000000000001</v>
      </c>
      <c r="BH5" t="n">
        <v>1.864</v>
      </c>
      <c r="BI5" t="n">
        <v>21.318</v>
      </c>
      <c r="BJ5" t="n">
        <v>7.182</v>
      </c>
      <c r="BK5" t="n">
        <v>47.974</v>
      </c>
      <c r="BL5" t="n">
        <v>21.951</v>
      </c>
      <c r="BM5" t="n">
        <v>42.146</v>
      </c>
      <c r="BN5" t="n">
        <v>45.756</v>
      </c>
      <c r="BO5" t="n">
        <v>19.455</v>
      </c>
      <c r="BP5" t="n">
        <v>16.045</v>
      </c>
      <c r="BQ5" t="n">
        <v>23.513</v>
      </c>
      <c r="BR5" t="n">
        <v>70.34399999999999</v>
      </c>
      <c r="BS5" t="n">
        <v>-1.435</v>
      </c>
      <c r="BT5" t="n">
        <v>3.3</v>
      </c>
      <c r="BU5" t="n">
        <v>-0.067</v>
      </c>
      <c r="BV5" t="n">
        <v>3.545</v>
      </c>
      <c r="BW5" t="n">
        <v>0.138</v>
      </c>
      <c r="BX5" t="n">
        <v>2.955</v>
      </c>
      <c r="BY5" t="n">
        <v>-0.355</v>
      </c>
      <c r="BZ5" t="n">
        <v>2.727</v>
      </c>
      <c r="CA5" t="n">
        <v>24.864</v>
      </c>
      <c r="CB5" t="n">
        <v>43.182</v>
      </c>
      <c r="CC5" t="n">
        <v>27.591</v>
      </c>
      <c r="CD5" t="n">
        <v>34.227</v>
      </c>
      <c r="CE5" t="n">
        <v>8.955</v>
      </c>
      <c r="CF5" t="n">
        <v>17.862</v>
      </c>
      <c r="CG5" t="n">
        <v>20.591</v>
      </c>
      <c r="CH5" t="n">
        <v>7.237</v>
      </c>
      <c r="CI5" t="n">
        <v>28.336</v>
      </c>
      <c r="CJ5" t="n">
        <v>10.311</v>
      </c>
      <c r="CK5" t="n">
        <v>15.318</v>
      </c>
      <c r="CL5" t="n">
        <v>26.409</v>
      </c>
      <c r="CM5" t="n">
        <v>54.136</v>
      </c>
      <c r="CN5" t="n">
        <v>9.090999999999999</v>
      </c>
      <c r="CO5" t="n">
        <v>294.5</v>
      </c>
      <c r="CP5" t="n">
        <v>147.727</v>
      </c>
      <c r="CQ5" t="n">
        <v>29.5</v>
      </c>
      <c r="CR5" t="n">
        <v>78.59099999999999</v>
      </c>
      <c r="CS5" t="n">
        <v>38.227</v>
      </c>
      <c r="CT5" t="n">
        <v>48.641</v>
      </c>
      <c r="CU5" t="n">
        <v>12.136</v>
      </c>
      <c r="CV5" t="n">
        <v>31.748</v>
      </c>
      <c r="CW5" t="n">
        <v>2.591</v>
      </c>
      <c r="CX5" t="n">
        <v>17.682</v>
      </c>
      <c r="CY5" t="n">
        <v>18.409</v>
      </c>
      <c r="CZ5" t="n">
        <v>-0.727</v>
      </c>
      <c r="DA5" t="n">
        <v>9.273</v>
      </c>
      <c r="DB5" t="n">
        <v>78.431</v>
      </c>
      <c r="DC5" t="n">
        <v>3.818</v>
      </c>
      <c r="DD5" t="n">
        <v>44.045</v>
      </c>
      <c r="DE5" t="n">
        <v>72.227</v>
      </c>
      <c r="DF5" t="n">
        <v>210.555</v>
      </c>
      <c r="DG5" t="n">
        <v>1676.545</v>
      </c>
      <c r="DH5" t="n">
        <v>1590.273</v>
      </c>
      <c r="DI5" t="n">
        <v>18.636</v>
      </c>
      <c r="DJ5" t="n">
        <v>226.136</v>
      </c>
      <c r="DK5" t="n">
        <v>154.136</v>
      </c>
      <c r="DL5" t="n">
        <v>380.273</v>
      </c>
      <c r="DM5" t="n">
        <v>75.771</v>
      </c>
      <c r="DN5" t="n">
        <v>69.628</v>
      </c>
      <c r="DO5" t="n">
        <v>84.783</v>
      </c>
      <c r="DP5" t="n">
        <v>7.024</v>
      </c>
      <c r="DQ5" t="n">
        <v>52.909</v>
      </c>
      <c r="DR5" t="n">
        <v>35.727</v>
      </c>
      <c r="DS5" t="n">
        <v>76.68300000000001</v>
      </c>
      <c r="DT5" t="n">
        <v>5586.714</v>
      </c>
      <c r="DU5" t="n">
        <v>14.741</v>
      </c>
      <c r="DV5" t="n">
        <v>53.091</v>
      </c>
      <c r="DW5" t="n">
        <v>7.163</v>
      </c>
      <c r="DX5" t="n">
        <v>69.136</v>
      </c>
      <c r="DY5" t="n">
        <v>5.5</v>
      </c>
      <c r="DZ5" t="n">
        <v>-2.544</v>
      </c>
      <c r="EA5" t="n">
        <v>1.713</v>
      </c>
      <c r="EB5" t="n">
        <v>131.273</v>
      </c>
      <c r="EC5" t="n">
        <v>243.727</v>
      </c>
      <c r="ED5" t="n">
        <v>375</v>
      </c>
      <c r="EE5" t="n">
        <v>35.006</v>
      </c>
      <c r="EF5" t="n">
        <v>69.727</v>
      </c>
      <c r="EG5" t="n">
        <v>87.40900000000001</v>
      </c>
      <c r="EH5" t="n">
        <v>15.591</v>
      </c>
      <c r="EI5" t="n">
        <v>32.455</v>
      </c>
      <c r="EJ5" t="n">
        <v>54.955</v>
      </c>
      <c r="EK5" t="n">
        <v>87.227</v>
      </c>
      <c r="EL5" t="n">
        <v>59.045</v>
      </c>
      <c r="EM5" t="n">
        <v>7.455</v>
      </c>
      <c r="EN5" t="n">
        <v>22.455</v>
      </c>
      <c r="EO5" t="n">
        <v>126.727</v>
      </c>
      <c r="EP5" t="n">
        <v>12.136</v>
      </c>
      <c r="EQ5" t="n">
        <v>21.591</v>
      </c>
      <c r="ER5" t="n">
        <v>33.727</v>
      </c>
      <c r="ES5" t="n">
        <v>35.591</v>
      </c>
      <c r="ET5" t="n">
        <v>78.544</v>
      </c>
      <c r="EU5" t="n">
        <v>106.182</v>
      </c>
      <c r="EV5" t="n">
        <v>13</v>
      </c>
      <c r="EW5" t="n">
        <v>12.091</v>
      </c>
      <c r="EX5" t="n">
        <v>22.852</v>
      </c>
      <c r="EY5" t="n">
        <v>17.636</v>
      </c>
      <c r="EZ5" t="n">
        <v>7.318</v>
      </c>
      <c r="FA5" t="n">
        <v>12.227</v>
      </c>
      <c r="FB5" t="n">
        <v>9.273</v>
      </c>
      <c r="FC5" t="n">
        <v>1.727</v>
      </c>
      <c r="FD5" t="n">
        <v>23.909</v>
      </c>
      <c r="FE5" t="n">
        <v>9.090999999999999</v>
      </c>
      <c r="FF5" t="n">
        <v>51.141</v>
      </c>
      <c r="FG5" t="n">
        <v>23.11</v>
      </c>
      <c r="FH5" t="n">
        <v>40.636</v>
      </c>
      <c r="FI5" t="n">
        <v>45.189</v>
      </c>
      <c r="FJ5" t="n">
        <v>21.318</v>
      </c>
      <c r="FK5" t="n">
        <v>79.83</v>
      </c>
      <c r="FL5" t="n">
        <v>1.079</v>
      </c>
      <c r="FM5" t="n">
        <v>3.339</v>
      </c>
      <c r="FN5" t="n">
        <v>0.045</v>
      </c>
      <c r="FO5" t="n">
        <v>3.652</v>
      </c>
      <c r="FP5" t="n">
        <v>0.207</v>
      </c>
      <c r="FQ5" t="n">
        <v>2.968</v>
      </c>
      <c r="FR5" t="n">
        <v>-0.147</v>
      </c>
      <c r="FS5" t="n">
        <v>2.091</v>
      </c>
      <c r="FT5" t="n">
        <v>27.909</v>
      </c>
      <c r="FU5" t="n">
        <v>52.636</v>
      </c>
      <c r="FV5" t="n">
        <v>28.955</v>
      </c>
      <c r="FW5" t="n">
        <v>42.682</v>
      </c>
      <c r="FX5" t="n">
        <v>11</v>
      </c>
      <c r="FY5" t="n">
        <v>19.315</v>
      </c>
      <c r="FZ5" t="n">
        <v>25.758</v>
      </c>
      <c r="GA5" t="n">
        <v>8.976000000000001</v>
      </c>
      <c r="GB5" t="n">
        <v>31.404</v>
      </c>
      <c r="GC5" t="n">
        <v>11.385</v>
      </c>
      <c r="GD5" t="n">
        <v>53.591</v>
      </c>
      <c r="GE5" t="n">
        <v>10.909</v>
      </c>
      <c r="GF5" t="n">
        <v>286.455</v>
      </c>
      <c r="GG5" t="n">
        <v>124.227</v>
      </c>
      <c r="GH5" t="n">
        <v>31.091</v>
      </c>
      <c r="GI5" t="n">
        <v>24.409</v>
      </c>
      <c r="GJ5" t="n">
        <v>31.04</v>
      </c>
      <c r="GK5" t="n">
        <v>7.955</v>
      </c>
      <c r="GL5" t="n">
        <v>32.588</v>
      </c>
      <c r="GM5" t="n">
        <v>2.591</v>
      </c>
      <c r="GN5" t="n">
        <v>9.182</v>
      </c>
      <c r="GO5" t="n">
        <v>87.624</v>
      </c>
      <c r="GP5" t="n">
        <v>3.955</v>
      </c>
      <c r="GQ5" t="n">
        <v>46.364</v>
      </c>
      <c r="GR5" t="n">
        <v>72.136</v>
      </c>
      <c r="GS5" t="n">
        <v>-15.155</v>
      </c>
      <c r="GT5" t="n">
        <v>-53.136</v>
      </c>
      <c r="GU5" t="n">
        <v>-1.545</v>
      </c>
      <c r="GV5" t="n">
        <v>-7.273</v>
      </c>
      <c r="GW5" t="n">
        <v>-3.091</v>
      </c>
      <c r="GX5" t="n">
        <v>1.682</v>
      </c>
      <c r="GY5" t="n">
        <v>-1.409</v>
      </c>
      <c r="GZ5" t="n">
        <v>-6.318</v>
      </c>
      <c r="HA5" t="n">
        <v>-172.857</v>
      </c>
      <c r="HB5" t="n">
        <v>6.409</v>
      </c>
      <c r="HC5" t="n">
        <v>0.591</v>
      </c>
      <c r="HD5" t="n">
        <v>0.75</v>
      </c>
      <c r="HE5" t="n">
        <v>-0.078</v>
      </c>
      <c r="HF5" t="n">
        <v>-0.091</v>
      </c>
      <c r="HG5" t="n">
        <v>-0.591</v>
      </c>
      <c r="HH5" t="n">
        <v>-0.6820000000000001</v>
      </c>
      <c r="HI5" t="n">
        <v>-0.545</v>
      </c>
      <c r="HJ5" t="n">
        <v>-2.318</v>
      </c>
      <c r="HK5" t="n">
        <v>-3.227</v>
      </c>
      <c r="HL5" t="n">
        <v>-3.5</v>
      </c>
      <c r="HM5" t="n">
        <v>1.182</v>
      </c>
      <c r="HN5" t="n">
        <v>-0.409</v>
      </c>
      <c r="HO5" t="n">
        <v>0.591</v>
      </c>
      <c r="HP5" t="n">
        <v>3.773</v>
      </c>
      <c r="HQ5" t="n">
        <v>-0.091</v>
      </c>
      <c r="HR5" t="n">
        <v>-0.409</v>
      </c>
      <c r="HS5" t="n">
        <v>-0.455</v>
      </c>
      <c r="HT5" t="n">
        <v>-0.864</v>
      </c>
      <c r="HU5" t="n">
        <v>-1.318</v>
      </c>
      <c r="HV5" t="n">
        <v>0.045</v>
      </c>
      <c r="HW5" t="n">
        <v>1.091</v>
      </c>
      <c r="HX5" t="n">
        <v>-0.955</v>
      </c>
      <c r="HY5" t="n">
        <v>-1.136</v>
      </c>
      <c r="HZ5" t="n">
        <v>-1.955</v>
      </c>
      <c r="IA5" t="n">
        <v>3.318</v>
      </c>
      <c r="IB5" t="n">
        <v>-2</v>
      </c>
      <c r="IC5" t="n">
        <v>0.136</v>
      </c>
      <c r="ID5" t="n">
        <v>-2.591</v>
      </c>
      <c r="IE5" t="n">
        <v>-1.909</v>
      </c>
      <c r="IF5" t="n">
        <v>-1.864</v>
      </c>
      <c r="IG5" t="n">
        <v>-9.486000000000001</v>
      </c>
      <c r="IH5" t="n">
        <v>-2.514</v>
      </c>
      <c r="II5" t="n">
        <v>-0.039</v>
      </c>
      <c r="IJ5" t="n">
        <v>0.636</v>
      </c>
      <c r="IK5" t="n">
        <v>-3.045</v>
      </c>
      <c r="IL5" t="n">
        <v>-9.455</v>
      </c>
      <c r="IM5" t="n">
        <v>-1.364</v>
      </c>
      <c r="IN5" t="n">
        <v>-8.455</v>
      </c>
      <c r="IO5" t="n">
        <v>-2.045</v>
      </c>
      <c r="IP5" t="n">
        <v>0.545</v>
      </c>
      <c r="IQ5" t="n">
        <v>-1.818</v>
      </c>
      <c r="IR5" t="n">
        <v>8.045</v>
      </c>
      <c r="IS5" t="n">
        <v>23.5</v>
      </c>
      <c r="IT5" t="n">
        <v>-1.591</v>
      </c>
      <c r="IU5" t="n">
        <v>13.818</v>
      </c>
      <c r="IV5" t="n">
        <v>4.182</v>
      </c>
      <c r="IW5" t="n">
        <v>0</v>
      </c>
      <c r="IX5" t="n">
        <v>-0.136</v>
      </c>
      <c r="IY5" t="n">
        <v>-2.318</v>
      </c>
      <c r="IZ5" t="n">
        <v>0.091</v>
      </c>
    </row>
    <row r="6">
      <c r="A6" t="inlineStr">
        <is>
          <t>Fremantle</t>
        </is>
      </c>
      <c r="B6" t="inlineStr">
        <is>
          <t>Frem</t>
        </is>
      </c>
      <c r="C6" t="n">
        <v>22</v>
      </c>
      <c r="D6" t="n">
        <v>39</v>
      </c>
      <c r="E6" t="n">
        <v>24.787</v>
      </c>
      <c r="F6" t="n">
        <v>78.494</v>
      </c>
      <c r="G6" t="n">
        <v>190.405</v>
      </c>
      <c r="H6" t="n">
        <v>1584</v>
      </c>
      <c r="I6" t="n">
        <v>1451.227</v>
      </c>
      <c r="J6" t="n">
        <v>13.045</v>
      </c>
      <c r="K6" t="n">
        <v>49.796</v>
      </c>
      <c r="L6" t="n">
        <v>205.5</v>
      </c>
      <c r="M6" t="n">
        <v>150.227</v>
      </c>
      <c r="N6" t="n">
        <v>355.727</v>
      </c>
      <c r="O6" t="n">
        <v>72.93600000000001</v>
      </c>
      <c r="P6" t="n">
        <v>65.693</v>
      </c>
      <c r="Q6" t="n">
        <v>82.84399999999999</v>
      </c>
      <c r="R6" t="n">
        <v>57.769</v>
      </c>
      <c r="S6" t="n">
        <v>6.271</v>
      </c>
      <c r="T6" t="n">
        <v>51.045</v>
      </c>
      <c r="U6" t="n">
        <v>37.955</v>
      </c>
      <c r="V6" t="n">
        <v>74.62</v>
      </c>
      <c r="W6" t="n">
        <v>5563.818</v>
      </c>
      <c r="X6" t="n">
        <v>15.641</v>
      </c>
      <c r="Y6" t="n">
        <v>56.136</v>
      </c>
      <c r="Z6" t="n">
        <v>6.337</v>
      </c>
      <c r="AA6" t="n">
        <v>66.455</v>
      </c>
      <c r="AB6" t="n">
        <v>5.353</v>
      </c>
      <c r="AC6" t="n">
        <v>-0.93</v>
      </c>
      <c r="AD6" t="n">
        <v>0.597</v>
      </c>
      <c r="AE6" t="n">
        <v>133.864</v>
      </c>
      <c r="AF6" t="n">
        <v>219.864</v>
      </c>
      <c r="AG6" t="n">
        <v>353.727</v>
      </c>
      <c r="AH6" t="n">
        <v>37.844</v>
      </c>
      <c r="AI6" t="n">
        <v>65.40900000000001</v>
      </c>
      <c r="AJ6" t="n">
        <v>89.227</v>
      </c>
      <c r="AK6" t="n">
        <v>13.5</v>
      </c>
      <c r="AL6" t="n">
        <v>32.182</v>
      </c>
      <c r="AM6" t="n">
        <v>57.045</v>
      </c>
      <c r="AN6" t="n">
        <v>85.318</v>
      </c>
      <c r="AO6" t="n">
        <v>60.727</v>
      </c>
      <c r="AP6" t="n">
        <v>11.091</v>
      </c>
      <c r="AQ6" t="n">
        <v>23.455</v>
      </c>
      <c r="AR6" t="n">
        <v>121.273</v>
      </c>
      <c r="AS6" t="n">
        <v>11.636</v>
      </c>
      <c r="AT6" t="n">
        <v>24.5</v>
      </c>
      <c r="AU6" t="n">
        <v>36.136</v>
      </c>
      <c r="AV6" t="n">
        <v>39.182</v>
      </c>
      <c r="AW6" t="n">
        <v>77.262</v>
      </c>
      <c r="AX6" t="n">
        <v>90</v>
      </c>
      <c r="AY6" t="n">
        <v>10.682</v>
      </c>
      <c r="AZ6" t="n">
        <v>11.364</v>
      </c>
      <c r="BA6" t="n">
        <v>22.262</v>
      </c>
      <c r="BB6" t="n">
        <v>13.818</v>
      </c>
      <c r="BC6" t="n">
        <v>9.045</v>
      </c>
      <c r="BD6" t="n">
        <v>26</v>
      </c>
      <c r="BE6" t="n">
        <v>6.773</v>
      </c>
      <c r="BF6" t="n">
        <v>9.955</v>
      </c>
      <c r="BG6" t="n">
        <v>12</v>
      </c>
      <c r="BH6" t="n">
        <v>2</v>
      </c>
      <c r="BI6" t="n">
        <v>23.773</v>
      </c>
      <c r="BJ6" t="n">
        <v>7.409</v>
      </c>
      <c r="BK6" t="n">
        <v>41.874</v>
      </c>
      <c r="BL6" t="n">
        <v>19.501</v>
      </c>
      <c r="BM6" t="n">
        <v>43.01</v>
      </c>
      <c r="BN6" t="n">
        <v>46.572</v>
      </c>
      <c r="BO6" t="n">
        <v>21.864</v>
      </c>
      <c r="BP6" t="n">
        <v>17.727</v>
      </c>
      <c r="BQ6" t="n">
        <v>24.615</v>
      </c>
      <c r="BR6" t="n">
        <v>76.274</v>
      </c>
      <c r="BS6" t="n">
        <v>-6.547</v>
      </c>
      <c r="BT6" t="n">
        <v>3.208</v>
      </c>
      <c r="BU6" t="n">
        <v>-0.275</v>
      </c>
      <c r="BV6" t="n">
        <v>3.493</v>
      </c>
      <c r="BW6" t="n">
        <v>-0.231</v>
      </c>
      <c r="BX6" t="n">
        <v>2.885</v>
      </c>
      <c r="BY6" t="n">
        <v>-0.326</v>
      </c>
      <c r="BZ6" t="n">
        <v>3.682</v>
      </c>
      <c r="CA6" t="n">
        <v>30.091</v>
      </c>
      <c r="CB6" t="n">
        <v>37.955</v>
      </c>
      <c r="CC6" t="n">
        <v>25.818</v>
      </c>
      <c r="CD6" t="n">
        <v>33.773</v>
      </c>
      <c r="CE6" t="n">
        <v>12.136</v>
      </c>
      <c r="CF6" t="n">
        <v>19.934</v>
      </c>
      <c r="CG6" t="n">
        <v>22.642</v>
      </c>
      <c r="CH6" t="n">
        <v>9.574</v>
      </c>
      <c r="CI6" t="n">
        <v>30.32</v>
      </c>
      <c r="CJ6" t="n">
        <v>11.699</v>
      </c>
      <c r="CK6" t="n">
        <v>16.091</v>
      </c>
      <c r="CL6" t="n">
        <v>28.531</v>
      </c>
      <c r="CM6" t="n">
        <v>48.909</v>
      </c>
      <c r="CN6" t="n">
        <v>7.182</v>
      </c>
      <c r="CO6" t="n">
        <v>283.091</v>
      </c>
      <c r="CP6" t="n">
        <v>132</v>
      </c>
      <c r="CQ6" t="n">
        <v>33.455</v>
      </c>
      <c r="CR6" t="n">
        <v>80.773</v>
      </c>
      <c r="CS6" t="n">
        <v>36.5</v>
      </c>
      <c r="CT6" t="n">
        <v>45.189</v>
      </c>
      <c r="CU6" t="n">
        <v>12.136</v>
      </c>
      <c r="CV6" t="n">
        <v>33.25</v>
      </c>
      <c r="CW6" t="n">
        <v>3.455</v>
      </c>
      <c r="CX6" t="n">
        <v>17.909</v>
      </c>
      <c r="CY6" t="n">
        <v>18.5</v>
      </c>
      <c r="CZ6" t="n">
        <v>-0.591</v>
      </c>
      <c r="DA6" t="n">
        <v>10.455</v>
      </c>
      <c r="DB6" t="n">
        <v>75.217</v>
      </c>
      <c r="DC6" t="n">
        <v>4.955</v>
      </c>
      <c r="DD6" t="n">
        <v>47.909</v>
      </c>
      <c r="DE6" t="n">
        <v>73.09099999999999</v>
      </c>
      <c r="DF6" t="n">
        <v>202.905</v>
      </c>
      <c r="DG6" t="n">
        <v>1716.909</v>
      </c>
      <c r="DH6" t="n">
        <v>1596.318</v>
      </c>
      <c r="DI6" t="n">
        <v>16.955</v>
      </c>
      <c r="DJ6" t="n">
        <v>225.864</v>
      </c>
      <c r="DK6" t="n">
        <v>150.864</v>
      </c>
      <c r="DL6" t="n">
        <v>376.727</v>
      </c>
      <c r="DM6" t="n">
        <v>74.44499999999999</v>
      </c>
      <c r="DN6" t="n">
        <v>67.68000000000001</v>
      </c>
      <c r="DO6" t="n">
        <v>84.574</v>
      </c>
      <c r="DP6" t="n">
        <v>7.703</v>
      </c>
      <c r="DQ6" t="n">
        <v>50.864</v>
      </c>
      <c r="DR6" t="n">
        <v>40.5</v>
      </c>
      <c r="DS6" t="n">
        <v>79.34099999999999</v>
      </c>
      <c r="DT6" t="n">
        <v>5776.091</v>
      </c>
      <c r="DU6" t="n">
        <v>15.332</v>
      </c>
      <c r="DV6" t="n">
        <v>55.5</v>
      </c>
      <c r="DW6" t="n">
        <v>6.788</v>
      </c>
      <c r="DX6" t="n">
        <v>65.318</v>
      </c>
      <c r="DY6" t="n">
        <v>5.768</v>
      </c>
      <c r="DZ6" t="n">
        <v>1.403</v>
      </c>
      <c r="EA6" t="n">
        <v>1.973</v>
      </c>
      <c r="EB6" t="n">
        <v>130.227</v>
      </c>
      <c r="EC6" t="n">
        <v>239.409</v>
      </c>
      <c r="ED6" t="n">
        <v>369.636</v>
      </c>
      <c r="EE6" t="n">
        <v>35.231</v>
      </c>
      <c r="EF6" t="n">
        <v>66.59099999999999</v>
      </c>
      <c r="EG6" t="n">
        <v>86.682</v>
      </c>
      <c r="EH6" t="n">
        <v>15.545</v>
      </c>
      <c r="EI6" t="n">
        <v>30.455</v>
      </c>
      <c r="EJ6" t="n">
        <v>56.182</v>
      </c>
      <c r="EK6" t="n">
        <v>87.773</v>
      </c>
      <c r="EL6" t="n">
        <v>61.136</v>
      </c>
      <c r="EM6" t="n">
        <v>8.273</v>
      </c>
      <c r="EN6" t="n">
        <v>24</v>
      </c>
      <c r="EO6" t="n">
        <v>124.227</v>
      </c>
      <c r="EP6" t="n">
        <v>11.682</v>
      </c>
      <c r="EQ6" t="n">
        <v>20.773</v>
      </c>
      <c r="ER6" t="n">
        <v>32.455</v>
      </c>
      <c r="ES6" t="n">
        <v>34.409</v>
      </c>
      <c r="ET6" t="n">
        <v>76.22199999999999</v>
      </c>
      <c r="EU6" t="n">
        <v>104.682</v>
      </c>
      <c r="EV6" t="n">
        <v>12.409</v>
      </c>
      <c r="EW6" t="n">
        <v>13.364</v>
      </c>
      <c r="EX6" t="n">
        <v>26.273</v>
      </c>
      <c r="EY6" t="n">
        <v>16.5</v>
      </c>
      <c r="EZ6" t="n">
        <v>8.5</v>
      </c>
      <c r="FA6" t="n">
        <v>12.045</v>
      </c>
      <c r="FB6" t="n">
        <v>10.682</v>
      </c>
      <c r="FC6" t="n">
        <v>1.409</v>
      </c>
      <c r="FD6" t="n">
        <v>25.591</v>
      </c>
      <c r="FE6" t="n">
        <v>8.364000000000001</v>
      </c>
      <c r="FF6" t="n">
        <v>47.069</v>
      </c>
      <c r="FG6" t="n">
        <v>23.682</v>
      </c>
      <c r="FH6" t="n">
        <v>44.683</v>
      </c>
      <c r="FI6" t="n">
        <v>50.313</v>
      </c>
      <c r="FJ6" t="n">
        <v>22.409</v>
      </c>
      <c r="FK6" t="n">
        <v>85.76300000000001</v>
      </c>
      <c r="FL6" t="n">
        <v>-4.218</v>
      </c>
      <c r="FM6" t="n">
        <v>3.351</v>
      </c>
      <c r="FN6" t="n">
        <v>-0.165</v>
      </c>
      <c r="FO6" t="n">
        <v>3.611</v>
      </c>
      <c r="FP6" t="n">
        <v>-0.257</v>
      </c>
      <c r="FQ6" t="n">
        <v>3.012</v>
      </c>
      <c r="FR6" t="n">
        <v>-0.045</v>
      </c>
      <c r="FS6" t="n">
        <v>4.455</v>
      </c>
      <c r="FT6" t="n">
        <v>26.773</v>
      </c>
      <c r="FU6" t="n">
        <v>51.727</v>
      </c>
      <c r="FV6" t="n">
        <v>29.182</v>
      </c>
      <c r="FW6" t="n">
        <v>43.455</v>
      </c>
      <c r="FX6" t="n">
        <v>10.318</v>
      </c>
      <c r="FY6" t="n">
        <v>20.688</v>
      </c>
      <c r="FZ6" t="n">
        <v>22.52</v>
      </c>
      <c r="GA6" t="n">
        <v>9.039999999999999</v>
      </c>
      <c r="GB6" t="n">
        <v>30.775</v>
      </c>
      <c r="GC6" t="n">
        <v>11.462</v>
      </c>
      <c r="GD6" t="n">
        <v>56.727</v>
      </c>
      <c r="GE6" t="n">
        <v>11.682</v>
      </c>
      <c r="GF6" t="n">
        <v>282.227</v>
      </c>
      <c r="GG6" t="n">
        <v>128.091</v>
      </c>
      <c r="GH6" t="n">
        <v>34.318</v>
      </c>
      <c r="GI6" t="n">
        <v>29.727</v>
      </c>
      <c r="GJ6" t="n">
        <v>36.68</v>
      </c>
      <c r="GK6" t="n">
        <v>9.135999999999999</v>
      </c>
      <c r="GL6" t="n">
        <v>30.734</v>
      </c>
      <c r="GM6" t="n">
        <v>2.364</v>
      </c>
      <c r="GN6" t="n">
        <v>11.818</v>
      </c>
      <c r="GO6" t="n">
        <v>80</v>
      </c>
      <c r="GP6" t="n">
        <v>4.864</v>
      </c>
      <c r="GQ6" t="n">
        <v>50.227</v>
      </c>
      <c r="GR6" t="n">
        <v>72.273</v>
      </c>
      <c r="GS6" t="n">
        <v>-12.5</v>
      </c>
      <c r="GT6" t="n">
        <v>-132.909</v>
      </c>
      <c r="GU6" t="n">
        <v>-145.091</v>
      </c>
      <c r="GV6" t="n">
        <v>-3.909</v>
      </c>
      <c r="GW6" t="n">
        <v>-20.364</v>
      </c>
      <c r="GX6" t="n">
        <v>-0.636</v>
      </c>
      <c r="GY6" t="n">
        <v>-21</v>
      </c>
      <c r="GZ6" t="n">
        <v>0.182</v>
      </c>
      <c r="HA6" t="n">
        <v>-212.273</v>
      </c>
      <c r="HB6" t="n">
        <v>0.636</v>
      </c>
      <c r="HC6" t="n">
        <v>1.136</v>
      </c>
      <c r="HD6" t="n">
        <v>-2.332</v>
      </c>
      <c r="HE6" t="n">
        <v>-1.376</v>
      </c>
      <c r="HF6" t="n">
        <v>3.636</v>
      </c>
      <c r="HG6" t="n">
        <v>-19.545</v>
      </c>
      <c r="HH6" t="n">
        <v>-15.909</v>
      </c>
      <c r="HI6" t="n">
        <v>-1.182</v>
      </c>
      <c r="HJ6" t="n">
        <v>2.545</v>
      </c>
      <c r="HK6" t="n">
        <v>-2.045</v>
      </c>
      <c r="HL6" t="n">
        <v>1.727</v>
      </c>
      <c r="HM6" t="n">
        <v>0.864</v>
      </c>
      <c r="HN6" t="n">
        <v>-2.455</v>
      </c>
      <c r="HO6" t="n">
        <v>-0.409</v>
      </c>
      <c r="HP6" t="n">
        <v>2.818</v>
      </c>
      <c r="HQ6" t="n">
        <v>-0.545</v>
      </c>
      <c r="HR6" t="n">
        <v>-2.955</v>
      </c>
      <c r="HS6" t="n">
        <v>-0.045</v>
      </c>
      <c r="HT6" t="n">
        <v>3.727</v>
      </c>
      <c r="HU6" t="n">
        <v>3.682</v>
      </c>
      <c r="HV6" t="n">
        <v>4.773</v>
      </c>
      <c r="HW6" t="n">
        <v>-14.682</v>
      </c>
      <c r="HX6" t="n">
        <v>-1.727</v>
      </c>
      <c r="HY6" t="n">
        <v>-2</v>
      </c>
      <c r="HZ6" t="n">
        <v>-2.682</v>
      </c>
      <c r="IA6" t="n">
        <v>0.545</v>
      </c>
      <c r="IB6" t="n">
        <v>-2.091</v>
      </c>
      <c r="IC6" t="n">
        <v>1.318</v>
      </c>
      <c r="ID6" t="n">
        <v>-1.818</v>
      </c>
      <c r="IE6" t="n">
        <v>-0.955</v>
      </c>
      <c r="IF6" t="n">
        <v>-0.545</v>
      </c>
      <c r="IG6" t="n">
        <v>-9.489000000000001</v>
      </c>
      <c r="IH6" t="n">
        <v>-2.329</v>
      </c>
      <c r="II6" t="n">
        <v>-0.143</v>
      </c>
      <c r="IJ6" t="n">
        <v>-0.773</v>
      </c>
      <c r="IK6" t="n">
        <v>3.318</v>
      </c>
      <c r="IL6" t="n">
        <v>-13.773</v>
      </c>
      <c r="IM6" t="n">
        <v>-3.364</v>
      </c>
      <c r="IN6" t="n">
        <v>-9.682</v>
      </c>
      <c r="IO6" t="n">
        <v>1.818</v>
      </c>
      <c r="IP6" t="n">
        <v>-7.818</v>
      </c>
      <c r="IQ6" t="n">
        <v>-4.5</v>
      </c>
      <c r="IR6" t="n">
        <v>0.864</v>
      </c>
      <c r="IS6" t="n">
        <v>3.909</v>
      </c>
      <c r="IT6" t="n">
        <v>-0.864</v>
      </c>
      <c r="IU6" t="n">
        <v>6.773</v>
      </c>
      <c r="IV6" t="n">
        <v>3</v>
      </c>
      <c r="IW6" t="n">
        <v>1.091</v>
      </c>
      <c r="IX6" t="n">
        <v>0.091</v>
      </c>
      <c r="IY6" t="n">
        <v>-2.318</v>
      </c>
      <c r="IZ6" t="n">
        <v>0.8179999999999999</v>
      </c>
    </row>
    <row r="7">
      <c r="A7" t="inlineStr">
        <is>
          <t>Melbourne</t>
        </is>
      </c>
      <c r="B7" t="inlineStr">
        <is>
          <t>Melb</t>
        </is>
      </c>
      <c r="C7" t="n">
        <v>25</v>
      </c>
      <c r="D7" t="n">
        <v>34</v>
      </c>
      <c r="E7" t="n">
        <v>24.925</v>
      </c>
      <c r="F7" t="n">
        <v>91.91800000000001</v>
      </c>
      <c r="G7" t="n">
        <v>214.348</v>
      </c>
      <c r="H7" t="n">
        <v>1713.44</v>
      </c>
      <c r="I7" t="n">
        <v>1566.04</v>
      </c>
      <c r="J7" t="n">
        <v>22.2</v>
      </c>
      <c r="K7" t="n">
        <v>54.091</v>
      </c>
      <c r="L7" t="n">
        <v>219.36</v>
      </c>
      <c r="M7" t="n">
        <v>149.16</v>
      </c>
      <c r="N7" t="n">
        <v>368.52</v>
      </c>
      <c r="O7" t="n">
        <v>70.813</v>
      </c>
      <c r="P7" t="n">
        <v>64.187</v>
      </c>
      <c r="Q7" t="n">
        <v>80.55800000000001</v>
      </c>
      <c r="R7" t="n">
        <v>59.525</v>
      </c>
      <c r="S7" t="n">
        <v>5.846</v>
      </c>
      <c r="T7" t="n">
        <v>56.28</v>
      </c>
      <c r="U7" t="n">
        <v>39.44</v>
      </c>
      <c r="V7" t="n">
        <v>79.83799999999999</v>
      </c>
      <c r="W7" t="n">
        <v>6083.4</v>
      </c>
      <c r="X7" t="n">
        <v>16.508</v>
      </c>
      <c r="Y7" t="n">
        <v>59.76</v>
      </c>
      <c r="Z7" t="n">
        <v>6.167</v>
      </c>
      <c r="AA7" t="n">
        <v>69.88</v>
      </c>
      <c r="AB7" t="n">
        <v>5.274</v>
      </c>
      <c r="AC7" t="n">
        <v>1.224</v>
      </c>
      <c r="AD7" t="n">
        <v>0.997</v>
      </c>
      <c r="AE7" t="n">
        <v>148.56</v>
      </c>
      <c r="AF7" t="n">
        <v>214.4</v>
      </c>
      <c r="AG7" t="n">
        <v>362.96</v>
      </c>
      <c r="AH7" t="n">
        <v>40.93</v>
      </c>
      <c r="AI7" t="n">
        <v>77.08</v>
      </c>
      <c r="AJ7" t="n">
        <v>99.68000000000001</v>
      </c>
      <c r="AK7" t="n">
        <v>18.52</v>
      </c>
      <c r="AL7" t="n">
        <v>37.2</v>
      </c>
      <c r="AM7" t="n">
        <v>62.56</v>
      </c>
      <c r="AN7" t="n">
        <v>97.72</v>
      </c>
      <c r="AO7" t="n">
        <v>69.95999999999999</v>
      </c>
      <c r="AP7" t="n">
        <v>12.64</v>
      </c>
      <c r="AQ7" t="n">
        <v>28.12</v>
      </c>
      <c r="AR7" t="n">
        <v>116.44</v>
      </c>
      <c r="AS7" t="n">
        <v>12</v>
      </c>
      <c r="AT7" t="n">
        <v>25.32</v>
      </c>
      <c r="AU7" t="n">
        <v>37.32</v>
      </c>
      <c r="AV7" t="n">
        <v>40.84</v>
      </c>
      <c r="AW7" t="n">
        <v>75.90600000000001</v>
      </c>
      <c r="AX7" t="n">
        <v>89.36</v>
      </c>
      <c r="AY7" t="n">
        <v>12.36</v>
      </c>
      <c r="AZ7" t="n">
        <v>12.68</v>
      </c>
      <c r="BA7" t="n">
        <v>22.53</v>
      </c>
      <c r="BB7" t="n">
        <v>19.32</v>
      </c>
      <c r="BC7" t="n">
        <v>9</v>
      </c>
      <c r="BD7" t="n">
        <v>23</v>
      </c>
      <c r="BE7" t="n">
        <v>7.8</v>
      </c>
      <c r="BF7" t="n">
        <v>12.92</v>
      </c>
      <c r="BG7" t="n">
        <v>12.32</v>
      </c>
      <c r="BH7" t="n">
        <v>2.64</v>
      </c>
      <c r="BI7" t="n">
        <v>28.36</v>
      </c>
      <c r="BJ7" t="n">
        <v>7.68</v>
      </c>
      <c r="BK7" t="n">
        <v>45.557</v>
      </c>
      <c r="BL7" t="n">
        <v>22.957</v>
      </c>
      <c r="BM7" t="n">
        <v>44.847</v>
      </c>
      <c r="BN7" t="n">
        <v>50.391</v>
      </c>
      <c r="BO7" t="n">
        <v>25</v>
      </c>
      <c r="BP7" t="n">
        <v>16</v>
      </c>
      <c r="BQ7" t="n">
        <v>22.75</v>
      </c>
      <c r="BR7" t="n">
        <v>87.348</v>
      </c>
      <c r="BS7" t="n">
        <v>-0.148</v>
      </c>
      <c r="BT7" t="n">
        <v>3.08</v>
      </c>
      <c r="BU7" t="n">
        <v>-0.005</v>
      </c>
      <c r="BV7" t="n">
        <v>3.304</v>
      </c>
      <c r="BW7" t="n">
        <v>-0.176</v>
      </c>
      <c r="BX7" t="n">
        <v>2.829</v>
      </c>
      <c r="BY7" t="n">
        <v>0.185</v>
      </c>
      <c r="BZ7" t="n">
        <v>2.36</v>
      </c>
      <c r="CA7" t="n">
        <v>33.72</v>
      </c>
      <c r="CB7" t="n">
        <v>53.76</v>
      </c>
      <c r="CC7" t="n">
        <v>29.4</v>
      </c>
      <c r="CD7" t="n">
        <v>45.8</v>
      </c>
      <c r="CE7" t="n">
        <v>14.64</v>
      </c>
      <c r="CF7" t="n">
        <v>20.849</v>
      </c>
      <c r="CG7" t="n">
        <v>23.008</v>
      </c>
      <c r="CH7" t="n">
        <v>9.670999999999999</v>
      </c>
      <c r="CI7" t="n">
        <v>30.418</v>
      </c>
      <c r="CJ7" t="n">
        <v>11.878</v>
      </c>
      <c r="CK7" t="n">
        <v>18.76</v>
      </c>
      <c r="CL7" t="n">
        <v>23.241</v>
      </c>
      <c r="CM7" t="n">
        <v>62.16</v>
      </c>
      <c r="CN7" t="n">
        <v>12.4</v>
      </c>
      <c r="CO7" t="n">
        <v>298.28</v>
      </c>
      <c r="CP7" t="n">
        <v>136.72</v>
      </c>
      <c r="CQ7" t="n">
        <v>32.48</v>
      </c>
      <c r="CR7" t="n">
        <v>87.40000000000001</v>
      </c>
      <c r="CS7" t="n">
        <v>44.12</v>
      </c>
      <c r="CT7" t="n">
        <v>50.481</v>
      </c>
      <c r="CU7" t="n">
        <v>13.76</v>
      </c>
      <c r="CV7" t="n">
        <v>31.188</v>
      </c>
      <c r="CW7" t="n">
        <v>3.52</v>
      </c>
      <c r="CX7" t="n">
        <v>19.08</v>
      </c>
      <c r="CY7" t="n">
        <v>19.2</v>
      </c>
      <c r="CZ7" t="n">
        <v>-0.12</v>
      </c>
      <c r="DA7" t="n">
        <v>7.64</v>
      </c>
      <c r="DB7" t="n">
        <v>96.85899999999999</v>
      </c>
      <c r="DC7" t="n">
        <v>4.04</v>
      </c>
      <c r="DD7" t="n">
        <v>46.92</v>
      </c>
      <c r="DE7" t="n">
        <v>73.44</v>
      </c>
      <c r="DF7" t="n">
        <v>190.332</v>
      </c>
      <c r="DG7" t="n">
        <v>1586.28</v>
      </c>
      <c r="DH7" t="n">
        <v>1487.64</v>
      </c>
      <c r="DI7" t="n">
        <v>7.8</v>
      </c>
      <c r="DJ7" t="n">
        <v>211.8</v>
      </c>
      <c r="DK7" t="n">
        <v>147.2</v>
      </c>
      <c r="DL7" t="n">
        <v>359</v>
      </c>
      <c r="DM7" t="n">
        <v>70.741</v>
      </c>
      <c r="DN7" t="n">
        <v>63.173</v>
      </c>
      <c r="DO7" t="n">
        <v>81.63</v>
      </c>
      <c r="DP7" t="n">
        <v>5.775</v>
      </c>
      <c r="DQ7" t="n">
        <v>49.4</v>
      </c>
      <c r="DR7" t="n">
        <v>42.44</v>
      </c>
      <c r="DS7" t="n">
        <v>75.40900000000001</v>
      </c>
      <c r="DT7" t="n">
        <v>5696.76</v>
      </c>
      <c r="DU7" t="n">
        <v>15.868</v>
      </c>
      <c r="DV7" t="n">
        <v>61.72</v>
      </c>
      <c r="DW7" t="n">
        <v>5.817</v>
      </c>
      <c r="DX7" t="n">
        <v>76.95999999999999</v>
      </c>
      <c r="DY7" t="n">
        <v>4.665</v>
      </c>
      <c r="DZ7" t="n">
        <v>-4.608</v>
      </c>
      <c r="EA7" t="n">
        <v>-3.098</v>
      </c>
      <c r="EB7" t="n">
        <v>136.64</v>
      </c>
      <c r="EC7" t="n">
        <v>214</v>
      </c>
      <c r="ED7" t="n">
        <v>350.64</v>
      </c>
      <c r="EE7" t="n">
        <v>38.969</v>
      </c>
      <c r="EF7" t="n">
        <v>70</v>
      </c>
      <c r="EG7" t="n">
        <v>94.68000000000001</v>
      </c>
      <c r="EH7" t="n">
        <v>15.24</v>
      </c>
      <c r="EI7" t="n">
        <v>35.6</v>
      </c>
      <c r="EJ7" t="n">
        <v>59.16</v>
      </c>
      <c r="EK7" t="n">
        <v>88.2</v>
      </c>
      <c r="EL7" t="n">
        <v>62.96</v>
      </c>
      <c r="EM7" t="n">
        <v>7.76</v>
      </c>
      <c r="EN7" t="n">
        <v>23.04</v>
      </c>
      <c r="EO7" t="n">
        <v>117.28</v>
      </c>
      <c r="EP7" t="n">
        <v>12.04</v>
      </c>
      <c r="EQ7" t="n">
        <v>24.6</v>
      </c>
      <c r="ER7" t="n">
        <v>36.64</v>
      </c>
      <c r="ES7" t="n">
        <v>38.48</v>
      </c>
      <c r="ET7" t="n">
        <v>78.06699999999999</v>
      </c>
      <c r="EU7" t="n">
        <v>84.52</v>
      </c>
      <c r="EV7" t="n">
        <v>9.48</v>
      </c>
      <c r="EW7" t="n">
        <v>7.88</v>
      </c>
      <c r="EX7" t="n">
        <v>15.951</v>
      </c>
      <c r="EY7" t="n">
        <v>13.8</v>
      </c>
      <c r="EZ7" t="n">
        <v>5.64</v>
      </c>
      <c r="FA7" t="n">
        <v>9.44</v>
      </c>
      <c r="FB7" t="n">
        <v>7.8</v>
      </c>
      <c r="FC7" t="n">
        <v>2.08</v>
      </c>
      <c r="FD7" t="n">
        <v>19.64</v>
      </c>
      <c r="FE7" t="n">
        <v>6.12</v>
      </c>
      <c r="FF7" t="n">
        <v>48.065</v>
      </c>
      <c r="FG7" t="n">
        <v>19.109</v>
      </c>
      <c r="FH7" t="n">
        <v>34.899</v>
      </c>
      <c r="FI7" t="n">
        <v>39.757</v>
      </c>
      <c r="FJ7" t="n">
        <v>16.92</v>
      </c>
      <c r="FK7" t="n">
        <v>61.91</v>
      </c>
      <c r="FL7" t="n">
        <v>0.45</v>
      </c>
      <c r="FM7" t="n">
        <v>3.152</v>
      </c>
      <c r="FN7" t="n">
        <v>0.023</v>
      </c>
      <c r="FO7" t="n">
        <v>3.396</v>
      </c>
      <c r="FP7" t="n">
        <v>0.068</v>
      </c>
      <c r="FQ7" t="n">
        <v>2.917</v>
      </c>
      <c r="FR7" t="n">
        <v>-0.021</v>
      </c>
      <c r="FS7" t="n">
        <v>3.16</v>
      </c>
      <c r="FT7" t="n">
        <v>23.76</v>
      </c>
      <c r="FU7" t="n">
        <v>37.52</v>
      </c>
      <c r="FV7" t="n">
        <v>23.56</v>
      </c>
      <c r="FW7" t="n">
        <v>33.76</v>
      </c>
      <c r="FX7" t="n">
        <v>7.12</v>
      </c>
      <c r="FY7" t="n">
        <v>14.576</v>
      </c>
      <c r="FZ7" t="n">
        <v>18.83</v>
      </c>
      <c r="GA7" t="n">
        <v>6.399</v>
      </c>
      <c r="GB7" t="n">
        <v>26.715</v>
      </c>
      <c r="GC7" t="n">
        <v>8.599</v>
      </c>
      <c r="GD7" t="n">
        <v>63.04</v>
      </c>
      <c r="GE7" t="n">
        <v>11.72</v>
      </c>
      <c r="GF7" t="n">
        <v>304.84</v>
      </c>
      <c r="GG7" t="n">
        <v>146.4</v>
      </c>
      <c r="GH7" t="n">
        <v>39.12</v>
      </c>
      <c r="GI7" t="n">
        <v>27.8</v>
      </c>
      <c r="GJ7" t="n">
        <v>31.779</v>
      </c>
      <c r="GK7" t="n">
        <v>8.48</v>
      </c>
      <c r="GL7" t="n">
        <v>30.504</v>
      </c>
      <c r="GM7" t="n">
        <v>1.92</v>
      </c>
      <c r="GN7" t="n">
        <v>12.12</v>
      </c>
      <c r="GO7" t="n">
        <v>83.828</v>
      </c>
      <c r="GP7" t="n">
        <v>5.96</v>
      </c>
      <c r="GQ7" t="n">
        <v>56.08</v>
      </c>
      <c r="GR7" t="n">
        <v>70.28</v>
      </c>
      <c r="GS7" t="n">
        <v>24.016</v>
      </c>
      <c r="GT7" t="n">
        <v>127.16</v>
      </c>
      <c r="GU7" t="n">
        <v>78.40000000000001</v>
      </c>
      <c r="GV7" t="n">
        <v>14.4</v>
      </c>
      <c r="GW7" t="n">
        <v>7.56</v>
      </c>
      <c r="GX7" t="n">
        <v>1.96</v>
      </c>
      <c r="GY7" t="n">
        <v>9.52</v>
      </c>
      <c r="GZ7" t="n">
        <v>6.88</v>
      </c>
      <c r="HA7" t="n">
        <v>386.64</v>
      </c>
      <c r="HB7" t="n">
        <v>-1.96</v>
      </c>
      <c r="HC7" t="n">
        <v>-7.08</v>
      </c>
      <c r="HD7" t="n">
        <v>5.831</v>
      </c>
      <c r="HE7" t="n">
        <v>4.096</v>
      </c>
      <c r="HF7" t="n">
        <v>11.92</v>
      </c>
      <c r="HG7" t="n">
        <v>0.4</v>
      </c>
      <c r="HH7" t="n">
        <v>12.32</v>
      </c>
      <c r="HI7" t="n">
        <v>7.08</v>
      </c>
      <c r="HJ7" t="n">
        <v>5</v>
      </c>
      <c r="HK7" t="n">
        <v>3.28</v>
      </c>
      <c r="HL7" t="n">
        <v>1.6</v>
      </c>
      <c r="HM7" t="n">
        <v>3.4</v>
      </c>
      <c r="HN7" t="n">
        <v>9.52</v>
      </c>
      <c r="HO7" t="n">
        <v>7</v>
      </c>
      <c r="HP7" t="n">
        <v>4.88</v>
      </c>
      <c r="HQ7" t="n">
        <v>5.08</v>
      </c>
      <c r="HR7" t="n">
        <v>-0.84</v>
      </c>
      <c r="HS7" t="n">
        <v>-0.04</v>
      </c>
      <c r="HT7" t="n">
        <v>0.72</v>
      </c>
      <c r="HU7" t="n">
        <v>0.68</v>
      </c>
      <c r="HV7" t="n">
        <v>2.36</v>
      </c>
      <c r="HW7" t="n">
        <v>4.84</v>
      </c>
      <c r="HX7" t="n">
        <v>2.88</v>
      </c>
      <c r="HY7" t="n">
        <v>4.8</v>
      </c>
      <c r="HZ7" t="n">
        <v>5.52</v>
      </c>
      <c r="IA7" t="n">
        <v>3.36</v>
      </c>
      <c r="IB7" t="n">
        <v>3.48</v>
      </c>
      <c r="IC7" t="n">
        <v>4.52</v>
      </c>
      <c r="ID7" t="n">
        <v>8.720000000000001</v>
      </c>
      <c r="IE7" t="n">
        <v>1.56</v>
      </c>
      <c r="IF7" t="n">
        <v>8.08</v>
      </c>
      <c r="IG7" t="n">
        <v>25.438</v>
      </c>
      <c r="IH7" t="n">
        <v>-0.598</v>
      </c>
      <c r="II7" t="n">
        <v>-0.07199999999999999</v>
      </c>
      <c r="IJ7" t="n">
        <v>-0.8</v>
      </c>
      <c r="IK7" t="n">
        <v>9.960000000000001</v>
      </c>
      <c r="IL7" t="n">
        <v>16.24</v>
      </c>
      <c r="IM7" t="n">
        <v>5.84</v>
      </c>
      <c r="IN7" t="n">
        <v>12.04</v>
      </c>
      <c r="IO7" t="n">
        <v>7.52</v>
      </c>
      <c r="IP7" t="n">
        <v>-0.88</v>
      </c>
      <c r="IQ7" t="n">
        <v>0.68</v>
      </c>
      <c r="IR7" t="n">
        <v>-6.56</v>
      </c>
      <c r="IS7" t="n">
        <v>-9.68</v>
      </c>
      <c r="IT7" t="n">
        <v>-6.64</v>
      </c>
      <c r="IU7" t="n">
        <v>16.32</v>
      </c>
      <c r="IV7" t="n">
        <v>5.28</v>
      </c>
      <c r="IW7" t="n">
        <v>1.6</v>
      </c>
      <c r="IX7" t="n">
        <v>-1.92</v>
      </c>
      <c r="IY7" t="n">
        <v>-9.16</v>
      </c>
      <c r="IZ7" t="n">
        <v>3.16</v>
      </c>
    </row>
    <row r="8">
      <c r="A8" t="inlineStr">
        <is>
          <t>Adelaide</t>
        </is>
      </c>
      <c r="B8" t="inlineStr">
        <is>
          <t>Adel</t>
        </is>
      </c>
      <c r="C8" t="n">
        <v>22</v>
      </c>
      <c r="D8" t="n">
        <v>37</v>
      </c>
      <c r="E8" t="n">
        <v>24.444</v>
      </c>
      <c r="F8" t="n">
        <v>71.047</v>
      </c>
      <c r="G8" t="n">
        <v>191.918</v>
      </c>
      <c r="H8" t="n">
        <v>1563.273</v>
      </c>
      <c r="I8" t="n">
        <v>1445.545</v>
      </c>
      <c r="J8" t="n">
        <v>11.909</v>
      </c>
      <c r="K8" t="n">
        <v>48.59</v>
      </c>
      <c r="L8" t="n">
        <v>206.591</v>
      </c>
      <c r="M8" t="n">
        <v>147.091</v>
      </c>
      <c r="N8" t="n">
        <v>353.682</v>
      </c>
      <c r="O8" t="n">
        <v>72.407</v>
      </c>
      <c r="P8" t="n">
        <v>64.84</v>
      </c>
      <c r="Q8" t="n">
        <v>83.035</v>
      </c>
      <c r="R8" t="n">
        <v>58.412</v>
      </c>
      <c r="S8" t="n">
        <v>5.297</v>
      </c>
      <c r="T8" t="n">
        <v>49.864</v>
      </c>
      <c r="U8" t="n">
        <v>41.409</v>
      </c>
      <c r="V8" t="n">
        <v>74.91800000000001</v>
      </c>
      <c r="W8" t="n">
        <v>5763.6</v>
      </c>
      <c r="X8" t="n">
        <v>16.247</v>
      </c>
      <c r="Y8" t="n">
        <v>57.136</v>
      </c>
      <c r="Z8" t="n">
        <v>6.19</v>
      </c>
      <c r="AA8" t="n">
        <v>72.40900000000001</v>
      </c>
      <c r="AB8" t="n">
        <v>4.884</v>
      </c>
      <c r="AC8" t="n">
        <v>0.028</v>
      </c>
      <c r="AD8" t="n">
        <v>-2.853</v>
      </c>
      <c r="AE8" t="n">
        <v>139.273</v>
      </c>
      <c r="AF8" t="n">
        <v>207.091</v>
      </c>
      <c r="AG8" t="n">
        <v>346.364</v>
      </c>
      <c r="AH8" t="n">
        <v>40.21</v>
      </c>
      <c r="AI8" t="n">
        <v>69.318</v>
      </c>
      <c r="AJ8" t="n">
        <v>95.227</v>
      </c>
      <c r="AK8" t="n">
        <v>15.545</v>
      </c>
      <c r="AL8" t="n">
        <v>38.455</v>
      </c>
      <c r="AM8" t="n">
        <v>56.727</v>
      </c>
      <c r="AN8" t="n">
        <v>91.5</v>
      </c>
      <c r="AO8" t="n">
        <v>63.5</v>
      </c>
      <c r="AP8" t="n">
        <v>8.773</v>
      </c>
      <c r="AQ8" t="n">
        <v>23.955</v>
      </c>
      <c r="AR8" t="n">
        <v>119.182</v>
      </c>
      <c r="AS8" t="n">
        <v>12</v>
      </c>
      <c r="AT8" t="n">
        <v>22.909</v>
      </c>
      <c r="AU8" t="n">
        <v>34.909</v>
      </c>
      <c r="AV8" t="n">
        <v>39.5</v>
      </c>
      <c r="AW8" t="n">
        <v>74.453</v>
      </c>
      <c r="AX8" t="n">
        <v>79.864</v>
      </c>
      <c r="AY8" t="n">
        <v>11.864</v>
      </c>
      <c r="AZ8" t="n">
        <v>10</v>
      </c>
      <c r="BA8" t="n">
        <v>20.055</v>
      </c>
      <c r="BB8" t="n">
        <v>14.909</v>
      </c>
      <c r="BC8" t="n">
        <v>5.318</v>
      </c>
      <c r="BD8" t="n">
        <v>24</v>
      </c>
      <c r="BE8" t="n">
        <v>6.591</v>
      </c>
      <c r="BF8" t="n">
        <v>10.455</v>
      </c>
      <c r="BG8" t="n">
        <v>10.727</v>
      </c>
      <c r="BH8" t="n">
        <v>1.773</v>
      </c>
      <c r="BI8" t="n">
        <v>24.045</v>
      </c>
      <c r="BJ8" t="n">
        <v>7.091</v>
      </c>
      <c r="BK8" t="n">
        <v>43.478</v>
      </c>
      <c r="BL8" t="n">
        <v>20.966</v>
      </c>
      <c r="BM8" t="n">
        <v>42.479</v>
      </c>
      <c r="BN8" t="n">
        <v>48.222</v>
      </c>
      <c r="BO8" t="n">
        <v>20.955</v>
      </c>
      <c r="BP8" t="n">
        <v>20.636</v>
      </c>
      <c r="BQ8" t="n">
        <v>27.974</v>
      </c>
      <c r="BR8" t="n">
        <v>75.733</v>
      </c>
      <c r="BS8" t="n">
        <v>-4.052</v>
      </c>
      <c r="BT8" t="n">
        <v>3.15</v>
      </c>
      <c r="BU8" t="n">
        <v>-0.168</v>
      </c>
      <c r="BV8" t="n">
        <v>3.438</v>
      </c>
      <c r="BW8" t="n">
        <v>-0.008999999999999999</v>
      </c>
      <c r="BX8" t="n">
        <v>2.842</v>
      </c>
      <c r="BY8" t="n">
        <v>-0.338</v>
      </c>
      <c r="BZ8" t="n">
        <v>2.727</v>
      </c>
      <c r="CA8" t="n">
        <v>28.091</v>
      </c>
      <c r="CB8" t="n">
        <v>42.636</v>
      </c>
      <c r="CC8" t="n">
        <v>28.364</v>
      </c>
      <c r="CD8" t="n">
        <v>35.5</v>
      </c>
      <c r="CE8" t="n">
        <v>9.590999999999999</v>
      </c>
      <c r="CF8" t="n">
        <v>18.511</v>
      </c>
      <c r="CG8" t="n">
        <v>20.649</v>
      </c>
      <c r="CH8" t="n">
        <v>8.865</v>
      </c>
      <c r="CI8" t="n">
        <v>27.716</v>
      </c>
      <c r="CJ8" t="n">
        <v>11.336</v>
      </c>
      <c r="CK8" t="n">
        <v>20.727</v>
      </c>
      <c r="CL8" t="n">
        <v>26.535</v>
      </c>
      <c r="CM8" t="n">
        <v>56.591</v>
      </c>
      <c r="CN8" t="n">
        <v>9.090999999999999</v>
      </c>
      <c r="CO8" t="n">
        <v>289.864</v>
      </c>
      <c r="CP8" t="n">
        <v>144.409</v>
      </c>
      <c r="CQ8" t="n">
        <v>32.773</v>
      </c>
      <c r="CR8" t="n">
        <v>86.59099999999999</v>
      </c>
      <c r="CS8" t="n">
        <v>34.045</v>
      </c>
      <c r="CT8" t="n">
        <v>39.318</v>
      </c>
      <c r="CU8" t="n">
        <v>9.590999999999999</v>
      </c>
      <c r="CV8" t="n">
        <v>28.171</v>
      </c>
      <c r="CW8" t="n">
        <v>2.091</v>
      </c>
      <c r="CX8" t="n">
        <v>21.136</v>
      </c>
      <c r="CY8" t="n">
        <v>20.409</v>
      </c>
      <c r="CZ8" t="n">
        <v>0.727</v>
      </c>
      <c r="DA8" t="n">
        <v>11.091</v>
      </c>
      <c r="DB8" t="n">
        <v>73.361</v>
      </c>
      <c r="DC8" t="n">
        <v>3.5</v>
      </c>
      <c r="DD8" t="n">
        <v>46.591</v>
      </c>
      <c r="DE8" t="n">
        <v>72.40900000000001</v>
      </c>
      <c r="DF8" t="n">
        <v>210</v>
      </c>
      <c r="DG8" t="n">
        <v>1736.045</v>
      </c>
      <c r="DH8" t="n">
        <v>1592.136</v>
      </c>
      <c r="DI8" t="n">
        <v>18.091</v>
      </c>
      <c r="DJ8" t="n">
        <v>223.091</v>
      </c>
      <c r="DK8" t="n">
        <v>142.864</v>
      </c>
      <c r="DL8" t="n">
        <v>365.955</v>
      </c>
      <c r="DM8" t="n">
        <v>72.774</v>
      </c>
      <c r="DN8" t="n">
        <v>67.13500000000001</v>
      </c>
      <c r="DO8" t="n">
        <v>81.578</v>
      </c>
      <c r="DP8" t="n">
        <v>6.467</v>
      </c>
      <c r="DQ8" t="n">
        <v>55.273</v>
      </c>
      <c r="DR8" t="n">
        <v>38.636</v>
      </c>
      <c r="DS8" t="n">
        <v>77.48399999999999</v>
      </c>
      <c r="DT8" t="n">
        <v>6047.7</v>
      </c>
      <c r="DU8" t="n">
        <v>16.465</v>
      </c>
      <c r="DV8" t="n">
        <v>55.727</v>
      </c>
      <c r="DW8" t="n">
        <v>6.567</v>
      </c>
      <c r="DX8" t="n">
        <v>69.136</v>
      </c>
      <c r="DY8" t="n">
        <v>5.293</v>
      </c>
      <c r="DZ8" t="n">
        <v>-0.778</v>
      </c>
      <c r="EA8" t="n">
        <v>1.616</v>
      </c>
      <c r="EB8" t="n">
        <v>140.545</v>
      </c>
      <c r="EC8" t="n">
        <v>218.227</v>
      </c>
      <c r="ED8" t="n">
        <v>358.773</v>
      </c>
      <c r="EE8" t="n">
        <v>39.174</v>
      </c>
      <c r="EF8" t="n">
        <v>72.59099999999999</v>
      </c>
      <c r="EG8" t="n">
        <v>95.136</v>
      </c>
      <c r="EH8" t="n">
        <v>17.591</v>
      </c>
      <c r="EI8" t="n">
        <v>36.091</v>
      </c>
      <c r="EJ8" t="n">
        <v>59</v>
      </c>
      <c r="EK8" t="n">
        <v>94.227</v>
      </c>
      <c r="EL8" t="n">
        <v>65.09099999999999</v>
      </c>
      <c r="EM8" t="n">
        <v>8.545</v>
      </c>
      <c r="EN8" t="n">
        <v>24.955</v>
      </c>
      <c r="EO8" t="n">
        <v>113.455</v>
      </c>
      <c r="EP8" t="n">
        <v>11.227</v>
      </c>
      <c r="EQ8" t="n">
        <v>24.364</v>
      </c>
      <c r="ER8" t="n">
        <v>35.591</v>
      </c>
      <c r="ES8" t="n">
        <v>36.591</v>
      </c>
      <c r="ET8" t="n">
        <v>77.01900000000001</v>
      </c>
      <c r="EU8" t="n">
        <v>96.318</v>
      </c>
      <c r="EV8" t="n">
        <v>12.818</v>
      </c>
      <c r="EW8" t="n">
        <v>12.682</v>
      </c>
      <c r="EX8" t="n">
        <v>22.944</v>
      </c>
      <c r="EY8" t="n">
        <v>17.636</v>
      </c>
      <c r="EZ8" t="n">
        <v>10.318</v>
      </c>
      <c r="FA8" t="n">
        <v>13.045</v>
      </c>
      <c r="FB8" t="n">
        <v>11.318</v>
      </c>
      <c r="FC8" t="n">
        <v>2.091</v>
      </c>
      <c r="FD8" t="n">
        <v>27</v>
      </c>
      <c r="FE8" t="n">
        <v>9.135999999999999</v>
      </c>
      <c r="FF8" t="n">
        <v>48.316</v>
      </c>
      <c r="FG8" t="n">
        <v>23.602</v>
      </c>
      <c r="FH8" t="n">
        <v>44.079</v>
      </c>
      <c r="FI8" t="n">
        <v>48.849</v>
      </c>
      <c r="FJ8" t="n">
        <v>23.955</v>
      </c>
      <c r="FK8" t="n">
        <v>87.229</v>
      </c>
      <c r="FL8" t="n">
        <v>0.271</v>
      </c>
      <c r="FM8" t="n">
        <v>3.231</v>
      </c>
      <c r="FN8" t="n">
        <v>0.01</v>
      </c>
      <c r="FO8" t="n">
        <v>3.474</v>
      </c>
      <c r="FP8" t="n">
        <v>-0.035</v>
      </c>
      <c r="FQ8" t="n">
        <v>2.957</v>
      </c>
      <c r="FR8" t="n">
        <v>0.061</v>
      </c>
      <c r="FS8" t="n">
        <v>3.318</v>
      </c>
      <c r="FT8" t="n">
        <v>31.318</v>
      </c>
      <c r="FU8" t="n">
        <v>54.955</v>
      </c>
      <c r="FV8" t="n">
        <v>27.955</v>
      </c>
      <c r="FW8" t="n">
        <v>49.273</v>
      </c>
      <c r="FX8" t="n">
        <v>12.364</v>
      </c>
      <c r="FY8" t="n">
        <v>20.531</v>
      </c>
      <c r="FZ8" t="n">
        <v>20.46</v>
      </c>
      <c r="GA8" t="n">
        <v>7.71</v>
      </c>
      <c r="GB8" t="n">
        <v>30.125</v>
      </c>
      <c r="GC8" t="n">
        <v>11.229</v>
      </c>
      <c r="GD8" t="n">
        <v>66.773</v>
      </c>
      <c r="GE8" t="n">
        <v>11.909</v>
      </c>
      <c r="GF8" t="n">
        <v>296.636</v>
      </c>
      <c r="GG8" t="n">
        <v>138.909</v>
      </c>
      <c r="GH8" t="n">
        <v>33.409</v>
      </c>
      <c r="GI8" t="n">
        <v>36.5</v>
      </c>
      <c r="GJ8" t="n">
        <v>42.174</v>
      </c>
      <c r="GK8" t="n">
        <v>9.590999999999999</v>
      </c>
      <c r="GL8" t="n">
        <v>26.276</v>
      </c>
      <c r="GM8" t="n">
        <v>1.818</v>
      </c>
      <c r="GN8" t="n">
        <v>10.364</v>
      </c>
      <c r="GO8" t="n">
        <v>85.965</v>
      </c>
      <c r="GP8" t="n">
        <v>6.955</v>
      </c>
      <c r="GQ8" t="n">
        <v>49.455</v>
      </c>
      <c r="GR8" t="n">
        <v>72.09099999999999</v>
      </c>
      <c r="GS8" t="n">
        <v>-18.082</v>
      </c>
      <c r="GT8" t="n">
        <v>-172.773</v>
      </c>
      <c r="GU8" t="n">
        <v>-146.591</v>
      </c>
      <c r="GV8" t="n">
        <v>-6.182</v>
      </c>
      <c r="GW8" t="n">
        <v>-16.5</v>
      </c>
      <c r="GX8" t="n">
        <v>4.227</v>
      </c>
      <c r="GY8" t="n">
        <v>-12.273</v>
      </c>
      <c r="GZ8" t="n">
        <v>-5.409</v>
      </c>
      <c r="HA8" t="n">
        <v>-284.1</v>
      </c>
      <c r="HB8" t="n">
        <v>1.409</v>
      </c>
      <c r="HC8" t="n">
        <v>3.273</v>
      </c>
      <c r="HD8" t="n">
        <v>0.806</v>
      </c>
      <c r="HE8" t="n">
        <v>-4.47</v>
      </c>
      <c r="HF8" t="n">
        <v>-1.273</v>
      </c>
      <c r="HG8" t="n">
        <v>-11.136</v>
      </c>
      <c r="HH8" t="n">
        <v>-12.409</v>
      </c>
      <c r="HI8" t="n">
        <v>-3.273</v>
      </c>
      <c r="HJ8" t="n">
        <v>0.091</v>
      </c>
      <c r="HK8" t="n">
        <v>-2.045</v>
      </c>
      <c r="HL8" t="n">
        <v>2.364</v>
      </c>
      <c r="HM8" t="n">
        <v>-2.273</v>
      </c>
      <c r="HN8" t="n">
        <v>-2.727</v>
      </c>
      <c r="HO8" t="n">
        <v>-1.591</v>
      </c>
      <c r="HP8" t="n">
        <v>0.227</v>
      </c>
      <c r="HQ8" t="n">
        <v>-1</v>
      </c>
      <c r="HR8" t="n">
        <v>5.727</v>
      </c>
      <c r="HS8" t="n">
        <v>0.773</v>
      </c>
      <c r="HT8" t="n">
        <v>-1.455</v>
      </c>
      <c r="HU8" t="n">
        <v>-0.6820000000000001</v>
      </c>
      <c r="HV8" t="n">
        <v>2.909</v>
      </c>
      <c r="HW8" t="n">
        <v>-16.455</v>
      </c>
      <c r="HX8" t="n">
        <v>-0.955</v>
      </c>
      <c r="HY8" t="n">
        <v>-2.682</v>
      </c>
      <c r="HZ8" t="n">
        <v>-2.727</v>
      </c>
      <c r="IA8" t="n">
        <v>-5</v>
      </c>
      <c r="IB8" t="n">
        <v>-2.591</v>
      </c>
      <c r="IC8" t="n">
        <v>-0.591</v>
      </c>
      <c r="ID8" t="n">
        <v>-2.955</v>
      </c>
      <c r="IE8" t="n">
        <v>-2.045</v>
      </c>
      <c r="IF8" t="n">
        <v>-3</v>
      </c>
      <c r="IG8" t="n">
        <v>-11.496</v>
      </c>
      <c r="IH8" t="n">
        <v>-4.323</v>
      </c>
      <c r="II8" t="n">
        <v>-0.081</v>
      </c>
      <c r="IJ8" t="n">
        <v>-0.591</v>
      </c>
      <c r="IK8" t="n">
        <v>-3.227</v>
      </c>
      <c r="IL8" t="n">
        <v>-12.318</v>
      </c>
      <c r="IM8" t="n">
        <v>0.409</v>
      </c>
      <c r="IN8" t="n">
        <v>-13.773</v>
      </c>
      <c r="IO8" t="n">
        <v>-2.773</v>
      </c>
      <c r="IP8" t="n">
        <v>-10.182</v>
      </c>
      <c r="IQ8" t="n">
        <v>-2.818</v>
      </c>
      <c r="IR8" t="n">
        <v>-6.773</v>
      </c>
      <c r="IS8" t="n">
        <v>5.5</v>
      </c>
      <c r="IT8" t="n">
        <v>-0.636</v>
      </c>
      <c r="IU8" t="n">
        <v>-2.455</v>
      </c>
      <c r="IV8" t="n">
        <v>0</v>
      </c>
      <c r="IW8" t="n">
        <v>0.273</v>
      </c>
      <c r="IX8" t="n">
        <v>-3.455</v>
      </c>
      <c r="IY8" t="n">
        <v>-2.864</v>
      </c>
      <c r="IZ8" t="n">
        <v>0.318</v>
      </c>
    </row>
    <row r="9">
      <c r="A9" t="inlineStr">
        <is>
          <t>Geelong</t>
        </is>
      </c>
      <c r="B9" t="inlineStr">
        <is>
          <t>Geel</t>
        </is>
      </c>
      <c r="C9" t="n">
        <v>25</v>
      </c>
      <c r="D9" t="n">
        <v>35</v>
      </c>
      <c r="E9" t="n">
        <v>27.679</v>
      </c>
      <c r="F9" t="n">
        <v>141.339</v>
      </c>
      <c r="G9" t="n">
        <v>201.34</v>
      </c>
      <c r="H9" t="n">
        <v>1759.96</v>
      </c>
      <c r="I9" t="n">
        <v>1595.84</v>
      </c>
      <c r="J9" t="n">
        <v>17.52</v>
      </c>
      <c r="K9" t="n">
        <v>51.881</v>
      </c>
      <c r="L9" t="n">
        <v>223.96</v>
      </c>
      <c r="M9" t="n">
        <v>157.48</v>
      </c>
      <c r="N9" t="n">
        <v>381.44</v>
      </c>
      <c r="O9" t="n">
        <v>74.696</v>
      </c>
      <c r="P9" t="n">
        <v>68.977</v>
      </c>
      <c r="Q9" t="n">
        <v>82.83</v>
      </c>
      <c r="R9" t="n">
        <v>58.714</v>
      </c>
      <c r="S9" t="n">
        <v>6.2</v>
      </c>
      <c r="T9" t="n">
        <v>52.44</v>
      </c>
      <c r="U9" t="n">
        <v>36.2</v>
      </c>
      <c r="V9" t="n">
        <v>77.483</v>
      </c>
      <c r="W9" t="n">
        <v>5582.917</v>
      </c>
      <c r="X9" t="n">
        <v>14.732</v>
      </c>
      <c r="Y9" t="n">
        <v>53.08</v>
      </c>
      <c r="Z9" t="n">
        <v>7.186</v>
      </c>
      <c r="AA9" t="n">
        <v>63.36</v>
      </c>
      <c r="AB9" t="n">
        <v>6.02</v>
      </c>
      <c r="AC9" t="n">
        <v>1.08</v>
      </c>
      <c r="AD9" t="n">
        <v>0.747</v>
      </c>
      <c r="AE9" t="n">
        <v>137.44</v>
      </c>
      <c r="AF9" t="n">
        <v>239.96</v>
      </c>
      <c r="AG9" t="n">
        <v>377.4</v>
      </c>
      <c r="AH9" t="n">
        <v>36.418</v>
      </c>
      <c r="AI9" t="n">
        <v>63.28</v>
      </c>
      <c r="AJ9" t="n">
        <v>92.56</v>
      </c>
      <c r="AK9" t="n">
        <v>15.92</v>
      </c>
      <c r="AL9" t="n">
        <v>31.92</v>
      </c>
      <c r="AM9" t="n">
        <v>60.64</v>
      </c>
      <c r="AN9" t="n">
        <v>85.68000000000001</v>
      </c>
      <c r="AO9" t="n">
        <v>60.12</v>
      </c>
      <c r="AP9" t="n">
        <v>8.960000000000001</v>
      </c>
      <c r="AQ9" t="n">
        <v>22.2</v>
      </c>
      <c r="AR9" t="n">
        <v>127.68</v>
      </c>
      <c r="AS9" t="n">
        <v>11.32</v>
      </c>
      <c r="AT9" t="n">
        <v>27.8</v>
      </c>
      <c r="AU9" t="n">
        <v>39.12</v>
      </c>
      <c r="AV9" t="n">
        <v>41.12</v>
      </c>
      <c r="AW9" t="n">
        <v>78.20999999999999</v>
      </c>
      <c r="AX9" t="n">
        <v>101.32</v>
      </c>
      <c r="AY9" t="n">
        <v>10.8</v>
      </c>
      <c r="AZ9" t="n">
        <v>12.6</v>
      </c>
      <c r="BA9" t="n">
        <v>24.027</v>
      </c>
      <c r="BB9" t="n">
        <v>13.76</v>
      </c>
      <c r="BC9" t="n">
        <v>8.4</v>
      </c>
      <c r="BD9" t="n">
        <v>29</v>
      </c>
      <c r="BE9" t="n">
        <v>7.32</v>
      </c>
      <c r="BF9" t="n">
        <v>11.8</v>
      </c>
      <c r="BG9" t="n">
        <v>10.52</v>
      </c>
      <c r="BH9" t="n">
        <v>2</v>
      </c>
      <c r="BI9" t="n">
        <v>24.56</v>
      </c>
      <c r="BJ9" t="n">
        <v>8.84</v>
      </c>
      <c r="BK9" t="n">
        <v>48.046</v>
      </c>
      <c r="BL9" t="n">
        <v>22.502</v>
      </c>
      <c r="BM9" t="n">
        <v>42.563</v>
      </c>
      <c r="BN9" t="n">
        <v>46.834</v>
      </c>
      <c r="BO9" t="n">
        <v>22.04</v>
      </c>
      <c r="BP9" t="n">
        <v>20.24</v>
      </c>
      <c r="BQ9" t="n">
        <v>29.447</v>
      </c>
      <c r="BR9" t="n">
        <v>79.935</v>
      </c>
      <c r="BS9" t="n">
        <v>-0.615</v>
      </c>
      <c r="BT9" t="n">
        <v>3.255</v>
      </c>
      <c r="BU9" t="n">
        <v>-0.025</v>
      </c>
      <c r="BV9" t="n">
        <v>3.398</v>
      </c>
      <c r="BW9" t="n">
        <v>0.146</v>
      </c>
      <c r="BX9" t="n">
        <v>3.061</v>
      </c>
      <c r="BY9" t="n">
        <v>-0.257</v>
      </c>
      <c r="BZ9" t="n">
        <v>4.48</v>
      </c>
      <c r="CA9" t="n">
        <v>32.08</v>
      </c>
      <c r="CB9" t="n">
        <v>44.76</v>
      </c>
      <c r="CC9" t="n">
        <v>33.16</v>
      </c>
      <c r="CD9" t="n">
        <v>38.48</v>
      </c>
      <c r="CE9" t="n">
        <v>9.68</v>
      </c>
      <c r="CF9" t="n">
        <v>19.928</v>
      </c>
      <c r="CG9" t="n">
        <v>21.792</v>
      </c>
      <c r="CH9" t="n">
        <v>8.195</v>
      </c>
      <c r="CI9" t="n">
        <v>31.022</v>
      </c>
      <c r="CJ9" t="n">
        <v>12.647</v>
      </c>
      <c r="CK9" t="n">
        <v>14.92</v>
      </c>
      <c r="CL9" t="n">
        <v>26.81</v>
      </c>
      <c r="CM9" t="n">
        <v>56.4</v>
      </c>
      <c r="CN9" t="n">
        <v>9.6</v>
      </c>
      <c r="CO9" t="n">
        <v>272.28</v>
      </c>
      <c r="CP9" t="n">
        <v>121.36</v>
      </c>
      <c r="CQ9" t="n">
        <v>31.44</v>
      </c>
      <c r="CR9" t="n">
        <v>90.56</v>
      </c>
      <c r="CS9" t="n">
        <v>34.92</v>
      </c>
      <c r="CT9" t="n">
        <v>38.56</v>
      </c>
      <c r="CU9" t="n">
        <v>9.76</v>
      </c>
      <c r="CV9" t="n">
        <v>27.95</v>
      </c>
      <c r="CW9" t="n">
        <v>3.4</v>
      </c>
      <c r="CX9" t="n">
        <v>19.8</v>
      </c>
      <c r="CY9" t="n">
        <v>18.28</v>
      </c>
      <c r="CZ9" t="n">
        <v>1.52</v>
      </c>
      <c r="DA9" t="n">
        <v>10.24</v>
      </c>
      <c r="DB9" t="n">
        <v>82.422</v>
      </c>
      <c r="DC9" t="n">
        <v>4.4</v>
      </c>
      <c r="DD9" t="n">
        <v>48.16</v>
      </c>
      <c r="DE9" t="n">
        <v>73.2</v>
      </c>
      <c r="DF9" t="n">
        <v>182.312</v>
      </c>
      <c r="DG9" t="n">
        <v>1540.12</v>
      </c>
      <c r="DH9" t="n">
        <v>1421</v>
      </c>
      <c r="DI9" t="n">
        <v>12.48</v>
      </c>
      <c r="DJ9" t="n">
        <v>199.72</v>
      </c>
      <c r="DK9" t="n">
        <v>131.56</v>
      </c>
      <c r="DL9" t="n">
        <v>331.28</v>
      </c>
      <c r="DM9" t="n">
        <v>70.997</v>
      </c>
      <c r="DN9" t="n">
        <v>64.05</v>
      </c>
      <c r="DO9" t="n">
        <v>81.545</v>
      </c>
      <c r="DP9" t="n">
        <v>5.874</v>
      </c>
      <c r="DQ9" t="n">
        <v>46.72</v>
      </c>
      <c r="DR9" t="n">
        <v>39.96</v>
      </c>
      <c r="DS9" t="n">
        <v>76.20099999999999</v>
      </c>
      <c r="DT9" t="n">
        <v>5438.208</v>
      </c>
      <c r="DU9" t="n">
        <v>16.395</v>
      </c>
      <c r="DV9" t="n">
        <v>56.72</v>
      </c>
      <c r="DW9" t="n">
        <v>5.841</v>
      </c>
      <c r="DX9" t="n">
        <v>63.08</v>
      </c>
      <c r="DY9" t="n">
        <v>5.252</v>
      </c>
      <c r="DZ9" t="n">
        <v>-0.342</v>
      </c>
      <c r="EA9" t="n">
        <v>-1.342</v>
      </c>
      <c r="EB9" t="n">
        <v>127.12</v>
      </c>
      <c r="EC9" t="n">
        <v>197.4</v>
      </c>
      <c r="ED9" t="n">
        <v>324.52</v>
      </c>
      <c r="EE9" t="n">
        <v>39.172</v>
      </c>
      <c r="EF9" t="n">
        <v>63.6</v>
      </c>
      <c r="EG9" t="n">
        <v>85.48</v>
      </c>
      <c r="EH9" t="n">
        <v>13.48</v>
      </c>
      <c r="EI9" t="n">
        <v>30.36</v>
      </c>
      <c r="EJ9" t="n">
        <v>55.12</v>
      </c>
      <c r="EK9" t="n">
        <v>78.95999999999999</v>
      </c>
      <c r="EL9" t="n">
        <v>54.92</v>
      </c>
      <c r="EM9" t="n">
        <v>9.24</v>
      </c>
      <c r="EN9" t="n">
        <v>20.28</v>
      </c>
      <c r="EO9" t="n">
        <v>103.72</v>
      </c>
      <c r="EP9" t="n">
        <v>10.4</v>
      </c>
      <c r="EQ9" t="n">
        <v>24.48</v>
      </c>
      <c r="ER9" t="n">
        <v>34.88</v>
      </c>
      <c r="ES9" t="n">
        <v>40.2</v>
      </c>
      <c r="ET9" t="n">
        <v>74.527</v>
      </c>
      <c r="EU9" t="n">
        <v>83.92</v>
      </c>
      <c r="EV9" t="n">
        <v>9.68</v>
      </c>
      <c r="EW9" t="n">
        <v>9.119999999999999</v>
      </c>
      <c r="EX9" t="n">
        <v>19.521</v>
      </c>
      <c r="EY9" t="n">
        <v>14.68</v>
      </c>
      <c r="EZ9" t="n">
        <v>5.28</v>
      </c>
      <c r="FA9" t="n">
        <v>9.84</v>
      </c>
      <c r="FB9" t="n">
        <v>10.36</v>
      </c>
      <c r="FC9" t="n">
        <v>2.48</v>
      </c>
      <c r="FD9" t="n">
        <v>21.8</v>
      </c>
      <c r="FE9" t="n">
        <v>6</v>
      </c>
      <c r="FF9" t="n">
        <v>45.138</v>
      </c>
      <c r="FG9" t="n">
        <v>21.062</v>
      </c>
      <c r="FH9" t="n">
        <v>43.236</v>
      </c>
      <c r="FI9" t="n">
        <v>46.661</v>
      </c>
      <c r="FJ9" t="n">
        <v>20</v>
      </c>
      <c r="FK9" t="n">
        <v>68.58</v>
      </c>
      <c r="FL9" t="n">
        <v>-1.66</v>
      </c>
      <c r="FM9" t="n">
        <v>3.14</v>
      </c>
      <c r="FN9" t="n">
        <v>-0.076</v>
      </c>
      <c r="FO9" t="n">
        <v>3.397</v>
      </c>
      <c r="FP9" t="n">
        <v>-0.129</v>
      </c>
      <c r="FQ9" t="n">
        <v>2.877</v>
      </c>
      <c r="FR9" t="n">
        <v>-0.022</v>
      </c>
      <c r="FS9" t="n">
        <v>2.16</v>
      </c>
      <c r="FT9" t="n">
        <v>30.52</v>
      </c>
      <c r="FU9" t="n">
        <v>36.72</v>
      </c>
      <c r="FV9" t="n">
        <v>27.6</v>
      </c>
      <c r="FW9" t="n">
        <v>33.12</v>
      </c>
      <c r="FX9" t="n">
        <v>8.68</v>
      </c>
      <c r="FY9" t="n">
        <v>18.766</v>
      </c>
      <c r="FZ9" t="n">
        <v>19.487</v>
      </c>
      <c r="GA9" t="n">
        <v>8.428000000000001</v>
      </c>
      <c r="GB9" t="n">
        <v>28.347</v>
      </c>
      <c r="GC9" t="n">
        <v>11.79</v>
      </c>
      <c r="GD9" t="n">
        <v>61.52</v>
      </c>
      <c r="GE9" t="n">
        <v>9.84</v>
      </c>
      <c r="GF9" t="n">
        <v>312.12</v>
      </c>
      <c r="GG9" t="n">
        <v>154</v>
      </c>
      <c r="GH9" t="n">
        <v>31.12</v>
      </c>
      <c r="GI9" t="n">
        <v>35.08</v>
      </c>
      <c r="GJ9" t="n">
        <v>38.822</v>
      </c>
      <c r="GK9" t="n">
        <v>10</v>
      </c>
      <c r="GL9" t="n">
        <v>28.506</v>
      </c>
      <c r="GM9" t="n">
        <v>2.32</v>
      </c>
      <c r="GN9" t="n">
        <v>10.36</v>
      </c>
      <c r="GO9" t="n">
        <v>80.309</v>
      </c>
      <c r="GP9" t="n">
        <v>3.6</v>
      </c>
      <c r="GQ9" t="n">
        <v>46.72</v>
      </c>
      <c r="GR9" t="n">
        <v>71.72</v>
      </c>
      <c r="GS9" t="n">
        <v>19.028</v>
      </c>
      <c r="GT9" t="n">
        <v>219.84</v>
      </c>
      <c r="GU9" t="n">
        <v>174.84</v>
      </c>
      <c r="GV9" t="n">
        <v>5.04</v>
      </c>
      <c r="GW9" t="n">
        <v>24.24</v>
      </c>
      <c r="GX9" t="n">
        <v>25.92</v>
      </c>
      <c r="GY9" t="n">
        <v>50.16</v>
      </c>
      <c r="GZ9" t="n">
        <v>5.72</v>
      </c>
      <c r="HA9" t="n">
        <v>144.708</v>
      </c>
      <c r="HB9" t="n">
        <v>-3.64</v>
      </c>
      <c r="HC9" t="n">
        <v>0.28</v>
      </c>
      <c r="HD9" t="n">
        <v>1.422</v>
      </c>
      <c r="HE9" t="n">
        <v>2.09</v>
      </c>
      <c r="HF9" t="n">
        <v>10.32</v>
      </c>
      <c r="HG9" t="n">
        <v>42.56</v>
      </c>
      <c r="HH9" t="n">
        <v>52.88</v>
      </c>
      <c r="HI9" t="n">
        <v>-0.32</v>
      </c>
      <c r="HJ9" t="n">
        <v>7.08</v>
      </c>
      <c r="HK9" t="n">
        <v>2.44</v>
      </c>
      <c r="HL9" t="n">
        <v>1.56</v>
      </c>
      <c r="HM9" t="n">
        <v>5.52</v>
      </c>
      <c r="HN9" t="n">
        <v>6.72</v>
      </c>
      <c r="HO9" t="n">
        <v>5.2</v>
      </c>
      <c r="HP9" t="n">
        <v>-0.28</v>
      </c>
      <c r="HQ9" t="n">
        <v>1.92</v>
      </c>
      <c r="HR9" t="n">
        <v>23.96</v>
      </c>
      <c r="HS9" t="n">
        <v>0.92</v>
      </c>
      <c r="HT9" t="n">
        <v>3.32</v>
      </c>
      <c r="HU9" t="n">
        <v>4.24</v>
      </c>
      <c r="HV9" t="n">
        <v>0.92</v>
      </c>
      <c r="HW9" t="n">
        <v>17.4</v>
      </c>
      <c r="HX9" t="n">
        <v>1.12</v>
      </c>
      <c r="HY9" t="n">
        <v>3.48</v>
      </c>
      <c r="HZ9" t="n">
        <v>-0.92</v>
      </c>
      <c r="IA9" t="n">
        <v>3.12</v>
      </c>
      <c r="IB9" t="n">
        <v>1.96</v>
      </c>
      <c r="IC9" t="n">
        <v>0.16</v>
      </c>
      <c r="ID9" t="n">
        <v>2.76</v>
      </c>
      <c r="IE9" t="n">
        <v>2.84</v>
      </c>
      <c r="IF9" t="n">
        <v>2.04</v>
      </c>
      <c r="IG9" t="n">
        <v>11.355</v>
      </c>
      <c r="IH9" t="n">
        <v>1.045</v>
      </c>
      <c r="II9" t="n">
        <v>0.115</v>
      </c>
      <c r="IJ9" t="n">
        <v>2.32</v>
      </c>
      <c r="IK9" t="n">
        <v>1.56</v>
      </c>
      <c r="IL9" t="n">
        <v>8.039999999999999</v>
      </c>
      <c r="IM9" t="n">
        <v>5.56</v>
      </c>
      <c r="IN9" t="n">
        <v>5.36</v>
      </c>
      <c r="IO9" t="n">
        <v>1</v>
      </c>
      <c r="IP9" t="n">
        <v>-5.12</v>
      </c>
      <c r="IQ9" t="n">
        <v>-0.24</v>
      </c>
      <c r="IR9" t="n">
        <v>-39.84</v>
      </c>
      <c r="IS9" t="n">
        <v>-32.64</v>
      </c>
      <c r="IT9" t="n">
        <v>0.32</v>
      </c>
      <c r="IU9" t="n">
        <v>-0.16</v>
      </c>
      <c r="IV9" t="n">
        <v>-0.24</v>
      </c>
      <c r="IW9" t="n">
        <v>1.08</v>
      </c>
      <c r="IX9" t="n">
        <v>0.8</v>
      </c>
      <c r="IY9" t="n">
        <v>1.44</v>
      </c>
      <c r="IZ9" t="n">
        <v>1.48</v>
      </c>
    </row>
    <row r="10">
      <c r="A10" t="inlineStr">
        <is>
          <t>Essendon</t>
        </is>
      </c>
      <c r="B10" t="inlineStr">
        <is>
          <t>Ess</t>
        </is>
      </c>
      <c r="C10" t="n">
        <v>23</v>
      </c>
      <c r="D10" t="n">
        <v>37</v>
      </c>
      <c r="E10" t="n">
        <v>24.817</v>
      </c>
      <c r="F10" t="n">
        <v>75.673</v>
      </c>
      <c r="G10" t="n">
        <v>204.339</v>
      </c>
      <c r="H10" t="n">
        <v>1664.087</v>
      </c>
      <c r="I10" t="n">
        <v>1528.174</v>
      </c>
      <c r="J10" t="n">
        <v>15.957</v>
      </c>
      <c r="K10" t="n">
        <v>50.449</v>
      </c>
      <c r="L10" t="n">
        <v>210.913</v>
      </c>
      <c r="M10" t="n">
        <v>155.783</v>
      </c>
      <c r="N10" t="n">
        <v>366.696</v>
      </c>
      <c r="O10" t="n">
        <v>75.006</v>
      </c>
      <c r="P10" t="n">
        <v>68.934</v>
      </c>
      <c r="Q10" t="n">
        <v>83.226</v>
      </c>
      <c r="R10" t="n">
        <v>57.517</v>
      </c>
      <c r="S10" t="n">
        <v>7.431</v>
      </c>
      <c r="T10" t="n">
        <v>52.609</v>
      </c>
      <c r="U10" t="n">
        <v>38.043</v>
      </c>
      <c r="V10" t="n">
        <v>75.107</v>
      </c>
      <c r="W10" t="n">
        <v>5747.545</v>
      </c>
      <c r="X10" t="n">
        <v>15.824</v>
      </c>
      <c r="Y10" t="n">
        <v>55.522</v>
      </c>
      <c r="Z10" t="n">
        <v>6.605</v>
      </c>
      <c r="AA10" t="n">
        <v>65.696</v>
      </c>
      <c r="AB10" t="n">
        <v>5.582</v>
      </c>
      <c r="AC10" t="n">
        <v>0.35</v>
      </c>
      <c r="AD10" t="n">
        <v>0.793</v>
      </c>
      <c r="AE10" t="n">
        <v>129.652</v>
      </c>
      <c r="AF10" t="n">
        <v>231.609</v>
      </c>
      <c r="AG10" t="n">
        <v>361.261</v>
      </c>
      <c r="AH10" t="n">
        <v>35.889</v>
      </c>
      <c r="AI10" t="n">
        <v>66.82599999999999</v>
      </c>
      <c r="AJ10" t="n">
        <v>87</v>
      </c>
      <c r="AK10" t="n">
        <v>15.261</v>
      </c>
      <c r="AL10" t="n">
        <v>30.391</v>
      </c>
      <c r="AM10" t="n">
        <v>56.565</v>
      </c>
      <c r="AN10" t="n">
        <v>86.13</v>
      </c>
      <c r="AO10" t="n">
        <v>59.913</v>
      </c>
      <c r="AP10" t="n">
        <v>8.522</v>
      </c>
      <c r="AQ10" t="n">
        <v>23.478</v>
      </c>
      <c r="AR10" t="n">
        <v>125.826</v>
      </c>
      <c r="AS10" t="n">
        <v>13.174</v>
      </c>
      <c r="AT10" t="n">
        <v>21.261</v>
      </c>
      <c r="AU10" t="n">
        <v>34.435</v>
      </c>
      <c r="AV10" t="n">
        <v>34.348</v>
      </c>
      <c r="AW10" t="n">
        <v>79.367</v>
      </c>
      <c r="AX10" t="n">
        <v>92.39100000000001</v>
      </c>
      <c r="AY10" t="n">
        <v>11.174</v>
      </c>
      <c r="AZ10" t="n">
        <v>11.913</v>
      </c>
      <c r="BA10" t="n">
        <v>22.645</v>
      </c>
      <c r="BB10" t="n">
        <v>15.913</v>
      </c>
      <c r="BC10" t="n">
        <v>5.217</v>
      </c>
      <c r="BD10" t="n">
        <v>29</v>
      </c>
      <c r="BE10" t="n">
        <v>7.478</v>
      </c>
      <c r="BF10" t="n">
        <v>12.652</v>
      </c>
      <c r="BG10" t="n">
        <v>10.565</v>
      </c>
      <c r="BH10" t="n">
        <v>1.87</v>
      </c>
      <c r="BI10" t="n">
        <v>25.348</v>
      </c>
      <c r="BJ10" t="n">
        <v>8.782999999999999</v>
      </c>
      <c r="BK10" t="n">
        <v>49.914</v>
      </c>
      <c r="BL10" t="n">
        <v>24.05</v>
      </c>
      <c r="BM10" t="n">
        <v>44.132</v>
      </c>
      <c r="BN10" t="n">
        <v>48.182</v>
      </c>
      <c r="BO10" t="n">
        <v>23.043</v>
      </c>
      <c r="BP10" t="n">
        <v>17.435</v>
      </c>
      <c r="BQ10" t="n">
        <v>26.683</v>
      </c>
      <c r="BR10" t="n">
        <v>82.267</v>
      </c>
      <c r="BS10" t="n">
        <v>2.342</v>
      </c>
      <c r="BT10" t="n">
        <v>3.246</v>
      </c>
      <c r="BU10" t="n">
        <v>0.092</v>
      </c>
      <c r="BV10" t="n">
        <v>3.536</v>
      </c>
      <c r="BW10" t="n">
        <v>0.156</v>
      </c>
      <c r="BX10" t="n">
        <v>2.897</v>
      </c>
      <c r="BY10" t="n">
        <v>0.016</v>
      </c>
      <c r="BZ10" t="n">
        <v>4.522</v>
      </c>
      <c r="CA10" t="n">
        <v>35.478</v>
      </c>
      <c r="CB10" t="n">
        <v>46.478</v>
      </c>
      <c r="CC10" t="n">
        <v>33.261</v>
      </c>
      <c r="CD10" t="n">
        <v>40.217</v>
      </c>
      <c r="CE10" t="n">
        <v>13</v>
      </c>
      <c r="CF10" t="n">
        <v>21.208</v>
      </c>
      <c r="CG10" t="n">
        <v>21.734</v>
      </c>
      <c r="CH10" t="n">
        <v>9.244999999999999</v>
      </c>
      <c r="CI10" t="n">
        <v>31.242</v>
      </c>
      <c r="CJ10" t="n">
        <v>12.787</v>
      </c>
      <c r="CK10" t="n">
        <v>17.217</v>
      </c>
      <c r="CL10" t="n">
        <v>25</v>
      </c>
      <c r="CM10" t="n">
        <v>57.696</v>
      </c>
      <c r="CN10" t="n">
        <v>10.043</v>
      </c>
      <c r="CO10" t="n">
        <v>284.783</v>
      </c>
      <c r="CP10" t="n">
        <v>133.261</v>
      </c>
      <c r="CQ10" t="n">
        <v>29.217</v>
      </c>
      <c r="CR10" t="n">
        <v>80.565</v>
      </c>
      <c r="CS10" t="n">
        <v>30.217</v>
      </c>
      <c r="CT10" t="n">
        <v>37.507</v>
      </c>
      <c r="CU10" t="n">
        <v>9.260999999999999</v>
      </c>
      <c r="CV10" t="n">
        <v>30.647</v>
      </c>
      <c r="CW10" t="n">
        <v>1.217</v>
      </c>
      <c r="CX10" t="n">
        <v>18.217</v>
      </c>
      <c r="CY10" t="n">
        <v>19.043</v>
      </c>
      <c r="CZ10" t="n">
        <v>-0.826</v>
      </c>
      <c r="DA10" t="n">
        <v>9.739000000000001</v>
      </c>
      <c r="DB10" t="n">
        <v>89.286</v>
      </c>
      <c r="DC10" t="n">
        <v>7.391</v>
      </c>
      <c r="DD10" t="n">
        <v>46.826</v>
      </c>
      <c r="DE10" t="n">
        <v>70.87</v>
      </c>
      <c r="DF10" t="n">
        <v>199.748</v>
      </c>
      <c r="DG10" t="n">
        <v>1635.783</v>
      </c>
      <c r="DH10" t="n">
        <v>1524.913</v>
      </c>
      <c r="DI10" t="n">
        <v>14.043</v>
      </c>
      <c r="DJ10" t="n">
        <v>218.652</v>
      </c>
      <c r="DK10" t="n">
        <v>149.13</v>
      </c>
      <c r="DL10" t="n">
        <v>367.783</v>
      </c>
      <c r="DM10" t="n">
        <v>73.236</v>
      </c>
      <c r="DN10" t="n">
        <v>66.932</v>
      </c>
      <c r="DO10" t="n">
        <v>82.47799999999999</v>
      </c>
      <c r="DP10" t="n">
        <v>6.375</v>
      </c>
      <c r="DQ10" t="n">
        <v>50.652</v>
      </c>
      <c r="DR10" t="n">
        <v>39</v>
      </c>
      <c r="DS10" t="n">
        <v>74.13200000000001</v>
      </c>
      <c r="DT10" t="n">
        <v>5684.364</v>
      </c>
      <c r="DU10" t="n">
        <v>15.376</v>
      </c>
      <c r="DV10" t="n">
        <v>58.304</v>
      </c>
      <c r="DW10" t="n">
        <v>6.308</v>
      </c>
      <c r="DX10" t="n">
        <v>66.739</v>
      </c>
      <c r="DY10" t="n">
        <v>5.511</v>
      </c>
      <c r="DZ10" t="n">
        <v>0.209</v>
      </c>
      <c r="EA10" t="n">
        <v>2.762</v>
      </c>
      <c r="EB10" t="n">
        <v>134.783</v>
      </c>
      <c r="EC10" t="n">
        <v>228.87</v>
      </c>
      <c r="ED10" t="n">
        <v>363.652</v>
      </c>
      <c r="EE10" t="n">
        <v>37.064</v>
      </c>
      <c r="EF10" t="n">
        <v>65.82599999999999</v>
      </c>
      <c r="EG10" t="n">
        <v>87.87</v>
      </c>
      <c r="EH10" t="n">
        <v>14.348</v>
      </c>
      <c r="EI10" t="n">
        <v>34.391</v>
      </c>
      <c r="EJ10" t="n">
        <v>53.478</v>
      </c>
      <c r="EK10" t="n">
        <v>87.217</v>
      </c>
      <c r="EL10" t="n">
        <v>59</v>
      </c>
      <c r="EM10" t="n">
        <v>10.826</v>
      </c>
      <c r="EN10" t="n">
        <v>22.348</v>
      </c>
      <c r="EO10" t="n">
        <v>119.174</v>
      </c>
      <c r="EP10" t="n">
        <v>12.652</v>
      </c>
      <c r="EQ10" t="n">
        <v>22.043</v>
      </c>
      <c r="ER10" t="n">
        <v>34.696</v>
      </c>
      <c r="ES10" t="n">
        <v>39.087</v>
      </c>
      <c r="ET10" t="n">
        <v>75.64</v>
      </c>
      <c r="EU10" t="n">
        <v>98</v>
      </c>
      <c r="EV10" t="n">
        <v>11.391</v>
      </c>
      <c r="EW10" t="n">
        <v>11.783</v>
      </c>
      <c r="EX10" t="n">
        <v>23.262</v>
      </c>
      <c r="EY10" t="n">
        <v>15.087</v>
      </c>
      <c r="EZ10" t="n">
        <v>7.348</v>
      </c>
      <c r="FA10" t="n">
        <v>11.913</v>
      </c>
      <c r="FB10" t="n">
        <v>10.043</v>
      </c>
      <c r="FC10" t="n">
        <v>1.783</v>
      </c>
      <c r="FD10" t="n">
        <v>24.087</v>
      </c>
      <c r="FE10" t="n">
        <v>8.391</v>
      </c>
      <c r="FF10" t="n">
        <v>49.458</v>
      </c>
      <c r="FG10" t="n">
        <v>23.519</v>
      </c>
      <c r="FH10" t="n">
        <v>43.348</v>
      </c>
      <c r="FI10" t="n">
        <v>47.554</v>
      </c>
      <c r="FJ10" t="n">
        <v>21.696</v>
      </c>
      <c r="FK10" t="n">
        <v>80.773</v>
      </c>
      <c r="FL10" t="n">
        <v>-1.034</v>
      </c>
      <c r="FM10" t="n">
        <v>3.353</v>
      </c>
      <c r="FN10" t="n">
        <v>-0.043</v>
      </c>
      <c r="FO10" t="n">
        <v>3.588</v>
      </c>
      <c r="FP10" t="n">
        <v>0.016</v>
      </c>
      <c r="FQ10" t="n">
        <v>3.053</v>
      </c>
      <c r="FR10" t="n">
        <v>-0.118</v>
      </c>
      <c r="FS10" t="n">
        <v>4.826</v>
      </c>
      <c r="FT10" t="n">
        <v>27.609</v>
      </c>
      <c r="FU10" t="n">
        <v>49.087</v>
      </c>
      <c r="FV10" t="n">
        <v>31.87</v>
      </c>
      <c r="FW10" t="n">
        <v>39.478</v>
      </c>
      <c r="FX10" t="n">
        <v>10.174</v>
      </c>
      <c r="FY10" t="n">
        <v>19.984</v>
      </c>
      <c r="FZ10" t="n">
        <v>25.881</v>
      </c>
      <c r="GA10" t="n">
        <v>10.793</v>
      </c>
      <c r="GB10" t="n">
        <v>31.839</v>
      </c>
      <c r="GC10" t="n">
        <v>12.91</v>
      </c>
      <c r="GD10" t="n">
        <v>49.348</v>
      </c>
      <c r="GE10" t="n">
        <v>8.651999999999999</v>
      </c>
      <c r="GF10" t="n">
        <v>277.957</v>
      </c>
      <c r="GG10" t="n">
        <v>131.913</v>
      </c>
      <c r="GH10" t="n">
        <v>33.435</v>
      </c>
      <c r="GI10" t="n">
        <v>35.043</v>
      </c>
      <c r="GJ10" t="n">
        <v>43.568</v>
      </c>
      <c r="GK10" t="n">
        <v>11.652</v>
      </c>
      <c r="GL10" t="n">
        <v>33.251</v>
      </c>
      <c r="GM10" t="n">
        <v>2.739</v>
      </c>
      <c r="GN10" t="n">
        <v>10.435</v>
      </c>
      <c r="GO10" t="n">
        <v>77.917</v>
      </c>
      <c r="GP10" t="n">
        <v>4.957</v>
      </c>
      <c r="GQ10" t="n">
        <v>48.348</v>
      </c>
      <c r="GR10" t="n">
        <v>71.60899999999999</v>
      </c>
      <c r="GS10" t="n">
        <v>4.591</v>
      </c>
      <c r="GT10" t="n">
        <v>28.304</v>
      </c>
      <c r="GU10" t="n">
        <v>3.261</v>
      </c>
      <c r="GV10" t="n">
        <v>1.913</v>
      </c>
      <c r="GW10" t="n">
        <v>-7.739</v>
      </c>
      <c r="GX10" t="n">
        <v>6.652</v>
      </c>
      <c r="GY10" t="n">
        <v>-1.087</v>
      </c>
      <c r="GZ10" t="n">
        <v>1.957</v>
      </c>
      <c r="HA10" t="n">
        <v>63.182</v>
      </c>
      <c r="HB10" t="n">
        <v>-2.783</v>
      </c>
      <c r="HC10" t="n">
        <v>-1.043</v>
      </c>
      <c r="HD10" t="n">
        <v>0.141</v>
      </c>
      <c r="HE10" t="n">
        <v>-1.969</v>
      </c>
      <c r="HF10" t="n">
        <v>-5.13</v>
      </c>
      <c r="HG10" t="n">
        <v>2.739</v>
      </c>
      <c r="HH10" t="n">
        <v>-2.391</v>
      </c>
      <c r="HI10" t="n">
        <v>1</v>
      </c>
      <c r="HJ10" t="n">
        <v>-0.87</v>
      </c>
      <c r="HK10" t="n">
        <v>0.913</v>
      </c>
      <c r="HL10" t="n">
        <v>-4</v>
      </c>
      <c r="HM10" t="n">
        <v>3.087</v>
      </c>
      <c r="HN10" t="n">
        <v>-1.087</v>
      </c>
      <c r="HO10" t="n">
        <v>0.913</v>
      </c>
      <c r="HP10" t="n">
        <v>-2.304</v>
      </c>
      <c r="HQ10" t="n">
        <v>1.13</v>
      </c>
      <c r="HR10" t="n">
        <v>6.652</v>
      </c>
      <c r="HS10" t="n">
        <v>0.522</v>
      </c>
      <c r="HT10" t="n">
        <v>-0.783</v>
      </c>
      <c r="HU10" t="n">
        <v>-0.261</v>
      </c>
      <c r="HV10" t="n">
        <v>-4.739</v>
      </c>
      <c r="HW10" t="n">
        <v>-5.609</v>
      </c>
      <c r="HX10" t="n">
        <v>-0.217</v>
      </c>
      <c r="HY10" t="n">
        <v>0.13</v>
      </c>
      <c r="HZ10" t="n">
        <v>0.826</v>
      </c>
      <c r="IA10" t="n">
        <v>-2.13</v>
      </c>
      <c r="IB10" t="n">
        <v>0.739</v>
      </c>
      <c r="IC10" t="n">
        <v>0.522</v>
      </c>
      <c r="ID10" t="n">
        <v>1.261</v>
      </c>
      <c r="IE10" t="n">
        <v>0.391</v>
      </c>
      <c r="IF10" t="n">
        <v>1.348</v>
      </c>
      <c r="IG10" t="n">
        <v>1.494</v>
      </c>
      <c r="IH10" t="n">
        <v>3.376</v>
      </c>
      <c r="II10" t="n">
        <v>-0.108</v>
      </c>
      <c r="IJ10" t="n">
        <v>-0.304</v>
      </c>
      <c r="IK10" t="n">
        <v>7.87</v>
      </c>
      <c r="IL10" t="n">
        <v>-2.609</v>
      </c>
      <c r="IM10" t="n">
        <v>1.391</v>
      </c>
      <c r="IN10" t="n">
        <v>0.739</v>
      </c>
      <c r="IO10" t="n">
        <v>2.826</v>
      </c>
      <c r="IP10" t="n">
        <v>8.348000000000001</v>
      </c>
      <c r="IQ10" t="n">
        <v>1.391</v>
      </c>
      <c r="IR10" t="n">
        <v>6.826</v>
      </c>
      <c r="IS10" t="n">
        <v>1.348</v>
      </c>
      <c r="IT10" t="n">
        <v>-4.217</v>
      </c>
      <c r="IU10" t="n">
        <v>-4.826</v>
      </c>
      <c r="IV10" t="n">
        <v>-2.391</v>
      </c>
      <c r="IW10" t="n">
        <v>-1.522</v>
      </c>
      <c r="IX10" t="n">
        <v>2.435</v>
      </c>
      <c r="IY10" t="n">
        <v>-1.522</v>
      </c>
      <c r="IZ10" t="n">
        <v>-0.739</v>
      </c>
    </row>
    <row r="11">
      <c r="A11" t="inlineStr">
        <is>
          <t>Hawthorn</t>
        </is>
      </c>
      <c r="B11" t="inlineStr">
        <is>
          <t>Haw</t>
        </is>
      </c>
      <c r="C11" t="n">
        <v>22</v>
      </c>
      <c r="D11" t="n">
        <v>38</v>
      </c>
      <c r="E11" t="n">
        <v>25.639</v>
      </c>
      <c r="F11" t="n">
        <v>98.107</v>
      </c>
      <c r="G11" t="n">
        <v>207.986</v>
      </c>
      <c r="H11" t="n">
        <v>1646.364</v>
      </c>
      <c r="I11" t="n">
        <v>1561.909</v>
      </c>
      <c r="J11" t="n">
        <v>11.773</v>
      </c>
      <c r="K11" t="n">
        <v>47.336</v>
      </c>
      <c r="L11" t="n">
        <v>211.591</v>
      </c>
      <c r="M11" t="n">
        <v>167.636</v>
      </c>
      <c r="N11" t="n">
        <v>379.227</v>
      </c>
      <c r="O11" t="n">
        <v>74.577</v>
      </c>
      <c r="P11" t="n">
        <v>66.617</v>
      </c>
      <c r="Q11" t="n">
        <v>84.626</v>
      </c>
      <c r="R11" t="n">
        <v>55.795</v>
      </c>
      <c r="S11" t="n">
        <v>6.69</v>
      </c>
      <c r="T11" t="n">
        <v>48.727</v>
      </c>
      <c r="U11" t="n">
        <v>40.773</v>
      </c>
      <c r="V11" t="n">
        <v>74.937</v>
      </c>
      <c r="W11" t="n">
        <v>5559.318</v>
      </c>
      <c r="X11" t="n">
        <v>14.66</v>
      </c>
      <c r="Y11" t="n">
        <v>54.545</v>
      </c>
      <c r="Z11" t="n">
        <v>6.953</v>
      </c>
      <c r="AA11" t="n">
        <v>71.773</v>
      </c>
      <c r="AB11" t="n">
        <v>5.284</v>
      </c>
      <c r="AC11" t="n">
        <v>-1.937</v>
      </c>
      <c r="AD11" t="n">
        <v>-0.964</v>
      </c>
      <c r="AE11" t="n">
        <v>133.5</v>
      </c>
      <c r="AF11" t="n">
        <v>241.5</v>
      </c>
      <c r="AG11" t="n">
        <v>375</v>
      </c>
      <c r="AH11" t="n">
        <v>35.6</v>
      </c>
      <c r="AI11" t="n">
        <v>69.90900000000001</v>
      </c>
      <c r="AJ11" t="n">
        <v>87.955</v>
      </c>
      <c r="AK11" t="n">
        <v>14.909</v>
      </c>
      <c r="AL11" t="n">
        <v>32</v>
      </c>
      <c r="AM11" t="n">
        <v>55.955</v>
      </c>
      <c r="AN11" t="n">
        <v>88.273</v>
      </c>
      <c r="AO11" t="n">
        <v>60.545</v>
      </c>
      <c r="AP11" t="n">
        <v>10.227</v>
      </c>
      <c r="AQ11" t="n">
        <v>22.136</v>
      </c>
      <c r="AR11" t="n">
        <v>138.682</v>
      </c>
      <c r="AS11" t="n">
        <v>11</v>
      </c>
      <c r="AT11" t="n">
        <v>23.455</v>
      </c>
      <c r="AU11" t="n">
        <v>34.455</v>
      </c>
      <c r="AV11" t="n">
        <v>37.5</v>
      </c>
      <c r="AW11" t="n">
        <v>76</v>
      </c>
      <c r="AX11" t="n">
        <v>93.318</v>
      </c>
      <c r="AY11" t="n">
        <v>11.682</v>
      </c>
      <c r="AZ11" t="n">
        <v>9.864000000000001</v>
      </c>
      <c r="BA11" t="n">
        <v>20.243</v>
      </c>
      <c r="BB11" t="n">
        <v>17.773</v>
      </c>
      <c r="BC11" t="n">
        <v>7.591</v>
      </c>
      <c r="BD11" t="n">
        <v>28</v>
      </c>
      <c r="BE11" t="n">
        <v>7.636</v>
      </c>
      <c r="BF11" t="n">
        <v>10.864</v>
      </c>
      <c r="BG11" t="n">
        <v>8.864000000000001</v>
      </c>
      <c r="BH11" t="n">
        <v>2.273</v>
      </c>
      <c r="BI11" t="n">
        <v>21.364</v>
      </c>
      <c r="BJ11" t="n">
        <v>7.364</v>
      </c>
      <c r="BK11" t="n">
        <v>50.851</v>
      </c>
      <c r="BL11" t="n">
        <v>22.295</v>
      </c>
      <c r="BM11" t="n">
        <v>40.485</v>
      </c>
      <c r="BN11" t="n">
        <v>43.843</v>
      </c>
      <c r="BO11" t="n">
        <v>19.5</v>
      </c>
      <c r="BP11" t="n">
        <v>16.455</v>
      </c>
      <c r="BQ11" t="n">
        <v>22.099</v>
      </c>
      <c r="BR11" t="n">
        <v>70.684</v>
      </c>
      <c r="BS11" t="n">
        <v>1.089</v>
      </c>
      <c r="BT11" t="n">
        <v>3.302</v>
      </c>
      <c r="BU11" t="n">
        <v>0.051</v>
      </c>
      <c r="BV11" t="n">
        <v>3.547</v>
      </c>
      <c r="BW11" t="n">
        <v>0.101</v>
      </c>
      <c r="BX11" t="n">
        <v>3.031</v>
      </c>
      <c r="BY11" t="n">
        <v>-0.004</v>
      </c>
      <c r="BZ11" t="n">
        <v>3.045</v>
      </c>
      <c r="CA11" t="n">
        <v>22.455</v>
      </c>
      <c r="CB11" t="n">
        <v>48.545</v>
      </c>
      <c r="CC11" t="n">
        <v>27.455</v>
      </c>
      <c r="CD11" t="n">
        <v>38.773</v>
      </c>
      <c r="CE11" t="n">
        <v>7.818</v>
      </c>
      <c r="CF11" t="n">
        <v>17.434</v>
      </c>
      <c r="CG11" t="n">
        <v>21.83</v>
      </c>
      <c r="CH11" t="n">
        <v>8.930999999999999</v>
      </c>
      <c r="CI11" t="n">
        <v>29.229</v>
      </c>
      <c r="CJ11" t="n">
        <v>10.953</v>
      </c>
      <c r="CK11" t="n">
        <v>14.273</v>
      </c>
      <c r="CL11" t="n">
        <v>23.885</v>
      </c>
      <c r="CM11" t="n">
        <v>60.273</v>
      </c>
      <c r="CN11" t="n">
        <v>10.545</v>
      </c>
      <c r="CO11" t="n">
        <v>287.045</v>
      </c>
      <c r="CP11" t="n">
        <v>134.864</v>
      </c>
      <c r="CQ11" t="n">
        <v>34.364</v>
      </c>
      <c r="CR11" t="n">
        <v>84.818</v>
      </c>
      <c r="CS11" t="n">
        <v>36.227</v>
      </c>
      <c r="CT11" t="n">
        <v>42.712</v>
      </c>
      <c r="CU11" t="n">
        <v>10.818</v>
      </c>
      <c r="CV11" t="n">
        <v>29.862</v>
      </c>
      <c r="CW11" t="n">
        <v>1.773</v>
      </c>
      <c r="CX11" t="n">
        <v>18.455</v>
      </c>
      <c r="CY11" t="n">
        <v>18.545</v>
      </c>
      <c r="CZ11" t="n">
        <v>-0.091</v>
      </c>
      <c r="DA11" t="n">
        <v>9.818</v>
      </c>
      <c r="DB11" t="n">
        <v>68.056</v>
      </c>
      <c r="DC11" t="n">
        <v>5.773</v>
      </c>
      <c r="DD11" t="n">
        <v>51.818</v>
      </c>
      <c r="DE11" t="n">
        <v>71.09099999999999</v>
      </c>
      <c r="DF11" t="n">
        <v>216.959</v>
      </c>
      <c r="DG11" t="n">
        <v>1653.818</v>
      </c>
      <c r="DH11" t="n">
        <v>1564.591</v>
      </c>
      <c r="DI11" t="n">
        <v>18.227</v>
      </c>
      <c r="DJ11" t="n">
        <v>219.409</v>
      </c>
      <c r="DK11" t="n">
        <v>151.136</v>
      </c>
      <c r="DL11" t="n">
        <v>370.545</v>
      </c>
      <c r="DM11" t="n">
        <v>73.45399999999999</v>
      </c>
      <c r="DN11" t="n">
        <v>66.85299999999999</v>
      </c>
      <c r="DO11" t="n">
        <v>83.038</v>
      </c>
      <c r="DP11" t="n">
        <v>6.148</v>
      </c>
      <c r="DQ11" t="n">
        <v>54.409</v>
      </c>
      <c r="DR11" t="n">
        <v>37.045</v>
      </c>
      <c r="DS11" t="n">
        <v>76.026</v>
      </c>
      <c r="DT11" t="n">
        <v>5779.909</v>
      </c>
      <c r="DU11" t="n">
        <v>15.598</v>
      </c>
      <c r="DV11" t="n">
        <v>56.591</v>
      </c>
      <c r="DW11" t="n">
        <v>6.548</v>
      </c>
      <c r="DX11" t="n">
        <v>69.818</v>
      </c>
      <c r="DY11" t="n">
        <v>5.307</v>
      </c>
      <c r="DZ11" t="n">
        <v>0.584</v>
      </c>
      <c r="EA11" t="n">
        <v>0.8129999999999999</v>
      </c>
      <c r="EB11" t="n">
        <v>140.364</v>
      </c>
      <c r="EC11" t="n">
        <v>227.136</v>
      </c>
      <c r="ED11" t="n">
        <v>367.5</v>
      </c>
      <c r="EE11" t="n">
        <v>38.194</v>
      </c>
      <c r="EF11" t="n">
        <v>71.864</v>
      </c>
      <c r="EG11" t="n">
        <v>92.40900000000001</v>
      </c>
      <c r="EH11" t="n">
        <v>15.455</v>
      </c>
      <c r="EI11" t="n">
        <v>34.136</v>
      </c>
      <c r="EJ11" t="n">
        <v>58.318</v>
      </c>
      <c r="EK11" t="n">
        <v>92.727</v>
      </c>
      <c r="EL11" t="n">
        <v>63.545</v>
      </c>
      <c r="EM11" t="n">
        <v>11</v>
      </c>
      <c r="EN11" t="n">
        <v>24.5</v>
      </c>
      <c r="EO11" t="n">
        <v>121.864</v>
      </c>
      <c r="EP11" t="n">
        <v>13.409</v>
      </c>
      <c r="EQ11" t="n">
        <v>23.136</v>
      </c>
      <c r="ER11" t="n">
        <v>36.545</v>
      </c>
      <c r="ES11" t="n">
        <v>38.545</v>
      </c>
      <c r="ET11" t="n">
        <v>78.30200000000001</v>
      </c>
      <c r="EU11" t="n">
        <v>98.318</v>
      </c>
      <c r="EV11" t="n">
        <v>13.727</v>
      </c>
      <c r="EW11" t="n">
        <v>12.409</v>
      </c>
      <c r="EX11" t="n">
        <v>22.807</v>
      </c>
      <c r="EY11" t="n">
        <v>16.455</v>
      </c>
      <c r="EZ11" t="n">
        <v>8.182</v>
      </c>
      <c r="FA11" t="n">
        <v>12.818</v>
      </c>
      <c r="FB11" t="n">
        <v>10</v>
      </c>
      <c r="FC11" t="n">
        <v>1.909</v>
      </c>
      <c r="FD11" t="n">
        <v>25.455</v>
      </c>
      <c r="FE11" t="n">
        <v>8.818</v>
      </c>
      <c r="FF11" t="n">
        <v>50.357</v>
      </c>
      <c r="FG11" t="n">
        <v>23.559</v>
      </c>
      <c r="FH11" t="n">
        <v>41.938</v>
      </c>
      <c r="FI11" t="n">
        <v>46.784</v>
      </c>
      <c r="FJ11" t="n">
        <v>22.727</v>
      </c>
      <c r="FK11" t="n">
        <v>85.211</v>
      </c>
      <c r="FL11" t="n">
        <v>-0.211</v>
      </c>
      <c r="FM11" t="n">
        <v>3.348</v>
      </c>
      <c r="FN11" t="n">
        <v>-0.008</v>
      </c>
      <c r="FO11" t="n">
        <v>3.634</v>
      </c>
      <c r="FP11" t="n">
        <v>-0.14</v>
      </c>
      <c r="FQ11" t="n">
        <v>2.982</v>
      </c>
      <c r="FR11" t="n">
        <v>0.16</v>
      </c>
      <c r="FS11" t="n">
        <v>4.045</v>
      </c>
      <c r="FT11" t="n">
        <v>32.273</v>
      </c>
      <c r="FU11" t="n">
        <v>50.591</v>
      </c>
      <c r="FV11" t="n">
        <v>35.591</v>
      </c>
      <c r="FW11" t="n">
        <v>39.5</v>
      </c>
      <c r="FX11" t="n">
        <v>11.818</v>
      </c>
      <c r="FY11" t="n">
        <v>19.755</v>
      </c>
      <c r="FZ11" t="n">
        <v>21.002</v>
      </c>
      <c r="GA11" t="n">
        <v>9.558</v>
      </c>
      <c r="GB11" t="n">
        <v>30.904</v>
      </c>
      <c r="GC11" t="n">
        <v>13.378</v>
      </c>
      <c r="GD11" t="n">
        <v>56.682</v>
      </c>
      <c r="GE11" t="n">
        <v>9.773</v>
      </c>
      <c r="GF11" t="n">
        <v>299.5</v>
      </c>
      <c r="GG11" t="n">
        <v>129.955</v>
      </c>
      <c r="GH11" t="n">
        <v>34.136</v>
      </c>
      <c r="GI11" t="n">
        <v>34.227</v>
      </c>
      <c r="GJ11" t="n">
        <v>40.332</v>
      </c>
      <c r="GK11" t="n">
        <v>12.045</v>
      </c>
      <c r="GL11" t="n">
        <v>35.193</v>
      </c>
      <c r="GM11" t="n">
        <v>2.136</v>
      </c>
      <c r="GN11" t="n">
        <v>8.682</v>
      </c>
      <c r="GO11" t="n">
        <v>81.152</v>
      </c>
      <c r="GP11" t="n">
        <v>7.409</v>
      </c>
      <c r="GQ11" t="n">
        <v>50.409</v>
      </c>
      <c r="GR11" t="n">
        <v>72.045</v>
      </c>
      <c r="GS11" t="n">
        <v>-8.973000000000001</v>
      </c>
      <c r="GT11" t="n">
        <v>-7.455</v>
      </c>
      <c r="GU11" t="n">
        <v>-2.682</v>
      </c>
      <c r="GV11" t="n">
        <v>-6.455</v>
      </c>
      <c r="GW11" t="n">
        <v>-7.818</v>
      </c>
      <c r="GX11" t="n">
        <v>16.5</v>
      </c>
      <c r="GY11" t="n">
        <v>8.682</v>
      </c>
      <c r="GZ11" t="n">
        <v>-5.682</v>
      </c>
      <c r="HA11" t="n">
        <v>-220.591</v>
      </c>
      <c r="HB11" t="n">
        <v>-2.045</v>
      </c>
      <c r="HC11" t="n">
        <v>1.955</v>
      </c>
      <c r="HD11" t="n">
        <v>-2.521</v>
      </c>
      <c r="HE11" t="n">
        <v>-1.777</v>
      </c>
      <c r="HF11" t="n">
        <v>-6.864</v>
      </c>
      <c r="HG11" t="n">
        <v>14.364</v>
      </c>
      <c r="HH11" t="n">
        <v>7.5</v>
      </c>
      <c r="HI11" t="n">
        <v>-1.955</v>
      </c>
      <c r="HJ11" t="n">
        <v>-4.455</v>
      </c>
      <c r="HK11" t="n">
        <v>-0.545</v>
      </c>
      <c r="HL11" t="n">
        <v>-2.136</v>
      </c>
      <c r="HM11" t="n">
        <v>-2.364</v>
      </c>
      <c r="HN11" t="n">
        <v>-4.455</v>
      </c>
      <c r="HO11" t="n">
        <v>-3</v>
      </c>
      <c r="HP11" t="n">
        <v>-0.773</v>
      </c>
      <c r="HQ11" t="n">
        <v>-2.364</v>
      </c>
      <c r="HR11" t="n">
        <v>16.818</v>
      </c>
      <c r="HS11" t="n">
        <v>-2.409</v>
      </c>
      <c r="HT11" t="n">
        <v>0.318</v>
      </c>
      <c r="HU11" t="n">
        <v>-2.091</v>
      </c>
      <c r="HV11" t="n">
        <v>-1.045</v>
      </c>
      <c r="HW11" t="n">
        <v>-5</v>
      </c>
      <c r="HX11" t="n">
        <v>-2.045</v>
      </c>
      <c r="HY11" t="n">
        <v>-2.545</v>
      </c>
      <c r="HZ11" t="n">
        <v>1.318</v>
      </c>
      <c r="IA11" t="n">
        <v>-0.591</v>
      </c>
      <c r="IB11" t="n">
        <v>-1.955</v>
      </c>
      <c r="IC11" t="n">
        <v>-1.136</v>
      </c>
      <c r="ID11" t="n">
        <v>-4.091</v>
      </c>
      <c r="IE11" t="n">
        <v>-1.455</v>
      </c>
      <c r="IF11" t="n">
        <v>-3.227</v>
      </c>
      <c r="IG11" t="n">
        <v>-14.527</v>
      </c>
      <c r="IH11" t="n">
        <v>1.3</v>
      </c>
      <c r="II11" t="n">
        <v>-0.046</v>
      </c>
      <c r="IJ11" t="n">
        <v>-1</v>
      </c>
      <c r="IK11" t="n">
        <v>-9.818</v>
      </c>
      <c r="IL11" t="n">
        <v>-2.045</v>
      </c>
      <c r="IM11" t="n">
        <v>-8.135999999999999</v>
      </c>
      <c r="IN11" t="n">
        <v>-0.727</v>
      </c>
      <c r="IO11" t="n">
        <v>-4</v>
      </c>
      <c r="IP11" t="n">
        <v>3.591</v>
      </c>
      <c r="IQ11" t="n">
        <v>0.773</v>
      </c>
      <c r="IR11" t="n">
        <v>-12.455</v>
      </c>
      <c r="IS11" t="n">
        <v>4.909</v>
      </c>
      <c r="IT11" t="n">
        <v>0.227</v>
      </c>
      <c r="IU11" t="n">
        <v>2</v>
      </c>
      <c r="IV11" t="n">
        <v>-1.227</v>
      </c>
      <c r="IW11" t="n">
        <v>-0.364</v>
      </c>
      <c r="IX11" t="n">
        <v>-1.636</v>
      </c>
      <c r="IY11" t="n">
        <v>1.409</v>
      </c>
      <c r="IZ11" t="n">
        <v>-0.955</v>
      </c>
    </row>
    <row r="12">
      <c r="A12" t="inlineStr">
        <is>
          <t>Sydney</t>
        </is>
      </c>
      <c r="B12" t="inlineStr">
        <is>
          <t>Syd</t>
        </is>
      </c>
      <c r="C12" t="n">
        <v>23</v>
      </c>
      <c r="D12" t="n">
        <v>37</v>
      </c>
      <c r="E12" t="n">
        <v>25.016</v>
      </c>
      <c r="F12" t="n">
        <v>95.643</v>
      </c>
      <c r="G12" t="n">
        <v>214.448</v>
      </c>
      <c r="H12" t="n">
        <v>1732.217</v>
      </c>
      <c r="I12" t="n">
        <v>1573.522</v>
      </c>
      <c r="J12" t="n">
        <v>17.826</v>
      </c>
      <c r="K12" t="n">
        <v>50.59</v>
      </c>
      <c r="L12" t="n">
        <v>223.609</v>
      </c>
      <c r="M12" t="n">
        <v>148.652</v>
      </c>
      <c r="N12" t="n">
        <v>372.261</v>
      </c>
      <c r="O12" t="n">
        <v>73.96599999999999</v>
      </c>
      <c r="P12" t="n">
        <v>68.131</v>
      </c>
      <c r="Q12" t="n">
        <v>82.74299999999999</v>
      </c>
      <c r="R12" t="n">
        <v>60.068</v>
      </c>
      <c r="S12" t="n">
        <v>6.342</v>
      </c>
      <c r="T12" t="n">
        <v>54.043</v>
      </c>
      <c r="U12" t="n">
        <v>38.913</v>
      </c>
      <c r="V12" t="n">
        <v>77.22199999999999</v>
      </c>
      <c r="W12" t="n">
        <v>5788.773</v>
      </c>
      <c r="X12" t="n">
        <v>15.557</v>
      </c>
      <c r="Y12" t="n">
        <v>56.174</v>
      </c>
      <c r="Z12" t="n">
        <v>6.627</v>
      </c>
      <c r="AA12" t="n">
        <v>66.913</v>
      </c>
      <c r="AB12" t="n">
        <v>5.563</v>
      </c>
      <c r="AC12" t="n">
        <v>-0.093</v>
      </c>
      <c r="AD12" t="n">
        <v>2.239</v>
      </c>
      <c r="AE12" t="n">
        <v>138.391</v>
      </c>
      <c r="AF12" t="n">
        <v>227.435</v>
      </c>
      <c r="AG12" t="n">
        <v>365.826</v>
      </c>
      <c r="AH12" t="n">
        <v>37.83</v>
      </c>
      <c r="AI12" t="n">
        <v>67.696</v>
      </c>
      <c r="AJ12" t="n">
        <v>91.52200000000001</v>
      </c>
      <c r="AK12" t="n">
        <v>15.696</v>
      </c>
      <c r="AL12" t="n">
        <v>35.826</v>
      </c>
      <c r="AM12" t="n">
        <v>55.652</v>
      </c>
      <c r="AN12" t="n">
        <v>91.04300000000001</v>
      </c>
      <c r="AO12" t="n">
        <v>63.043</v>
      </c>
      <c r="AP12" t="n">
        <v>9.826000000000001</v>
      </c>
      <c r="AQ12" t="n">
        <v>23.174</v>
      </c>
      <c r="AR12" t="n">
        <v>119.696</v>
      </c>
      <c r="AS12" t="n">
        <v>12.304</v>
      </c>
      <c r="AT12" t="n">
        <v>23.217</v>
      </c>
      <c r="AU12" t="n">
        <v>35.522</v>
      </c>
      <c r="AV12" t="n">
        <v>38.652</v>
      </c>
      <c r="AW12" t="n">
        <v>77.72799999999999</v>
      </c>
      <c r="AX12" t="n">
        <v>94.17400000000001</v>
      </c>
      <c r="AY12" t="n">
        <v>11.304</v>
      </c>
      <c r="AZ12" t="n">
        <v>12.304</v>
      </c>
      <c r="BA12" t="n">
        <v>22.767</v>
      </c>
      <c r="BB12" t="n">
        <v>13.522</v>
      </c>
      <c r="BC12" t="n">
        <v>8.782999999999999</v>
      </c>
      <c r="BD12" t="n">
        <v>25</v>
      </c>
      <c r="BE12" t="n">
        <v>7.522</v>
      </c>
      <c r="BF12" t="n">
        <v>13.174</v>
      </c>
      <c r="BG12" t="n">
        <v>10.478</v>
      </c>
      <c r="BH12" t="n">
        <v>2</v>
      </c>
      <c r="BI12" t="n">
        <v>25.304</v>
      </c>
      <c r="BJ12" t="n">
        <v>9.478</v>
      </c>
      <c r="BK12" t="n">
        <v>52.062</v>
      </c>
      <c r="BL12" t="n">
        <v>24.377</v>
      </c>
      <c r="BM12" t="n">
        <v>43.765</v>
      </c>
      <c r="BN12" t="n">
        <v>46.822</v>
      </c>
      <c r="BO12" t="n">
        <v>23.261</v>
      </c>
      <c r="BP12" t="n">
        <v>18.217</v>
      </c>
      <c r="BQ12" t="n">
        <v>32.22</v>
      </c>
      <c r="BR12" t="n">
        <v>82.146</v>
      </c>
      <c r="BS12" t="n">
        <v>5.376</v>
      </c>
      <c r="BT12" t="n">
        <v>3.241</v>
      </c>
      <c r="BU12" t="n">
        <v>0.212</v>
      </c>
      <c r="BV12" t="n">
        <v>3.482</v>
      </c>
      <c r="BW12" t="n">
        <v>0.22</v>
      </c>
      <c r="BX12" t="n">
        <v>2.931</v>
      </c>
      <c r="BY12" t="n">
        <v>0.203</v>
      </c>
      <c r="BZ12" t="n">
        <v>4.696</v>
      </c>
      <c r="CA12" t="n">
        <v>27.087</v>
      </c>
      <c r="CB12" t="n">
        <v>57.739</v>
      </c>
      <c r="CC12" t="n">
        <v>34.261</v>
      </c>
      <c r="CD12" t="n">
        <v>46.783</v>
      </c>
      <c r="CE12" t="n">
        <v>8.478</v>
      </c>
      <c r="CF12" t="n">
        <v>20.884</v>
      </c>
      <c r="CG12" t="n">
        <v>25.775</v>
      </c>
      <c r="CH12" t="n">
        <v>10.802</v>
      </c>
      <c r="CI12" t="n">
        <v>32.736</v>
      </c>
      <c r="CJ12" t="n">
        <v>13.156</v>
      </c>
      <c r="CK12" t="n">
        <v>17.478</v>
      </c>
      <c r="CL12" t="n">
        <v>27.114</v>
      </c>
      <c r="CM12" t="n">
        <v>60.652</v>
      </c>
      <c r="CN12" t="n">
        <v>11.348</v>
      </c>
      <c r="CO12" t="n">
        <v>299.391</v>
      </c>
      <c r="CP12" t="n">
        <v>139.783</v>
      </c>
      <c r="CQ12" t="n">
        <v>33.783</v>
      </c>
      <c r="CR12" t="n">
        <v>86.82599999999999</v>
      </c>
      <c r="CS12" t="n">
        <v>33.739</v>
      </c>
      <c r="CT12" t="n">
        <v>38.858</v>
      </c>
      <c r="CU12" t="n">
        <v>10.478</v>
      </c>
      <c r="CV12" t="n">
        <v>31.057</v>
      </c>
      <c r="CW12" t="n">
        <v>3.391</v>
      </c>
      <c r="CX12" t="n">
        <v>19.652</v>
      </c>
      <c r="CY12" t="n">
        <v>20.304</v>
      </c>
      <c r="CZ12" t="n">
        <v>-0.652</v>
      </c>
      <c r="DA12" t="n">
        <v>10.478</v>
      </c>
      <c r="DB12" t="n">
        <v>90.871</v>
      </c>
      <c r="DC12" t="n">
        <v>5.043</v>
      </c>
      <c r="DD12" t="n">
        <v>50.348</v>
      </c>
      <c r="DE12" t="n">
        <v>71.783</v>
      </c>
      <c r="DF12" t="n">
        <v>196.613</v>
      </c>
      <c r="DG12" t="n">
        <v>1567.174</v>
      </c>
      <c r="DH12" t="n">
        <v>1450.478</v>
      </c>
      <c r="DI12" t="n">
        <v>12.174</v>
      </c>
      <c r="DJ12" t="n">
        <v>204.087</v>
      </c>
      <c r="DK12" t="n">
        <v>147.391</v>
      </c>
      <c r="DL12" t="n">
        <v>351.478</v>
      </c>
      <c r="DM12" t="n">
        <v>71.264</v>
      </c>
      <c r="DN12" t="n">
        <v>63.784</v>
      </c>
      <c r="DO12" t="n">
        <v>81.622</v>
      </c>
      <c r="DP12" t="n">
        <v>5.795</v>
      </c>
      <c r="DQ12" t="n">
        <v>50.391</v>
      </c>
      <c r="DR12" t="n">
        <v>40.087</v>
      </c>
      <c r="DS12" t="n">
        <v>74.175</v>
      </c>
      <c r="DT12" t="n">
        <v>5447.318</v>
      </c>
      <c r="DU12" t="n">
        <v>15.426</v>
      </c>
      <c r="DV12" t="n">
        <v>56.348</v>
      </c>
      <c r="DW12" t="n">
        <v>6.238</v>
      </c>
      <c r="DX12" t="n">
        <v>67.652</v>
      </c>
      <c r="DY12" t="n">
        <v>5.195</v>
      </c>
      <c r="DZ12" t="n">
        <v>0.278</v>
      </c>
      <c r="EA12" t="n">
        <v>-0.469</v>
      </c>
      <c r="EB12" t="n">
        <v>140.087</v>
      </c>
      <c r="EC12" t="n">
        <v>205.957</v>
      </c>
      <c r="ED12" t="n">
        <v>346.043</v>
      </c>
      <c r="EE12" t="n">
        <v>40.482</v>
      </c>
      <c r="EF12" t="n">
        <v>67.13</v>
      </c>
      <c r="EG12" t="n">
        <v>95.348</v>
      </c>
      <c r="EH12" t="n">
        <v>16.565</v>
      </c>
      <c r="EI12" t="n">
        <v>36.087</v>
      </c>
      <c r="EJ12" t="n">
        <v>59.261</v>
      </c>
      <c r="EK12" t="n">
        <v>91.47799999999999</v>
      </c>
      <c r="EL12" t="n">
        <v>65.348</v>
      </c>
      <c r="EM12" t="n">
        <v>10.13</v>
      </c>
      <c r="EN12" t="n">
        <v>24.217</v>
      </c>
      <c r="EO12" t="n">
        <v>117.435</v>
      </c>
      <c r="EP12" t="n">
        <v>12.087</v>
      </c>
      <c r="EQ12" t="n">
        <v>24.435</v>
      </c>
      <c r="ER12" t="n">
        <v>36.522</v>
      </c>
      <c r="ES12" t="n">
        <v>38.609</v>
      </c>
      <c r="ET12" t="n">
        <v>78.491</v>
      </c>
      <c r="EU12" t="n">
        <v>79.435</v>
      </c>
      <c r="EV12" t="n">
        <v>10.304</v>
      </c>
      <c r="EW12" t="n">
        <v>9.869999999999999</v>
      </c>
      <c r="EX12" t="n">
        <v>19.586</v>
      </c>
      <c r="EY12" t="n">
        <v>13.13</v>
      </c>
      <c r="EZ12" t="n">
        <v>5.957</v>
      </c>
      <c r="FA12" t="n">
        <v>10.783</v>
      </c>
      <c r="FB12" t="n">
        <v>10.522</v>
      </c>
      <c r="FC12" t="n">
        <v>2.13</v>
      </c>
      <c r="FD12" t="n">
        <v>24.304</v>
      </c>
      <c r="FE12" t="n">
        <v>6.739</v>
      </c>
      <c r="FF12" t="n">
        <v>44.365</v>
      </c>
      <c r="FG12" t="n">
        <v>21.398</v>
      </c>
      <c r="FH12" t="n">
        <v>42.278</v>
      </c>
      <c r="FI12" t="n">
        <v>48.231</v>
      </c>
      <c r="FJ12" t="n">
        <v>21.174</v>
      </c>
      <c r="FK12" t="n">
        <v>76.916</v>
      </c>
      <c r="FL12" t="n">
        <v>-3.829</v>
      </c>
      <c r="FM12" t="n">
        <v>3.165</v>
      </c>
      <c r="FN12" t="n">
        <v>-0.158</v>
      </c>
      <c r="FO12" t="n">
        <v>3.542</v>
      </c>
      <c r="FP12" t="n">
        <v>-0.007</v>
      </c>
      <c r="FQ12" t="n">
        <v>2.77</v>
      </c>
      <c r="FR12" t="n">
        <v>-0.316</v>
      </c>
      <c r="FS12" t="n">
        <v>2.348</v>
      </c>
      <c r="FT12" t="n">
        <v>29.304</v>
      </c>
      <c r="FU12" t="n">
        <v>43.609</v>
      </c>
      <c r="FV12" t="n">
        <v>29.174</v>
      </c>
      <c r="FW12" t="n">
        <v>35.087</v>
      </c>
      <c r="FX12" t="n">
        <v>11</v>
      </c>
      <c r="FY12" t="n">
        <v>18.881</v>
      </c>
      <c r="FZ12" t="n">
        <v>18.387</v>
      </c>
      <c r="GA12" t="n">
        <v>7.634</v>
      </c>
      <c r="GB12" t="n">
        <v>29.175</v>
      </c>
      <c r="GC12" t="n">
        <v>10.94</v>
      </c>
      <c r="GD12" t="n">
        <v>58.696</v>
      </c>
      <c r="GE12" t="n">
        <v>11.217</v>
      </c>
      <c r="GF12" t="n">
        <v>299.174</v>
      </c>
      <c r="GG12" t="n">
        <v>137.783</v>
      </c>
      <c r="GH12" t="n">
        <v>33.609</v>
      </c>
      <c r="GI12" t="n">
        <v>35.913</v>
      </c>
      <c r="GJ12" t="n">
        <v>41.424</v>
      </c>
      <c r="GK12" t="n">
        <v>10.826</v>
      </c>
      <c r="GL12" t="n">
        <v>30.145</v>
      </c>
      <c r="GM12" t="n">
        <v>2.174</v>
      </c>
      <c r="GN12" t="n">
        <v>10.261</v>
      </c>
      <c r="GO12" t="n">
        <v>80.08499999999999</v>
      </c>
      <c r="GP12" t="n">
        <v>4.217</v>
      </c>
      <c r="GQ12" t="n">
        <v>48.609</v>
      </c>
      <c r="GR12" t="n">
        <v>72</v>
      </c>
      <c r="GS12" t="n">
        <v>17.835</v>
      </c>
      <c r="GT12" t="n">
        <v>165.043</v>
      </c>
      <c r="GU12" t="n">
        <v>123.043</v>
      </c>
      <c r="GV12" t="n">
        <v>5.652</v>
      </c>
      <c r="GW12" t="n">
        <v>19.522</v>
      </c>
      <c r="GX12" t="n">
        <v>1.261</v>
      </c>
      <c r="GY12" t="n">
        <v>20.783</v>
      </c>
      <c r="GZ12" t="n">
        <v>3.652</v>
      </c>
      <c r="HA12" t="n">
        <v>341.455</v>
      </c>
      <c r="HB12" t="n">
        <v>-0.174</v>
      </c>
      <c r="HC12" t="n">
        <v>-0.739</v>
      </c>
      <c r="HD12" t="n">
        <v>-0.371</v>
      </c>
      <c r="HE12" t="n">
        <v>2.708</v>
      </c>
      <c r="HF12" t="n">
        <v>-1.696</v>
      </c>
      <c r="HG12" t="n">
        <v>21.478</v>
      </c>
      <c r="HH12" t="n">
        <v>19.783</v>
      </c>
      <c r="HI12" t="n">
        <v>0.5649999999999999</v>
      </c>
      <c r="HJ12" t="n">
        <v>-3.826</v>
      </c>
      <c r="HK12" t="n">
        <v>-0.87</v>
      </c>
      <c r="HL12" t="n">
        <v>-0.261</v>
      </c>
      <c r="HM12" t="n">
        <v>-3.609</v>
      </c>
      <c r="HN12" t="n">
        <v>-0.435</v>
      </c>
      <c r="HO12" t="n">
        <v>-2.304</v>
      </c>
      <c r="HP12" t="n">
        <v>-0.304</v>
      </c>
      <c r="HQ12" t="n">
        <v>-1.043</v>
      </c>
      <c r="HR12" t="n">
        <v>2.261</v>
      </c>
      <c r="HS12" t="n">
        <v>0.217</v>
      </c>
      <c r="HT12" t="n">
        <v>-1.217</v>
      </c>
      <c r="HU12" t="n">
        <v>-1</v>
      </c>
      <c r="HV12" t="n">
        <v>0.043</v>
      </c>
      <c r="HW12" t="n">
        <v>14.739</v>
      </c>
      <c r="HX12" t="n">
        <v>1</v>
      </c>
      <c r="HY12" t="n">
        <v>2.435</v>
      </c>
      <c r="HZ12" t="n">
        <v>0.391</v>
      </c>
      <c r="IA12" t="n">
        <v>2.826</v>
      </c>
      <c r="IB12" t="n">
        <v>2.391</v>
      </c>
      <c r="IC12" t="n">
        <v>-0.043</v>
      </c>
      <c r="ID12" t="n">
        <v>1</v>
      </c>
      <c r="IE12" t="n">
        <v>2.739</v>
      </c>
      <c r="IF12" t="n">
        <v>2.087</v>
      </c>
      <c r="IG12" t="n">
        <v>5.23</v>
      </c>
      <c r="IH12" t="n">
        <v>9.204000000000001</v>
      </c>
      <c r="II12" t="n">
        <v>0.076</v>
      </c>
      <c r="IJ12" t="n">
        <v>2.348</v>
      </c>
      <c r="IK12" t="n">
        <v>-2.217</v>
      </c>
      <c r="IL12" t="n">
        <v>14.13</v>
      </c>
      <c r="IM12" t="n">
        <v>5.087</v>
      </c>
      <c r="IN12" t="n">
        <v>11.696</v>
      </c>
      <c r="IO12" t="n">
        <v>-2.522</v>
      </c>
      <c r="IP12" t="n">
        <v>1.957</v>
      </c>
      <c r="IQ12" t="n">
        <v>0.13</v>
      </c>
      <c r="IR12" t="n">
        <v>0.217</v>
      </c>
      <c r="IS12" t="n">
        <v>2</v>
      </c>
      <c r="IT12" t="n">
        <v>0.174</v>
      </c>
      <c r="IU12" t="n">
        <v>-2.174</v>
      </c>
      <c r="IV12" t="n">
        <v>-0.348</v>
      </c>
      <c r="IW12" t="n">
        <v>1.217</v>
      </c>
      <c r="IX12" t="n">
        <v>0.826</v>
      </c>
      <c r="IY12" t="n">
        <v>1.739</v>
      </c>
      <c r="IZ12" t="n">
        <v>-0.217</v>
      </c>
    </row>
    <row r="13">
      <c r="A13" t="inlineStr">
        <is>
          <t>Brisbane</t>
        </is>
      </c>
      <c r="B13" t="inlineStr">
        <is>
          <t>Bris</t>
        </is>
      </c>
      <c r="C13" t="n">
        <v>24</v>
      </c>
      <c r="D13" t="n">
        <v>32</v>
      </c>
      <c r="E13" t="n">
        <v>25.856</v>
      </c>
      <c r="F13" t="n">
        <v>104.799</v>
      </c>
      <c r="G13" t="n">
        <v>214.833</v>
      </c>
      <c r="H13" t="n">
        <v>1682.833</v>
      </c>
      <c r="I13" t="n">
        <v>1526.875</v>
      </c>
      <c r="J13" t="n">
        <v>18.583</v>
      </c>
      <c r="K13" t="n">
        <v>50.735</v>
      </c>
      <c r="L13" t="n">
        <v>225.25</v>
      </c>
      <c r="M13" t="n">
        <v>126.375</v>
      </c>
      <c r="N13" t="n">
        <v>351.625</v>
      </c>
      <c r="O13" t="n">
        <v>70.648</v>
      </c>
      <c r="P13" t="n">
        <v>65.16800000000001</v>
      </c>
      <c r="Q13" t="n">
        <v>80.41500000000001</v>
      </c>
      <c r="R13" t="n">
        <v>64.06</v>
      </c>
      <c r="S13" t="n">
        <v>6.08</v>
      </c>
      <c r="T13" t="n">
        <v>56.667</v>
      </c>
      <c r="U13" t="n">
        <v>40.167</v>
      </c>
      <c r="V13" t="n">
        <v>77.86799999999999</v>
      </c>
      <c r="W13" t="n">
        <v>5959.458</v>
      </c>
      <c r="X13" t="n">
        <v>16.948</v>
      </c>
      <c r="Y13" t="n">
        <v>58.458</v>
      </c>
      <c r="Z13" t="n">
        <v>6.015</v>
      </c>
      <c r="AA13" t="n">
        <v>70.458</v>
      </c>
      <c r="AB13" t="n">
        <v>4.991</v>
      </c>
      <c r="AC13" t="n">
        <v>1.791</v>
      </c>
      <c r="AD13" t="n">
        <v>0.508</v>
      </c>
      <c r="AE13" t="n">
        <v>142.583</v>
      </c>
      <c r="AF13" t="n">
        <v>201.708</v>
      </c>
      <c r="AG13" t="n">
        <v>344.292</v>
      </c>
      <c r="AH13" t="n">
        <v>41.414</v>
      </c>
      <c r="AI13" t="n">
        <v>72.333</v>
      </c>
      <c r="AJ13" t="n">
        <v>96.167</v>
      </c>
      <c r="AK13" t="n">
        <v>18.542</v>
      </c>
      <c r="AL13" t="n">
        <v>32.917</v>
      </c>
      <c r="AM13" t="n">
        <v>63.333</v>
      </c>
      <c r="AN13" t="n">
        <v>93.25</v>
      </c>
      <c r="AO13" t="n">
        <v>65.5</v>
      </c>
      <c r="AP13" t="n">
        <v>9</v>
      </c>
      <c r="AQ13" t="n">
        <v>24.667</v>
      </c>
      <c r="AR13" t="n">
        <v>98.542</v>
      </c>
      <c r="AS13" t="n">
        <v>12.875</v>
      </c>
      <c r="AT13" t="n">
        <v>26.542</v>
      </c>
      <c r="AU13" t="n">
        <v>39.417</v>
      </c>
      <c r="AV13" t="n">
        <v>40.875</v>
      </c>
      <c r="AW13" t="n">
        <v>78.69499999999999</v>
      </c>
      <c r="AX13" t="n">
        <v>92.833</v>
      </c>
      <c r="AY13" t="n">
        <v>12.333</v>
      </c>
      <c r="AZ13" t="n">
        <v>12.333</v>
      </c>
      <c r="BA13" t="n">
        <v>21.765</v>
      </c>
      <c r="BB13" t="n">
        <v>16.542</v>
      </c>
      <c r="BC13" t="n">
        <v>8.5</v>
      </c>
      <c r="BD13" t="n">
        <v>26</v>
      </c>
      <c r="BE13" t="n">
        <v>8.375</v>
      </c>
      <c r="BF13" t="n">
        <v>13.875</v>
      </c>
      <c r="BG13" t="n">
        <v>11.292</v>
      </c>
      <c r="BH13" t="n">
        <v>2.042</v>
      </c>
      <c r="BI13" t="n">
        <v>27.75</v>
      </c>
      <c r="BJ13" t="n">
        <v>9.5</v>
      </c>
      <c r="BK13" t="n">
        <v>50</v>
      </c>
      <c r="BL13" t="n">
        <v>24.485</v>
      </c>
      <c r="BM13" t="n">
        <v>44.412</v>
      </c>
      <c r="BN13" t="n">
        <v>48.971</v>
      </c>
      <c r="BO13" t="n">
        <v>24.833</v>
      </c>
      <c r="BP13" t="n">
        <v>18.958</v>
      </c>
      <c r="BQ13" t="n">
        <v>22.857</v>
      </c>
      <c r="BR13" t="n">
        <v>91.599</v>
      </c>
      <c r="BS13" t="n">
        <v>0.901</v>
      </c>
      <c r="BT13" t="n">
        <v>3.301</v>
      </c>
      <c r="BU13" t="n">
        <v>0.032</v>
      </c>
      <c r="BV13" t="n">
        <v>3.568</v>
      </c>
      <c r="BW13" t="n">
        <v>0.08799999999999999</v>
      </c>
      <c r="BX13" t="n">
        <v>3.023</v>
      </c>
      <c r="BY13" t="n">
        <v>-0.026</v>
      </c>
      <c r="BZ13" t="n">
        <v>3.083</v>
      </c>
      <c r="CA13" t="n">
        <v>38.958</v>
      </c>
      <c r="CB13" t="n">
        <v>52.5</v>
      </c>
      <c r="CC13" t="n">
        <v>31.708</v>
      </c>
      <c r="CD13" t="n">
        <v>48.75</v>
      </c>
      <c r="CE13" t="n">
        <v>14.083</v>
      </c>
      <c r="CF13" t="n">
        <v>20.883</v>
      </c>
      <c r="CG13" t="n">
        <v>21.392</v>
      </c>
      <c r="CH13" t="n">
        <v>8.839</v>
      </c>
      <c r="CI13" t="n">
        <v>29.51</v>
      </c>
      <c r="CJ13" t="n">
        <v>12.058</v>
      </c>
      <c r="CK13" t="n">
        <v>19.917</v>
      </c>
      <c r="CL13" t="n">
        <v>20.502</v>
      </c>
      <c r="CM13" t="n">
        <v>59.417</v>
      </c>
      <c r="CN13" t="n">
        <v>12</v>
      </c>
      <c r="CO13" t="n">
        <v>280.208</v>
      </c>
      <c r="CP13" t="n">
        <v>127.583</v>
      </c>
      <c r="CQ13" t="n">
        <v>36.583</v>
      </c>
      <c r="CR13" t="n">
        <v>92.167</v>
      </c>
      <c r="CS13" t="n">
        <v>32.167</v>
      </c>
      <c r="CT13" t="n">
        <v>34.901</v>
      </c>
      <c r="CU13" t="n">
        <v>10.167</v>
      </c>
      <c r="CV13" t="n">
        <v>31.606</v>
      </c>
      <c r="CW13" t="n">
        <v>3.667</v>
      </c>
      <c r="CX13" t="n">
        <v>20.042</v>
      </c>
      <c r="CY13" t="n">
        <v>20.833</v>
      </c>
      <c r="CZ13" t="n">
        <v>-0.792</v>
      </c>
      <c r="DA13" t="n">
        <v>9.792</v>
      </c>
      <c r="DB13" t="n">
        <v>80.851</v>
      </c>
      <c r="DC13" t="n">
        <v>2.417</v>
      </c>
      <c r="DD13" t="n">
        <v>50</v>
      </c>
      <c r="DE13" t="n">
        <v>69.667</v>
      </c>
      <c r="DF13" t="n">
        <v>193.546</v>
      </c>
      <c r="DG13" t="n">
        <v>1617.375</v>
      </c>
      <c r="DH13" t="n">
        <v>1477.042</v>
      </c>
      <c r="DI13" t="n">
        <v>11.417</v>
      </c>
      <c r="DJ13" t="n">
        <v>209.708</v>
      </c>
      <c r="DK13" t="n">
        <v>144.708</v>
      </c>
      <c r="DL13" t="n">
        <v>354.417</v>
      </c>
      <c r="DM13" t="n">
        <v>71.432</v>
      </c>
      <c r="DN13" t="n">
        <v>65.20999999999999</v>
      </c>
      <c r="DO13" t="n">
        <v>80.449</v>
      </c>
      <c r="DP13" t="n">
        <v>5.965</v>
      </c>
      <c r="DQ13" t="n">
        <v>51.583</v>
      </c>
      <c r="DR13" t="n">
        <v>41.667</v>
      </c>
      <c r="DS13" t="n">
        <v>73.529</v>
      </c>
      <c r="DT13" t="n">
        <v>5676.708</v>
      </c>
      <c r="DU13" t="n">
        <v>16.017</v>
      </c>
      <c r="DV13" t="n">
        <v>60.292</v>
      </c>
      <c r="DW13" t="n">
        <v>5.878</v>
      </c>
      <c r="DX13" t="n">
        <v>72.125</v>
      </c>
      <c r="DY13" t="n">
        <v>4.914</v>
      </c>
      <c r="DZ13" t="n">
        <v>-2.293</v>
      </c>
      <c r="EA13" t="n">
        <v>-2.059</v>
      </c>
      <c r="EB13" t="n">
        <v>139.792</v>
      </c>
      <c r="EC13" t="n">
        <v>208.208</v>
      </c>
      <c r="ED13" t="n">
        <v>348</v>
      </c>
      <c r="EE13" t="n">
        <v>40.17</v>
      </c>
      <c r="EF13" t="n">
        <v>70.708</v>
      </c>
      <c r="EG13" t="n">
        <v>90.042</v>
      </c>
      <c r="EH13" t="n">
        <v>14.083</v>
      </c>
      <c r="EI13" t="n">
        <v>31.958</v>
      </c>
      <c r="EJ13" t="n">
        <v>58.125</v>
      </c>
      <c r="EK13" t="n">
        <v>88.958</v>
      </c>
      <c r="EL13" t="n">
        <v>60.667</v>
      </c>
      <c r="EM13" t="n">
        <v>10.833</v>
      </c>
      <c r="EN13" t="n">
        <v>22.875</v>
      </c>
      <c r="EO13" t="n">
        <v>112.458</v>
      </c>
      <c r="EP13" t="n">
        <v>12.167</v>
      </c>
      <c r="EQ13" t="n">
        <v>25.042</v>
      </c>
      <c r="ER13" t="n">
        <v>37.208</v>
      </c>
      <c r="ES13" t="n">
        <v>42.125</v>
      </c>
      <c r="ET13" t="n">
        <v>74.679</v>
      </c>
      <c r="EU13" t="n">
        <v>84.542</v>
      </c>
      <c r="EV13" t="n">
        <v>11.5</v>
      </c>
      <c r="EW13" t="n">
        <v>11.25</v>
      </c>
      <c r="EX13" t="n">
        <v>21.809</v>
      </c>
      <c r="EY13" t="n">
        <v>16.333</v>
      </c>
      <c r="EZ13" t="n">
        <v>7.875</v>
      </c>
      <c r="FA13" t="n">
        <v>10.625</v>
      </c>
      <c r="FB13" t="n">
        <v>10.042</v>
      </c>
      <c r="FC13" t="n">
        <v>1.625</v>
      </c>
      <c r="FD13" t="n">
        <v>22.875</v>
      </c>
      <c r="FE13" t="n">
        <v>7.583</v>
      </c>
      <c r="FF13" t="n">
        <v>46.448</v>
      </c>
      <c r="FG13" t="n">
        <v>20.598</v>
      </c>
      <c r="FH13" t="n">
        <v>40.065</v>
      </c>
      <c r="FI13" t="n">
        <v>44.346</v>
      </c>
      <c r="FJ13" t="n">
        <v>20.5</v>
      </c>
      <c r="FK13" t="n">
        <v>71.678</v>
      </c>
      <c r="FL13" t="n">
        <v>0.489</v>
      </c>
      <c r="FM13" t="n">
        <v>3.133</v>
      </c>
      <c r="FN13" t="n">
        <v>0.021</v>
      </c>
      <c r="FO13" t="n">
        <v>3.376</v>
      </c>
      <c r="FP13" t="n">
        <v>-0.014</v>
      </c>
      <c r="FQ13" t="n">
        <v>2.833</v>
      </c>
      <c r="FR13" t="n">
        <v>0.065</v>
      </c>
      <c r="FS13" t="n">
        <v>2.333</v>
      </c>
      <c r="FT13" t="n">
        <v>27.458</v>
      </c>
      <c r="FU13" t="n">
        <v>44</v>
      </c>
      <c r="FV13" t="n">
        <v>25.875</v>
      </c>
      <c r="FW13" t="n">
        <v>39.083</v>
      </c>
      <c r="FX13" t="n">
        <v>8.833</v>
      </c>
      <c r="FY13" t="n">
        <v>17.534</v>
      </c>
      <c r="FZ13" t="n">
        <v>19.883</v>
      </c>
      <c r="GA13" t="n">
        <v>7.61</v>
      </c>
      <c r="GB13" t="n">
        <v>28.223</v>
      </c>
      <c r="GC13" t="n">
        <v>10.529</v>
      </c>
      <c r="GD13" t="n">
        <v>57.833</v>
      </c>
      <c r="GE13" t="n">
        <v>9.833</v>
      </c>
      <c r="GF13" t="n">
        <v>275.792</v>
      </c>
      <c r="GG13" t="n">
        <v>139.792</v>
      </c>
      <c r="GH13" t="n">
        <v>31.417</v>
      </c>
      <c r="GI13" t="n">
        <v>40.417</v>
      </c>
      <c r="GJ13" t="n">
        <v>43.891</v>
      </c>
      <c r="GK13" t="n">
        <v>12.208</v>
      </c>
      <c r="GL13" t="n">
        <v>30.206</v>
      </c>
      <c r="GM13" t="n">
        <v>3.833</v>
      </c>
      <c r="GN13" t="n">
        <v>11.083</v>
      </c>
      <c r="GO13" t="n">
        <v>81.57899999999999</v>
      </c>
      <c r="GP13" t="n">
        <v>6.25</v>
      </c>
      <c r="GQ13" t="n">
        <v>49.375</v>
      </c>
      <c r="GR13" t="n">
        <v>73.333</v>
      </c>
      <c r="GS13" t="n">
        <v>21.288</v>
      </c>
      <c r="GT13" t="n">
        <v>65.458</v>
      </c>
      <c r="GU13" t="n">
        <v>49.833</v>
      </c>
      <c r="GV13" t="n">
        <v>7.167</v>
      </c>
      <c r="GW13" t="n">
        <v>15.542</v>
      </c>
      <c r="GX13" t="n">
        <v>-18.333</v>
      </c>
      <c r="GY13" t="n">
        <v>-2.792</v>
      </c>
      <c r="GZ13" t="n">
        <v>5.083</v>
      </c>
      <c r="HA13" t="n">
        <v>282.75</v>
      </c>
      <c r="HB13" t="n">
        <v>-1.833</v>
      </c>
      <c r="HC13" t="n">
        <v>-1.667</v>
      </c>
      <c r="HD13" t="n">
        <v>4.084</v>
      </c>
      <c r="HE13" t="n">
        <v>2.567</v>
      </c>
      <c r="HF13" t="n">
        <v>2.792</v>
      </c>
      <c r="HG13" t="n">
        <v>-6.5</v>
      </c>
      <c r="HH13" t="n">
        <v>-3.708</v>
      </c>
      <c r="HI13" t="n">
        <v>1.625</v>
      </c>
      <c r="HJ13" t="n">
        <v>6.125</v>
      </c>
      <c r="HK13" t="n">
        <v>4.458</v>
      </c>
      <c r="HL13" t="n">
        <v>0.958</v>
      </c>
      <c r="HM13" t="n">
        <v>5.208</v>
      </c>
      <c r="HN13" t="n">
        <v>4.292</v>
      </c>
      <c r="HO13" t="n">
        <v>4.833</v>
      </c>
      <c r="HP13" t="n">
        <v>-1.833</v>
      </c>
      <c r="HQ13" t="n">
        <v>1.792</v>
      </c>
      <c r="HR13" t="n">
        <v>-13.917</v>
      </c>
      <c r="HS13" t="n">
        <v>0.708</v>
      </c>
      <c r="HT13" t="n">
        <v>1.5</v>
      </c>
      <c r="HU13" t="n">
        <v>2.208</v>
      </c>
      <c r="HV13" t="n">
        <v>-1.25</v>
      </c>
      <c r="HW13" t="n">
        <v>8.292</v>
      </c>
      <c r="HX13" t="n">
        <v>0.833</v>
      </c>
      <c r="HY13" t="n">
        <v>1.083</v>
      </c>
      <c r="HZ13" t="n">
        <v>0.208</v>
      </c>
      <c r="IA13" t="n">
        <v>0.625</v>
      </c>
      <c r="IB13" t="n">
        <v>3.25</v>
      </c>
      <c r="IC13" t="n">
        <v>1.25</v>
      </c>
      <c r="ID13" t="n">
        <v>4.875</v>
      </c>
      <c r="IE13" t="n">
        <v>1.917</v>
      </c>
      <c r="IF13" t="n">
        <v>4.333</v>
      </c>
      <c r="IG13" t="n">
        <v>19.921</v>
      </c>
      <c r="IH13" t="n">
        <v>0.413</v>
      </c>
      <c r="II13" t="n">
        <v>0.167</v>
      </c>
      <c r="IJ13" t="n">
        <v>0.75</v>
      </c>
      <c r="IK13" t="n">
        <v>11.5</v>
      </c>
      <c r="IL13" t="n">
        <v>8.5</v>
      </c>
      <c r="IM13" t="n">
        <v>5.833</v>
      </c>
      <c r="IN13" t="n">
        <v>9.667</v>
      </c>
      <c r="IO13" t="n">
        <v>5.25</v>
      </c>
      <c r="IP13" t="n">
        <v>1.583</v>
      </c>
      <c r="IQ13" t="n">
        <v>2.167</v>
      </c>
      <c r="IR13" t="n">
        <v>4.417</v>
      </c>
      <c r="IS13" t="n">
        <v>-12.208</v>
      </c>
      <c r="IT13" t="n">
        <v>5.167</v>
      </c>
      <c r="IU13" t="n">
        <v>-8.25</v>
      </c>
      <c r="IV13" t="n">
        <v>-2.042</v>
      </c>
      <c r="IW13" t="n">
        <v>-0.167</v>
      </c>
      <c r="IX13" t="n">
        <v>-3.833</v>
      </c>
      <c r="IY13" t="n">
        <v>0.625</v>
      </c>
      <c r="IZ13" t="n">
        <v>-3.667</v>
      </c>
    </row>
    <row r="14">
      <c r="A14" t="inlineStr">
        <is>
          <t>North Melbourne</t>
        </is>
      </c>
      <c r="B14" t="inlineStr">
        <is>
          <t>NM</t>
        </is>
      </c>
      <c r="C14" t="n">
        <v>22</v>
      </c>
      <c r="D14" t="n">
        <v>38</v>
      </c>
      <c r="E14" t="n">
        <v>24.634</v>
      </c>
      <c r="F14" t="n">
        <v>82.36199999999999</v>
      </c>
      <c r="G14" t="n">
        <v>177.655</v>
      </c>
      <c r="H14" t="n">
        <v>1556.773</v>
      </c>
      <c r="I14" t="n">
        <v>1502.273</v>
      </c>
      <c r="J14" t="n">
        <v>9.364000000000001</v>
      </c>
      <c r="K14" t="n">
        <v>46.278</v>
      </c>
      <c r="L14" t="n">
        <v>213.182</v>
      </c>
      <c r="M14" t="n">
        <v>142.955</v>
      </c>
      <c r="N14" t="n">
        <v>356.136</v>
      </c>
      <c r="O14" t="n">
        <v>74.23099999999999</v>
      </c>
      <c r="P14" t="n">
        <v>68.06</v>
      </c>
      <c r="Q14" t="n">
        <v>83.434</v>
      </c>
      <c r="R14" t="n">
        <v>59.86</v>
      </c>
      <c r="S14" t="n">
        <v>6.497</v>
      </c>
      <c r="T14" t="n">
        <v>47.318</v>
      </c>
      <c r="U14" t="n">
        <v>40.364</v>
      </c>
      <c r="V14" t="n">
        <v>73.571</v>
      </c>
      <c r="W14" t="n">
        <v>5352</v>
      </c>
      <c r="X14" t="n">
        <v>14.958</v>
      </c>
      <c r="Y14" t="n">
        <v>60.045</v>
      </c>
      <c r="Z14" t="n">
        <v>5.931</v>
      </c>
      <c r="AA14" t="n">
        <v>69.545</v>
      </c>
      <c r="AB14" t="n">
        <v>5.121</v>
      </c>
      <c r="AC14" t="n">
        <v>-2.417</v>
      </c>
      <c r="AD14" t="n">
        <v>-0.541</v>
      </c>
      <c r="AE14" t="n">
        <v>123.091</v>
      </c>
      <c r="AF14" t="n">
        <v>226.409</v>
      </c>
      <c r="AG14" t="n">
        <v>349.5</v>
      </c>
      <c r="AH14" t="n">
        <v>35.219</v>
      </c>
      <c r="AI14" t="n">
        <v>64.727</v>
      </c>
      <c r="AJ14" t="n">
        <v>82.273</v>
      </c>
      <c r="AK14" t="n">
        <v>11.5</v>
      </c>
      <c r="AL14" t="n">
        <v>29.273</v>
      </c>
      <c r="AM14" t="n">
        <v>52.955</v>
      </c>
      <c r="AN14" t="n">
        <v>80.455</v>
      </c>
      <c r="AO14" t="n">
        <v>57</v>
      </c>
      <c r="AP14" t="n">
        <v>10.364</v>
      </c>
      <c r="AQ14" t="n">
        <v>21.5</v>
      </c>
      <c r="AR14" t="n">
        <v>116.045</v>
      </c>
      <c r="AS14" t="n">
        <v>12.409</v>
      </c>
      <c r="AT14" t="n">
        <v>20.591</v>
      </c>
      <c r="AU14" t="n">
        <v>33</v>
      </c>
      <c r="AV14" t="n">
        <v>34.864</v>
      </c>
      <c r="AW14" t="n">
        <v>80.313</v>
      </c>
      <c r="AX14" t="n">
        <v>99.773</v>
      </c>
      <c r="AY14" t="n">
        <v>9.135999999999999</v>
      </c>
      <c r="AZ14" t="n">
        <v>10.455</v>
      </c>
      <c r="BA14" t="n">
        <v>22.094</v>
      </c>
      <c r="BB14" t="n">
        <v>13.636</v>
      </c>
      <c r="BC14" t="n">
        <v>7.955</v>
      </c>
      <c r="BD14" t="n">
        <v>26</v>
      </c>
      <c r="BE14" t="n">
        <v>6.136</v>
      </c>
      <c r="BF14" t="n">
        <v>9.545</v>
      </c>
      <c r="BG14" t="n">
        <v>9</v>
      </c>
      <c r="BH14" t="n">
        <v>2</v>
      </c>
      <c r="BI14" t="n">
        <v>21.045</v>
      </c>
      <c r="BJ14" t="n">
        <v>7.091</v>
      </c>
      <c r="BK14" t="n">
        <v>45.356</v>
      </c>
      <c r="BL14" t="n">
        <v>20.173</v>
      </c>
      <c r="BM14" t="n">
        <v>39.193</v>
      </c>
      <c r="BN14" t="n">
        <v>44.476</v>
      </c>
      <c r="BO14" t="n">
        <v>18.364</v>
      </c>
      <c r="BP14" t="n">
        <v>13.091</v>
      </c>
      <c r="BQ14" t="n">
        <v>25.694</v>
      </c>
      <c r="BR14" t="n">
        <v>68.14700000000001</v>
      </c>
      <c r="BS14" t="n">
        <v>-3.874</v>
      </c>
      <c r="BT14" t="n">
        <v>3.238</v>
      </c>
      <c r="BU14" t="n">
        <v>-0.184</v>
      </c>
      <c r="BV14" t="n">
        <v>3.486</v>
      </c>
      <c r="BW14" t="n">
        <v>-0.143</v>
      </c>
      <c r="BX14" t="n">
        <v>2.906</v>
      </c>
      <c r="BY14" t="n">
        <v>-0.239</v>
      </c>
      <c r="BZ14" t="n">
        <v>2.636</v>
      </c>
      <c r="CA14" t="n">
        <v>21.455</v>
      </c>
      <c r="CB14" t="n">
        <v>42.182</v>
      </c>
      <c r="CC14" t="n">
        <v>30.045</v>
      </c>
      <c r="CD14" t="n">
        <v>28.318</v>
      </c>
      <c r="CE14" t="n">
        <v>7.909</v>
      </c>
      <c r="CF14" t="n">
        <v>16.947</v>
      </c>
      <c r="CG14" t="n">
        <v>20.217</v>
      </c>
      <c r="CH14" t="n">
        <v>8.17</v>
      </c>
      <c r="CI14" t="n">
        <v>28.42</v>
      </c>
      <c r="CJ14" t="n">
        <v>11.001</v>
      </c>
      <c r="CK14" t="n">
        <v>16.455</v>
      </c>
      <c r="CL14" t="n">
        <v>28.729</v>
      </c>
      <c r="CM14" t="n">
        <v>52.727</v>
      </c>
      <c r="CN14" t="n">
        <v>8.227</v>
      </c>
      <c r="CO14" t="n">
        <v>295.818</v>
      </c>
      <c r="CP14" t="n">
        <v>144.5</v>
      </c>
      <c r="CQ14" t="n">
        <v>32.409</v>
      </c>
      <c r="CR14" t="n">
        <v>80.955</v>
      </c>
      <c r="CS14" t="n">
        <v>38.909</v>
      </c>
      <c r="CT14" t="n">
        <v>48.063</v>
      </c>
      <c r="CU14" t="n">
        <v>11.136</v>
      </c>
      <c r="CV14" t="n">
        <v>28.621</v>
      </c>
      <c r="CW14" t="n">
        <v>1.409</v>
      </c>
      <c r="CX14" t="n">
        <v>19.591</v>
      </c>
      <c r="CY14" t="n">
        <v>18.818</v>
      </c>
      <c r="CZ14" t="n">
        <v>0.773</v>
      </c>
      <c r="DA14" t="n">
        <v>12.591</v>
      </c>
      <c r="DB14" t="n">
        <v>87.726</v>
      </c>
      <c r="DC14" t="n">
        <v>5.182</v>
      </c>
      <c r="DD14" t="n">
        <v>43.818</v>
      </c>
      <c r="DE14" t="n">
        <v>72.227</v>
      </c>
      <c r="DF14" t="n">
        <v>210.395</v>
      </c>
      <c r="DG14" t="n">
        <v>1743.182</v>
      </c>
      <c r="DH14" t="n">
        <v>1591.318</v>
      </c>
      <c r="DI14" t="n">
        <v>20.636</v>
      </c>
      <c r="DJ14" t="n">
        <v>224.909</v>
      </c>
      <c r="DK14" t="n">
        <v>155.636</v>
      </c>
      <c r="DL14" t="n">
        <v>380.545</v>
      </c>
      <c r="DM14" t="n">
        <v>74.59399999999999</v>
      </c>
      <c r="DN14" t="n">
        <v>67.664</v>
      </c>
      <c r="DO14" t="n">
        <v>84.60899999999999</v>
      </c>
      <c r="DP14" t="n">
        <v>7.217</v>
      </c>
      <c r="DQ14" t="n">
        <v>54.864</v>
      </c>
      <c r="DR14" t="n">
        <v>37.182</v>
      </c>
      <c r="DS14" t="n">
        <v>78.578</v>
      </c>
      <c r="DT14" t="n">
        <v>5737.381</v>
      </c>
      <c r="DU14" t="n">
        <v>15.192</v>
      </c>
      <c r="DV14" t="n">
        <v>54.045</v>
      </c>
      <c r="DW14" t="n">
        <v>7.041</v>
      </c>
      <c r="DX14" t="n">
        <v>64.59099999999999</v>
      </c>
      <c r="DY14" t="n">
        <v>5.892</v>
      </c>
      <c r="DZ14" t="n">
        <v>3.634</v>
      </c>
      <c r="EA14" t="n">
        <v>2.29</v>
      </c>
      <c r="EB14" t="n">
        <v>133.955</v>
      </c>
      <c r="EC14" t="n">
        <v>243.409</v>
      </c>
      <c r="ED14" t="n">
        <v>377.364</v>
      </c>
      <c r="EE14" t="n">
        <v>35.497</v>
      </c>
      <c r="EF14" t="n">
        <v>69.727</v>
      </c>
      <c r="EG14" t="n">
        <v>91.727</v>
      </c>
      <c r="EH14" t="n">
        <v>16.818</v>
      </c>
      <c r="EI14" t="n">
        <v>32.364</v>
      </c>
      <c r="EJ14" t="n">
        <v>59.364</v>
      </c>
      <c r="EK14" t="n">
        <v>89.773</v>
      </c>
      <c r="EL14" t="n">
        <v>63</v>
      </c>
      <c r="EM14" t="n">
        <v>8.455</v>
      </c>
      <c r="EN14" t="n">
        <v>23.591</v>
      </c>
      <c r="EO14" t="n">
        <v>128.182</v>
      </c>
      <c r="EP14" t="n">
        <v>11.591</v>
      </c>
      <c r="EQ14" t="n">
        <v>22.545</v>
      </c>
      <c r="ER14" t="n">
        <v>34.136</v>
      </c>
      <c r="ES14" t="n">
        <v>36.682</v>
      </c>
      <c r="ET14" t="n">
        <v>79.306</v>
      </c>
      <c r="EU14" t="n">
        <v>101.682</v>
      </c>
      <c r="EV14" t="n">
        <v>11.091</v>
      </c>
      <c r="EW14" t="n">
        <v>14.273</v>
      </c>
      <c r="EX14" t="n">
        <v>26.015</v>
      </c>
      <c r="EY14" t="n">
        <v>16.682</v>
      </c>
      <c r="EZ14" t="n">
        <v>10.818</v>
      </c>
      <c r="FA14" t="n">
        <v>13.591</v>
      </c>
      <c r="FB14" t="n">
        <v>12.773</v>
      </c>
      <c r="FC14" t="n">
        <v>2.136</v>
      </c>
      <c r="FD14" t="n">
        <v>29.182</v>
      </c>
      <c r="FE14" t="n">
        <v>8.955</v>
      </c>
      <c r="FF14" t="n">
        <v>46.573</v>
      </c>
      <c r="FG14" t="n">
        <v>24.772</v>
      </c>
      <c r="FH14" t="n">
        <v>48.053</v>
      </c>
      <c r="FI14" t="n">
        <v>53.19</v>
      </c>
      <c r="FJ14" t="n">
        <v>26.318</v>
      </c>
      <c r="FK14" t="n">
        <v>94.495</v>
      </c>
      <c r="FL14" t="n">
        <v>-2.313</v>
      </c>
      <c r="FM14" t="n">
        <v>3.238</v>
      </c>
      <c r="FN14" t="n">
        <v>-0.079</v>
      </c>
      <c r="FO14" t="n">
        <v>3.564</v>
      </c>
      <c r="FP14" t="n">
        <v>-0.103</v>
      </c>
      <c r="FQ14" t="n">
        <v>2.86</v>
      </c>
      <c r="FR14" t="n">
        <v>-0.052</v>
      </c>
      <c r="FS14" t="n">
        <v>6.045</v>
      </c>
      <c r="FT14" t="n">
        <v>36.591</v>
      </c>
      <c r="FU14" t="n">
        <v>51.682</v>
      </c>
      <c r="FV14" t="n">
        <v>36.273</v>
      </c>
      <c r="FW14" t="n">
        <v>45.136</v>
      </c>
      <c r="FX14" t="n">
        <v>12.909</v>
      </c>
      <c r="FY14" t="n">
        <v>23.866</v>
      </c>
      <c r="FZ14" t="n">
        <v>24.818</v>
      </c>
      <c r="GA14" t="n">
        <v>11.38</v>
      </c>
      <c r="GB14" t="n">
        <v>33.097</v>
      </c>
      <c r="GC14" t="n">
        <v>14.448</v>
      </c>
      <c r="GD14" t="n">
        <v>54.818</v>
      </c>
      <c r="GE14" t="n">
        <v>10.318</v>
      </c>
      <c r="GF14" t="n">
        <v>278.727</v>
      </c>
      <c r="GG14" t="n">
        <v>117.455</v>
      </c>
      <c r="GH14" t="n">
        <v>28.091</v>
      </c>
      <c r="GI14" t="n">
        <v>28.773</v>
      </c>
      <c r="GJ14" t="n">
        <v>35.522</v>
      </c>
      <c r="GK14" t="n">
        <v>9.135999999999999</v>
      </c>
      <c r="GL14" t="n">
        <v>31.754</v>
      </c>
      <c r="GM14" t="n">
        <v>1.273</v>
      </c>
      <c r="GN14" t="n">
        <v>8.955</v>
      </c>
      <c r="GO14" t="n">
        <v>81.218</v>
      </c>
      <c r="GP14" t="n">
        <v>7.409</v>
      </c>
      <c r="GQ14" t="n">
        <v>45.5</v>
      </c>
      <c r="GR14" t="n">
        <v>72.818</v>
      </c>
      <c r="GS14" t="n">
        <v>-32.741</v>
      </c>
      <c r="GT14" t="n">
        <v>-186.409</v>
      </c>
      <c r="GU14" t="n">
        <v>-89.045</v>
      </c>
      <c r="GV14" t="n">
        <v>-11.273</v>
      </c>
      <c r="GW14" t="n">
        <v>-11.727</v>
      </c>
      <c r="GX14" t="n">
        <v>-12.682</v>
      </c>
      <c r="GY14" t="n">
        <v>-24.409</v>
      </c>
      <c r="GZ14" t="n">
        <v>-7.545</v>
      </c>
      <c r="HA14" t="n">
        <v>-385.381</v>
      </c>
      <c r="HB14" t="n">
        <v>6</v>
      </c>
      <c r="HC14" t="n">
        <v>4.955</v>
      </c>
      <c r="HD14" t="n">
        <v>-6.051</v>
      </c>
      <c r="HE14" t="n">
        <v>-2.83</v>
      </c>
      <c r="HF14" t="n">
        <v>-10.864</v>
      </c>
      <c r="HG14" t="n">
        <v>-17</v>
      </c>
      <c r="HH14" t="n">
        <v>-27.864</v>
      </c>
      <c r="HI14" t="n">
        <v>-5</v>
      </c>
      <c r="HJ14" t="n">
        <v>-9.455</v>
      </c>
      <c r="HK14" t="n">
        <v>-5.318</v>
      </c>
      <c r="HL14" t="n">
        <v>-3.091</v>
      </c>
      <c r="HM14" t="n">
        <v>-6.409</v>
      </c>
      <c r="HN14" t="n">
        <v>-9.318</v>
      </c>
      <c r="HO14" t="n">
        <v>-6</v>
      </c>
      <c r="HP14" t="n">
        <v>1.909</v>
      </c>
      <c r="HQ14" t="n">
        <v>-2.091</v>
      </c>
      <c r="HR14" t="n">
        <v>-12.136</v>
      </c>
      <c r="HS14" t="n">
        <v>0.8179999999999999</v>
      </c>
      <c r="HT14" t="n">
        <v>-1.955</v>
      </c>
      <c r="HU14" t="n">
        <v>-1.136</v>
      </c>
      <c r="HV14" t="n">
        <v>-1.818</v>
      </c>
      <c r="HW14" t="n">
        <v>-1.909</v>
      </c>
      <c r="HX14" t="n">
        <v>-1.955</v>
      </c>
      <c r="HY14" t="n">
        <v>-3.818</v>
      </c>
      <c r="HZ14" t="n">
        <v>-3.045</v>
      </c>
      <c r="IA14" t="n">
        <v>-2.864</v>
      </c>
      <c r="IB14" t="n">
        <v>-4.045</v>
      </c>
      <c r="IC14" t="n">
        <v>-3.773</v>
      </c>
      <c r="ID14" t="n">
        <v>-8.135999999999999</v>
      </c>
      <c r="IE14" t="n">
        <v>-1.864</v>
      </c>
      <c r="IF14" t="n">
        <v>-7.955</v>
      </c>
      <c r="IG14" t="n">
        <v>-26.348</v>
      </c>
      <c r="IH14" t="n">
        <v>-1.561</v>
      </c>
      <c r="II14" t="n">
        <v>0</v>
      </c>
      <c r="IJ14" t="n">
        <v>-3.409</v>
      </c>
      <c r="IK14" t="n">
        <v>-15.136</v>
      </c>
      <c r="IL14" t="n">
        <v>-9.5</v>
      </c>
      <c r="IM14" t="n">
        <v>-6.227</v>
      </c>
      <c r="IN14" t="n">
        <v>-16.818</v>
      </c>
      <c r="IO14" t="n">
        <v>-5</v>
      </c>
      <c r="IP14" t="n">
        <v>-2.091</v>
      </c>
      <c r="IQ14" t="n">
        <v>-2.091</v>
      </c>
      <c r="IR14" t="n">
        <v>17.091</v>
      </c>
      <c r="IS14" t="n">
        <v>27.045</v>
      </c>
      <c r="IT14" t="n">
        <v>4.318</v>
      </c>
      <c r="IU14" t="n">
        <v>10.136</v>
      </c>
      <c r="IV14" t="n">
        <v>2</v>
      </c>
      <c r="IW14" t="n">
        <v>0.136</v>
      </c>
      <c r="IX14" t="n">
        <v>-2.227</v>
      </c>
      <c r="IY14" t="n">
        <v>-1.682</v>
      </c>
      <c r="IZ14" t="n">
        <v>-0.591</v>
      </c>
    </row>
    <row r="15">
      <c r="A15" t="inlineStr">
        <is>
          <t>Port Adelaide</t>
        </is>
      </c>
      <c r="B15" t="inlineStr">
        <is>
          <t>Port</t>
        </is>
      </c>
      <c r="C15" t="n">
        <v>24</v>
      </c>
      <c r="D15" t="n">
        <v>35</v>
      </c>
      <c r="E15" t="n">
        <v>25.625</v>
      </c>
      <c r="F15" t="n">
        <v>99.373</v>
      </c>
      <c r="G15" t="n">
        <v>206.475</v>
      </c>
      <c r="H15" t="n">
        <v>1729.042</v>
      </c>
      <c r="I15" t="n">
        <v>1602.542</v>
      </c>
      <c r="J15" t="n">
        <v>19.042</v>
      </c>
      <c r="K15" t="n">
        <v>51.46</v>
      </c>
      <c r="L15" t="n">
        <v>226.958</v>
      </c>
      <c r="M15" t="n">
        <v>155.458</v>
      </c>
      <c r="N15" t="n">
        <v>382.417</v>
      </c>
      <c r="O15" t="n">
        <v>73.524</v>
      </c>
      <c r="P15" t="n">
        <v>67.009</v>
      </c>
      <c r="Q15" t="n">
        <v>83.03400000000001</v>
      </c>
      <c r="R15" t="n">
        <v>59.348</v>
      </c>
      <c r="S15" t="n">
        <v>6.809</v>
      </c>
      <c r="T15" t="n">
        <v>53.708</v>
      </c>
      <c r="U15" t="n">
        <v>39.125</v>
      </c>
      <c r="V15" t="n">
        <v>79.107</v>
      </c>
      <c r="W15" t="n">
        <v>5834.25</v>
      </c>
      <c r="X15" t="n">
        <v>15.256</v>
      </c>
      <c r="Y15" t="n">
        <v>59.292</v>
      </c>
      <c r="Z15" t="n">
        <v>6.45</v>
      </c>
      <c r="AA15" t="n">
        <v>72.75</v>
      </c>
      <c r="AB15" t="n">
        <v>5.257</v>
      </c>
      <c r="AC15" t="n">
        <v>-1.041</v>
      </c>
      <c r="AD15" t="n">
        <v>-0.298</v>
      </c>
      <c r="AE15" t="n">
        <v>144</v>
      </c>
      <c r="AF15" t="n">
        <v>228.792</v>
      </c>
      <c r="AG15" t="n">
        <v>372.792</v>
      </c>
      <c r="AH15" t="n">
        <v>38.627</v>
      </c>
      <c r="AI15" t="n">
        <v>72.833</v>
      </c>
      <c r="AJ15" t="n">
        <v>95.542</v>
      </c>
      <c r="AK15" t="n">
        <v>15.917</v>
      </c>
      <c r="AL15" t="n">
        <v>32.75</v>
      </c>
      <c r="AM15" t="n">
        <v>62.917</v>
      </c>
      <c r="AN15" t="n">
        <v>96.042</v>
      </c>
      <c r="AO15" t="n">
        <v>65.667</v>
      </c>
      <c r="AP15" t="n">
        <v>9.792</v>
      </c>
      <c r="AQ15" t="n">
        <v>25.125</v>
      </c>
      <c r="AR15" t="n">
        <v>125.375</v>
      </c>
      <c r="AS15" t="n">
        <v>11.625</v>
      </c>
      <c r="AT15" t="n">
        <v>23.583</v>
      </c>
      <c r="AU15" t="n">
        <v>35.208</v>
      </c>
      <c r="AV15" t="n">
        <v>39.75</v>
      </c>
      <c r="AW15" t="n">
        <v>74.004</v>
      </c>
      <c r="AX15" t="n">
        <v>94.375</v>
      </c>
      <c r="AY15" t="n">
        <v>13.5</v>
      </c>
      <c r="AZ15" t="n">
        <v>12.042</v>
      </c>
      <c r="BA15" t="n">
        <v>22.42</v>
      </c>
      <c r="BB15" t="n">
        <v>16.417</v>
      </c>
      <c r="BC15" t="n">
        <v>6.875</v>
      </c>
      <c r="BD15" t="n">
        <v>27</v>
      </c>
      <c r="BE15" t="n">
        <v>7.583</v>
      </c>
      <c r="BF15" t="n">
        <v>12.25</v>
      </c>
      <c r="BG15" t="n">
        <v>10.458</v>
      </c>
      <c r="BH15" t="n">
        <v>1.583</v>
      </c>
      <c r="BI15" t="n">
        <v>25.5</v>
      </c>
      <c r="BJ15" t="n">
        <v>9</v>
      </c>
      <c r="BK15" t="n">
        <v>48.039</v>
      </c>
      <c r="BL15" t="n">
        <v>22.808</v>
      </c>
      <c r="BM15" t="n">
        <v>42.281</v>
      </c>
      <c r="BN15" t="n">
        <v>47.479</v>
      </c>
      <c r="BO15" t="n">
        <v>22.542</v>
      </c>
      <c r="BP15" t="n">
        <v>18.792</v>
      </c>
      <c r="BQ15" t="n">
        <v>30.155</v>
      </c>
      <c r="BR15" t="n">
        <v>82.61799999999999</v>
      </c>
      <c r="BS15" t="n">
        <v>-0.243</v>
      </c>
      <c r="BT15" t="n">
        <v>3.24</v>
      </c>
      <c r="BU15" t="n">
        <v>-0.01</v>
      </c>
      <c r="BV15" t="n">
        <v>3.565</v>
      </c>
      <c r="BW15" t="n">
        <v>-0.046</v>
      </c>
      <c r="BX15" t="n">
        <v>2.841</v>
      </c>
      <c r="BY15" t="n">
        <v>0.035</v>
      </c>
      <c r="BZ15" t="n">
        <v>3.25</v>
      </c>
      <c r="CA15" t="n">
        <v>30.708</v>
      </c>
      <c r="CB15" t="n">
        <v>50</v>
      </c>
      <c r="CC15" t="n">
        <v>32.833</v>
      </c>
      <c r="CD15" t="n">
        <v>41.208</v>
      </c>
      <c r="CE15" t="n">
        <v>9.917</v>
      </c>
      <c r="CF15" t="n">
        <v>19.362</v>
      </c>
      <c r="CG15" t="n">
        <v>20.757</v>
      </c>
      <c r="CH15" t="n">
        <v>8.432</v>
      </c>
      <c r="CI15" t="n">
        <v>29.661</v>
      </c>
      <c r="CJ15" t="n">
        <v>11.387</v>
      </c>
      <c r="CK15" t="n">
        <v>19.542</v>
      </c>
      <c r="CL15" t="n">
        <v>25.586</v>
      </c>
      <c r="CM15" t="n">
        <v>61.917</v>
      </c>
      <c r="CN15" t="n">
        <v>10.875</v>
      </c>
      <c r="CO15" t="n">
        <v>295.583</v>
      </c>
      <c r="CP15" t="n">
        <v>132.958</v>
      </c>
      <c r="CQ15" t="n">
        <v>33</v>
      </c>
      <c r="CR15" t="n">
        <v>83.917</v>
      </c>
      <c r="CS15" t="n">
        <v>35.917</v>
      </c>
      <c r="CT15" t="n">
        <v>42.8</v>
      </c>
      <c r="CU15" t="n">
        <v>10.458</v>
      </c>
      <c r="CV15" t="n">
        <v>29.118</v>
      </c>
      <c r="CW15" t="n">
        <v>2.125</v>
      </c>
      <c r="CX15" t="n">
        <v>20.292</v>
      </c>
      <c r="CY15" t="n">
        <v>19.583</v>
      </c>
      <c r="CZ15" t="n">
        <v>0.708</v>
      </c>
      <c r="DA15" t="n">
        <v>10.542</v>
      </c>
      <c r="DB15" t="n">
        <v>88.538</v>
      </c>
      <c r="DC15" t="n">
        <v>3.5</v>
      </c>
      <c r="DD15" t="n">
        <v>49.458</v>
      </c>
      <c r="DE15" t="n">
        <v>71.958</v>
      </c>
      <c r="DF15" t="n">
        <v>189.396</v>
      </c>
      <c r="DG15" t="n">
        <v>1570.958</v>
      </c>
      <c r="DH15" t="n">
        <v>1449.083</v>
      </c>
      <c r="DI15" t="n">
        <v>10.958</v>
      </c>
      <c r="DJ15" t="n">
        <v>209.875</v>
      </c>
      <c r="DK15" t="n">
        <v>143.917</v>
      </c>
      <c r="DL15" t="n">
        <v>353.792</v>
      </c>
      <c r="DM15" t="n">
        <v>72.065</v>
      </c>
      <c r="DN15" t="n">
        <v>65.35599999999999</v>
      </c>
      <c r="DO15" t="n">
        <v>81.84699999999999</v>
      </c>
      <c r="DP15" t="n">
        <v>5.714</v>
      </c>
      <c r="DQ15" t="n">
        <v>49.458</v>
      </c>
      <c r="DR15" t="n">
        <v>40.625</v>
      </c>
      <c r="DS15" t="n">
        <v>75.64</v>
      </c>
      <c r="DT15" t="n">
        <v>5572.583</v>
      </c>
      <c r="DU15" t="n">
        <v>15.751</v>
      </c>
      <c r="DV15" t="n">
        <v>59.375</v>
      </c>
      <c r="DW15" t="n">
        <v>5.959</v>
      </c>
      <c r="DX15" t="n">
        <v>72.583</v>
      </c>
      <c r="DY15" t="n">
        <v>4.874</v>
      </c>
      <c r="DZ15" t="n">
        <v>-2.105</v>
      </c>
      <c r="EA15" t="n">
        <v>-2.371</v>
      </c>
      <c r="EB15" t="n">
        <v>138.708</v>
      </c>
      <c r="EC15" t="n">
        <v>208.042</v>
      </c>
      <c r="ED15" t="n">
        <v>346.75</v>
      </c>
      <c r="EE15" t="n">
        <v>40.002</v>
      </c>
      <c r="EF15" t="n">
        <v>72.792</v>
      </c>
      <c r="EG15" t="n">
        <v>96.125</v>
      </c>
      <c r="EH15" t="n">
        <v>14.25</v>
      </c>
      <c r="EI15" t="n">
        <v>34.25</v>
      </c>
      <c r="EJ15" t="n">
        <v>61.875</v>
      </c>
      <c r="EK15" t="n">
        <v>93.667</v>
      </c>
      <c r="EL15" t="n">
        <v>66.833</v>
      </c>
      <c r="EM15" t="n">
        <v>7.417</v>
      </c>
      <c r="EN15" t="n">
        <v>25.708</v>
      </c>
      <c r="EO15" t="n">
        <v>114.5</v>
      </c>
      <c r="EP15" t="n">
        <v>11.125</v>
      </c>
      <c r="EQ15" t="n">
        <v>23.5</v>
      </c>
      <c r="ER15" t="n">
        <v>34.625</v>
      </c>
      <c r="ES15" t="n">
        <v>35.958</v>
      </c>
      <c r="ET15" t="n">
        <v>76.593</v>
      </c>
      <c r="EU15" t="n">
        <v>83.875</v>
      </c>
      <c r="EV15" t="n">
        <v>11.583</v>
      </c>
      <c r="EW15" t="n">
        <v>9.708</v>
      </c>
      <c r="EX15" t="n">
        <v>19.629</v>
      </c>
      <c r="EY15" t="n">
        <v>15.375</v>
      </c>
      <c r="EZ15" t="n">
        <v>5.833</v>
      </c>
      <c r="FA15" t="n">
        <v>9.667</v>
      </c>
      <c r="FB15" t="n">
        <v>10.792</v>
      </c>
      <c r="FC15" t="n">
        <v>2.5</v>
      </c>
      <c r="FD15" t="n">
        <v>21.667</v>
      </c>
      <c r="FE15" t="n">
        <v>6.75</v>
      </c>
      <c r="FF15" t="n">
        <v>44.615</v>
      </c>
      <c r="FG15" t="n">
        <v>19.545</v>
      </c>
      <c r="FH15" t="n">
        <v>41.365</v>
      </c>
      <c r="FI15" t="n">
        <v>43.808</v>
      </c>
      <c r="FJ15" t="n">
        <v>20.167</v>
      </c>
      <c r="FK15" t="n">
        <v>70.26300000000001</v>
      </c>
      <c r="FL15" t="n">
        <v>-3.971</v>
      </c>
      <c r="FM15" t="n">
        <v>3.243</v>
      </c>
      <c r="FN15" t="n">
        <v>-0.183</v>
      </c>
      <c r="FO15" t="n">
        <v>3.457</v>
      </c>
      <c r="FP15" t="n">
        <v>-0.353</v>
      </c>
      <c r="FQ15" t="n">
        <v>3.012</v>
      </c>
      <c r="FR15" t="n">
        <v>0</v>
      </c>
      <c r="FS15" t="n">
        <v>1.917</v>
      </c>
      <c r="FT15" t="n">
        <v>22.958</v>
      </c>
      <c r="FU15" t="n">
        <v>43.917</v>
      </c>
      <c r="FV15" t="n">
        <v>27.667</v>
      </c>
      <c r="FW15" t="n">
        <v>33.125</v>
      </c>
      <c r="FX15" t="n">
        <v>8</v>
      </c>
      <c r="FY15" t="n">
        <v>17.505</v>
      </c>
      <c r="FZ15" t="n">
        <v>19.143</v>
      </c>
      <c r="GA15" t="n">
        <v>7.677</v>
      </c>
      <c r="GB15" t="n">
        <v>26.319</v>
      </c>
      <c r="GC15" t="n">
        <v>10.377</v>
      </c>
      <c r="GD15" t="n">
        <v>56.167</v>
      </c>
      <c r="GE15" t="n">
        <v>8.958</v>
      </c>
      <c r="GF15" t="n">
        <v>297.667</v>
      </c>
      <c r="GG15" t="n">
        <v>147.708</v>
      </c>
      <c r="GH15" t="n">
        <v>34.75</v>
      </c>
      <c r="GI15" t="n">
        <v>30.208</v>
      </c>
      <c r="GJ15" t="n">
        <v>35.998</v>
      </c>
      <c r="GK15" t="n">
        <v>8.083</v>
      </c>
      <c r="GL15" t="n">
        <v>26.759</v>
      </c>
      <c r="GM15" t="n">
        <v>2.208</v>
      </c>
      <c r="GN15" t="n">
        <v>10.125</v>
      </c>
      <c r="GO15" t="n">
        <v>82.71599999999999</v>
      </c>
      <c r="GP15" t="n">
        <v>3.583</v>
      </c>
      <c r="GQ15" t="n">
        <v>50.042</v>
      </c>
      <c r="GR15" t="n">
        <v>71.417</v>
      </c>
      <c r="GS15" t="n">
        <v>17.079</v>
      </c>
      <c r="GT15" t="n">
        <v>158.083</v>
      </c>
      <c r="GU15" t="n">
        <v>153.458</v>
      </c>
      <c r="GV15" t="n">
        <v>8.083</v>
      </c>
      <c r="GW15" t="n">
        <v>17.083</v>
      </c>
      <c r="GX15" t="n">
        <v>11.542</v>
      </c>
      <c r="GY15" t="n">
        <v>28.625</v>
      </c>
      <c r="GZ15" t="n">
        <v>4.25</v>
      </c>
      <c r="HA15" t="n">
        <v>261.667</v>
      </c>
      <c r="HB15" t="n">
        <v>-0.083</v>
      </c>
      <c r="HC15" t="n">
        <v>0.167</v>
      </c>
      <c r="HD15" t="n">
        <v>1.063</v>
      </c>
      <c r="HE15" t="n">
        <v>2.073</v>
      </c>
      <c r="HF15" t="n">
        <v>5.292</v>
      </c>
      <c r="HG15" t="n">
        <v>20.75</v>
      </c>
      <c r="HH15" t="n">
        <v>26.042</v>
      </c>
      <c r="HI15" t="n">
        <v>0.042</v>
      </c>
      <c r="HJ15" t="n">
        <v>-0.583</v>
      </c>
      <c r="HK15" t="n">
        <v>1.667</v>
      </c>
      <c r="HL15" t="n">
        <v>-1.5</v>
      </c>
      <c r="HM15" t="n">
        <v>1.042</v>
      </c>
      <c r="HN15" t="n">
        <v>2.375</v>
      </c>
      <c r="HO15" t="n">
        <v>-1.167</v>
      </c>
      <c r="HP15" t="n">
        <v>2.375</v>
      </c>
      <c r="HQ15" t="n">
        <v>-0.583</v>
      </c>
      <c r="HR15" t="n">
        <v>10.875</v>
      </c>
      <c r="HS15" t="n">
        <v>0.5</v>
      </c>
      <c r="HT15" t="n">
        <v>0.083</v>
      </c>
      <c r="HU15" t="n">
        <v>0.583</v>
      </c>
      <c r="HV15" t="n">
        <v>3.792</v>
      </c>
      <c r="HW15" t="n">
        <v>10.5</v>
      </c>
      <c r="HX15" t="n">
        <v>1.917</v>
      </c>
      <c r="HY15" t="n">
        <v>2.333</v>
      </c>
      <c r="HZ15" t="n">
        <v>1.042</v>
      </c>
      <c r="IA15" t="n">
        <v>1.042</v>
      </c>
      <c r="IB15" t="n">
        <v>2.583</v>
      </c>
      <c r="IC15" t="n">
        <v>-0.333</v>
      </c>
      <c r="ID15" t="n">
        <v>3.833</v>
      </c>
      <c r="IE15" t="n">
        <v>2.25</v>
      </c>
      <c r="IF15" t="n">
        <v>2.375</v>
      </c>
      <c r="IG15" t="n">
        <v>12.355</v>
      </c>
      <c r="IH15" t="n">
        <v>3.728</v>
      </c>
      <c r="II15" t="n">
        <v>-0.003</v>
      </c>
      <c r="IJ15" t="n">
        <v>1.333</v>
      </c>
      <c r="IK15" t="n">
        <v>7.75</v>
      </c>
      <c r="IL15" t="n">
        <v>6.083</v>
      </c>
      <c r="IM15" t="n">
        <v>5.167</v>
      </c>
      <c r="IN15" t="n">
        <v>8.083</v>
      </c>
      <c r="IO15" t="n">
        <v>1.917</v>
      </c>
      <c r="IP15" t="n">
        <v>5.75</v>
      </c>
      <c r="IQ15" t="n">
        <v>1.917</v>
      </c>
      <c r="IR15" t="n">
        <v>-2.083</v>
      </c>
      <c r="IS15" t="n">
        <v>-14.75</v>
      </c>
      <c r="IT15" t="n">
        <v>-1.75</v>
      </c>
      <c r="IU15" t="n">
        <v>5.708</v>
      </c>
      <c r="IV15" t="n">
        <v>2.375</v>
      </c>
      <c r="IW15" t="n">
        <v>-0.083</v>
      </c>
      <c r="IX15" t="n">
        <v>-0.083</v>
      </c>
      <c r="IY15" t="n">
        <v>-0.583</v>
      </c>
      <c r="IZ15" t="n">
        <v>0.542</v>
      </c>
    </row>
    <row r="16">
      <c r="A16" t="inlineStr">
        <is>
          <t>Greater Western Sydney</t>
        </is>
      </c>
      <c r="B16" t="inlineStr">
        <is>
          <t>GWS</t>
        </is>
      </c>
      <c r="C16" t="n">
        <v>24</v>
      </c>
      <c r="D16" t="n">
        <v>39</v>
      </c>
      <c r="E16" t="n">
        <v>25.043</v>
      </c>
      <c r="F16" t="n">
        <v>79.913</v>
      </c>
      <c r="G16" t="n">
        <v>201.863</v>
      </c>
      <c r="H16" t="n">
        <v>1663.583</v>
      </c>
      <c r="I16" t="n">
        <v>1524.792</v>
      </c>
      <c r="J16" t="n">
        <v>15.375</v>
      </c>
      <c r="K16" t="n">
        <v>47.245</v>
      </c>
      <c r="L16" t="n">
        <v>216.75</v>
      </c>
      <c r="M16" t="n">
        <v>145.5</v>
      </c>
      <c r="N16" t="n">
        <v>362.25</v>
      </c>
      <c r="O16" t="n">
        <v>72.47499999999999</v>
      </c>
      <c r="P16" t="n">
        <v>65.955</v>
      </c>
      <c r="Q16" t="n">
        <v>82.188</v>
      </c>
      <c r="R16" t="n">
        <v>59.834</v>
      </c>
      <c r="S16" t="n">
        <v>6.291</v>
      </c>
      <c r="T16" t="n">
        <v>49.708</v>
      </c>
      <c r="U16" t="n">
        <v>41.417</v>
      </c>
      <c r="V16" t="n">
        <v>76.75700000000001</v>
      </c>
      <c r="W16" t="n">
        <v>5745.318</v>
      </c>
      <c r="X16" t="n">
        <v>15.963</v>
      </c>
      <c r="Y16" t="n">
        <v>57.167</v>
      </c>
      <c r="Z16" t="n">
        <v>6.337</v>
      </c>
      <c r="AA16" t="n">
        <v>69.25</v>
      </c>
      <c r="AB16" t="n">
        <v>5.231</v>
      </c>
      <c r="AC16" t="n">
        <v>-0.024</v>
      </c>
      <c r="AD16" t="n">
        <v>-1.101</v>
      </c>
      <c r="AE16" t="n">
        <v>139.333</v>
      </c>
      <c r="AF16" t="n">
        <v>218.375</v>
      </c>
      <c r="AG16" t="n">
        <v>357.708</v>
      </c>
      <c r="AH16" t="n">
        <v>38.952</v>
      </c>
      <c r="AI16" t="n">
        <v>66.833</v>
      </c>
      <c r="AJ16" t="n">
        <v>94.125</v>
      </c>
      <c r="AK16" t="n">
        <v>15.375</v>
      </c>
      <c r="AL16" t="n">
        <v>36.833</v>
      </c>
      <c r="AM16" t="n">
        <v>57.333</v>
      </c>
      <c r="AN16" t="n">
        <v>89.75</v>
      </c>
      <c r="AO16" t="n">
        <v>62.5</v>
      </c>
      <c r="AP16" t="n">
        <v>9.792</v>
      </c>
      <c r="AQ16" t="n">
        <v>22.75</v>
      </c>
      <c r="AR16" t="n">
        <v>116.542</v>
      </c>
      <c r="AS16" t="n">
        <v>11.458</v>
      </c>
      <c r="AT16" t="n">
        <v>25.667</v>
      </c>
      <c r="AU16" t="n">
        <v>37.125</v>
      </c>
      <c r="AV16" t="n">
        <v>39.792</v>
      </c>
      <c r="AW16" t="n">
        <v>77.277</v>
      </c>
      <c r="AX16" t="n">
        <v>90.625</v>
      </c>
      <c r="AY16" t="n">
        <v>11.042</v>
      </c>
      <c r="AZ16" t="n">
        <v>9.667</v>
      </c>
      <c r="BA16" t="n">
        <v>19.447</v>
      </c>
      <c r="BB16" t="n">
        <v>15.417</v>
      </c>
      <c r="BC16" t="n">
        <v>6.125</v>
      </c>
      <c r="BD16" t="n">
        <v>32</v>
      </c>
      <c r="BE16" t="n">
        <v>7.375</v>
      </c>
      <c r="BF16" t="n">
        <v>11.625</v>
      </c>
      <c r="BG16" t="n">
        <v>9.833</v>
      </c>
      <c r="BH16" t="n">
        <v>1.917</v>
      </c>
      <c r="BI16" t="n">
        <v>24.958</v>
      </c>
      <c r="BJ16" t="n">
        <v>7.833</v>
      </c>
      <c r="BK16" t="n">
        <v>46.578</v>
      </c>
      <c r="BL16" t="n">
        <v>23.386</v>
      </c>
      <c r="BM16" t="n">
        <v>43.168</v>
      </c>
      <c r="BN16" t="n">
        <v>50.21</v>
      </c>
      <c r="BO16" t="n">
        <v>21.417</v>
      </c>
      <c r="BP16" t="n">
        <v>16.292</v>
      </c>
      <c r="BQ16" t="n">
        <v>29.156</v>
      </c>
      <c r="BR16" t="n">
        <v>78.113</v>
      </c>
      <c r="BS16" t="n">
        <v>-0.446</v>
      </c>
      <c r="BT16" t="n">
        <v>3.125</v>
      </c>
      <c r="BU16" t="n">
        <v>-0.018</v>
      </c>
      <c r="BV16" t="n">
        <v>3.416</v>
      </c>
      <c r="BW16" t="n">
        <v>-0.039</v>
      </c>
      <c r="BX16" t="n">
        <v>2.867</v>
      </c>
      <c r="BY16" t="n">
        <v>0.001</v>
      </c>
      <c r="BZ16" t="n">
        <v>3.5</v>
      </c>
      <c r="CA16" t="n">
        <v>33.042</v>
      </c>
      <c r="CB16" t="n">
        <v>43.083</v>
      </c>
      <c r="CC16" t="n">
        <v>29.958</v>
      </c>
      <c r="CD16" t="n">
        <v>37.333</v>
      </c>
      <c r="CE16" t="n">
        <v>12.333</v>
      </c>
      <c r="CF16" t="n">
        <v>18.981</v>
      </c>
      <c r="CG16" t="n">
        <v>20.635</v>
      </c>
      <c r="CH16" t="n">
        <v>7.356</v>
      </c>
      <c r="CI16" t="n">
        <v>28.838</v>
      </c>
      <c r="CJ16" t="n">
        <v>10.79</v>
      </c>
      <c r="CK16" t="n">
        <v>20.458</v>
      </c>
      <c r="CL16" t="n">
        <v>26.273</v>
      </c>
      <c r="CM16" t="n">
        <v>59.833</v>
      </c>
      <c r="CN16" t="n">
        <v>9.542</v>
      </c>
      <c r="CO16" t="n">
        <v>277.5</v>
      </c>
      <c r="CP16" t="n">
        <v>137.917</v>
      </c>
      <c r="CQ16" t="n">
        <v>36.417</v>
      </c>
      <c r="CR16" t="n">
        <v>87.708</v>
      </c>
      <c r="CS16" t="n">
        <v>30.917</v>
      </c>
      <c r="CT16" t="n">
        <v>35.249</v>
      </c>
      <c r="CU16" t="n">
        <v>10.75</v>
      </c>
      <c r="CV16" t="n">
        <v>34.771</v>
      </c>
      <c r="CW16" t="n">
        <v>1.375</v>
      </c>
      <c r="CX16" t="n">
        <v>19.625</v>
      </c>
      <c r="CY16" t="n">
        <v>18.625</v>
      </c>
      <c r="CZ16" t="n">
        <v>1</v>
      </c>
      <c r="DA16" t="n">
        <v>11.042</v>
      </c>
      <c r="DB16" t="n">
        <v>78.86799999999999</v>
      </c>
      <c r="DC16" t="n">
        <v>4.792</v>
      </c>
      <c r="DD16" t="n">
        <v>54.708</v>
      </c>
      <c r="DE16" t="n">
        <v>71.333</v>
      </c>
      <c r="DF16" t="n">
        <v>201.767</v>
      </c>
      <c r="DG16" t="n">
        <v>1636.458</v>
      </c>
      <c r="DH16" t="n">
        <v>1520.417</v>
      </c>
      <c r="DI16" t="n">
        <v>14.625</v>
      </c>
      <c r="DJ16" t="n">
        <v>215.667</v>
      </c>
      <c r="DK16" t="n">
        <v>143.25</v>
      </c>
      <c r="DL16" t="n">
        <v>358.917</v>
      </c>
      <c r="DM16" t="n">
        <v>72.916</v>
      </c>
      <c r="DN16" t="n">
        <v>66.151</v>
      </c>
      <c r="DO16" t="n">
        <v>83.101</v>
      </c>
      <c r="DP16" t="n">
        <v>5.999</v>
      </c>
      <c r="DQ16" t="n">
        <v>53.958</v>
      </c>
      <c r="DR16" t="n">
        <v>37.458</v>
      </c>
      <c r="DS16" t="n">
        <v>75.35599999999999</v>
      </c>
      <c r="DT16" t="n">
        <v>5822.045</v>
      </c>
      <c r="DU16" t="n">
        <v>16.195</v>
      </c>
      <c r="DV16" t="n">
        <v>56.958</v>
      </c>
      <c r="DW16" t="n">
        <v>6.301</v>
      </c>
      <c r="DX16" t="n">
        <v>66.667</v>
      </c>
      <c r="DY16" t="n">
        <v>5.384</v>
      </c>
      <c r="DZ16" t="n">
        <v>-0.791</v>
      </c>
      <c r="EA16" t="n">
        <v>0.301</v>
      </c>
      <c r="EB16" t="n">
        <v>135.333</v>
      </c>
      <c r="EC16" t="n">
        <v>218.292</v>
      </c>
      <c r="ED16" t="n">
        <v>353.625</v>
      </c>
      <c r="EE16" t="n">
        <v>38.27</v>
      </c>
      <c r="EF16" t="n">
        <v>69.292</v>
      </c>
      <c r="EG16" t="n">
        <v>88.208</v>
      </c>
      <c r="EH16" t="n">
        <v>16.875</v>
      </c>
      <c r="EI16" t="n">
        <v>31.625</v>
      </c>
      <c r="EJ16" t="n">
        <v>56.583</v>
      </c>
      <c r="EK16" t="n">
        <v>88.458</v>
      </c>
      <c r="EL16" t="n">
        <v>61.167</v>
      </c>
      <c r="EM16" t="n">
        <v>10.375</v>
      </c>
      <c r="EN16" t="n">
        <v>23.583</v>
      </c>
      <c r="EO16" t="n">
        <v>115.833</v>
      </c>
      <c r="EP16" t="n">
        <v>11.708</v>
      </c>
      <c r="EQ16" t="n">
        <v>23.542</v>
      </c>
      <c r="ER16" t="n">
        <v>35.25</v>
      </c>
      <c r="ES16" t="n">
        <v>38.083</v>
      </c>
      <c r="ET16" t="n">
        <v>76.91500000000001</v>
      </c>
      <c r="EU16" t="n">
        <v>92.917</v>
      </c>
      <c r="EV16" t="n">
        <v>12.125</v>
      </c>
      <c r="EW16" t="n">
        <v>11.75</v>
      </c>
      <c r="EX16" t="n">
        <v>21.776</v>
      </c>
      <c r="EY16" t="n">
        <v>17.167</v>
      </c>
      <c r="EZ16" t="n">
        <v>9.75</v>
      </c>
      <c r="FA16" t="n">
        <v>11.667</v>
      </c>
      <c r="FB16" t="n">
        <v>11.208</v>
      </c>
      <c r="FC16" t="n">
        <v>2.25</v>
      </c>
      <c r="FD16" t="n">
        <v>25.625</v>
      </c>
      <c r="FE16" t="n">
        <v>8.167</v>
      </c>
      <c r="FF16" t="n">
        <v>45.528</v>
      </c>
      <c r="FG16" t="n">
        <v>21.622</v>
      </c>
      <c r="FH16" t="n">
        <v>42.394</v>
      </c>
      <c r="FI16" t="n">
        <v>47.49</v>
      </c>
      <c r="FJ16" t="n">
        <v>22.75</v>
      </c>
      <c r="FK16" t="n">
        <v>79.883</v>
      </c>
      <c r="FL16" t="n">
        <v>-0.925</v>
      </c>
      <c r="FM16" t="n">
        <v>3.117</v>
      </c>
      <c r="FN16" t="n">
        <v>-0.036</v>
      </c>
      <c r="FO16" t="n">
        <v>3.373</v>
      </c>
      <c r="FP16" t="n">
        <v>0.083</v>
      </c>
      <c r="FQ16" t="n">
        <v>2.824</v>
      </c>
      <c r="FR16" t="n">
        <v>-0.173</v>
      </c>
      <c r="FS16" t="n">
        <v>1.917</v>
      </c>
      <c r="FT16" t="n">
        <v>29.917</v>
      </c>
      <c r="FU16" t="n">
        <v>49.375</v>
      </c>
      <c r="FV16" t="n">
        <v>28.25</v>
      </c>
      <c r="FW16" t="n">
        <v>42.542</v>
      </c>
      <c r="FX16" t="n">
        <v>10.417</v>
      </c>
      <c r="FY16" t="n">
        <v>20.275</v>
      </c>
      <c r="FZ16" t="n">
        <v>24.699</v>
      </c>
      <c r="GA16" t="n">
        <v>8.425000000000001</v>
      </c>
      <c r="GB16" t="n">
        <v>31.901</v>
      </c>
      <c r="GC16" t="n">
        <v>11.568</v>
      </c>
      <c r="GD16" t="n">
        <v>57.583</v>
      </c>
      <c r="GE16" t="n">
        <v>10.208</v>
      </c>
      <c r="GF16" t="n">
        <v>284.042</v>
      </c>
      <c r="GG16" t="n">
        <v>126</v>
      </c>
      <c r="GH16" t="n">
        <v>32</v>
      </c>
      <c r="GI16" t="n">
        <v>39.125</v>
      </c>
      <c r="GJ16" t="n">
        <v>44.693</v>
      </c>
      <c r="GK16" t="n">
        <v>11.208</v>
      </c>
      <c r="GL16" t="n">
        <v>28.647</v>
      </c>
      <c r="GM16" t="n">
        <v>3</v>
      </c>
      <c r="GN16" t="n">
        <v>9.792</v>
      </c>
      <c r="GO16" t="n">
        <v>85.95699999999999</v>
      </c>
      <c r="GP16" t="n">
        <v>6.25</v>
      </c>
      <c r="GQ16" t="n">
        <v>47.417</v>
      </c>
      <c r="GR16" t="n">
        <v>72.042</v>
      </c>
      <c r="GS16" t="n">
        <v>0.096</v>
      </c>
      <c r="GT16" t="n">
        <v>27.125</v>
      </c>
      <c r="GU16" t="n">
        <v>4.375</v>
      </c>
      <c r="GV16" t="n">
        <v>0.75</v>
      </c>
      <c r="GW16" t="n">
        <v>1.083</v>
      </c>
      <c r="GX16" t="n">
        <v>2.25</v>
      </c>
      <c r="GY16" t="n">
        <v>3.333</v>
      </c>
      <c r="GZ16" t="n">
        <v>-4.25</v>
      </c>
      <c r="HA16" t="n">
        <v>-76.727</v>
      </c>
      <c r="HB16" t="n">
        <v>0.208</v>
      </c>
      <c r="HC16" t="n">
        <v>2.583</v>
      </c>
      <c r="HD16" t="n">
        <v>0.767</v>
      </c>
      <c r="HE16" t="n">
        <v>-1.401</v>
      </c>
      <c r="HF16" t="n">
        <v>4</v>
      </c>
      <c r="HG16" t="n">
        <v>0.083</v>
      </c>
      <c r="HH16" t="n">
        <v>4.083</v>
      </c>
      <c r="HI16" t="n">
        <v>-2.458</v>
      </c>
      <c r="HJ16" t="n">
        <v>5.917</v>
      </c>
      <c r="HK16" t="n">
        <v>-1.5</v>
      </c>
      <c r="HL16" t="n">
        <v>5.208</v>
      </c>
      <c r="HM16" t="n">
        <v>0.75</v>
      </c>
      <c r="HN16" t="n">
        <v>1.292</v>
      </c>
      <c r="HO16" t="n">
        <v>1.333</v>
      </c>
      <c r="HP16" t="n">
        <v>-0.583</v>
      </c>
      <c r="HQ16" t="n">
        <v>-0.833</v>
      </c>
      <c r="HR16" t="n">
        <v>0.708</v>
      </c>
      <c r="HS16" t="n">
        <v>-0.25</v>
      </c>
      <c r="HT16" t="n">
        <v>2.125</v>
      </c>
      <c r="HU16" t="n">
        <v>1.875</v>
      </c>
      <c r="HV16" t="n">
        <v>1.708</v>
      </c>
      <c r="HW16" t="n">
        <v>-2.292</v>
      </c>
      <c r="HX16" t="n">
        <v>-1.083</v>
      </c>
      <c r="HY16" t="n">
        <v>-2.083</v>
      </c>
      <c r="HZ16" t="n">
        <v>-1.75</v>
      </c>
      <c r="IA16" t="n">
        <v>-3.625</v>
      </c>
      <c r="IB16" t="n">
        <v>-0.042</v>
      </c>
      <c r="IC16" t="n">
        <v>-1.375</v>
      </c>
      <c r="ID16" t="n">
        <v>-0.667</v>
      </c>
      <c r="IE16" t="n">
        <v>-0.333</v>
      </c>
      <c r="IF16" t="n">
        <v>-1.333</v>
      </c>
      <c r="IG16" t="n">
        <v>-1.771</v>
      </c>
      <c r="IH16" t="n">
        <v>0.479</v>
      </c>
      <c r="II16" t="n">
        <v>0.007</v>
      </c>
      <c r="IJ16" t="n">
        <v>1.583</v>
      </c>
      <c r="IK16" t="n">
        <v>3.125</v>
      </c>
      <c r="IL16" t="n">
        <v>-6.292</v>
      </c>
      <c r="IM16" t="n">
        <v>1.708</v>
      </c>
      <c r="IN16" t="n">
        <v>-5.208</v>
      </c>
      <c r="IO16" t="n">
        <v>1.917</v>
      </c>
      <c r="IP16" t="n">
        <v>2.25</v>
      </c>
      <c r="IQ16" t="n">
        <v>-0.667</v>
      </c>
      <c r="IR16" t="n">
        <v>-6.542</v>
      </c>
      <c r="IS16" t="n">
        <v>11.917</v>
      </c>
      <c r="IT16" t="n">
        <v>4.417</v>
      </c>
      <c r="IU16" t="n">
        <v>-8.208</v>
      </c>
      <c r="IV16" t="n">
        <v>-0.458</v>
      </c>
      <c r="IW16" t="n">
        <v>-1.625</v>
      </c>
      <c r="IX16" t="n">
        <v>-1.458</v>
      </c>
      <c r="IY16" t="n">
        <v>7.292</v>
      </c>
      <c r="IZ16" t="n">
        <v>-0.708</v>
      </c>
    </row>
    <row r="17">
      <c r="A17" t="inlineStr">
        <is>
          <t>St Kilda</t>
        </is>
      </c>
      <c r="B17" t="inlineStr">
        <is>
          <t>St K</t>
        </is>
      </c>
      <c r="C17" t="n">
        <v>22</v>
      </c>
      <c r="D17" t="n">
        <v>39</v>
      </c>
      <c r="E17" t="n">
        <v>25.228</v>
      </c>
      <c r="F17" t="n">
        <v>83.221</v>
      </c>
      <c r="G17" t="n">
        <v>194.077</v>
      </c>
      <c r="H17" t="n">
        <v>1634.182</v>
      </c>
      <c r="I17" t="n">
        <v>1570.045</v>
      </c>
      <c r="J17" t="n">
        <v>14.545</v>
      </c>
      <c r="K17" t="n">
        <v>50.463</v>
      </c>
      <c r="L17" t="n">
        <v>222.727</v>
      </c>
      <c r="M17" t="n">
        <v>146.636</v>
      </c>
      <c r="N17" t="n">
        <v>369.364</v>
      </c>
      <c r="O17" t="n">
        <v>72.496</v>
      </c>
      <c r="P17" t="n">
        <v>65.755</v>
      </c>
      <c r="Q17" t="n">
        <v>82.73399999999999</v>
      </c>
      <c r="R17" t="n">
        <v>60.3</v>
      </c>
      <c r="S17" t="n">
        <v>6.444</v>
      </c>
      <c r="T17" t="n">
        <v>50.955</v>
      </c>
      <c r="U17" t="n">
        <v>38.136</v>
      </c>
      <c r="V17" t="n">
        <v>75.11199999999999</v>
      </c>
      <c r="W17" t="n">
        <v>5562.85</v>
      </c>
      <c r="X17" t="n">
        <v>14.938</v>
      </c>
      <c r="Y17" t="n">
        <v>58.364</v>
      </c>
      <c r="Z17" t="n">
        <v>6.329</v>
      </c>
      <c r="AA17" t="n">
        <v>67.955</v>
      </c>
      <c r="AB17" t="n">
        <v>5.435</v>
      </c>
      <c r="AC17" t="n">
        <v>-0.445</v>
      </c>
      <c r="AD17" t="n">
        <v>0.611</v>
      </c>
      <c r="AE17" t="n">
        <v>133.409</v>
      </c>
      <c r="AF17" t="n">
        <v>228</v>
      </c>
      <c r="AG17" t="n">
        <v>361.409</v>
      </c>
      <c r="AH17" t="n">
        <v>36.914</v>
      </c>
      <c r="AI17" t="n">
        <v>67.864</v>
      </c>
      <c r="AJ17" t="n">
        <v>87.90900000000001</v>
      </c>
      <c r="AK17" t="n">
        <v>15.591</v>
      </c>
      <c r="AL17" t="n">
        <v>31.727</v>
      </c>
      <c r="AM17" t="n">
        <v>56.136</v>
      </c>
      <c r="AN17" t="n">
        <v>87.182</v>
      </c>
      <c r="AO17" t="n">
        <v>60.591</v>
      </c>
      <c r="AP17" t="n">
        <v>9.955</v>
      </c>
      <c r="AQ17" t="n">
        <v>24.045</v>
      </c>
      <c r="AR17" t="n">
        <v>118.091</v>
      </c>
      <c r="AS17" t="n">
        <v>10.864</v>
      </c>
      <c r="AT17" t="n">
        <v>24.182</v>
      </c>
      <c r="AU17" t="n">
        <v>35.045</v>
      </c>
      <c r="AV17" t="n">
        <v>39.045</v>
      </c>
      <c r="AW17" t="n">
        <v>75.31999999999999</v>
      </c>
      <c r="AX17" t="n">
        <v>96.682</v>
      </c>
      <c r="AY17" t="n">
        <v>11.045</v>
      </c>
      <c r="AZ17" t="n">
        <v>11.682</v>
      </c>
      <c r="BA17" t="n">
        <v>22.926</v>
      </c>
      <c r="BB17" t="n">
        <v>15.636</v>
      </c>
      <c r="BC17" t="n">
        <v>7.545</v>
      </c>
      <c r="BD17" t="n">
        <v>32</v>
      </c>
      <c r="BE17" t="n">
        <v>6.727</v>
      </c>
      <c r="BF17" t="n">
        <v>10.773</v>
      </c>
      <c r="BG17" t="n">
        <v>10.091</v>
      </c>
      <c r="BH17" t="n">
        <v>1.727</v>
      </c>
      <c r="BI17" t="n">
        <v>22.955</v>
      </c>
      <c r="BJ17" t="n">
        <v>7.091</v>
      </c>
      <c r="BK17" t="n">
        <v>46.931</v>
      </c>
      <c r="BL17" t="n">
        <v>21.142</v>
      </c>
      <c r="BM17" t="n">
        <v>40.946</v>
      </c>
      <c r="BN17" t="n">
        <v>45.049</v>
      </c>
      <c r="BO17" t="n">
        <v>20.591</v>
      </c>
      <c r="BP17" t="n">
        <v>16.227</v>
      </c>
      <c r="BQ17" t="n">
        <v>27.171</v>
      </c>
      <c r="BR17" t="n">
        <v>75.48999999999999</v>
      </c>
      <c r="BS17" t="n">
        <v>-2.49</v>
      </c>
      <c r="BT17" t="n">
        <v>3.289</v>
      </c>
      <c r="BU17" t="n">
        <v>-0.108</v>
      </c>
      <c r="BV17" t="n">
        <v>3.537</v>
      </c>
      <c r="BW17" t="n">
        <v>-0.314</v>
      </c>
      <c r="BX17" t="n">
        <v>2.964</v>
      </c>
      <c r="BY17" t="n">
        <v>0.159</v>
      </c>
      <c r="BZ17" t="n">
        <v>3.5</v>
      </c>
      <c r="CA17" t="n">
        <v>25.227</v>
      </c>
      <c r="CB17" t="n">
        <v>46</v>
      </c>
      <c r="CC17" t="n">
        <v>28.909</v>
      </c>
      <c r="CD17" t="n">
        <v>37.909</v>
      </c>
      <c r="CE17" t="n">
        <v>7.909</v>
      </c>
      <c r="CF17" t="n">
        <v>18.479</v>
      </c>
      <c r="CG17" t="n">
        <v>21.82</v>
      </c>
      <c r="CH17" t="n">
        <v>8.051</v>
      </c>
      <c r="CI17" t="n">
        <v>30.146</v>
      </c>
      <c r="CJ17" t="n">
        <v>12.051</v>
      </c>
      <c r="CK17" t="n">
        <v>16.682</v>
      </c>
      <c r="CL17" t="n">
        <v>29.428</v>
      </c>
      <c r="CM17" t="n">
        <v>62.045</v>
      </c>
      <c r="CN17" t="n">
        <v>11.636</v>
      </c>
      <c r="CO17" t="n">
        <v>300.273</v>
      </c>
      <c r="CP17" t="n">
        <v>133.955</v>
      </c>
      <c r="CQ17" t="n">
        <v>32.091</v>
      </c>
      <c r="CR17" t="n">
        <v>86.136</v>
      </c>
      <c r="CS17" t="n">
        <v>38.273</v>
      </c>
      <c r="CT17" t="n">
        <v>44.433</v>
      </c>
      <c r="CU17" t="n">
        <v>11.227</v>
      </c>
      <c r="CV17" t="n">
        <v>29.335</v>
      </c>
      <c r="CW17" t="n">
        <v>2.5</v>
      </c>
      <c r="CX17" t="n">
        <v>18.273</v>
      </c>
      <c r="CY17" t="n">
        <v>19.773</v>
      </c>
      <c r="CZ17" t="n">
        <v>-1.5</v>
      </c>
      <c r="DA17" t="n">
        <v>10.455</v>
      </c>
      <c r="DB17" t="n">
        <v>76.95699999999999</v>
      </c>
      <c r="DC17" t="n">
        <v>5.591</v>
      </c>
      <c r="DD17" t="n">
        <v>49.091</v>
      </c>
      <c r="DE17" t="n">
        <v>71.182</v>
      </c>
      <c r="DF17" t="n">
        <v>201.355</v>
      </c>
      <c r="DG17" t="n">
        <v>1665.5</v>
      </c>
      <c r="DH17" t="n">
        <v>1557.136</v>
      </c>
      <c r="DI17" t="n">
        <v>15.455</v>
      </c>
      <c r="DJ17" t="n">
        <v>217.909</v>
      </c>
      <c r="DK17" t="n">
        <v>155.773</v>
      </c>
      <c r="DL17" t="n">
        <v>373.682</v>
      </c>
      <c r="DM17" t="n">
        <v>74.152</v>
      </c>
      <c r="DN17" t="n">
        <v>67.584</v>
      </c>
      <c r="DO17" t="n">
        <v>83.33799999999999</v>
      </c>
      <c r="DP17" t="n">
        <v>6.023</v>
      </c>
      <c r="DQ17" t="n">
        <v>50.773</v>
      </c>
      <c r="DR17" t="n">
        <v>39.227</v>
      </c>
      <c r="DS17" t="n">
        <v>76.985</v>
      </c>
      <c r="DT17" t="n">
        <v>5582.1</v>
      </c>
      <c r="DU17" t="n">
        <v>15.068</v>
      </c>
      <c r="DV17" t="n">
        <v>54.636</v>
      </c>
      <c r="DW17" t="n">
        <v>6.839</v>
      </c>
      <c r="DX17" t="n">
        <v>67.818</v>
      </c>
      <c r="DY17" t="n">
        <v>5.51</v>
      </c>
      <c r="DZ17" t="n">
        <v>-0.539</v>
      </c>
      <c r="EA17" t="n">
        <v>-0.206</v>
      </c>
      <c r="EB17" t="n">
        <v>134.136</v>
      </c>
      <c r="EC17" t="n">
        <v>233.182</v>
      </c>
      <c r="ED17" t="n">
        <v>367.318</v>
      </c>
      <c r="EE17" t="n">
        <v>36.518</v>
      </c>
      <c r="EF17" t="n">
        <v>68.182</v>
      </c>
      <c r="EG17" t="n">
        <v>91.90900000000001</v>
      </c>
      <c r="EH17" t="n">
        <v>14.5</v>
      </c>
      <c r="EI17" t="n">
        <v>34.136</v>
      </c>
      <c r="EJ17" t="n">
        <v>57.682</v>
      </c>
      <c r="EK17" t="n">
        <v>87.318</v>
      </c>
      <c r="EL17" t="n">
        <v>62.636</v>
      </c>
      <c r="EM17" t="n">
        <v>9.090999999999999</v>
      </c>
      <c r="EN17" t="n">
        <v>22.955</v>
      </c>
      <c r="EO17" t="n">
        <v>126.909</v>
      </c>
      <c r="EP17" t="n">
        <v>12.364</v>
      </c>
      <c r="EQ17" t="n">
        <v>23.591</v>
      </c>
      <c r="ER17" t="n">
        <v>35.955</v>
      </c>
      <c r="ES17" t="n">
        <v>38.091</v>
      </c>
      <c r="ET17" t="n">
        <v>77.804</v>
      </c>
      <c r="EU17" t="n">
        <v>95.045</v>
      </c>
      <c r="EV17" t="n">
        <v>9.727</v>
      </c>
      <c r="EW17" t="n">
        <v>11.727</v>
      </c>
      <c r="EX17" t="n">
        <v>23.098</v>
      </c>
      <c r="EY17" t="n">
        <v>15.591</v>
      </c>
      <c r="EZ17" t="n">
        <v>8.182</v>
      </c>
      <c r="FA17" t="n">
        <v>11.818</v>
      </c>
      <c r="FB17" t="n">
        <v>10.727</v>
      </c>
      <c r="FC17" t="n">
        <v>2</v>
      </c>
      <c r="FD17" t="n">
        <v>24.273</v>
      </c>
      <c r="FE17" t="n">
        <v>8.364000000000001</v>
      </c>
      <c r="FF17" t="n">
        <v>48.689</v>
      </c>
      <c r="FG17" t="n">
        <v>23.277</v>
      </c>
      <c r="FH17" t="n">
        <v>44.405</v>
      </c>
      <c r="FI17" t="n">
        <v>47.807</v>
      </c>
      <c r="FJ17" t="n">
        <v>22.364</v>
      </c>
      <c r="FK17" t="n">
        <v>81.154</v>
      </c>
      <c r="FL17" t="n">
        <v>-1.518</v>
      </c>
      <c r="FM17" t="n">
        <v>3.343</v>
      </c>
      <c r="FN17" t="n">
        <v>-0.063</v>
      </c>
      <c r="FO17" t="n">
        <v>3.699</v>
      </c>
      <c r="FP17" t="n">
        <v>-0.051</v>
      </c>
      <c r="FQ17" t="n">
        <v>2.895</v>
      </c>
      <c r="FR17" t="n">
        <v>-0.077</v>
      </c>
      <c r="FS17" t="n">
        <v>3.409</v>
      </c>
      <c r="FT17" t="n">
        <v>30.136</v>
      </c>
      <c r="FU17" t="n">
        <v>48.091</v>
      </c>
      <c r="FV17" t="n">
        <v>30.227</v>
      </c>
      <c r="FW17" t="n">
        <v>40.773</v>
      </c>
      <c r="FX17" t="n">
        <v>10.636</v>
      </c>
      <c r="FY17" t="n">
        <v>19.927</v>
      </c>
      <c r="FZ17" t="n">
        <v>21.569</v>
      </c>
      <c r="GA17" t="n">
        <v>8.304</v>
      </c>
      <c r="GB17" t="n">
        <v>29.893</v>
      </c>
      <c r="GC17" t="n">
        <v>11.318</v>
      </c>
      <c r="GD17" t="n">
        <v>57.318</v>
      </c>
      <c r="GE17" t="n">
        <v>9.909000000000001</v>
      </c>
      <c r="GF17" t="n">
        <v>295.545</v>
      </c>
      <c r="GG17" t="n">
        <v>140</v>
      </c>
      <c r="GH17" t="n">
        <v>31.909</v>
      </c>
      <c r="GI17" t="n">
        <v>32.864</v>
      </c>
      <c r="GJ17" t="n">
        <v>38.033</v>
      </c>
      <c r="GK17" t="n">
        <v>10</v>
      </c>
      <c r="GL17" t="n">
        <v>30.429</v>
      </c>
      <c r="GM17" t="n">
        <v>2.409</v>
      </c>
      <c r="GN17" t="n">
        <v>10.045</v>
      </c>
      <c r="GO17" t="n">
        <v>80.995</v>
      </c>
      <c r="GP17" t="n">
        <v>4.818</v>
      </c>
      <c r="GQ17" t="n">
        <v>47</v>
      </c>
      <c r="GR17" t="n">
        <v>71.773</v>
      </c>
      <c r="GS17" t="n">
        <v>-7.277</v>
      </c>
      <c r="GT17" t="n">
        <v>-31.318</v>
      </c>
      <c r="GU17" t="n">
        <v>12.909</v>
      </c>
      <c r="GV17" t="n">
        <v>-0.909</v>
      </c>
      <c r="GW17" t="n">
        <v>4.818</v>
      </c>
      <c r="GX17" t="n">
        <v>-9.135999999999999</v>
      </c>
      <c r="GY17" t="n">
        <v>-4.318</v>
      </c>
      <c r="GZ17" t="n">
        <v>0.182</v>
      </c>
      <c r="HA17" t="n">
        <v>-19.25</v>
      </c>
      <c r="HB17" t="n">
        <v>3.727</v>
      </c>
      <c r="HC17" t="n">
        <v>0.136</v>
      </c>
      <c r="HD17" t="n">
        <v>0.094</v>
      </c>
      <c r="HE17" t="n">
        <v>0.8169999999999999</v>
      </c>
      <c r="HF17" t="n">
        <v>-0.727</v>
      </c>
      <c r="HG17" t="n">
        <v>-5.182</v>
      </c>
      <c r="HH17" t="n">
        <v>-5.909</v>
      </c>
      <c r="HI17" t="n">
        <v>-0.318</v>
      </c>
      <c r="HJ17" t="n">
        <v>-4</v>
      </c>
      <c r="HK17" t="n">
        <v>1.091</v>
      </c>
      <c r="HL17" t="n">
        <v>-2.409</v>
      </c>
      <c r="HM17" t="n">
        <v>-1.545</v>
      </c>
      <c r="HN17" t="n">
        <v>-0.136</v>
      </c>
      <c r="HO17" t="n">
        <v>-2.045</v>
      </c>
      <c r="HP17" t="n">
        <v>0.864</v>
      </c>
      <c r="HQ17" t="n">
        <v>1.091</v>
      </c>
      <c r="HR17" t="n">
        <v>-8.818</v>
      </c>
      <c r="HS17" t="n">
        <v>-1.5</v>
      </c>
      <c r="HT17" t="n">
        <v>0.591</v>
      </c>
      <c r="HU17" t="n">
        <v>-0.909</v>
      </c>
      <c r="HV17" t="n">
        <v>0.955</v>
      </c>
      <c r="HW17" t="n">
        <v>1.636</v>
      </c>
      <c r="HX17" t="n">
        <v>1.318</v>
      </c>
      <c r="HY17" t="n">
        <v>-0.045</v>
      </c>
      <c r="HZ17" t="n">
        <v>0.045</v>
      </c>
      <c r="IA17" t="n">
        <v>-0.636</v>
      </c>
      <c r="IB17" t="n">
        <v>-1.045</v>
      </c>
      <c r="IC17" t="n">
        <v>-0.636</v>
      </c>
      <c r="ID17" t="n">
        <v>-1.318</v>
      </c>
      <c r="IE17" t="n">
        <v>-1.273</v>
      </c>
      <c r="IF17" t="n">
        <v>-1.773</v>
      </c>
      <c r="IG17" t="n">
        <v>-5.665</v>
      </c>
      <c r="IH17" t="n">
        <v>-0.972</v>
      </c>
      <c r="II17" t="n">
        <v>-0.055</v>
      </c>
      <c r="IJ17" t="n">
        <v>0.091</v>
      </c>
      <c r="IK17" t="n">
        <v>-4.909</v>
      </c>
      <c r="IL17" t="n">
        <v>-2.091</v>
      </c>
      <c r="IM17" t="n">
        <v>-1.318</v>
      </c>
      <c r="IN17" t="n">
        <v>-2.864</v>
      </c>
      <c r="IO17" t="n">
        <v>-2.727</v>
      </c>
      <c r="IP17" t="n">
        <v>4.727</v>
      </c>
      <c r="IQ17" t="n">
        <v>1.727</v>
      </c>
      <c r="IR17" t="n">
        <v>4.727</v>
      </c>
      <c r="IS17" t="n">
        <v>-6.045</v>
      </c>
      <c r="IT17" t="n">
        <v>0.182</v>
      </c>
      <c r="IU17" t="n">
        <v>5.409</v>
      </c>
      <c r="IV17" t="n">
        <v>1.227</v>
      </c>
      <c r="IW17" t="n">
        <v>0.091</v>
      </c>
      <c r="IX17" t="n">
        <v>0.773</v>
      </c>
      <c r="IY17" t="n">
        <v>2.091</v>
      </c>
      <c r="IZ17" t="n">
        <v>-0.591</v>
      </c>
    </row>
    <row r="18">
      <c r="A18" t="inlineStr">
        <is>
          <t>Gold Coast</t>
        </is>
      </c>
      <c r="B18" t="inlineStr">
        <is>
          <t>GC</t>
        </is>
      </c>
      <c r="C18" t="n">
        <v>22</v>
      </c>
      <c r="D18" t="n">
        <v>38</v>
      </c>
      <c r="E18" t="n">
        <v>24.222</v>
      </c>
      <c r="F18" t="n">
        <v>68.008</v>
      </c>
      <c r="G18" t="n">
        <v>185.759</v>
      </c>
      <c r="H18" t="n">
        <v>1594.773</v>
      </c>
      <c r="I18" t="n">
        <v>1553.318</v>
      </c>
      <c r="J18" t="n">
        <v>10.636</v>
      </c>
      <c r="K18" t="n">
        <v>46.441</v>
      </c>
      <c r="L18" t="n">
        <v>226.273</v>
      </c>
      <c r="M18" t="n">
        <v>130.5</v>
      </c>
      <c r="N18" t="n">
        <v>356.773</v>
      </c>
      <c r="O18" t="n">
        <v>72.70999999999999</v>
      </c>
      <c r="P18" t="n">
        <v>67.316</v>
      </c>
      <c r="Q18" t="n">
        <v>82.062</v>
      </c>
      <c r="R18" t="n">
        <v>63.422</v>
      </c>
      <c r="S18" t="n">
        <v>6.315</v>
      </c>
      <c r="T18" t="n">
        <v>48.727</v>
      </c>
      <c r="U18" t="n">
        <v>42.909</v>
      </c>
      <c r="V18" t="n">
        <v>76.375</v>
      </c>
      <c r="W18" t="n">
        <v>5631.905</v>
      </c>
      <c r="X18" t="n">
        <v>15.727</v>
      </c>
      <c r="Y18" t="n">
        <v>58.227</v>
      </c>
      <c r="Z18" t="n">
        <v>6.127</v>
      </c>
      <c r="AA18" t="n">
        <v>70.59099999999999</v>
      </c>
      <c r="AB18" t="n">
        <v>5.054</v>
      </c>
      <c r="AC18" t="n">
        <v>-1.995</v>
      </c>
      <c r="AD18" t="n">
        <v>-0.226</v>
      </c>
      <c r="AE18" t="n">
        <v>131.818</v>
      </c>
      <c r="AF18" t="n">
        <v>220.455</v>
      </c>
      <c r="AG18" t="n">
        <v>352.273</v>
      </c>
      <c r="AH18" t="n">
        <v>37.419</v>
      </c>
      <c r="AI18" t="n">
        <v>69.636</v>
      </c>
      <c r="AJ18" t="n">
        <v>92.40900000000001</v>
      </c>
      <c r="AK18" t="n">
        <v>15.045</v>
      </c>
      <c r="AL18" t="n">
        <v>33.727</v>
      </c>
      <c r="AM18" t="n">
        <v>58.682</v>
      </c>
      <c r="AN18" t="n">
        <v>84.90900000000001</v>
      </c>
      <c r="AO18" t="n">
        <v>60.5</v>
      </c>
      <c r="AP18" t="n">
        <v>7.727</v>
      </c>
      <c r="AQ18" t="n">
        <v>24.227</v>
      </c>
      <c r="AR18" t="n">
        <v>104.045</v>
      </c>
      <c r="AS18" t="n">
        <v>10.318</v>
      </c>
      <c r="AT18" t="n">
        <v>23.909</v>
      </c>
      <c r="AU18" t="n">
        <v>34.227</v>
      </c>
      <c r="AV18" t="n">
        <v>36.364</v>
      </c>
      <c r="AW18" t="n">
        <v>75.25</v>
      </c>
      <c r="AX18" t="n">
        <v>104.955</v>
      </c>
      <c r="AY18" t="n">
        <v>10.5</v>
      </c>
      <c r="AZ18" t="n">
        <v>9.273</v>
      </c>
      <c r="BA18" t="n">
        <v>19.03</v>
      </c>
      <c r="BB18" t="n">
        <v>16</v>
      </c>
      <c r="BC18" t="n">
        <v>10.136</v>
      </c>
      <c r="BD18" t="n">
        <v>26</v>
      </c>
      <c r="BE18" t="n">
        <v>6</v>
      </c>
      <c r="BF18" t="n">
        <v>9.135999999999999</v>
      </c>
      <c r="BG18" t="n">
        <v>10.182</v>
      </c>
      <c r="BH18" t="n">
        <v>2</v>
      </c>
      <c r="BI18" t="n">
        <v>21.182</v>
      </c>
      <c r="BJ18" t="n">
        <v>6.045</v>
      </c>
      <c r="BK18" t="n">
        <v>43.133</v>
      </c>
      <c r="BL18" t="n">
        <v>18.75</v>
      </c>
      <c r="BM18" t="n">
        <v>39.646</v>
      </c>
      <c r="BN18" t="n">
        <v>43.47</v>
      </c>
      <c r="BO18" t="n">
        <v>19</v>
      </c>
      <c r="BP18" t="n">
        <v>18.682</v>
      </c>
      <c r="BQ18" t="n">
        <v>23.844</v>
      </c>
      <c r="BR18" t="n">
        <v>68.658</v>
      </c>
      <c r="BS18" t="n">
        <v>-5.658</v>
      </c>
      <c r="BT18" t="n">
        <v>3.241</v>
      </c>
      <c r="BU18" t="n">
        <v>-0.267</v>
      </c>
      <c r="BV18" t="n">
        <v>3.617</v>
      </c>
      <c r="BW18" t="n">
        <v>-0.337</v>
      </c>
      <c r="BX18" t="n">
        <v>2.859</v>
      </c>
      <c r="BY18" t="n">
        <v>-0.196</v>
      </c>
      <c r="BZ18" t="n">
        <v>2.5</v>
      </c>
      <c r="CA18" t="n">
        <v>23.636</v>
      </c>
      <c r="CB18" t="n">
        <v>38.864</v>
      </c>
      <c r="CC18" t="n">
        <v>25.909</v>
      </c>
      <c r="CD18" t="n">
        <v>33.955</v>
      </c>
      <c r="CE18" t="n">
        <v>5.136</v>
      </c>
      <c r="CF18" t="n">
        <v>16.828</v>
      </c>
      <c r="CG18" t="n">
        <v>19.033</v>
      </c>
      <c r="CH18" t="n">
        <v>8.526</v>
      </c>
      <c r="CI18" t="n">
        <v>27.831</v>
      </c>
      <c r="CJ18" t="n">
        <v>10.89</v>
      </c>
      <c r="CK18" t="n">
        <v>18.545</v>
      </c>
      <c r="CL18" t="n">
        <v>30.882</v>
      </c>
      <c r="CM18" t="n">
        <v>62.091</v>
      </c>
      <c r="CN18" t="n">
        <v>10.273</v>
      </c>
      <c r="CO18" t="n">
        <v>307.591</v>
      </c>
      <c r="CP18" t="n">
        <v>146.136</v>
      </c>
      <c r="CQ18" t="n">
        <v>34.727</v>
      </c>
      <c r="CR18" t="n">
        <v>88.318</v>
      </c>
      <c r="CS18" t="n">
        <v>26.364</v>
      </c>
      <c r="CT18" t="n">
        <v>29.851</v>
      </c>
      <c r="CU18" t="n">
        <v>8.273</v>
      </c>
      <c r="CV18" t="n">
        <v>31.379</v>
      </c>
      <c r="CW18" t="n">
        <v>1.045</v>
      </c>
      <c r="CX18" t="n">
        <v>18.455</v>
      </c>
      <c r="CY18" t="n">
        <v>19.227</v>
      </c>
      <c r="CZ18" t="n">
        <v>-0.773</v>
      </c>
      <c r="DA18" t="n">
        <v>11.409</v>
      </c>
      <c r="DB18" t="n">
        <v>77.68899999999999</v>
      </c>
      <c r="DC18" t="n">
        <v>8.318</v>
      </c>
      <c r="DD18" t="n">
        <v>50.182</v>
      </c>
      <c r="DE18" t="n">
        <v>73.773</v>
      </c>
      <c r="DF18" t="n">
        <v>208.977</v>
      </c>
      <c r="DG18" t="n">
        <v>1704.955</v>
      </c>
      <c r="DH18" t="n">
        <v>1615.318</v>
      </c>
      <c r="DI18" t="n">
        <v>19.364</v>
      </c>
      <c r="DJ18" t="n">
        <v>229.818</v>
      </c>
      <c r="DK18" t="n">
        <v>154.136</v>
      </c>
      <c r="DL18" t="n">
        <v>383.955</v>
      </c>
      <c r="DM18" t="n">
        <v>73.64700000000001</v>
      </c>
      <c r="DN18" t="n">
        <v>67.346</v>
      </c>
      <c r="DO18" t="n">
        <v>83.04300000000001</v>
      </c>
      <c r="DP18" t="n">
        <v>6.184</v>
      </c>
      <c r="DQ18" t="n">
        <v>56.182</v>
      </c>
      <c r="DR18" t="n">
        <v>39.045</v>
      </c>
      <c r="DS18" t="n">
        <v>80.131</v>
      </c>
      <c r="DT18" t="n">
        <v>5979.048</v>
      </c>
      <c r="DU18" t="n">
        <v>15.547</v>
      </c>
      <c r="DV18" t="n">
        <v>57.909</v>
      </c>
      <c r="DW18" t="n">
        <v>6.63</v>
      </c>
      <c r="DX18" t="n">
        <v>69.455</v>
      </c>
      <c r="DY18" t="n">
        <v>5.528</v>
      </c>
      <c r="DZ18" t="n">
        <v>-0.924</v>
      </c>
      <c r="EA18" t="n">
        <v>0.546</v>
      </c>
      <c r="EB18" t="n">
        <v>141.682</v>
      </c>
      <c r="EC18" t="n">
        <v>237.227</v>
      </c>
      <c r="ED18" t="n">
        <v>378.909</v>
      </c>
      <c r="EE18" t="n">
        <v>37.392</v>
      </c>
      <c r="EF18" t="n">
        <v>70.682</v>
      </c>
      <c r="EG18" t="n">
        <v>89.318</v>
      </c>
      <c r="EH18" t="n">
        <v>16.591</v>
      </c>
      <c r="EI18" t="n">
        <v>32.318</v>
      </c>
      <c r="EJ18" t="n">
        <v>57</v>
      </c>
      <c r="EK18" t="n">
        <v>89.59099999999999</v>
      </c>
      <c r="EL18" t="n">
        <v>60.909</v>
      </c>
      <c r="EM18" t="n">
        <v>13.727</v>
      </c>
      <c r="EN18" t="n">
        <v>23.273</v>
      </c>
      <c r="EO18" t="n">
        <v>124.545</v>
      </c>
      <c r="EP18" t="n">
        <v>11.364</v>
      </c>
      <c r="EQ18" t="n">
        <v>26.955</v>
      </c>
      <c r="ER18" t="n">
        <v>38.318</v>
      </c>
      <c r="ES18" t="n">
        <v>42.273</v>
      </c>
      <c r="ET18" t="n">
        <v>75.914</v>
      </c>
      <c r="EU18" t="n">
        <v>99.90900000000001</v>
      </c>
      <c r="EV18" t="n">
        <v>12.455</v>
      </c>
      <c r="EW18" t="n">
        <v>12.364</v>
      </c>
      <c r="EX18" t="n">
        <v>22.006</v>
      </c>
      <c r="EY18" t="n">
        <v>17.591</v>
      </c>
      <c r="EZ18" t="n">
        <v>9.635999999999999</v>
      </c>
      <c r="FA18" t="n">
        <v>12.182</v>
      </c>
      <c r="FB18" t="n">
        <v>11.591</v>
      </c>
      <c r="FC18" t="n">
        <v>2.273</v>
      </c>
      <c r="FD18" t="n">
        <v>26.227</v>
      </c>
      <c r="FE18" t="n">
        <v>8.727</v>
      </c>
      <c r="FF18" t="n">
        <v>46.447</v>
      </c>
      <c r="FG18" t="n">
        <v>21.683</v>
      </c>
      <c r="FH18" t="n">
        <v>42.314</v>
      </c>
      <c r="FI18" t="n">
        <v>46.683</v>
      </c>
      <c r="FJ18" t="n">
        <v>23.409</v>
      </c>
      <c r="FK18" t="n">
        <v>82.93000000000001</v>
      </c>
      <c r="FL18" t="n">
        <v>-0.521</v>
      </c>
      <c r="FM18" t="n">
        <v>3.162</v>
      </c>
      <c r="FN18" t="n">
        <v>-0.02</v>
      </c>
      <c r="FO18" t="n">
        <v>3.368</v>
      </c>
      <c r="FP18" t="n">
        <v>-0.08799999999999999</v>
      </c>
      <c r="FQ18" t="n">
        <v>2.896</v>
      </c>
      <c r="FR18" t="n">
        <v>0.068</v>
      </c>
      <c r="FS18" t="n">
        <v>2.545</v>
      </c>
      <c r="FT18" t="n">
        <v>30.818</v>
      </c>
      <c r="FU18" t="n">
        <v>51.318</v>
      </c>
      <c r="FV18" t="n">
        <v>31.773</v>
      </c>
      <c r="FW18" t="n">
        <v>43.455</v>
      </c>
      <c r="FX18" t="n">
        <v>9.455</v>
      </c>
      <c r="FY18" t="n">
        <v>20.078</v>
      </c>
      <c r="FZ18" t="n">
        <v>22.943</v>
      </c>
      <c r="GA18" t="n">
        <v>8.265000000000001</v>
      </c>
      <c r="GB18" t="n">
        <v>32.224</v>
      </c>
      <c r="GC18" t="n">
        <v>12.042</v>
      </c>
      <c r="GD18" t="n">
        <v>56.5</v>
      </c>
      <c r="GE18" t="n">
        <v>10.227</v>
      </c>
      <c r="GF18" t="n">
        <v>268.136</v>
      </c>
      <c r="GG18" t="n">
        <v>118.5</v>
      </c>
      <c r="GH18" t="n">
        <v>31.455</v>
      </c>
      <c r="GI18" t="n">
        <v>45.455</v>
      </c>
      <c r="GJ18" t="n">
        <v>51.387</v>
      </c>
      <c r="GK18" t="n">
        <v>14.864</v>
      </c>
      <c r="GL18" t="n">
        <v>32.7</v>
      </c>
      <c r="GM18" t="n">
        <v>3.955</v>
      </c>
      <c r="GN18" t="n">
        <v>9.955</v>
      </c>
      <c r="GO18" t="n">
        <v>88.584</v>
      </c>
      <c r="GP18" t="n">
        <v>6.636</v>
      </c>
      <c r="GQ18" t="n">
        <v>48.091</v>
      </c>
      <c r="GR18" t="n">
        <v>71.727</v>
      </c>
      <c r="GS18" t="n">
        <v>-23.218</v>
      </c>
      <c r="GT18" t="n">
        <v>-110.182</v>
      </c>
      <c r="GU18" t="n">
        <v>-62</v>
      </c>
      <c r="GV18" t="n">
        <v>-8.727</v>
      </c>
      <c r="GW18" t="n">
        <v>-3.545</v>
      </c>
      <c r="GX18" t="n">
        <v>-23.636</v>
      </c>
      <c r="GY18" t="n">
        <v>-27.182</v>
      </c>
      <c r="GZ18" t="n">
        <v>-7.455</v>
      </c>
      <c r="HA18" t="n">
        <v>-347.143</v>
      </c>
      <c r="HB18" t="n">
        <v>0.318</v>
      </c>
      <c r="HC18" t="n">
        <v>1.136</v>
      </c>
      <c r="HD18" t="n">
        <v>-1.071</v>
      </c>
      <c r="HE18" t="n">
        <v>-0.772</v>
      </c>
      <c r="HF18" t="n">
        <v>-9.864000000000001</v>
      </c>
      <c r="HG18" t="n">
        <v>-16.773</v>
      </c>
      <c r="HH18" t="n">
        <v>-26.636</v>
      </c>
      <c r="HI18" t="n">
        <v>-1.045</v>
      </c>
      <c r="HJ18" t="n">
        <v>3.091</v>
      </c>
      <c r="HK18" t="n">
        <v>-1.545</v>
      </c>
      <c r="HL18" t="n">
        <v>1.409</v>
      </c>
      <c r="HM18" t="n">
        <v>1.682</v>
      </c>
      <c r="HN18" t="n">
        <v>-4.682</v>
      </c>
      <c r="HO18" t="n">
        <v>-0.409</v>
      </c>
      <c r="HP18" t="n">
        <v>-6</v>
      </c>
      <c r="HQ18" t="n">
        <v>0.955</v>
      </c>
      <c r="HR18" t="n">
        <v>-20.5</v>
      </c>
      <c r="HS18" t="n">
        <v>-1.045</v>
      </c>
      <c r="HT18" t="n">
        <v>-3.045</v>
      </c>
      <c r="HU18" t="n">
        <v>-4.091</v>
      </c>
      <c r="HV18" t="n">
        <v>-5.909</v>
      </c>
      <c r="HW18" t="n">
        <v>5.045</v>
      </c>
      <c r="HX18" t="n">
        <v>-1.955</v>
      </c>
      <c r="HY18" t="n">
        <v>-3.091</v>
      </c>
      <c r="HZ18" t="n">
        <v>-1.591</v>
      </c>
      <c r="IA18" t="n">
        <v>0.5</v>
      </c>
      <c r="IB18" t="n">
        <v>-3.045</v>
      </c>
      <c r="IC18" t="n">
        <v>-1.409</v>
      </c>
      <c r="ID18" t="n">
        <v>-5.045</v>
      </c>
      <c r="IE18" t="n">
        <v>-2.682</v>
      </c>
      <c r="IF18" t="n">
        <v>-4.409</v>
      </c>
      <c r="IG18" t="n">
        <v>-14.272</v>
      </c>
      <c r="IH18" t="n">
        <v>-5.137</v>
      </c>
      <c r="II18" t="n">
        <v>0.079</v>
      </c>
      <c r="IJ18" t="n">
        <v>-0.045</v>
      </c>
      <c r="IK18" t="n">
        <v>-7.182</v>
      </c>
      <c r="IL18" t="n">
        <v>-12.455</v>
      </c>
      <c r="IM18" t="n">
        <v>-5.864</v>
      </c>
      <c r="IN18" t="n">
        <v>-9.5</v>
      </c>
      <c r="IO18" t="n">
        <v>-4.318</v>
      </c>
      <c r="IP18" t="n">
        <v>5.591</v>
      </c>
      <c r="IQ18" t="n">
        <v>0.045</v>
      </c>
      <c r="IR18" t="n">
        <v>39.455</v>
      </c>
      <c r="IS18" t="n">
        <v>27.636</v>
      </c>
      <c r="IT18" t="n">
        <v>3.273</v>
      </c>
      <c r="IU18" t="n">
        <v>-19.091</v>
      </c>
      <c r="IV18" t="n">
        <v>-6.591</v>
      </c>
      <c r="IW18" t="n">
        <v>-2.909</v>
      </c>
      <c r="IX18" t="n">
        <v>1.682</v>
      </c>
      <c r="IY18" t="n">
        <v>2.091</v>
      </c>
      <c r="IZ18" t="n">
        <v>2.045</v>
      </c>
    </row>
    <row r="19">
      <c r="A19" t="inlineStr">
        <is>
          <t>West Coast</t>
        </is>
      </c>
      <c r="B19" t="inlineStr">
        <is>
          <t>WC</t>
        </is>
      </c>
      <c r="C19" t="n">
        <v>22</v>
      </c>
      <c r="D19" t="n">
        <v>37</v>
      </c>
      <c r="E19" t="n">
        <v>26.398</v>
      </c>
      <c r="F19" t="n">
        <v>115.449</v>
      </c>
      <c r="G19" t="n">
        <v>195.6</v>
      </c>
      <c r="H19" t="n">
        <v>1605.864</v>
      </c>
      <c r="I19" t="n">
        <v>1534.273</v>
      </c>
      <c r="J19" t="n">
        <v>14.136</v>
      </c>
      <c r="K19" t="n">
        <v>49.317</v>
      </c>
      <c r="L19" t="n">
        <v>225.773</v>
      </c>
      <c r="M19" t="n">
        <v>128.091</v>
      </c>
      <c r="N19" t="n">
        <v>353.864</v>
      </c>
      <c r="O19" t="n">
        <v>73.834</v>
      </c>
      <c r="P19" t="n">
        <v>68.57299999999999</v>
      </c>
      <c r="Q19" t="n">
        <v>83.10899999999999</v>
      </c>
      <c r="R19" t="n">
        <v>63.802</v>
      </c>
      <c r="S19" t="n">
        <v>6.531</v>
      </c>
      <c r="T19" t="n">
        <v>49.591</v>
      </c>
      <c r="U19" t="n">
        <v>36.182</v>
      </c>
      <c r="V19" t="n">
        <v>73.432</v>
      </c>
      <c r="W19" t="n">
        <v>5500.5</v>
      </c>
      <c r="X19" t="n">
        <v>15.544</v>
      </c>
      <c r="Y19" t="n">
        <v>52.955</v>
      </c>
      <c r="Z19" t="n">
        <v>6.682</v>
      </c>
      <c r="AA19" t="n">
        <v>65.59099999999999</v>
      </c>
      <c r="AB19" t="n">
        <v>5.395</v>
      </c>
      <c r="AC19" t="n">
        <v>0.27</v>
      </c>
      <c r="AD19" t="n">
        <v>-0.183</v>
      </c>
      <c r="AE19" t="n">
        <v>132.636</v>
      </c>
      <c r="AF19" t="n">
        <v>219.773</v>
      </c>
      <c r="AG19" t="n">
        <v>352.409</v>
      </c>
      <c r="AH19" t="n">
        <v>37.637</v>
      </c>
      <c r="AI19" t="n">
        <v>66.818</v>
      </c>
      <c r="AJ19" t="n">
        <v>76.59099999999999</v>
      </c>
      <c r="AK19" t="n">
        <v>13.091</v>
      </c>
      <c r="AL19" t="n">
        <v>26.864</v>
      </c>
      <c r="AM19" t="n">
        <v>49.727</v>
      </c>
      <c r="AN19" t="n">
        <v>85.455</v>
      </c>
      <c r="AO19" t="n">
        <v>54.636</v>
      </c>
      <c r="AP19" t="n">
        <v>13.318</v>
      </c>
      <c r="AQ19" t="n">
        <v>22.136</v>
      </c>
      <c r="AR19" t="n">
        <v>103.864</v>
      </c>
      <c r="AS19" t="n">
        <v>13.5</v>
      </c>
      <c r="AT19" t="n">
        <v>22.773</v>
      </c>
      <c r="AU19" t="n">
        <v>36.273</v>
      </c>
      <c r="AV19" t="n">
        <v>40.318</v>
      </c>
      <c r="AW19" t="n">
        <v>77.565</v>
      </c>
      <c r="AX19" t="n">
        <v>107.409</v>
      </c>
      <c r="AY19" t="n">
        <v>13.955</v>
      </c>
      <c r="AZ19" t="n">
        <v>11.818</v>
      </c>
      <c r="BA19" t="n">
        <v>23.831</v>
      </c>
      <c r="BB19" t="n">
        <v>17.773</v>
      </c>
      <c r="BC19" t="n">
        <v>7.636</v>
      </c>
      <c r="BD19" t="n">
        <v>24</v>
      </c>
      <c r="BE19" t="n">
        <v>6.773</v>
      </c>
      <c r="BF19" t="n">
        <v>11.682</v>
      </c>
      <c r="BG19" t="n">
        <v>9.545</v>
      </c>
      <c r="BH19" t="n">
        <v>1.909</v>
      </c>
      <c r="BI19" t="n">
        <v>23.227</v>
      </c>
      <c r="BJ19" t="n">
        <v>7.955</v>
      </c>
      <c r="BK19" t="n">
        <v>50.294</v>
      </c>
      <c r="BL19" t="n">
        <v>23.556</v>
      </c>
      <c r="BM19" t="n">
        <v>42.805</v>
      </c>
      <c r="BN19" t="n">
        <v>46.838</v>
      </c>
      <c r="BO19" t="n">
        <v>21.091</v>
      </c>
      <c r="BP19" t="n">
        <v>15</v>
      </c>
      <c r="BQ19" t="n">
        <v>26.061</v>
      </c>
      <c r="BR19" t="n">
        <v>73.223</v>
      </c>
      <c r="BS19" t="n">
        <v>4.504</v>
      </c>
      <c r="BT19" t="n">
        <v>3.152</v>
      </c>
      <c r="BU19" t="n">
        <v>0.194</v>
      </c>
      <c r="BV19" t="n">
        <v>3.352</v>
      </c>
      <c r="BW19" t="n">
        <v>0.223</v>
      </c>
      <c r="BX19" t="n">
        <v>2.897</v>
      </c>
      <c r="BY19" t="n">
        <v>0.156</v>
      </c>
      <c r="BZ19" t="n">
        <v>3.682</v>
      </c>
      <c r="CA19" t="n">
        <v>31.591</v>
      </c>
      <c r="CB19" t="n">
        <v>44.364</v>
      </c>
      <c r="CC19" t="n">
        <v>27.5</v>
      </c>
      <c r="CD19" t="n">
        <v>38.909</v>
      </c>
      <c r="CE19" t="n">
        <v>13.227</v>
      </c>
      <c r="CF19" t="n">
        <v>18.939</v>
      </c>
      <c r="CG19" t="n">
        <v>19.1</v>
      </c>
      <c r="CH19" t="n">
        <v>8.637</v>
      </c>
      <c r="CI19" t="n">
        <v>27.376</v>
      </c>
      <c r="CJ19" t="n">
        <v>11.052</v>
      </c>
      <c r="CK19" t="n">
        <v>14.727</v>
      </c>
      <c r="CL19" t="n">
        <v>29.321</v>
      </c>
      <c r="CM19" t="n">
        <v>48.636</v>
      </c>
      <c r="CN19" t="n">
        <v>8.955</v>
      </c>
      <c r="CO19" t="n">
        <v>284.455</v>
      </c>
      <c r="CP19" t="n">
        <v>131.682</v>
      </c>
      <c r="CQ19" t="n">
        <v>33.545</v>
      </c>
      <c r="CR19" t="n">
        <v>84.09099999999999</v>
      </c>
      <c r="CS19" t="n">
        <v>40.364</v>
      </c>
      <c r="CT19" t="n">
        <v>48</v>
      </c>
      <c r="CU19" t="n">
        <v>15.182</v>
      </c>
      <c r="CV19" t="n">
        <v>37.613</v>
      </c>
      <c r="CW19" t="n">
        <v>4.682</v>
      </c>
      <c r="CX19" t="n">
        <v>17.864</v>
      </c>
      <c r="CY19" t="n">
        <v>17.318</v>
      </c>
      <c r="CZ19" t="n">
        <v>0.545</v>
      </c>
      <c r="DA19" t="n">
        <v>10.545</v>
      </c>
      <c r="DB19" t="n">
        <v>90.086</v>
      </c>
      <c r="DC19" t="n">
        <v>4.409</v>
      </c>
      <c r="DD19" t="n">
        <v>49.955</v>
      </c>
      <c r="DE19" t="n">
        <v>70.227</v>
      </c>
      <c r="DF19" t="n">
        <v>205.645</v>
      </c>
      <c r="DG19" t="n">
        <v>1693.591</v>
      </c>
      <c r="DH19" t="n">
        <v>1578.545</v>
      </c>
      <c r="DI19" t="n">
        <v>15.864</v>
      </c>
      <c r="DJ19" t="n">
        <v>223.955</v>
      </c>
      <c r="DK19" t="n">
        <v>155.318</v>
      </c>
      <c r="DL19" t="n">
        <v>379.273</v>
      </c>
      <c r="DM19" t="n">
        <v>75.71899999999999</v>
      </c>
      <c r="DN19" t="n">
        <v>68.642</v>
      </c>
      <c r="DO19" t="n">
        <v>85.923</v>
      </c>
      <c r="DP19" t="n">
        <v>7.798</v>
      </c>
      <c r="DQ19" t="n">
        <v>49.273</v>
      </c>
      <c r="DR19" t="n">
        <v>37.045</v>
      </c>
      <c r="DS19" t="n">
        <v>74.702</v>
      </c>
      <c r="DT19" t="n">
        <v>5670.682</v>
      </c>
      <c r="DU19" t="n">
        <v>14.951</v>
      </c>
      <c r="DV19" t="n">
        <v>53.591</v>
      </c>
      <c r="DW19" t="n">
        <v>7.077</v>
      </c>
      <c r="DX19" t="n">
        <v>66.773</v>
      </c>
      <c r="DY19" t="n">
        <v>5.68</v>
      </c>
      <c r="DZ19" t="n">
        <v>0.555</v>
      </c>
      <c r="EA19" t="n">
        <v>0.518</v>
      </c>
      <c r="EB19" t="n">
        <v>132.727</v>
      </c>
      <c r="EC19" t="n">
        <v>245.727</v>
      </c>
      <c r="ED19" t="n">
        <v>378.455</v>
      </c>
      <c r="EE19" t="n">
        <v>35.071</v>
      </c>
      <c r="EF19" t="n">
        <v>65.682</v>
      </c>
      <c r="EG19" t="n">
        <v>91</v>
      </c>
      <c r="EH19" t="n">
        <v>15.045</v>
      </c>
      <c r="EI19" t="n">
        <v>32.318</v>
      </c>
      <c r="EJ19" t="n">
        <v>58.727</v>
      </c>
      <c r="EK19" t="n">
        <v>87.09099999999999</v>
      </c>
      <c r="EL19" t="n">
        <v>61.455</v>
      </c>
      <c r="EM19" t="n">
        <v>8.682</v>
      </c>
      <c r="EN19" t="n">
        <v>23.909</v>
      </c>
      <c r="EO19" t="n">
        <v>130.136</v>
      </c>
      <c r="EP19" t="n">
        <v>10.909</v>
      </c>
      <c r="EQ19" t="n">
        <v>24</v>
      </c>
      <c r="ER19" t="n">
        <v>34.909</v>
      </c>
      <c r="ES19" t="n">
        <v>35.955</v>
      </c>
      <c r="ET19" t="n">
        <v>79.14</v>
      </c>
      <c r="EU19" t="n">
        <v>101.773</v>
      </c>
      <c r="EV19" t="n">
        <v>11.5</v>
      </c>
      <c r="EW19" t="n">
        <v>11.727</v>
      </c>
      <c r="EX19" t="n">
        <v>23.801</v>
      </c>
      <c r="EY19" t="n">
        <v>14.409</v>
      </c>
      <c r="EZ19" t="n">
        <v>7.591</v>
      </c>
      <c r="FA19" t="n">
        <v>12.455</v>
      </c>
      <c r="FB19" t="n">
        <v>10.727</v>
      </c>
      <c r="FC19" t="n">
        <v>1.727</v>
      </c>
      <c r="FD19" t="n">
        <v>25.818</v>
      </c>
      <c r="FE19" t="n">
        <v>9</v>
      </c>
      <c r="FF19" t="n">
        <v>48.239</v>
      </c>
      <c r="FG19" t="n">
        <v>25.277</v>
      </c>
      <c r="FH19" t="n">
        <v>47.048</v>
      </c>
      <c r="FI19" t="n">
        <v>52.399</v>
      </c>
      <c r="FJ19" t="n">
        <v>22.818</v>
      </c>
      <c r="FK19" t="n">
        <v>84.73699999999999</v>
      </c>
      <c r="FL19" t="n">
        <v>-1.01</v>
      </c>
      <c r="FM19" t="n">
        <v>3.276</v>
      </c>
      <c r="FN19" t="n">
        <v>-0.039</v>
      </c>
      <c r="FO19" t="n">
        <v>3.583</v>
      </c>
      <c r="FP19" t="n">
        <v>-0.018</v>
      </c>
      <c r="FQ19" t="n">
        <v>2.949</v>
      </c>
      <c r="FR19" t="n">
        <v>-0.062</v>
      </c>
      <c r="FS19" t="n">
        <v>3.727</v>
      </c>
      <c r="FT19" t="n">
        <v>30.409</v>
      </c>
      <c r="FU19" t="n">
        <v>51.318</v>
      </c>
      <c r="FV19" t="n">
        <v>32.273</v>
      </c>
      <c r="FW19" t="n">
        <v>43.318</v>
      </c>
      <c r="FX19" t="n">
        <v>9.864000000000001</v>
      </c>
      <c r="FY19" t="n">
        <v>21.079</v>
      </c>
      <c r="FZ19" t="n">
        <v>21.707</v>
      </c>
      <c r="GA19" t="n">
        <v>8.913</v>
      </c>
      <c r="GB19" t="n">
        <v>30.827</v>
      </c>
      <c r="GC19" t="n">
        <v>12.671</v>
      </c>
      <c r="GD19" t="n">
        <v>54.182</v>
      </c>
      <c r="GE19" t="n">
        <v>9</v>
      </c>
      <c r="GF19" t="n">
        <v>258.318</v>
      </c>
      <c r="GG19" t="n">
        <v>114.227</v>
      </c>
      <c r="GH19" t="n">
        <v>33.818</v>
      </c>
      <c r="GI19" t="n">
        <v>26.545</v>
      </c>
      <c r="GJ19" t="n">
        <v>31.551</v>
      </c>
      <c r="GK19" t="n">
        <v>9.182</v>
      </c>
      <c r="GL19" t="n">
        <v>34.589</v>
      </c>
      <c r="GM19" t="n">
        <v>1.273</v>
      </c>
      <c r="GN19" t="n">
        <v>9.409000000000001</v>
      </c>
      <c r="GO19" t="n">
        <v>79.70999999999999</v>
      </c>
      <c r="GP19" t="n">
        <v>5.364</v>
      </c>
      <c r="GQ19" t="n">
        <v>50.864</v>
      </c>
      <c r="GR19" t="n">
        <v>72.5</v>
      </c>
      <c r="GS19" t="n">
        <v>-10.045</v>
      </c>
      <c r="GT19" t="n">
        <v>-87.727</v>
      </c>
      <c r="GU19" t="n">
        <v>-44.273</v>
      </c>
      <c r="GV19" t="n">
        <v>-1.727</v>
      </c>
      <c r="GW19" t="n">
        <v>1.818</v>
      </c>
      <c r="GX19" t="n">
        <v>-27.227</v>
      </c>
      <c r="GY19" t="n">
        <v>-25.409</v>
      </c>
      <c r="GZ19" t="n">
        <v>0.318</v>
      </c>
      <c r="HA19" t="n">
        <v>-170.182</v>
      </c>
      <c r="HB19" t="n">
        <v>-0.636</v>
      </c>
      <c r="HC19" t="n">
        <v>-1.182</v>
      </c>
      <c r="HD19" t="n">
        <v>-0.285</v>
      </c>
      <c r="HE19" t="n">
        <v>-0.701</v>
      </c>
      <c r="HF19" t="n">
        <v>-0.091</v>
      </c>
      <c r="HG19" t="n">
        <v>-25.955</v>
      </c>
      <c r="HH19" t="n">
        <v>-26.045</v>
      </c>
      <c r="HI19" t="n">
        <v>1.136</v>
      </c>
      <c r="HJ19" t="n">
        <v>-14.409</v>
      </c>
      <c r="HK19" t="n">
        <v>-1.955</v>
      </c>
      <c r="HL19" t="n">
        <v>-5.455</v>
      </c>
      <c r="HM19" t="n">
        <v>-9</v>
      </c>
      <c r="HN19" t="n">
        <v>-1.636</v>
      </c>
      <c r="HO19" t="n">
        <v>-6.818</v>
      </c>
      <c r="HP19" t="n">
        <v>4.636</v>
      </c>
      <c r="HQ19" t="n">
        <v>-1.773</v>
      </c>
      <c r="HR19" t="n">
        <v>-26.273</v>
      </c>
      <c r="HS19" t="n">
        <v>2.591</v>
      </c>
      <c r="HT19" t="n">
        <v>-1.227</v>
      </c>
      <c r="HU19" t="n">
        <v>1.364</v>
      </c>
      <c r="HV19" t="n">
        <v>4.364</v>
      </c>
      <c r="HW19" t="n">
        <v>5.636</v>
      </c>
      <c r="HX19" t="n">
        <v>2.455</v>
      </c>
      <c r="HY19" t="n">
        <v>0.091</v>
      </c>
      <c r="HZ19" t="n">
        <v>3.364</v>
      </c>
      <c r="IA19" t="n">
        <v>0.045</v>
      </c>
      <c r="IB19" t="n">
        <v>-0.773</v>
      </c>
      <c r="IC19" t="n">
        <v>-1.182</v>
      </c>
      <c r="ID19" t="n">
        <v>-2.591</v>
      </c>
      <c r="IE19" t="n">
        <v>-1.045</v>
      </c>
      <c r="IF19" t="n">
        <v>-1.727</v>
      </c>
      <c r="IG19" t="n">
        <v>-11.514</v>
      </c>
      <c r="IH19" t="n">
        <v>5.514</v>
      </c>
      <c r="II19" t="n">
        <v>-0.124</v>
      </c>
      <c r="IJ19" t="n">
        <v>-0.045</v>
      </c>
      <c r="IK19" t="n">
        <v>1.182</v>
      </c>
      <c r="IL19" t="n">
        <v>-6.955</v>
      </c>
      <c r="IM19" t="n">
        <v>-4.773</v>
      </c>
      <c r="IN19" t="n">
        <v>-4.409</v>
      </c>
      <c r="IO19" t="n">
        <v>3.364</v>
      </c>
      <c r="IP19" t="n">
        <v>-5.545</v>
      </c>
      <c r="IQ19" t="n">
        <v>-0.045</v>
      </c>
      <c r="IR19" t="n">
        <v>26.136</v>
      </c>
      <c r="IS19" t="n">
        <v>17.455</v>
      </c>
      <c r="IT19" t="n">
        <v>-0.273</v>
      </c>
      <c r="IU19" t="n">
        <v>13.818</v>
      </c>
      <c r="IV19" t="n">
        <v>6</v>
      </c>
      <c r="IW19" t="n">
        <v>3.409</v>
      </c>
      <c r="IX19" t="n">
        <v>-0.955</v>
      </c>
      <c r="IY19" t="n">
        <v>-0.909</v>
      </c>
      <c r="IZ19" t="n">
        <v>-2.273</v>
      </c>
    </row>
    <row r="20">
      <c r="A20" t="inlineStr">
        <is>
          <t>Average</t>
        </is>
      </c>
      <c r="B20" t="inlineStr">
        <is>
          <t>AFL</t>
        </is>
      </c>
      <c r="C20" t="n">
        <v>207</v>
      </c>
      <c r="D20" t="n">
        <v>37.444</v>
      </c>
      <c r="E20" t="n">
        <v>25.435</v>
      </c>
      <c r="F20" t="n">
        <v>93.81</v>
      </c>
      <c r="G20" t="n">
        <v>201.078</v>
      </c>
      <c r="H20" t="n">
        <v>1649.954</v>
      </c>
      <c r="I20" t="n">
        <v>1535.645</v>
      </c>
      <c r="J20" t="n">
        <v>15</v>
      </c>
      <c r="K20" t="n">
        <v>50</v>
      </c>
      <c r="L20" t="n">
        <v>217.86</v>
      </c>
      <c r="M20" t="n">
        <v>147.401</v>
      </c>
      <c r="N20" t="n">
        <v>365.261</v>
      </c>
      <c r="O20" t="n">
        <v>73.188</v>
      </c>
      <c r="P20" t="n">
        <v>66.69199999999999</v>
      </c>
      <c r="Q20" t="n">
        <v>82.79000000000001</v>
      </c>
      <c r="R20" t="n">
        <v>59.645</v>
      </c>
      <c r="S20" t="n">
        <v>6.365</v>
      </c>
      <c r="T20" t="n">
        <v>51.488</v>
      </c>
      <c r="U20" t="n">
        <v>39.181</v>
      </c>
      <c r="V20" t="n">
        <v>76.098</v>
      </c>
      <c r="W20" t="n">
        <v>5707.537</v>
      </c>
      <c r="X20" t="n">
        <v>15.628</v>
      </c>
      <c r="Y20" t="n">
        <v>57.114</v>
      </c>
      <c r="Z20" t="n">
        <v>6.395</v>
      </c>
      <c r="AA20" t="n">
        <v>68.746</v>
      </c>
      <c r="AB20" t="n">
        <v>5.313</v>
      </c>
      <c r="AC20" t="n">
        <v>-0.355</v>
      </c>
      <c r="AD20" t="n">
        <v>0.237</v>
      </c>
      <c r="AE20" t="n">
        <v>135.983</v>
      </c>
      <c r="AF20" t="n">
        <v>223.853</v>
      </c>
      <c r="AG20" t="n">
        <v>359.836</v>
      </c>
      <c r="AH20" t="n">
        <v>37.79</v>
      </c>
      <c r="AI20" t="n">
        <v>68.874</v>
      </c>
      <c r="AJ20" t="n">
        <v>90.63</v>
      </c>
      <c r="AK20" t="n">
        <v>15.343</v>
      </c>
      <c r="AL20" t="n">
        <v>32.705</v>
      </c>
      <c r="AM20" t="n">
        <v>57.93</v>
      </c>
      <c r="AN20" t="n">
        <v>88.691</v>
      </c>
      <c r="AO20" t="n">
        <v>61.725</v>
      </c>
      <c r="AP20" t="n">
        <v>9.746</v>
      </c>
      <c r="AQ20" t="n">
        <v>23.645</v>
      </c>
      <c r="AR20" t="n">
        <v>118.693</v>
      </c>
      <c r="AS20" t="n">
        <v>11.867</v>
      </c>
      <c r="AT20" t="n">
        <v>23.708</v>
      </c>
      <c r="AU20" t="n">
        <v>35.575</v>
      </c>
      <c r="AV20" t="n">
        <v>38.343</v>
      </c>
      <c r="AW20" t="n">
        <v>77.095</v>
      </c>
      <c r="AX20" t="n">
        <v>94.589</v>
      </c>
      <c r="AY20" t="n">
        <v>11.505</v>
      </c>
      <c r="AZ20" t="n">
        <v>11.469</v>
      </c>
      <c r="BA20" t="n">
        <v>22.274</v>
      </c>
      <c r="BB20" t="n">
        <v>15.79</v>
      </c>
      <c r="BC20" t="n">
        <v>7.85</v>
      </c>
      <c r="BD20" t="n">
        <v>27.833</v>
      </c>
      <c r="BE20" t="n">
        <v>7.186</v>
      </c>
      <c r="BF20" t="n">
        <v>11.541</v>
      </c>
      <c r="BG20" t="n">
        <v>10.498</v>
      </c>
      <c r="BH20" t="n">
        <v>2.017</v>
      </c>
      <c r="BI20" t="n">
        <v>24.343</v>
      </c>
      <c r="BJ20" t="n">
        <v>8.034000000000001</v>
      </c>
      <c r="BK20" t="n">
        <v>47.41</v>
      </c>
      <c r="BL20" t="n">
        <v>22.415</v>
      </c>
      <c r="BM20" t="n">
        <v>42.804</v>
      </c>
      <c r="BN20" t="n">
        <v>47.279</v>
      </c>
      <c r="BO20" t="n">
        <v>21.816</v>
      </c>
      <c r="BP20" t="n">
        <v>17.292</v>
      </c>
      <c r="BQ20" t="n">
        <v>26.442</v>
      </c>
      <c r="BR20" t="n">
        <v>78.809</v>
      </c>
      <c r="BS20" t="n">
        <v>-1.081</v>
      </c>
      <c r="BT20" t="n">
        <v>3.236</v>
      </c>
      <c r="BU20" t="n">
        <v>-0.044</v>
      </c>
      <c r="BV20" t="n">
        <v>3.507</v>
      </c>
      <c r="BW20" t="n">
        <v>-0.03</v>
      </c>
      <c r="BX20" t="n">
        <v>2.918</v>
      </c>
      <c r="BY20" t="n">
        <v>-0.062</v>
      </c>
      <c r="BZ20" t="n">
        <v>3.21</v>
      </c>
      <c r="CA20" t="n">
        <v>29.302</v>
      </c>
      <c r="CB20" t="n">
        <v>47.234</v>
      </c>
      <c r="CC20" t="n">
        <v>29.836</v>
      </c>
      <c r="CD20" t="n">
        <v>39.488</v>
      </c>
      <c r="CE20" t="n">
        <v>10.423</v>
      </c>
      <c r="CF20" t="n">
        <v>19.382</v>
      </c>
      <c r="CG20" t="n">
        <v>21.479</v>
      </c>
      <c r="CH20" t="n">
        <v>8.654999999999999</v>
      </c>
      <c r="CI20" t="n">
        <v>29.682</v>
      </c>
      <c r="CJ20" t="n">
        <v>11.609</v>
      </c>
      <c r="CK20" t="n">
        <v>17.3</v>
      </c>
      <c r="CL20" t="n">
        <v>26.431</v>
      </c>
      <c r="CM20" t="n">
        <v>57.382</v>
      </c>
      <c r="CN20" t="n">
        <v>10.051</v>
      </c>
      <c r="CO20" t="n">
        <v>288.915</v>
      </c>
      <c r="CP20" t="n">
        <v>135</v>
      </c>
      <c r="CQ20" t="n">
        <v>32.957</v>
      </c>
      <c r="CR20" t="n">
        <v>85.374</v>
      </c>
      <c r="CS20" t="n">
        <v>34.374</v>
      </c>
      <c r="CT20" t="n">
        <v>40.263</v>
      </c>
      <c r="CU20" t="n">
        <v>10.64</v>
      </c>
      <c r="CV20" t="n">
        <v>30.954</v>
      </c>
      <c r="CW20" t="n">
        <v>2.534</v>
      </c>
      <c r="CX20" t="n">
        <v>19.099</v>
      </c>
      <c r="CY20" t="n">
        <v>19.104</v>
      </c>
      <c r="CZ20" t="n">
        <v>-0.005</v>
      </c>
      <c r="DA20" t="n">
        <v>10.316</v>
      </c>
      <c r="DB20" t="n">
        <v>82.791</v>
      </c>
      <c r="DC20" t="n">
        <v>5.321</v>
      </c>
      <c r="DD20" t="n">
        <v>48.959</v>
      </c>
      <c r="DE20" t="n">
        <v>71.976</v>
      </c>
      <c r="DF20" t="n">
        <v>201.078</v>
      </c>
      <c r="DG20" t="n">
        <v>1649.954</v>
      </c>
      <c r="DH20" t="n">
        <v>1535.645</v>
      </c>
      <c r="DI20" t="n">
        <v>15</v>
      </c>
      <c r="DJ20" t="n">
        <v>217.86</v>
      </c>
      <c r="DK20" t="n">
        <v>147.401</v>
      </c>
      <c r="DL20" t="n">
        <v>365.261</v>
      </c>
      <c r="DM20" t="n">
        <v>73.188</v>
      </c>
      <c r="DN20" t="n">
        <v>66.69199999999999</v>
      </c>
      <c r="DO20" t="n">
        <v>82.79000000000001</v>
      </c>
      <c r="DP20" t="n">
        <v>6.365</v>
      </c>
      <c r="DQ20" t="n">
        <v>51.488</v>
      </c>
      <c r="DR20" t="n">
        <v>39.181</v>
      </c>
      <c r="DS20" t="n">
        <v>76.098</v>
      </c>
      <c r="DT20" t="n">
        <v>5707.537</v>
      </c>
      <c r="DU20" t="n">
        <v>15.628</v>
      </c>
      <c r="DV20" t="n">
        <v>57.114</v>
      </c>
      <c r="DW20" t="n">
        <v>6.395</v>
      </c>
      <c r="DX20" t="n">
        <v>68.746</v>
      </c>
      <c r="DY20" t="n">
        <v>5.313</v>
      </c>
      <c r="DZ20" t="n">
        <v>-0.355</v>
      </c>
      <c r="EA20" t="n">
        <v>0.237</v>
      </c>
      <c r="EB20" t="n">
        <v>135.983</v>
      </c>
      <c r="EC20" t="n">
        <v>223.853</v>
      </c>
      <c r="ED20" t="n">
        <v>359.836</v>
      </c>
      <c r="EE20" t="n">
        <v>37.79</v>
      </c>
      <c r="EF20" t="n">
        <v>68.874</v>
      </c>
      <c r="EG20" t="n">
        <v>90.63</v>
      </c>
      <c r="EH20" t="n">
        <v>15.343</v>
      </c>
      <c r="EI20" t="n">
        <v>32.705</v>
      </c>
      <c r="EJ20" t="n">
        <v>57.93</v>
      </c>
      <c r="EK20" t="n">
        <v>88.691</v>
      </c>
      <c r="EL20" t="n">
        <v>61.725</v>
      </c>
      <c r="EM20" t="n">
        <v>9.746</v>
      </c>
      <c r="EN20" t="n">
        <v>23.645</v>
      </c>
      <c r="EO20" t="n">
        <v>118.693</v>
      </c>
      <c r="EP20" t="n">
        <v>11.867</v>
      </c>
      <c r="EQ20" t="n">
        <v>23.708</v>
      </c>
      <c r="ER20" t="n">
        <v>35.575</v>
      </c>
      <c r="ES20" t="n">
        <v>38.343</v>
      </c>
      <c r="ET20" t="n">
        <v>77.095</v>
      </c>
      <c r="EU20" t="n">
        <v>94.589</v>
      </c>
      <c r="EV20" t="n">
        <v>11.505</v>
      </c>
      <c r="EW20" t="n">
        <v>11.469</v>
      </c>
      <c r="EX20" t="n">
        <v>22.274</v>
      </c>
      <c r="EY20" t="n">
        <v>15.79</v>
      </c>
      <c r="EZ20" t="n">
        <v>7.85</v>
      </c>
      <c r="FA20" t="n">
        <v>11.541</v>
      </c>
      <c r="FB20" t="n">
        <v>10.498</v>
      </c>
      <c r="FC20" t="n">
        <v>2.017</v>
      </c>
      <c r="FD20" t="n">
        <v>24.343</v>
      </c>
      <c r="FE20" t="n">
        <v>8.034000000000001</v>
      </c>
      <c r="FF20" t="n">
        <v>47.41</v>
      </c>
      <c r="FG20" t="n">
        <v>22.415</v>
      </c>
      <c r="FH20" t="n">
        <v>42.804</v>
      </c>
      <c r="FI20" t="n">
        <v>47.279</v>
      </c>
      <c r="FJ20" t="n">
        <v>21.816</v>
      </c>
      <c r="FK20" t="n">
        <v>78.809</v>
      </c>
      <c r="FL20" t="n">
        <v>-1.081</v>
      </c>
      <c r="FM20" t="n">
        <v>3.236</v>
      </c>
      <c r="FN20" t="n">
        <v>-0.044</v>
      </c>
      <c r="FO20" t="n">
        <v>3.507</v>
      </c>
      <c r="FP20" t="n">
        <v>-0.03</v>
      </c>
      <c r="FQ20" t="n">
        <v>2.918</v>
      </c>
      <c r="FR20" t="n">
        <v>-0.062</v>
      </c>
      <c r="FS20" t="n">
        <v>3.21</v>
      </c>
      <c r="FT20" t="n">
        <v>29.302</v>
      </c>
      <c r="FU20" t="n">
        <v>47.234</v>
      </c>
      <c r="FV20" t="n">
        <v>29.836</v>
      </c>
      <c r="FW20" t="n">
        <v>39.488</v>
      </c>
      <c r="FX20" t="n">
        <v>10.423</v>
      </c>
      <c r="FY20" t="n">
        <v>19.382</v>
      </c>
      <c r="FZ20" t="n">
        <v>21.479</v>
      </c>
      <c r="GA20" t="n">
        <v>8.654999999999999</v>
      </c>
      <c r="GB20" t="n">
        <v>29.682</v>
      </c>
      <c r="GC20" t="n">
        <v>11.609</v>
      </c>
      <c r="GD20" t="n">
        <v>57.382</v>
      </c>
      <c r="GE20" t="n">
        <v>10.051</v>
      </c>
      <c r="GF20" t="n">
        <v>288.915</v>
      </c>
      <c r="GG20" t="n">
        <v>135</v>
      </c>
      <c r="GH20" t="n">
        <v>32.957</v>
      </c>
      <c r="GI20" t="n">
        <v>34.374</v>
      </c>
      <c r="GJ20" t="n">
        <v>40.263</v>
      </c>
      <c r="GK20" t="n">
        <v>10.64</v>
      </c>
      <c r="GL20" t="n">
        <v>30.954</v>
      </c>
      <c r="GM20" t="n">
        <v>2.534</v>
      </c>
      <c r="GN20" t="n">
        <v>10.316</v>
      </c>
      <c r="GO20" t="n">
        <v>82.791</v>
      </c>
      <c r="GP20" t="n">
        <v>5.321</v>
      </c>
      <c r="GQ20" t="n">
        <v>48.959</v>
      </c>
      <c r="GR20" t="n">
        <v>71.976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0</v>
      </c>
      <c r="HE20" t="n">
        <v>0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0</v>
      </c>
      <c r="HP20" t="n">
        <v>0</v>
      </c>
      <c r="HQ20" t="n">
        <v>0</v>
      </c>
      <c r="HR20" t="n">
        <v>0</v>
      </c>
      <c r="HS20" t="n">
        <v>0</v>
      </c>
      <c r="HT20" t="n">
        <v>0</v>
      </c>
      <c r="HU20" t="n">
        <v>0</v>
      </c>
      <c r="HV20" t="n">
        <v>0</v>
      </c>
      <c r="HW20" t="n">
        <v>0</v>
      </c>
      <c r="HX20" t="n">
        <v>0</v>
      </c>
      <c r="HY20" t="n">
        <v>0</v>
      </c>
      <c r="HZ20" t="n">
        <v>0</v>
      </c>
      <c r="IA20" t="n">
        <v>0</v>
      </c>
      <c r="IB20" t="n">
        <v>0</v>
      </c>
      <c r="IC20" t="n">
        <v>0</v>
      </c>
      <c r="ID20" t="n">
        <v>0</v>
      </c>
      <c r="IE20" t="n">
        <v>0</v>
      </c>
      <c r="IF20" t="n">
        <v>0</v>
      </c>
      <c r="IG20" t="n">
        <v>0</v>
      </c>
      <c r="IH20" t="n">
        <v>0</v>
      </c>
      <c r="II20" t="n">
        <v>0</v>
      </c>
      <c r="IJ20" t="n">
        <v>0</v>
      </c>
      <c r="IK20" t="n">
        <v>0</v>
      </c>
      <c r="IL20" t="n">
        <v>0</v>
      </c>
      <c r="IM20" t="n">
        <v>0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Z20"/>
  <sheetViews>
    <sheetView workbookViewId="0">
      <selection activeCell="G28" sqref="G28"/>
    </sheetView>
  </sheetViews>
  <sheetFormatPr baseColWidth="10" defaultRowHeight="16"/>
  <sheetData>
    <row r="1">
      <c r="A1" t="inlineStr">
        <is>
          <t>Team</t>
        </is>
      </c>
      <c r="B1" t="inlineStr">
        <is>
          <t>Abbreviation</t>
        </is>
      </c>
      <c r="C1" t="inlineStr">
        <is>
          <t>Matches</t>
        </is>
      </c>
      <c r="D1" t="inlineStr">
        <is>
          <t>Players</t>
        </is>
      </c>
      <c r="E1" t="inlineStr">
        <is>
          <t>Age</t>
        </is>
      </c>
      <c r="F1" t="inlineStr">
        <is>
          <t>Experience</t>
        </is>
      </c>
      <c r="G1" t="inlineStr">
        <is>
          <t>RatingPoints</t>
        </is>
      </c>
      <c r="H1" t="inlineStr">
        <is>
          <t>Supercoach</t>
        </is>
      </c>
      <c r="I1" t="inlineStr">
        <is>
          <t>DreamTeamPoints</t>
        </is>
      </c>
      <c r="J1" t="inlineStr">
        <is>
          <t>CoachesVotes</t>
        </is>
      </c>
      <c r="K1" t="inlineStr">
        <is>
          <t>ForwardHalf</t>
        </is>
      </c>
      <c r="L1" t="inlineStr">
        <is>
          <t>Kicks</t>
        </is>
      </c>
      <c r="M1" t="inlineStr">
        <is>
          <t>Handballs</t>
        </is>
      </c>
      <c r="N1" t="inlineStr">
        <is>
          <t>Disposals</t>
        </is>
      </c>
      <c r="O1" t="inlineStr">
        <is>
          <t>DisposalEfficiency</t>
        </is>
      </c>
      <c r="P1" t="inlineStr">
        <is>
          <t>KickingEfficiency</t>
        </is>
      </c>
      <c r="Q1" t="inlineStr">
        <is>
          <t>HandballEfficiency</t>
        </is>
      </c>
      <c r="R1" t="inlineStr">
        <is>
          <t>KickPercentage</t>
        </is>
      </c>
      <c r="S1" t="inlineStr">
        <is>
          <t>DisposalsPerOppositionTackle</t>
        </is>
      </c>
      <c r="T1" t="inlineStr">
        <is>
          <t>Inside50s</t>
        </is>
      </c>
      <c r="U1" t="inlineStr">
        <is>
          <t>Rebound50s</t>
        </is>
      </c>
      <c r="V1" t="inlineStr">
        <is>
          <t>Rebound50sPerOppositionInside50s</t>
        </is>
      </c>
      <c r="W1" t="inlineStr">
        <is>
          <t>MetresGained</t>
        </is>
      </c>
      <c r="X1" t="inlineStr">
        <is>
          <t>MetresGainedPerDisposal</t>
        </is>
      </c>
      <c r="Y1" t="inlineStr">
        <is>
          <t>Clangers</t>
        </is>
      </c>
      <c r="Z1" t="inlineStr">
        <is>
          <t>DisposalsPerClanger</t>
        </is>
      </c>
      <c r="AA1" t="inlineStr">
        <is>
          <t>Turnovers</t>
        </is>
      </c>
      <c r="AB1" t="inlineStr">
        <is>
          <t>DisposalsPerTurnover</t>
        </is>
      </c>
      <c r="AC1" t="inlineStr">
        <is>
          <t>ThreatRating</t>
        </is>
      </c>
      <c r="AD1" t="inlineStr">
        <is>
          <t>RetentionRating</t>
        </is>
      </c>
      <c r="AE1" t="inlineStr">
        <is>
          <t>ContestedPossessions</t>
        </is>
      </c>
      <c r="AF1" t="inlineStr">
        <is>
          <t>UncontestedPossessions</t>
        </is>
      </c>
      <c r="AG1" t="inlineStr">
        <is>
          <t>TotalPossessions</t>
        </is>
      </c>
      <c r="AH1" t="inlineStr">
        <is>
          <t>ContestedPossessionRate</t>
        </is>
      </c>
      <c r="AI1" t="inlineStr">
        <is>
          <t>Intercepts</t>
        </is>
      </c>
      <c r="AJ1" t="inlineStr">
        <is>
          <t>GroundBallGets</t>
        </is>
      </c>
      <c r="AK1" t="inlineStr">
        <is>
          <t>GroundBallGetsForward50</t>
        </is>
      </c>
      <c r="AL1" t="inlineStr">
        <is>
          <t>HardBallGets</t>
        </is>
      </c>
      <c r="AM1" t="inlineStr">
        <is>
          <t>LooseBallGets</t>
        </is>
      </c>
      <c r="AN1" t="inlineStr">
        <is>
          <t>PostClearanceContestedPossessions</t>
        </is>
      </c>
      <c r="AO1" t="inlineStr">
        <is>
          <t>PostClearanceGroundBallGets</t>
        </is>
      </c>
      <c r="AP1" t="inlineStr">
        <is>
          <t>GathersFromHitout</t>
        </is>
      </c>
      <c r="AQ1" t="inlineStr">
        <is>
          <t>CrumbingPossessions</t>
        </is>
      </c>
      <c r="AR1" t="inlineStr">
        <is>
          <t>HandballReceives</t>
        </is>
      </c>
      <c r="AS1" t="inlineStr">
        <is>
          <t>CentreClearances</t>
        </is>
      </c>
      <c r="AT1" t="inlineStr">
        <is>
          <t>StoppageClearances</t>
        </is>
      </c>
      <c r="AU1" t="inlineStr">
        <is>
          <t>TotalClearances</t>
        </is>
      </c>
      <c r="AV1" t="inlineStr">
        <is>
          <t>FirstPossessions</t>
        </is>
      </c>
      <c r="AW1" t="inlineStr">
        <is>
          <t>FirstPossessionToClearance</t>
        </is>
      </c>
      <c r="AX1" t="inlineStr">
        <is>
          <t>Marks</t>
        </is>
      </c>
      <c r="AY1" t="inlineStr">
        <is>
          <t>ContestedMarks</t>
        </is>
      </c>
      <c r="AZ1" t="inlineStr">
        <is>
          <t>MarksInside50</t>
        </is>
      </c>
      <c r="BA1" t="inlineStr">
        <is>
          <t>MarksInside50PerInside50</t>
        </is>
      </c>
      <c r="BB1" t="inlineStr">
        <is>
          <t>InterceptMarks</t>
        </is>
      </c>
      <c r="BC1" t="inlineStr">
        <is>
          <t>MarksOnLead</t>
        </is>
      </c>
      <c r="BD1" t="inlineStr">
        <is>
          <t>GoalScorers_Total</t>
        </is>
      </c>
      <c r="BE1" t="inlineStr">
        <is>
          <t>GoalScorers</t>
        </is>
      </c>
      <c r="BF1" t="inlineStr">
        <is>
          <t>Goals</t>
        </is>
      </c>
      <c r="BG1" t="inlineStr">
        <is>
          <t>Behinds</t>
        </is>
      </c>
      <c r="BH1" t="inlineStr">
        <is>
          <t>RushedBehinds</t>
        </is>
      </c>
      <c r="BI1" t="inlineStr">
        <is>
          <t>ShotsAtGoal</t>
        </is>
      </c>
      <c r="BJ1" t="inlineStr">
        <is>
          <t>GoalAssists</t>
        </is>
      </c>
      <c r="BK1" t="inlineStr">
        <is>
          <t>GoalAccuracy</t>
        </is>
      </c>
      <c r="BL1" t="inlineStr">
        <is>
          <t>GoalsPerInside50</t>
        </is>
      </c>
      <c r="BM1" t="inlineStr">
        <is>
          <t>ScoringShotsPerInside50</t>
        </is>
      </c>
      <c r="BN1" t="inlineStr">
        <is>
          <t>ShotsPerInside50</t>
        </is>
      </c>
      <c r="BO1" t="inlineStr">
        <is>
          <t>ScoreLaunches</t>
        </is>
      </c>
      <c r="BP1" t="inlineStr">
        <is>
          <t>ContestOffensiveOneOnOnes</t>
        </is>
      </c>
      <c r="BQ1" t="inlineStr">
        <is>
          <t>ContestOffensiveWinPercentage</t>
        </is>
      </c>
      <c r="BR1" t="inlineStr">
        <is>
          <t>xScore</t>
        </is>
      </c>
      <c r="BS1" t="inlineStr">
        <is>
          <t>xScoreRating</t>
        </is>
      </c>
      <c r="BT1" t="inlineStr">
        <is>
          <t>xScorePerShot</t>
        </is>
      </c>
      <c r="BU1" t="inlineStr">
        <is>
          <t>xScoreRatingPerShot</t>
        </is>
      </c>
      <c r="BV1" t="inlineStr">
        <is>
          <t>xScorePerShot_Set</t>
        </is>
      </c>
      <c r="BW1" t="inlineStr">
        <is>
          <t>xScoreRatingPerShot_Set</t>
        </is>
      </c>
      <c r="BX1" t="inlineStr">
        <is>
          <t>xScorePerShot_General</t>
        </is>
      </c>
      <c r="BY1" t="inlineStr">
        <is>
          <t>xScoreRatingPerShot_General</t>
        </is>
      </c>
      <c r="BZ1" t="inlineStr">
        <is>
          <t>PointsFromKickIn</t>
        </is>
      </c>
      <c r="CA1" t="inlineStr">
        <is>
          <t>PointsFromStoppage</t>
        </is>
      </c>
      <c r="CB1" t="inlineStr">
        <is>
          <t>PointsFromTurnover</t>
        </is>
      </c>
      <c r="CC1" t="inlineStr">
        <is>
          <t>PointsFromDefensiveHalf</t>
        </is>
      </c>
      <c r="CD1" t="inlineStr">
        <is>
          <t>PointsFromForwardHalf</t>
        </is>
      </c>
      <c r="CE1" t="inlineStr">
        <is>
          <t>PointsFromCentreBounce</t>
        </is>
      </c>
      <c r="CF1" t="inlineStr">
        <is>
          <t>ChainToScore</t>
        </is>
      </c>
      <c r="CG1" t="inlineStr">
        <is>
          <t>D50ToF50</t>
        </is>
      </c>
      <c r="CH1" t="inlineStr">
        <is>
          <t>D50ToScore</t>
        </is>
      </c>
      <c r="CI1" t="inlineStr">
        <is>
          <t>DefHalfToF50</t>
        </is>
      </c>
      <c r="CJ1" t="inlineStr">
        <is>
          <t>DefHalfToScore</t>
        </is>
      </c>
      <c r="CK1" t="inlineStr">
        <is>
          <t>ContestDefensiveOneOnOnes</t>
        </is>
      </c>
      <c r="CL1" t="inlineStr">
        <is>
          <t>ContestDefensiveLossPercentage</t>
        </is>
      </c>
      <c r="CM1" t="inlineStr">
        <is>
          <t>Tackles</t>
        </is>
      </c>
      <c r="CN1" t="inlineStr">
        <is>
          <t>TacklesInside50</t>
        </is>
      </c>
      <c r="CO1" t="inlineStr">
        <is>
          <t>PressureActs</t>
        </is>
      </c>
      <c r="CP1" t="inlineStr">
        <is>
          <t>PressureActsDefensiveHalf</t>
        </is>
      </c>
      <c r="CQ1" t="inlineStr">
        <is>
          <t>Spoils</t>
        </is>
      </c>
      <c r="CR1" t="inlineStr">
        <is>
          <t>RuckContests</t>
        </is>
      </c>
      <c r="CS1" t="inlineStr">
        <is>
          <t>Hitouts</t>
        </is>
      </c>
      <c r="CT1" t="inlineStr">
        <is>
          <t>HitoutsWinPercentage</t>
        </is>
      </c>
      <c r="CU1" t="inlineStr">
        <is>
          <t>HitoutsToAdvantage</t>
        </is>
      </c>
      <c r="CV1" t="inlineStr">
        <is>
          <t>HitoutsToAdvantagePercentage</t>
        </is>
      </c>
      <c r="CW1" t="inlineStr">
        <is>
          <t>RuckHardBallGets</t>
        </is>
      </c>
      <c r="CX1" t="inlineStr">
        <is>
          <t>FreesFor</t>
        </is>
      </c>
      <c r="CY1" t="inlineStr">
        <is>
          <t>FreesAgainst</t>
        </is>
      </c>
      <c r="CZ1" t="inlineStr">
        <is>
          <t>FreesDiff</t>
        </is>
      </c>
      <c r="DA1" t="inlineStr">
        <is>
          <t>KickIns</t>
        </is>
      </c>
      <c r="DB1" t="inlineStr">
        <is>
          <t>KickInsPlayOnPercentage</t>
        </is>
      </c>
      <c r="DC1" t="inlineStr">
        <is>
          <t>Bounces</t>
        </is>
      </c>
      <c r="DD1" t="inlineStr">
        <is>
          <t>OnePercenters</t>
        </is>
      </c>
      <c r="DE1" t="inlineStr">
        <is>
          <t>InterchangeCount</t>
        </is>
      </c>
      <c r="DF1" t="inlineStr">
        <is>
          <t>RatingPoints_Opposition</t>
        </is>
      </c>
      <c r="DG1" t="inlineStr">
        <is>
          <t>Supercoach_Opposition</t>
        </is>
      </c>
      <c r="DH1" t="inlineStr">
        <is>
          <t>DreamTeamPoints_Opposition</t>
        </is>
      </c>
      <c r="DI1" t="inlineStr">
        <is>
          <t>CoachesVotes_Opposition</t>
        </is>
      </c>
      <c r="DJ1" t="inlineStr">
        <is>
          <t>Kicks_Opposition</t>
        </is>
      </c>
      <c r="DK1" t="inlineStr">
        <is>
          <t>Handballs_Opposition</t>
        </is>
      </c>
      <c r="DL1" t="inlineStr">
        <is>
          <t>Disposals_Opposition</t>
        </is>
      </c>
      <c r="DM1" t="inlineStr">
        <is>
          <t>DisposalEfficiency_Opposition</t>
        </is>
      </c>
      <c r="DN1" t="inlineStr">
        <is>
          <t>KickingEfficiency_Opposition</t>
        </is>
      </c>
      <c r="DO1" t="inlineStr">
        <is>
          <t>HandballEfficiency_Opposition</t>
        </is>
      </c>
      <c r="DP1" t="inlineStr">
        <is>
          <t>OppositionDisposalsPerTackle</t>
        </is>
      </c>
      <c r="DQ1" t="inlineStr">
        <is>
          <t>Inside50s_Opposition</t>
        </is>
      </c>
      <c r="DR1" t="inlineStr">
        <is>
          <t>Rebound50s_Opposition</t>
        </is>
      </c>
      <c r="DS1" t="inlineStr">
        <is>
          <t>OppositionRebound50sPerInside50s</t>
        </is>
      </c>
      <c r="DT1" t="inlineStr">
        <is>
          <t>MetresGained_Opposition</t>
        </is>
      </c>
      <c r="DU1" t="inlineStr">
        <is>
          <t>MetresGainedPerDisposal_Opposition</t>
        </is>
      </c>
      <c r="DV1" t="inlineStr">
        <is>
          <t>Clangers_Opposition</t>
        </is>
      </c>
      <c r="DW1" t="inlineStr">
        <is>
          <t>DisposalsPerClanger_Opposition</t>
        </is>
      </c>
      <c r="DX1" t="inlineStr">
        <is>
          <t>Turnovers_Opposition</t>
        </is>
      </c>
      <c r="DY1" t="inlineStr">
        <is>
          <t>DisposalsPerTurnover_Opposition</t>
        </is>
      </c>
      <c r="DZ1" t="inlineStr">
        <is>
          <t>ThreatRating_Opposition</t>
        </is>
      </c>
      <c r="EA1" t="inlineStr">
        <is>
          <t>RetentionRating_Opposition</t>
        </is>
      </c>
      <c r="EB1" t="inlineStr">
        <is>
          <t>ContestedPossessions_Opposition</t>
        </is>
      </c>
      <c r="EC1" t="inlineStr">
        <is>
          <t>UncontestedPossessions_Opposition</t>
        </is>
      </c>
      <c r="ED1" t="inlineStr">
        <is>
          <t>TotalPossessions_Opposition</t>
        </is>
      </c>
      <c r="EE1" t="inlineStr">
        <is>
          <t>ContestedPossessionRate_Opposition</t>
        </is>
      </c>
      <c r="EF1" t="inlineStr">
        <is>
          <t>Intercepts_Opposition</t>
        </is>
      </c>
      <c r="EG1" t="inlineStr">
        <is>
          <t>GroundBallGets_Opposition</t>
        </is>
      </c>
      <c r="EH1" t="inlineStr">
        <is>
          <t>GroundBallGetsForward50_Opposition</t>
        </is>
      </c>
      <c r="EI1" t="inlineStr">
        <is>
          <t>HardBallGets_Opposition</t>
        </is>
      </c>
      <c r="EJ1" t="inlineStr">
        <is>
          <t>LooseBallGets_Opposition</t>
        </is>
      </c>
      <c r="EK1" t="inlineStr">
        <is>
          <t>PostClearanceContestedPossessions_Opposition</t>
        </is>
      </c>
      <c r="EL1" t="inlineStr">
        <is>
          <t>PostClearanceGroundBallGets_Opposition</t>
        </is>
      </c>
      <c r="EM1" t="inlineStr">
        <is>
          <t>GathersFromHitout_Opposition</t>
        </is>
      </c>
      <c r="EN1" t="inlineStr">
        <is>
          <t>CrumbingPossessions_Opposition</t>
        </is>
      </c>
      <c r="EO1" t="inlineStr">
        <is>
          <t>HandballReceives_Opposition</t>
        </is>
      </c>
      <c r="EP1" t="inlineStr">
        <is>
          <t>CentreClearances_Opposition</t>
        </is>
      </c>
      <c r="EQ1" t="inlineStr">
        <is>
          <t>StoppageClearances_Opposition</t>
        </is>
      </c>
      <c r="ER1" t="inlineStr">
        <is>
          <t>TotalClearances_Opposition</t>
        </is>
      </c>
      <c r="ES1" t="inlineStr">
        <is>
          <t>FirstPossessions_Opposition</t>
        </is>
      </c>
      <c r="ET1" t="inlineStr">
        <is>
          <t>FirstPossessionToClearance_Opposition</t>
        </is>
      </c>
      <c r="EU1" t="inlineStr">
        <is>
          <t>Marks_Opposition</t>
        </is>
      </c>
      <c r="EV1" t="inlineStr">
        <is>
          <t>ContestedMarks_Opposition</t>
        </is>
      </c>
      <c r="EW1" t="inlineStr">
        <is>
          <t>MarksInside50_Opposition</t>
        </is>
      </c>
      <c r="EX1" t="inlineStr">
        <is>
          <t>MarksInside50PerInside50_Opposition</t>
        </is>
      </c>
      <c r="EY1" t="inlineStr">
        <is>
          <t>InterceptMarks_Opposition</t>
        </is>
      </c>
      <c r="EZ1" t="inlineStr">
        <is>
          <t>MarksOnLead_Opposition</t>
        </is>
      </c>
      <c r="FA1" t="inlineStr">
        <is>
          <t>Goals_Opposition</t>
        </is>
      </c>
      <c r="FB1" t="inlineStr">
        <is>
          <t>Behinds_Opposition</t>
        </is>
      </c>
      <c r="FC1" t="inlineStr">
        <is>
          <t>RushedBehinds_Opposition</t>
        </is>
      </c>
      <c r="FD1" t="inlineStr">
        <is>
          <t>ShotsAtGoal_Opposition</t>
        </is>
      </c>
      <c r="FE1" t="inlineStr">
        <is>
          <t>GoalAssists_Opposition</t>
        </is>
      </c>
      <c r="FF1" t="inlineStr">
        <is>
          <t>GoalAccuracy_Opposition</t>
        </is>
      </c>
      <c r="FG1" t="inlineStr">
        <is>
          <t>GoalsPerInside50_Opposition</t>
        </is>
      </c>
      <c r="FH1" t="inlineStr">
        <is>
          <t>ScoringShotsPerInside50_Opposition</t>
        </is>
      </c>
      <c r="FI1" t="inlineStr">
        <is>
          <t>ShotsPerInside50_Opposition</t>
        </is>
      </c>
      <c r="FJ1" t="inlineStr">
        <is>
          <t>ScoreLaunches_Opposition</t>
        </is>
      </c>
      <c r="FK1" t="inlineStr">
        <is>
          <t>xScore_Opposition</t>
        </is>
      </c>
      <c r="FL1" t="inlineStr">
        <is>
          <t>xScoreRating_Opposition</t>
        </is>
      </c>
      <c r="FM1" t="inlineStr">
        <is>
          <t>xScorePerShot_Opposition</t>
        </is>
      </c>
      <c r="FN1" t="inlineStr">
        <is>
          <t>xScoreRatingPerShot_Opposition</t>
        </is>
      </c>
      <c r="FO1" t="inlineStr">
        <is>
          <t>xScorePerShot_Set_Opposition</t>
        </is>
      </c>
      <c r="FP1" t="inlineStr">
        <is>
          <t>xScoreRatingPerShot_Set_Opposition</t>
        </is>
      </c>
      <c r="FQ1" t="inlineStr">
        <is>
          <t>xScorePerShot_General_Opposition</t>
        </is>
      </c>
      <c r="FR1" t="inlineStr">
        <is>
          <t>xScoreRatingPerShot_General_Opposition</t>
        </is>
      </c>
      <c r="FS1" t="inlineStr">
        <is>
          <t>PointsFromKickIn_Opposition</t>
        </is>
      </c>
      <c r="FT1" t="inlineStr">
        <is>
          <t>PointsFromStoppage_Opposition</t>
        </is>
      </c>
      <c r="FU1" t="inlineStr">
        <is>
          <t>PointsFromTurnover_Opposition</t>
        </is>
      </c>
      <c r="FV1" t="inlineStr">
        <is>
          <t>PointsFromDefensiveHalf_Opposition</t>
        </is>
      </c>
      <c r="FW1" t="inlineStr">
        <is>
          <t>PointsFromForwardHalf_Opposition</t>
        </is>
      </c>
      <c r="FX1" t="inlineStr">
        <is>
          <t>PointsFromCentreBounce_Opposition</t>
        </is>
      </c>
      <c r="FY1" t="inlineStr">
        <is>
          <t>ChainToScore_Opposition</t>
        </is>
      </c>
      <c r="FZ1" t="inlineStr">
        <is>
          <t>D50ToF50_Opposition</t>
        </is>
      </c>
      <c r="GA1" t="inlineStr">
        <is>
          <t>D50ToScore_Opposition</t>
        </is>
      </c>
      <c r="GB1" t="inlineStr">
        <is>
          <t>DefHalfToF50_Opposition</t>
        </is>
      </c>
      <c r="GC1" t="inlineStr">
        <is>
          <t>DefHalfToScore_Opposition</t>
        </is>
      </c>
      <c r="GD1" t="inlineStr">
        <is>
          <t>Tackles_Opposition</t>
        </is>
      </c>
      <c r="GE1" t="inlineStr">
        <is>
          <t>TacklesInside50_Opposition</t>
        </is>
      </c>
      <c r="GF1" t="inlineStr">
        <is>
          <t>PressureActs_Opposition</t>
        </is>
      </c>
      <c r="GG1" t="inlineStr">
        <is>
          <t>PressureActsDefensiveHalf_Opposition</t>
        </is>
      </c>
      <c r="GH1" t="inlineStr">
        <is>
          <t>Spoils_Opposition</t>
        </is>
      </c>
      <c r="GI1" t="inlineStr">
        <is>
          <t>Hitouts_Opposition</t>
        </is>
      </c>
      <c r="GJ1" t="inlineStr">
        <is>
          <t>HitoutsWinPercentage_Opposition</t>
        </is>
      </c>
      <c r="GK1" t="inlineStr">
        <is>
          <t>HitoutsToAdvantage_Opposition</t>
        </is>
      </c>
      <c r="GL1" t="inlineStr">
        <is>
          <t>HitoutsToAdvantagePercentage_Opposition</t>
        </is>
      </c>
      <c r="GM1" t="inlineStr">
        <is>
          <t>RuckHardBallGets_Opposition</t>
        </is>
      </c>
      <c r="GN1" t="inlineStr">
        <is>
          <t>KickIns_Opposition</t>
        </is>
      </c>
      <c r="GO1" t="inlineStr">
        <is>
          <t>KickInsPlayOnPercentage_Opposition</t>
        </is>
      </c>
      <c r="GP1" t="inlineStr">
        <is>
          <t>Bounces_Opposition</t>
        </is>
      </c>
      <c r="GQ1" t="inlineStr">
        <is>
          <t>OnePercenters_Opposition</t>
        </is>
      </c>
      <c r="GR1" t="inlineStr">
        <is>
          <t>InterchangeCount_Opposition</t>
        </is>
      </c>
      <c r="GS1" t="inlineStr">
        <is>
          <t>RatingPoints_Diff</t>
        </is>
      </c>
      <c r="GT1" t="inlineStr">
        <is>
          <t>Supercoach_Diff</t>
        </is>
      </c>
      <c r="GU1" t="inlineStr">
        <is>
          <t>DreamTeamPoints_Diff</t>
        </is>
      </c>
      <c r="GV1" t="inlineStr">
        <is>
          <t>CoachesVotes_Diff</t>
        </is>
      </c>
      <c r="GW1" t="inlineStr">
        <is>
          <t>Kicks_Diff</t>
        </is>
      </c>
      <c r="GX1" t="inlineStr">
        <is>
          <t>Handballs_Diff</t>
        </is>
      </c>
      <c r="GY1" t="inlineStr">
        <is>
          <t>Disposals_Diff</t>
        </is>
      </c>
      <c r="GZ1" t="inlineStr">
        <is>
          <t>Inside50s_Diff</t>
        </is>
      </c>
      <c r="HA1" t="inlineStr">
        <is>
          <t>MetresGained_Diff</t>
        </is>
      </c>
      <c r="HB1" t="inlineStr">
        <is>
          <t>Clangers_Diff</t>
        </is>
      </c>
      <c r="HC1" t="inlineStr">
        <is>
          <t>Turnovers_Diff</t>
        </is>
      </c>
      <c r="HD1" t="inlineStr">
        <is>
          <t>ThreatRating_Diff</t>
        </is>
      </c>
      <c r="HE1" t="inlineStr">
        <is>
          <t>RetentionRating_Diff</t>
        </is>
      </c>
      <c r="HF1" t="inlineStr">
        <is>
          <t>ContestedPossessions_Diff</t>
        </is>
      </c>
      <c r="HG1" t="inlineStr">
        <is>
          <t>UncontestedPossessions_Diff</t>
        </is>
      </c>
      <c r="HH1" t="inlineStr">
        <is>
          <t>TotalPossessions_Diff</t>
        </is>
      </c>
      <c r="HI1" t="inlineStr">
        <is>
          <t>Intercepts_Diff</t>
        </is>
      </c>
      <c r="HJ1" t="inlineStr">
        <is>
          <t>GroundBallGets_Diff</t>
        </is>
      </c>
      <c r="HK1" t="inlineStr">
        <is>
          <t>GroundBallGetsForward50_Diff</t>
        </is>
      </c>
      <c r="HL1" t="inlineStr">
        <is>
          <t>HardBallGets_Diff</t>
        </is>
      </c>
      <c r="HM1" t="inlineStr">
        <is>
          <t>LooseBallGets_Diff</t>
        </is>
      </c>
      <c r="HN1" t="inlineStr">
        <is>
          <t>PostClearanceContestedPossessions_Diff</t>
        </is>
      </c>
      <c r="HO1" t="inlineStr">
        <is>
          <t>PostClearanceGroundBallGets_Diff</t>
        </is>
      </c>
      <c r="HP1" t="inlineStr">
        <is>
          <t>GathersFromHitout_Diff</t>
        </is>
      </c>
      <c r="HQ1" t="inlineStr">
        <is>
          <t>CrumbingPossessions_Diff</t>
        </is>
      </c>
      <c r="HR1" t="inlineStr">
        <is>
          <t>HandballReceives_Diff</t>
        </is>
      </c>
      <c r="HS1" t="inlineStr">
        <is>
          <t>CentreClearances_Diff</t>
        </is>
      </c>
      <c r="HT1" t="inlineStr">
        <is>
          <t>StoppageClearances_Diff</t>
        </is>
      </c>
      <c r="HU1" t="inlineStr">
        <is>
          <t>TotalClearances_Diff</t>
        </is>
      </c>
      <c r="HV1" t="inlineStr">
        <is>
          <t>FirstPossessions_Diff</t>
        </is>
      </c>
      <c r="HW1" t="inlineStr">
        <is>
          <t>Marks_Diff</t>
        </is>
      </c>
      <c r="HX1" t="inlineStr">
        <is>
          <t>ContestedMarks_Diff</t>
        </is>
      </c>
      <c r="HY1" t="inlineStr">
        <is>
          <t>MarksInside50_Diff</t>
        </is>
      </c>
      <c r="HZ1" t="inlineStr">
        <is>
          <t>InterceptMarks_Diff</t>
        </is>
      </c>
      <c r="IA1" t="inlineStr">
        <is>
          <t>MarksOnLead_Diff</t>
        </is>
      </c>
      <c r="IB1" t="inlineStr">
        <is>
          <t>Goals_Diff</t>
        </is>
      </c>
      <c r="IC1" t="inlineStr">
        <is>
          <t>Behinds_Diff</t>
        </is>
      </c>
      <c r="ID1" t="inlineStr">
        <is>
          <t>ShotsAtGoal_Diff</t>
        </is>
      </c>
      <c r="IE1" t="inlineStr">
        <is>
          <t>GoalAssists_Diff</t>
        </is>
      </c>
      <c r="IF1" t="inlineStr">
        <is>
          <t>ScoreLaunches_Diff</t>
        </is>
      </c>
      <c r="IG1" t="inlineStr">
        <is>
          <t>xScore_Diff</t>
        </is>
      </c>
      <c r="IH1" t="inlineStr">
        <is>
          <t>xScoreRating_Diff</t>
        </is>
      </c>
      <c r="II1" t="inlineStr">
        <is>
          <t>xScorePerShot_Diff</t>
        </is>
      </c>
      <c r="IJ1" t="inlineStr">
        <is>
          <t>PointsFromKickIn_Diff</t>
        </is>
      </c>
      <c r="IK1" t="inlineStr">
        <is>
          <t>PointsFromStoppage_Diff</t>
        </is>
      </c>
      <c r="IL1" t="inlineStr">
        <is>
          <t>PointsFromTurnover_Diff</t>
        </is>
      </c>
      <c r="IM1" t="inlineStr">
        <is>
          <t>PointsFromDefensiveHalf_Diff</t>
        </is>
      </c>
      <c r="IN1" t="inlineStr">
        <is>
          <t>PointsFromForwardHalf_Diff</t>
        </is>
      </c>
      <c r="IO1" t="inlineStr">
        <is>
          <t>PointsFromCentreBounce_Diff</t>
        </is>
      </c>
      <c r="IP1" t="inlineStr">
        <is>
          <t>Tackles_Diff</t>
        </is>
      </c>
      <c r="IQ1" t="inlineStr">
        <is>
          <t>TacklesInside50_Diff</t>
        </is>
      </c>
      <c r="IR1" t="inlineStr">
        <is>
          <t>PressureActs_Diff</t>
        </is>
      </c>
      <c r="IS1" t="inlineStr">
        <is>
          <t>PressureActsDefensiveHalf_Diff</t>
        </is>
      </c>
      <c r="IT1" t="inlineStr">
        <is>
          <t>Spoils_Diff</t>
        </is>
      </c>
      <c r="IU1" t="inlineStr">
        <is>
          <t>Hitouts_Diff</t>
        </is>
      </c>
      <c r="IV1" t="inlineStr">
        <is>
          <t>HitoutsToAdvantage_Diff</t>
        </is>
      </c>
      <c r="IW1" t="inlineStr">
        <is>
          <t>RuckHardBallGets_Diff</t>
        </is>
      </c>
      <c r="IX1" t="inlineStr">
        <is>
          <t>Bounces_Diff</t>
        </is>
      </c>
      <c r="IY1" t="inlineStr">
        <is>
          <t>OnePercenters_Diff</t>
        </is>
      </c>
      <c r="IZ1" t="inlineStr">
        <is>
          <t>InterchangeCount_Diff</t>
        </is>
      </c>
    </row>
    <row r="2">
      <c r="A2" t="inlineStr">
        <is>
          <t>Melbourne</t>
        </is>
      </c>
      <c r="B2" t="inlineStr">
        <is>
          <t>Melb</t>
        </is>
      </c>
      <c r="C2" t="n">
        <v>10</v>
      </c>
      <c r="D2" t="n">
        <v>30</v>
      </c>
      <c r="E2" t="n">
        <v>26.129</v>
      </c>
      <c r="F2" t="n">
        <v>124.043</v>
      </c>
      <c r="G2" t="n">
        <v>200.27</v>
      </c>
      <c r="H2" t="n">
        <v>1652.1</v>
      </c>
      <c r="I2" t="n">
        <v>1548.7</v>
      </c>
      <c r="J2" t="n">
        <v>13</v>
      </c>
      <c r="K2" t="n">
        <v>50.188</v>
      </c>
      <c r="L2" t="n">
        <v>213.5</v>
      </c>
      <c r="M2" t="n">
        <v>153.6</v>
      </c>
      <c r="N2" t="n">
        <v>367.1</v>
      </c>
      <c r="O2" t="n">
        <v>73.631</v>
      </c>
      <c r="P2" t="n">
        <v>68.337</v>
      </c>
      <c r="Q2" t="n">
        <v>80.98999999999999</v>
      </c>
      <c r="R2" t="n">
        <v>58.159</v>
      </c>
      <c r="S2" t="n">
        <v>6.748</v>
      </c>
      <c r="T2" t="n">
        <v>51.9</v>
      </c>
      <c r="U2" t="n">
        <v>36.5</v>
      </c>
      <c r="V2" t="n">
        <v>73</v>
      </c>
      <c r="W2" t="n">
        <v>5835.4</v>
      </c>
      <c r="X2" t="n">
        <v>15.896</v>
      </c>
      <c r="Y2" t="n">
        <v>58.2</v>
      </c>
      <c r="Z2" t="n">
        <v>6.308</v>
      </c>
      <c r="AA2" t="n">
        <v>62.1</v>
      </c>
      <c r="AB2" t="n">
        <v>5.911</v>
      </c>
      <c r="AC2" t="n">
        <v>3.392</v>
      </c>
      <c r="AD2" t="n">
        <v>1.948</v>
      </c>
      <c r="AE2" t="n">
        <v>136</v>
      </c>
      <c r="AF2" t="n">
        <v>225.1</v>
      </c>
      <c r="AG2" t="n">
        <v>361.1</v>
      </c>
      <c r="AH2" t="n">
        <v>37.663</v>
      </c>
      <c r="AI2" t="n">
        <v>64</v>
      </c>
      <c r="AJ2" t="n">
        <v>88.7</v>
      </c>
      <c r="AK2" t="n">
        <v>14.3</v>
      </c>
      <c r="AL2" t="n">
        <v>21.7</v>
      </c>
      <c r="AM2" t="n">
        <v>67</v>
      </c>
      <c r="AN2" t="n">
        <v>84.7</v>
      </c>
      <c r="AO2" t="n">
        <v>58</v>
      </c>
      <c r="AP2" t="n">
        <v>10.2</v>
      </c>
      <c r="AQ2" t="n">
        <v>22.9</v>
      </c>
      <c r="AR2" t="n">
        <v>121</v>
      </c>
      <c r="AS2" t="n">
        <v>12.2</v>
      </c>
      <c r="AT2" t="n">
        <v>23.6</v>
      </c>
      <c r="AU2" t="n">
        <v>35.8</v>
      </c>
      <c r="AV2" t="n">
        <v>41.4</v>
      </c>
      <c r="AW2" t="n">
        <v>71.014</v>
      </c>
      <c r="AX2" t="n">
        <v>94.7</v>
      </c>
      <c r="AY2" t="n">
        <v>11.8</v>
      </c>
      <c r="AZ2" t="n">
        <v>11.8</v>
      </c>
      <c r="BA2" t="n">
        <v>22.736</v>
      </c>
      <c r="BB2" t="n">
        <v>16.9</v>
      </c>
      <c r="BC2" t="n">
        <v>7.2</v>
      </c>
      <c r="BD2" t="n">
        <v>20</v>
      </c>
      <c r="BE2" t="n">
        <v>7.7</v>
      </c>
      <c r="BF2" t="n">
        <v>12.8</v>
      </c>
      <c r="BG2" t="n">
        <v>11.1</v>
      </c>
      <c r="BH2" t="n">
        <v>2.1</v>
      </c>
      <c r="BI2" t="n">
        <v>26.6</v>
      </c>
      <c r="BJ2" t="n">
        <v>9.199999999999999</v>
      </c>
      <c r="BK2" t="n">
        <v>48.12</v>
      </c>
      <c r="BL2" t="n">
        <v>24.663</v>
      </c>
      <c r="BM2" t="n">
        <v>46.05</v>
      </c>
      <c r="BN2" t="n">
        <v>51.252</v>
      </c>
      <c r="BO2" t="n">
        <v>23.7</v>
      </c>
      <c r="BP2" t="n">
        <v>10.5</v>
      </c>
      <c r="BQ2" t="n">
        <v>32.381</v>
      </c>
      <c r="BR2" t="n">
        <v>85.232</v>
      </c>
      <c r="BS2" t="n">
        <v>0.5679999999999999</v>
      </c>
      <c r="BT2" t="n">
        <v>3.204</v>
      </c>
      <c r="BU2" t="n">
        <v>0.021</v>
      </c>
      <c r="BV2" t="n">
        <v>3.306</v>
      </c>
      <c r="BW2" t="n">
        <v>0.389</v>
      </c>
      <c r="BX2" t="n">
        <v>3.084</v>
      </c>
      <c r="BY2" t="n">
        <v>-0.412</v>
      </c>
      <c r="BZ2" t="n">
        <v>5.7</v>
      </c>
      <c r="CA2" t="n">
        <v>35.9</v>
      </c>
      <c r="CB2" t="n">
        <v>46.3</v>
      </c>
      <c r="CC2" t="n">
        <v>34.2</v>
      </c>
      <c r="CD2" t="n">
        <v>42</v>
      </c>
      <c r="CE2" t="n">
        <v>11.7</v>
      </c>
      <c r="CF2" t="n">
        <v>21.723</v>
      </c>
      <c r="CG2" t="n">
        <v>22.28</v>
      </c>
      <c r="CH2" t="n">
        <v>10.104</v>
      </c>
      <c r="CI2" t="n">
        <v>29.771</v>
      </c>
      <c r="CJ2" t="n">
        <v>13.282</v>
      </c>
      <c r="CK2" t="n">
        <v>11.8</v>
      </c>
      <c r="CL2" t="n">
        <v>25.424</v>
      </c>
      <c r="CM2" t="n">
        <v>56.3</v>
      </c>
      <c r="CN2" t="n">
        <v>10</v>
      </c>
      <c r="CO2" t="n">
        <v>255.4</v>
      </c>
      <c r="CP2" t="n">
        <v>114.5</v>
      </c>
      <c r="CQ2" t="n">
        <v>26.4</v>
      </c>
      <c r="CR2" t="n">
        <v>91.3</v>
      </c>
      <c r="CS2" t="n">
        <v>39.4</v>
      </c>
      <c r="CT2" t="n">
        <v>43.154</v>
      </c>
      <c r="CU2" t="n">
        <v>11.4</v>
      </c>
      <c r="CV2" t="n">
        <v>28.934</v>
      </c>
      <c r="CW2" t="n">
        <v>4.3</v>
      </c>
      <c r="CX2" t="n">
        <v>18.7</v>
      </c>
      <c r="CY2" t="n">
        <v>17.5</v>
      </c>
      <c r="CZ2" t="n">
        <v>1.2</v>
      </c>
      <c r="DA2" t="n">
        <v>10.8</v>
      </c>
      <c r="DB2" t="n">
        <v>95.37</v>
      </c>
      <c r="DC2" t="n">
        <v>4.2</v>
      </c>
      <c r="DD2" t="n">
        <v>39.4</v>
      </c>
      <c r="DE2" t="n">
        <v>70.09999999999999</v>
      </c>
      <c r="DF2" t="n">
        <v>200.36</v>
      </c>
      <c r="DG2" t="n">
        <v>1648.2</v>
      </c>
      <c r="DH2" t="n">
        <v>1501.5</v>
      </c>
      <c r="DI2" t="n">
        <v>17</v>
      </c>
      <c r="DJ2" t="n">
        <v>210.1</v>
      </c>
      <c r="DK2" t="n">
        <v>138.6</v>
      </c>
      <c r="DL2" t="n">
        <v>348.7</v>
      </c>
      <c r="DM2" t="n">
        <v>73.67400000000001</v>
      </c>
      <c r="DN2" t="n">
        <v>68.396</v>
      </c>
      <c r="DO2" t="n">
        <v>81.67400000000001</v>
      </c>
      <c r="DP2" t="n">
        <v>6.194</v>
      </c>
      <c r="DQ2" t="n">
        <v>50</v>
      </c>
      <c r="DR2" t="n">
        <v>38.4</v>
      </c>
      <c r="DS2" t="n">
        <v>73.988</v>
      </c>
      <c r="DT2" t="n">
        <v>5782.8</v>
      </c>
      <c r="DU2" t="n">
        <v>16.584</v>
      </c>
      <c r="DV2" t="n">
        <v>54.4</v>
      </c>
      <c r="DW2" t="n">
        <v>6.41</v>
      </c>
      <c r="DX2" t="n">
        <v>64</v>
      </c>
      <c r="DY2" t="n">
        <v>5.448</v>
      </c>
      <c r="DZ2" t="n">
        <v>3.246</v>
      </c>
      <c r="EA2" t="n">
        <v>3.512</v>
      </c>
      <c r="EB2" t="n">
        <v>121.8</v>
      </c>
      <c r="EC2" t="n">
        <v>217.6</v>
      </c>
      <c r="ED2" t="n">
        <v>339.4</v>
      </c>
      <c r="EE2" t="n">
        <v>35.887</v>
      </c>
      <c r="EF2" t="n">
        <v>62.6</v>
      </c>
      <c r="EG2" t="n">
        <v>83.3</v>
      </c>
      <c r="EH2" t="n">
        <v>13.6</v>
      </c>
      <c r="EI2" t="n">
        <v>19.2</v>
      </c>
      <c r="EJ2" t="n">
        <v>64.09999999999999</v>
      </c>
      <c r="EK2" t="n">
        <v>75.3</v>
      </c>
      <c r="EL2" t="n">
        <v>51.4</v>
      </c>
      <c r="EM2" t="n">
        <v>6.8</v>
      </c>
      <c r="EN2" t="n">
        <v>20.8</v>
      </c>
      <c r="EO2" t="n">
        <v>109.6</v>
      </c>
      <c r="EP2" t="n">
        <v>12.4</v>
      </c>
      <c r="EQ2" t="n">
        <v>23.3</v>
      </c>
      <c r="ER2" t="n">
        <v>35.7</v>
      </c>
      <c r="ES2" t="n">
        <v>36.2</v>
      </c>
      <c r="ET2" t="n">
        <v>75.967</v>
      </c>
      <c r="EU2" t="n">
        <v>98.8</v>
      </c>
      <c r="EV2" t="n">
        <v>9.5</v>
      </c>
      <c r="EW2" t="n">
        <v>15.4</v>
      </c>
      <c r="EX2" t="n">
        <v>30.8</v>
      </c>
      <c r="EY2" t="n">
        <v>15.2</v>
      </c>
      <c r="EZ2" t="n">
        <v>11.6</v>
      </c>
      <c r="FA2" t="n">
        <v>12.8</v>
      </c>
      <c r="FB2" t="n">
        <v>11.1</v>
      </c>
      <c r="FC2" t="n">
        <v>2</v>
      </c>
      <c r="FD2" t="n">
        <v>25.3</v>
      </c>
      <c r="FE2" t="n">
        <v>10.5</v>
      </c>
      <c r="FF2" t="n">
        <v>50.593</v>
      </c>
      <c r="FG2" t="n">
        <v>25.6</v>
      </c>
      <c r="FH2" t="n">
        <v>47.8</v>
      </c>
      <c r="FI2" t="n">
        <v>50.6</v>
      </c>
      <c r="FJ2" t="n">
        <v>23.4</v>
      </c>
      <c r="FK2" t="n">
        <v>84.82599999999999</v>
      </c>
      <c r="FL2" t="n">
        <v>1.074</v>
      </c>
      <c r="FM2" t="n">
        <v>3.353</v>
      </c>
      <c r="FN2" t="n">
        <v>0.042</v>
      </c>
      <c r="FO2" t="n">
        <v>3.525</v>
      </c>
      <c r="FP2" t="n">
        <v>0.121</v>
      </c>
      <c r="FQ2" t="n">
        <v>3.018</v>
      </c>
      <c r="FR2" t="n">
        <v>-0.111</v>
      </c>
      <c r="FS2" t="n">
        <v>4.9</v>
      </c>
      <c r="FT2" t="n">
        <v>35.5</v>
      </c>
      <c r="FU2" t="n">
        <v>47.5</v>
      </c>
      <c r="FV2" t="n">
        <v>34.1</v>
      </c>
      <c r="FW2" t="n">
        <v>39.9</v>
      </c>
      <c r="FX2" t="n">
        <v>13.9</v>
      </c>
      <c r="FY2" t="n">
        <v>21.972</v>
      </c>
      <c r="FZ2" t="n">
        <v>26.44</v>
      </c>
      <c r="GA2" t="n">
        <v>10.789</v>
      </c>
      <c r="GB2" t="n">
        <v>34.006</v>
      </c>
      <c r="GC2" t="n">
        <v>14.174</v>
      </c>
      <c r="GD2" t="n">
        <v>54.4</v>
      </c>
      <c r="GE2" t="n">
        <v>7.2</v>
      </c>
      <c r="GF2" t="n">
        <v>268.4</v>
      </c>
      <c r="GG2" t="n">
        <v>132.7</v>
      </c>
      <c r="GH2" t="n">
        <v>32</v>
      </c>
      <c r="GI2" t="n">
        <v>32.7</v>
      </c>
      <c r="GJ2" t="n">
        <v>35.855</v>
      </c>
      <c r="GK2" t="n">
        <v>7.7</v>
      </c>
      <c r="GL2" t="n">
        <v>23.547</v>
      </c>
      <c r="GM2" t="n">
        <v>2.1</v>
      </c>
      <c r="GN2" t="n">
        <v>10.8</v>
      </c>
      <c r="GO2" t="n">
        <v>88.889</v>
      </c>
      <c r="GP2" t="n">
        <v>5.2</v>
      </c>
      <c r="GQ2" t="n">
        <v>46</v>
      </c>
      <c r="GR2" t="n">
        <v>70.90000000000001</v>
      </c>
      <c r="GS2" t="n">
        <v>-0.09</v>
      </c>
      <c r="GT2" t="n">
        <v>3.9</v>
      </c>
      <c r="GU2" t="n">
        <v>47.2</v>
      </c>
      <c r="GV2" t="n">
        <v>-4</v>
      </c>
      <c r="GW2" t="n">
        <v>3.4</v>
      </c>
      <c r="GX2" t="n">
        <v>15</v>
      </c>
      <c r="GY2" t="n">
        <v>18.4</v>
      </c>
      <c r="GZ2" t="n">
        <v>1.9</v>
      </c>
      <c r="HA2" t="n">
        <v>52.6</v>
      </c>
      <c r="HB2" t="n">
        <v>3.8</v>
      </c>
      <c r="HC2" t="n">
        <v>-1.9</v>
      </c>
      <c r="HD2" t="n">
        <v>0.146</v>
      </c>
      <c r="HE2" t="n">
        <v>-1.564</v>
      </c>
      <c r="HF2" t="n">
        <v>14.2</v>
      </c>
      <c r="HG2" t="n">
        <v>7.5</v>
      </c>
      <c r="HH2" t="n">
        <v>21.7</v>
      </c>
      <c r="HI2" t="n">
        <v>1.4</v>
      </c>
      <c r="HJ2" t="n">
        <v>5.4</v>
      </c>
      <c r="HK2" t="n">
        <v>0.7</v>
      </c>
      <c r="HL2" t="n">
        <v>2.5</v>
      </c>
      <c r="HM2" t="n">
        <v>2.9</v>
      </c>
      <c r="HN2" t="n">
        <v>9.4</v>
      </c>
      <c r="HO2" t="n">
        <v>6.6</v>
      </c>
      <c r="HP2" t="n">
        <v>3.4</v>
      </c>
      <c r="HQ2" t="n">
        <v>2.1</v>
      </c>
      <c r="HR2" t="n">
        <v>11.4</v>
      </c>
      <c r="HS2" t="n">
        <v>-0.2</v>
      </c>
      <c r="HT2" t="n">
        <v>0.3</v>
      </c>
      <c r="HU2" t="n">
        <v>0.1</v>
      </c>
      <c r="HV2" t="n">
        <v>5.2</v>
      </c>
      <c r="HW2" t="n">
        <v>-4.1</v>
      </c>
      <c r="HX2" t="n">
        <v>2.3</v>
      </c>
      <c r="HY2" t="n">
        <v>-3.6</v>
      </c>
      <c r="HZ2" t="n">
        <v>1.7</v>
      </c>
      <c r="IA2" t="n">
        <v>-4.4</v>
      </c>
      <c r="IB2" t="n">
        <v>0</v>
      </c>
      <c r="IC2" t="n">
        <v>0</v>
      </c>
      <c r="ID2" t="n">
        <v>1.3</v>
      </c>
      <c r="IE2" t="n">
        <v>-1.3</v>
      </c>
      <c r="IF2" t="n">
        <v>0.3</v>
      </c>
      <c r="IG2" t="n">
        <v>0.406</v>
      </c>
      <c r="IH2" t="n">
        <v>-0.506</v>
      </c>
      <c r="II2" t="n">
        <v>-0.149</v>
      </c>
      <c r="IJ2" t="n">
        <v>0.8</v>
      </c>
      <c r="IK2" t="n">
        <v>0.4</v>
      </c>
      <c r="IL2" t="n">
        <v>-1.2</v>
      </c>
      <c r="IM2" t="n">
        <v>0.1</v>
      </c>
      <c r="IN2" t="n">
        <v>2.1</v>
      </c>
      <c r="IO2" t="n">
        <v>-2.2</v>
      </c>
      <c r="IP2" t="n">
        <v>1.9</v>
      </c>
      <c r="IQ2" t="n">
        <v>2.8</v>
      </c>
      <c r="IR2" t="n">
        <v>-13</v>
      </c>
      <c r="IS2" t="n">
        <v>-18.2</v>
      </c>
      <c r="IT2" t="n">
        <v>-5.6</v>
      </c>
      <c r="IU2" t="n">
        <v>6.7</v>
      </c>
      <c r="IV2" t="n">
        <v>3.7</v>
      </c>
      <c r="IW2" t="n">
        <v>2.2</v>
      </c>
      <c r="IX2" t="n">
        <v>-1</v>
      </c>
      <c r="IY2" t="n">
        <v>-6.6</v>
      </c>
      <c r="IZ2" t="n">
        <v>-0.8</v>
      </c>
    </row>
    <row r="3">
      <c r="A3" t="inlineStr">
        <is>
          <t>West Coast</t>
        </is>
      </c>
      <c r="B3" t="inlineStr">
        <is>
          <t>WC</t>
        </is>
      </c>
      <c r="C3" t="n">
        <v>10</v>
      </c>
      <c r="D3" t="n">
        <v>37</v>
      </c>
      <c r="E3" t="n">
        <v>24.231</v>
      </c>
      <c r="F3" t="n">
        <v>70.765</v>
      </c>
      <c r="G3" t="n">
        <v>162.98</v>
      </c>
      <c r="H3" t="n">
        <v>1488.2</v>
      </c>
      <c r="I3" t="n">
        <v>1372.8</v>
      </c>
      <c r="J3" t="n">
        <v>3.1</v>
      </c>
      <c r="K3" t="n">
        <v>46.364</v>
      </c>
      <c r="L3" t="n">
        <v>189.1</v>
      </c>
      <c r="M3" t="n">
        <v>134.9</v>
      </c>
      <c r="N3" t="n">
        <v>324</v>
      </c>
      <c r="O3" t="n">
        <v>71.667</v>
      </c>
      <c r="P3" t="n">
        <v>64.51600000000001</v>
      </c>
      <c r="Q3" t="n">
        <v>81.69</v>
      </c>
      <c r="R3" t="n">
        <v>58.364</v>
      </c>
      <c r="S3" t="n">
        <v>5.557</v>
      </c>
      <c r="T3" t="n">
        <v>44.1</v>
      </c>
      <c r="U3" t="n">
        <v>39.4</v>
      </c>
      <c r="V3" t="n">
        <v>70.232</v>
      </c>
      <c r="W3" t="n">
        <v>5274.3</v>
      </c>
      <c r="X3" t="n">
        <v>16.279</v>
      </c>
      <c r="Y3" t="n">
        <v>56.7</v>
      </c>
      <c r="Z3" t="n">
        <v>5.714</v>
      </c>
      <c r="AA3" t="n">
        <v>64.5</v>
      </c>
      <c r="AB3" t="n">
        <v>5.023</v>
      </c>
      <c r="AC3" t="n">
        <v>-3.135</v>
      </c>
      <c r="AD3" t="n">
        <v>-3.245</v>
      </c>
      <c r="AE3" t="n">
        <v>116.8</v>
      </c>
      <c r="AF3" t="n">
        <v>200.5</v>
      </c>
      <c r="AG3" t="n">
        <v>317.3</v>
      </c>
      <c r="AH3" t="n">
        <v>36.811</v>
      </c>
      <c r="AI3" t="n">
        <v>62</v>
      </c>
      <c r="AJ3" t="n">
        <v>76.5</v>
      </c>
      <c r="AK3" t="n">
        <v>9.300000000000001</v>
      </c>
      <c r="AL3" t="n">
        <v>16.9</v>
      </c>
      <c r="AM3" t="n">
        <v>59.6</v>
      </c>
      <c r="AN3" t="n">
        <v>72.40000000000001</v>
      </c>
      <c r="AO3" t="n">
        <v>50</v>
      </c>
      <c r="AP3" t="n">
        <v>8.699999999999999</v>
      </c>
      <c r="AQ3" t="n">
        <v>19.6</v>
      </c>
      <c r="AR3" t="n">
        <v>106.4</v>
      </c>
      <c r="AS3" t="n">
        <v>10.2</v>
      </c>
      <c r="AT3" t="n">
        <v>22.1</v>
      </c>
      <c r="AU3" t="n">
        <v>32.3</v>
      </c>
      <c r="AV3" t="n">
        <v>35.5</v>
      </c>
      <c r="AW3" t="n">
        <v>74.366</v>
      </c>
      <c r="AX3" t="n">
        <v>84.8</v>
      </c>
      <c r="AY3" t="n">
        <v>7.9</v>
      </c>
      <c r="AZ3" t="n">
        <v>9.6</v>
      </c>
      <c r="BA3" t="n">
        <v>21.769</v>
      </c>
      <c r="BB3" t="n">
        <v>13.9</v>
      </c>
      <c r="BC3" t="n">
        <v>8.699999999999999</v>
      </c>
      <c r="BD3" t="n">
        <v>23</v>
      </c>
      <c r="BE3" t="n">
        <v>6.5</v>
      </c>
      <c r="BF3" t="n">
        <v>8.300000000000001</v>
      </c>
      <c r="BG3" t="n">
        <v>7.6</v>
      </c>
      <c r="BH3" t="n">
        <v>1.3</v>
      </c>
      <c r="BI3" t="n">
        <v>18.3</v>
      </c>
      <c r="BJ3" t="n">
        <v>6.1</v>
      </c>
      <c r="BK3" t="n">
        <v>45.355</v>
      </c>
      <c r="BL3" t="n">
        <v>18.821</v>
      </c>
      <c r="BM3" t="n">
        <v>36.054</v>
      </c>
      <c r="BN3" t="n">
        <v>41.497</v>
      </c>
      <c r="BO3" t="n">
        <v>15.9</v>
      </c>
      <c r="BP3" t="n">
        <v>8.9</v>
      </c>
      <c r="BQ3" t="n">
        <v>21.348</v>
      </c>
      <c r="BR3" t="n">
        <v>62.089</v>
      </c>
      <c r="BS3" t="n">
        <v>-5.989</v>
      </c>
      <c r="BT3" t="n">
        <v>3.393</v>
      </c>
      <c r="BU3" t="n">
        <v>-0.327</v>
      </c>
      <c r="BV3" t="n">
        <v>3.654</v>
      </c>
      <c r="BW3" t="n">
        <v>-0.128</v>
      </c>
      <c r="BX3" t="n">
        <v>2.919</v>
      </c>
      <c r="BY3" t="n">
        <v>-0.6879999999999999</v>
      </c>
      <c r="BZ3" t="n">
        <v>3.1</v>
      </c>
      <c r="CA3" t="n">
        <v>17.4</v>
      </c>
      <c r="CB3" t="n">
        <v>36.9</v>
      </c>
      <c r="CC3" t="n">
        <v>24.8</v>
      </c>
      <c r="CD3" t="n">
        <v>28.1</v>
      </c>
      <c r="CE3" t="n">
        <v>4.5</v>
      </c>
      <c r="CF3" t="n">
        <v>15.186</v>
      </c>
      <c r="CG3" t="n">
        <v>21.359</v>
      </c>
      <c r="CH3" t="n">
        <v>7.073</v>
      </c>
      <c r="CI3" t="n">
        <v>29.897</v>
      </c>
      <c r="CJ3" t="n">
        <v>10.059</v>
      </c>
      <c r="CK3" t="n">
        <v>8.9</v>
      </c>
      <c r="CL3" t="n">
        <v>37.079</v>
      </c>
      <c r="CM3" t="n">
        <v>56.4</v>
      </c>
      <c r="CN3" t="n">
        <v>10.3</v>
      </c>
      <c r="CO3" t="n">
        <v>261.8</v>
      </c>
      <c r="CP3" t="n">
        <v>129.4</v>
      </c>
      <c r="CQ3" t="n">
        <v>31.8</v>
      </c>
      <c r="CR3" t="n">
        <v>94.7</v>
      </c>
      <c r="CS3" t="n">
        <v>36.5</v>
      </c>
      <c r="CT3" t="n">
        <v>38.543</v>
      </c>
      <c r="CU3" t="n">
        <v>9.5</v>
      </c>
      <c r="CV3" t="n">
        <v>26.027</v>
      </c>
      <c r="CW3" t="n">
        <v>1.8</v>
      </c>
      <c r="CX3" t="n">
        <v>19.2</v>
      </c>
      <c r="CY3" t="n">
        <v>18.7</v>
      </c>
      <c r="CZ3" t="n">
        <v>0.5</v>
      </c>
      <c r="DA3" t="n">
        <v>12.5</v>
      </c>
      <c r="DB3" t="n">
        <v>91.2</v>
      </c>
      <c r="DC3" t="n">
        <v>7.7</v>
      </c>
      <c r="DD3" t="n">
        <v>43.5</v>
      </c>
      <c r="DE3" t="n">
        <v>71.8</v>
      </c>
      <c r="DF3" t="n">
        <v>219.52</v>
      </c>
      <c r="DG3" t="n">
        <v>1811.8</v>
      </c>
      <c r="DH3" t="n">
        <v>1584.4</v>
      </c>
      <c r="DI3" t="n">
        <v>26.9</v>
      </c>
      <c r="DJ3" t="n">
        <v>216.9</v>
      </c>
      <c r="DK3" t="n">
        <v>152.4</v>
      </c>
      <c r="DL3" t="n">
        <v>369.3</v>
      </c>
      <c r="DM3" t="n">
        <v>73.111</v>
      </c>
      <c r="DN3" t="n">
        <v>65.422</v>
      </c>
      <c r="DO3" t="n">
        <v>84.05500000000001</v>
      </c>
      <c r="DP3" t="n">
        <v>6.548</v>
      </c>
      <c r="DQ3" t="n">
        <v>56.1</v>
      </c>
      <c r="DR3" t="n">
        <v>35.1</v>
      </c>
      <c r="DS3" t="n">
        <v>79.592</v>
      </c>
      <c r="DT3" t="n">
        <v>6089.2</v>
      </c>
      <c r="DU3" t="n">
        <v>16.488</v>
      </c>
      <c r="DV3" t="n">
        <v>56.9</v>
      </c>
      <c r="DW3" t="n">
        <v>6.49</v>
      </c>
      <c r="DX3" t="n">
        <v>62</v>
      </c>
      <c r="DY3" t="n">
        <v>5.956</v>
      </c>
      <c r="DZ3" t="n">
        <v>5.133</v>
      </c>
      <c r="EA3" t="n">
        <v>2.978</v>
      </c>
      <c r="EB3" t="n">
        <v>136.2</v>
      </c>
      <c r="EC3" t="n">
        <v>228.6</v>
      </c>
      <c r="ED3" t="n">
        <v>364.8</v>
      </c>
      <c r="EE3" t="n">
        <v>37.336</v>
      </c>
      <c r="EF3" t="n">
        <v>64.8</v>
      </c>
      <c r="EG3" t="n">
        <v>87.90000000000001</v>
      </c>
      <c r="EH3" t="n">
        <v>16.8</v>
      </c>
      <c r="EI3" t="n">
        <v>22.8</v>
      </c>
      <c r="EJ3" t="n">
        <v>65.09999999999999</v>
      </c>
      <c r="EK3" t="n">
        <v>81.90000000000001</v>
      </c>
      <c r="EL3" t="n">
        <v>56.8</v>
      </c>
      <c r="EM3" t="n">
        <v>12.8</v>
      </c>
      <c r="EN3" t="n">
        <v>23.1</v>
      </c>
      <c r="EO3" t="n">
        <v>124.8</v>
      </c>
      <c r="EP3" t="n">
        <v>13.4</v>
      </c>
      <c r="EQ3" t="n">
        <v>28</v>
      </c>
      <c r="ER3" t="n">
        <v>41.4</v>
      </c>
      <c r="ES3" t="n">
        <v>45.6</v>
      </c>
      <c r="ET3" t="n">
        <v>79.386</v>
      </c>
      <c r="EU3" t="n">
        <v>94.90000000000001</v>
      </c>
      <c r="EV3" t="n">
        <v>11.7</v>
      </c>
      <c r="EW3" t="n">
        <v>14</v>
      </c>
      <c r="EX3" t="n">
        <v>24.955</v>
      </c>
      <c r="EY3" t="n">
        <v>18.3</v>
      </c>
      <c r="EZ3" t="n">
        <v>9</v>
      </c>
      <c r="FA3" t="n">
        <v>15.8</v>
      </c>
      <c r="FB3" t="n">
        <v>12.5</v>
      </c>
      <c r="FC3" t="n">
        <v>1.3</v>
      </c>
      <c r="FD3" t="n">
        <v>32</v>
      </c>
      <c r="FE3" t="n">
        <v>11.8</v>
      </c>
      <c r="FF3" t="n">
        <v>49.375</v>
      </c>
      <c r="FG3" t="n">
        <v>28.164</v>
      </c>
      <c r="FH3" t="n">
        <v>50.446</v>
      </c>
      <c r="FI3" t="n">
        <v>57.041</v>
      </c>
      <c r="FJ3" t="n">
        <v>28.2</v>
      </c>
      <c r="FK3" t="n">
        <v>103.541</v>
      </c>
      <c r="FL3" t="n">
        <v>2.459</v>
      </c>
      <c r="FM3" t="n">
        <v>3.236</v>
      </c>
      <c r="FN3" t="n">
        <v>0.077</v>
      </c>
      <c r="FO3" t="n">
        <v>3.517</v>
      </c>
      <c r="FP3" t="n">
        <v>0.068</v>
      </c>
      <c r="FQ3" t="n">
        <v>2.92</v>
      </c>
      <c r="FR3" t="n">
        <v>0.08599999999999999</v>
      </c>
      <c r="FS3" t="n">
        <v>5.3</v>
      </c>
      <c r="FT3" t="n">
        <v>44.1</v>
      </c>
      <c r="FU3" t="n">
        <v>57.9</v>
      </c>
      <c r="FV3" t="n">
        <v>40.8</v>
      </c>
      <c r="FW3" t="n">
        <v>51.8</v>
      </c>
      <c r="FX3" t="n">
        <v>14.7</v>
      </c>
      <c r="FY3" t="n">
        <v>25.224</v>
      </c>
      <c r="FZ3" t="n">
        <v>26.462</v>
      </c>
      <c r="GA3" t="n">
        <v>13.37</v>
      </c>
      <c r="GB3" t="n">
        <v>33.812</v>
      </c>
      <c r="GC3" t="n">
        <v>15.705</v>
      </c>
      <c r="GD3" t="n">
        <v>58.3</v>
      </c>
      <c r="GE3" t="n">
        <v>11.1</v>
      </c>
      <c r="GF3" t="n">
        <v>244</v>
      </c>
      <c r="GG3" t="n">
        <v>104</v>
      </c>
      <c r="GH3" t="n">
        <v>30.3</v>
      </c>
      <c r="GI3" t="n">
        <v>43.9</v>
      </c>
      <c r="GJ3" t="n">
        <v>46.406</v>
      </c>
      <c r="GK3" t="n">
        <v>14.2</v>
      </c>
      <c r="GL3" t="n">
        <v>32.346</v>
      </c>
      <c r="GM3" t="n">
        <v>3.1</v>
      </c>
      <c r="GN3" t="n">
        <v>7.5</v>
      </c>
      <c r="GO3" t="n">
        <v>92</v>
      </c>
      <c r="GP3" t="n">
        <v>10</v>
      </c>
      <c r="GQ3" t="n">
        <v>43.1</v>
      </c>
      <c r="GR3" t="n">
        <v>71.40000000000001</v>
      </c>
      <c r="GS3" t="n">
        <v>-56.54</v>
      </c>
      <c r="GT3" t="n">
        <v>-323.6</v>
      </c>
      <c r="GU3" t="n">
        <v>-211.6</v>
      </c>
      <c r="GV3" t="n">
        <v>-23.8</v>
      </c>
      <c r="GW3" t="n">
        <v>-27.8</v>
      </c>
      <c r="GX3" t="n">
        <v>-17.5</v>
      </c>
      <c r="GY3" t="n">
        <v>-45.3</v>
      </c>
      <c r="GZ3" t="n">
        <v>-12</v>
      </c>
      <c r="HA3" t="n">
        <v>-814.9</v>
      </c>
      <c r="HB3" t="n">
        <v>-0.2</v>
      </c>
      <c r="HC3" t="n">
        <v>2.5</v>
      </c>
      <c r="HD3" t="n">
        <v>-8.269</v>
      </c>
      <c r="HE3" t="n">
        <v>-6.223</v>
      </c>
      <c r="HF3" t="n">
        <v>-19.4</v>
      </c>
      <c r="HG3" t="n">
        <v>-28.1</v>
      </c>
      <c r="HH3" t="n">
        <v>-47.5</v>
      </c>
      <c r="HI3" t="n">
        <v>-2.8</v>
      </c>
      <c r="HJ3" t="n">
        <v>-11.4</v>
      </c>
      <c r="HK3" t="n">
        <v>-7.5</v>
      </c>
      <c r="HL3" t="n">
        <v>-5.9</v>
      </c>
      <c r="HM3" t="n">
        <v>-5.5</v>
      </c>
      <c r="HN3" t="n">
        <v>-9.5</v>
      </c>
      <c r="HO3" t="n">
        <v>-6.8</v>
      </c>
      <c r="HP3" t="n">
        <v>-4.1</v>
      </c>
      <c r="HQ3" t="n">
        <v>-3.5</v>
      </c>
      <c r="HR3" t="n">
        <v>-18.4</v>
      </c>
      <c r="HS3" t="n">
        <v>-3.2</v>
      </c>
      <c r="HT3" t="n">
        <v>-5.9</v>
      </c>
      <c r="HU3" t="n">
        <v>-9.1</v>
      </c>
      <c r="HV3" t="n">
        <v>-10.1</v>
      </c>
      <c r="HW3" t="n">
        <v>-10.1</v>
      </c>
      <c r="HX3" t="n">
        <v>-3.8</v>
      </c>
      <c r="HY3" t="n">
        <v>-4.4</v>
      </c>
      <c r="HZ3" t="n">
        <v>-4.4</v>
      </c>
      <c r="IA3" t="n">
        <v>-0.3</v>
      </c>
      <c r="IB3" t="n">
        <v>-7.5</v>
      </c>
      <c r="IC3" t="n">
        <v>-4.9</v>
      </c>
      <c r="ID3" t="n">
        <v>-13.7</v>
      </c>
      <c r="IE3" t="n">
        <v>-5.7</v>
      </c>
      <c r="IF3" t="n">
        <v>-12.3</v>
      </c>
      <c r="IG3" t="n">
        <v>-41.452</v>
      </c>
      <c r="IH3" t="n">
        <v>-8.448</v>
      </c>
      <c r="II3" t="n">
        <v>0.157</v>
      </c>
      <c r="IJ3" t="n">
        <v>-2.2</v>
      </c>
      <c r="IK3" t="n">
        <v>-26.7</v>
      </c>
      <c r="IL3" t="n">
        <v>-21</v>
      </c>
      <c r="IM3" t="n">
        <v>-16</v>
      </c>
      <c r="IN3" t="n">
        <v>-23.7</v>
      </c>
      <c r="IO3" t="n">
        <v>-10.2</v>
      </c>
      <c r="IP3" t="n">
        <v>-1.9</v>
      </c>
      <c r="IQ3" t="n">
        <v>-0.8</v>
      </c>
      <c r="IR3" t="n">
        <v>17.8</v>
      </c>
      <c r="IS3" t="n">
        <v>25.4</v>
      </c>
      <c r="IT3" t="n">
        <v>1.5</v>
      </c>
      <c r="IU3" t="n">
        <v>-7.4</v>
      </c>
      <c r="IV3" t="n">
        <v>-4.7</v>
      </c>
      <c r="IW3" t="n">
        <v>-1.3</v>
      </c>
      <c r="IX3" t="n">
        <v>-2.3</v>
      </c>
      <c r="IY3" t="n">
        <v>0.4</v>
      </c>
      <c r="IZ3" t="n">
        <v>0.4</v>
      </c>
    </row>
    <row r="4">
      <c r="A4" t="inlineStr">
        <is>
          <t>Essendon</t>
        </is>
      </c>
      <c r="B4" t="inlineStr">
        <is>
          <t>Ess</t>
        </is>
      </c>
      <c r="C4" t="n">
        <v>10</v>
      </c>
      <c r="D4" t="n">
        <v>36</v>
      </c>
      <c r="E4" t="n">
        <v>24.731</v>
      </c>
      <c r="F4" t="n">
        <v>88.55200000000001</v>
      </c>
      <c r="G4" t="n">
        <v>173.74</v>
      </c>
      <c r="H4" t="n">
        <v>1502.9</v>
      </c>
      <c r="I4" t="n">
        <v>1402.4</v>
      </c>
      <c r="J4" t="n">
        <v>5.2</v>
      </c>
      <c r="K4" t="n">
        <v>46.783</v>
      </c>
      <c r="L4" t="n">
        <v>192.3</v>
      </c>
      <c r="M4" t="n">
        <v>149.9</v>
      </c>
      <c r="N4" t="n">
        <v>342.2</v>
      </c>
      <c r="O4" t="n">
        <v>73.78700000000001</v>
      </c>
      <c r="P4" t="n">
        <v>66.199</v>
      </c>
      <c r="Q4" t="n">
        <v>83.52200000000001</v>
      </c>
      <c r="R4" t="n">
        <v>56.195</v>
      </c>
      <c r="S4" t="n">
        <v>6.593</v>
      </c>
      <c r="T4" t="n">
        <v>46.9</v>
      </c>
      <c r="U4" t="n">
        <v>38.7</v>
      </c>
      <c r="V4" t="n">
        <v>70.879</v>
      </c>
      <c r="W4" t="n">
        <v>5409.8</v>
      </c>
      <c r="X4" t="n">
        <v>15.809</v>
      </c>
      <c r="Y4" t="n">
        <v>55.1</v>
      </c>
      <c r="Z4" t="n">
        <v>6.211</v>
      </c>
      <c r="AA4" t="n">
        <v>62.7</v>
      </c>
      <c r="AB4" t="n">
        <v>5.458</v>
      </c>
      <c r="AC4" t="n">
        <v>-2.752</v>
      </c>
      <c r="AD4" t="n">
        <v>-1.047</v>
      </c>
      <c r="AE4" t="n">
        <v>121.6</v>
      </c>
      <c r="AF4" t="n">
        <v>210.8</v>
      </c>
      <c r="AG4" t="n">
        <v>332.4</v>
      </c>
      <c r="AH4" t="n">
        <v>36.582</v>
      </c>
      <c r="AI4" t="n">
        <v>61.9</v>
      </c>
      <c r="AJ4" t="n">
        <v>82.3</v>
      </c>
      <c r="AK4" t="n">
        <v>12.8</v>
      </c>
      <c r="AL4" t="n">
        <v>18.4</v>
      </c>
      <c r="AM4" t="n">
        <v>63.9</v>
      </c>
      <c r="AN4" t="n">
        <v>78.8</v>
      </c>
      <c r="AO4" t="n">
        <v>55.1</v>
      </c>
      <c r="AP4" t="n">
        <v>8.199999999999999</v>
      </c>
      <c r="AQ4" t="n">
        <v>20.1</v>
      </c>
      <c r="AR4" t="n">
        <v>122.5</v>
      </c>
      <c r="AS4" t="n">
        <v>10.2</v>
      </c>
      <c r="AT4" t="n">
        <v>20.6</v>
      </c>
      <c r="AU4" t="n">
        <v>30.8</v>
      </c>
      <c r="AV4" t="n">
        <v>35.2</v>
      </c>
      <c r="AW4" t="n">
        <v>74.432</v>
      </c>
      <c r="AX4" t="n">
        <v>82</v>
      </c>
      <c r="AY4" t="n">
        <v>8.1</v>
      </c>
      <c r="AZ4" t="n">
        <v>9.800000000000001</v>
      </c>
      <c r="BA4" t="n">
        <v>20.896</v>
      </c>
      <c r="BB4" t="n">
        <v>14.3</v>
      </c>
      <c r="BC4" t="n">
        <v>8</v>
      </c>
      <c r="BD4" t="n">
        <v>22</v>
      </c>
      <c r="BE4" t="n">
        <v>5.9</v>
      </c>
      <c r="BF4" t="n">
        <v>8.199999999999999</v>
      </c>
      <c r="BG4" t="n">
        <v>9.6</v>
      </c>
      <c r="BH4" t="n">
        <v>2.5</v>
      </c>
      <c r="BI4" t="n">
        <v>19</v>
      </c>
      <c r="BJ4" t="n">
        <v>5.1</v>
      </c>
      <c r="BK4" t="n">
        <v>43.158</v>
      </c>
      <c r="BL4" t="n">
        <v>17.484</v>
      </c>
      <c r="BM4" t="n">
        <v>37.953</v>
      </c>
      <c r="BN4" t="n">
        <v>40.512</v>
      </c>
      <c r="BO4" t="n">
        <v>17.5</v>
      </c>
      <c r="BP4" t="n">
        <v>10.1</v>
      </c>
      <c r="BQ4" t="n">
        <v>25.743</v>
      </c>
      <c r="BR4" t="n">
        <v>61.338</v>
      </c>
      <c r="BS4" t="n">
        <v>-5.038</v>
      </c>
      <c r="BT4" t="n">
        <v>3.228</v>
      </c>
      <c r="BU4" t="n">
        <v>-0.265</v>
      </c>
      <c r="BV4" t="n">
        <v>3.375</v>
      </c>
      <c r="BW4" t="n">
        <v>-0.366</v>
      </c>
      <c r="BX4" t="n">
        <v>2.972</v>
      </c>
      <c r="BY4" t="n">
        <v>-0.08799999999999999</v>
      </c>
      <c r="BZ4" t="n">
        <v>4.2</v>
      </c>
      <c r="CA4" t="n">
        <v>21.1</v>
      </c>
      <c r="CB4" t="n">
        <v>33.5</v>
      </c>
      <c r="CC4" t="n">
        <v>20.5</v>
      </c>
      <c r="CD4" t="n">
        <v>31.5</v>
      </c>
      <c r="CE4" t="n">
        <v>6.8</v>
      </c>
      <c r="CF4" t="n">
        <v>17.191</v>
      </c>
      <c r="CG4" t="n">
        <v>20.698</v>
      </c>
      <c r="CH4" t="n">
        <v>8.228999999999999</v>
      </c>
      <c r="CI4" t="n">
        <v>27.387</v>
      </c>
      <c r="CJ4" t="n">
        <v>9.247999999999999</v>
      </c>
      <c r="CK4" t="n">
        <v>9.699999999999999</v>
      </c>
      <c r="CL4" t="n">
        <v>32.99</v>
      </c>
      <c r="CM4" t="n">
        <v>55.5</v>
      </c>
      <c r="CN4" t="n">
        <v>10.3</v>
      </c>
      <c r="CO4" t="n">
        <v>276.3</v>
      </c>
      <c r="CP4" t="n">
        <v>133.3</v>
      </c>
      <c r="CQ4" t="n">
        <v>26.5</v>
      </c>
      <c r="CR4" t="n">
        <v>87.7</v>
      </c>
      <c r="CS4" t="n">
        <v>34.1</v>
      </c>
      <c r="CT4" t="n">
        <v>38.883</v>
      </c>
      <c r="CU4" t="n">
        <v>8.699999999999999</v>
      </c>
      <c r="CV4" t="n">
        <v>25.513</v>
      </c>
      <c r="CW4" t="n">
        <v>1.2</v>
      </c>
      <c r="CX4" t="n">
        <v>21</v>
      </c>
      <c r="CY4" t="n">
        <v>18</v>
      </c>
      <c r="CZ4" t="n">
        <v>3</v>
      </c>
      <c r="DA4" t="n">
        <v>11.1</v>
      </c>
      <c r="DB4" t="n">
        <v>93.694</v>
      </c>
      <c r="DC4" t="n">
        <v>7.8</v>
      </c>
      <c r="DD4" t="n">
        <v>34.5</v>
      </c>
      <c r="DE4" t="n">
        <v>67.8</v>
      </c>
      <c r="DF4" t="n">
        <v>218.84</v>
      </c>
      <c r="DG4" t="n">
        <v>1798.3</v>
      </c>
      <c r="DH4" t="n">
        <v>1603</v>
      </c>
      <c r="DI4" t="n">
        <v>24.8</v>
      </c>
      <c r="DJ4" t="n">
        <v>220.9</v>
      </c>
      <c r="DK4" t="n">
        <v>160.9</v>
      </c>
      <c r="DL4" t="n">
        <v>381.8</v>
      </c>
      <c r="DM4" t="n">
        <v>75.825</v>
      </c>
      <c r="DN4" t="n">
        <v>69.896</v>
      </c>
      <c r="DO4" t="n">
        <v>83.965</v>
      </c>
      <c r="DP4" t="n">
        <v>6.879</v>
      </c>
      <c r="DQ4" t="n">
        <v>54.6</v>
      </c>
      <c r="DR4" t="n">
        <v>37.9</v>
      </c>
      <c r="DS4" t="n">
        <v>80.81</v>
      </c>
      <c r="DT4" t="n">
        <v>6086.5</v>
      </c>
      <c r="DU4" t="n">
        <v>15.942</v>
      </c>
      <c r="DV4" t="n">
        <v>58</v>
      </c>
      <c r="DW4" t="n">
        <v>6.583</v>
      </c>
      <c r="DX4" t="n">
        <v>61.7</v>
      </c>
      <c r="DY4" t="n">
        <v>6.188</v>
      </c>
      <c r="DZ4" t="n">
        <v>4.172</v>
      </c>
      <c r="EA4" t="n">
        <v>5.598</v>
      </c>
      <c r="EB4" t="n">
        <v>128.6</v>
      </c>
      <c r="EC4" t="n">
        <v>247.9</v>
      </c>
      <c r="ED4" t="n">
        <v>376.5</v>
      </c>
      <c r="EE4" t="n">
        <v>34.157</v>
      </c>
      <c r="EF4" t="n">
        <v>62.8</v>
      </c>
      <c r="EG4" t="n">
        <v>80.5</v>
      </c>
      <c r="EH4" t="n">
        <v>14.5</v>
      </c>
      <c r="EI4" t="n">
        <v>19.5</v>
      </c>
      <c r="EJ4" t="n">
        <v>61</v>
      </c>
      <c r="EK4" t="n">
        <v>79.90000000000001</v>
      </c>
      <c r="EL4" t="n">
        <v>53.4</v>
      </c>
      <c r="EM4" t="n">
        <v>12.1</v>
      </c>
      <c r="EN4" t="n">
        <v>22</v>
      </c>
      <c r="EO4" t="n">
        <v>131.9</v>
      </c>
      <c r="EP4" t="n">
        <v>12.5</v>
      </c>
      <c r="EQ4" t="n">
        <v>24.7</v>
      </c>
      <c r="ER4" t="n">
        <v>37.2</v>
      </c>
      <c r="ES4" t="n">
        <v>40.7</v>
      </c>
      <c r="ET4" t="n">
        <v>77.396</v>
      </c>
      <c r="EU4" t="n">
        <v>106.4</v>
      </c>
      <c r="EV4" t="n">
        <v>12.3</v>
      </c>
      <c r="EW4" t="n">
        <v>15.5</v>
      </c>
      <c r="EX4" t="n">
        <v>28.388</v>
      </c>
      <c r="EY4" t="n">
        <v>16.1</v>
      </c>
      <c r="EZ4" t="n">
        <v>10.9</v>
      </c>
      <c r="FA4" t="n">
        <v>14.9</v>
      </c>
      <c r="FB4" t="n">
        <v>11.5</v>
      </c>
      <c r="FC4" t="n">
        <v>1.8</v>
      </c>
      <c r="FD4" t="n">
        <v>29.2</v>
      </c>
      <c r="FE4" t="n">
        <v>11.6</v>
      </c>
      <c r="FF4" t="n">
        <v>51.027</v>
      </c>
      <c r="FG4" t="n">
        <v>27.289</v>
      </c>
      <c r="FH4" t="n">
        <v>48.352</v>
      </c>
      <c r="FI4" t="n">
        <v>53.48</v>
      </c>
      <c r="FJ4" t="n">
        <v>25.9</v>
      </c>
      <c r="FK4" t="n">
        <v>94.07299999999999</v>
      </c>
      <c r="FL4" t="n">
        <v>5.027</v>
      </c>
      <c r="FM4" t="n">
        <v>3.222</v>
      </c>
      <c r="FN4" t="n">
        <v>0.172</v>
      </c>
      <c r="FO4" t="n">
        <v>3.477</v>
      </c>
      <c r="FP4" t="n">
        <v>0.236</v>
      </c>
      <c r="FQ4" t="n">
        <v>2.823</v>
      </c>
      <c r="FR4" t="n">
        <v>0.07199999999999999</v>
      </c>
      <c r="FS4" t="n">
        <v>4.2</v>
      </c>
      <c r="FT4" t="n">
        <v>34.9</v>
      </c>
      <c r="FU4" t="n">
        <v>61.8</v>
      </c>
      <c r="FV4" t="n">
        <v>44.3</v>
      </c>
      <c r="FW4" t="n">
        <v>44.8</v>
      </c>
      <c r="FX4" t="n">
        <v>11.8</v>
      </c>
      <c r="FY4" t="n">
        <v>24.004</v>
      </c>
      <c r="FZ4" t="n">
        <v>31.152</v>
      </c>
      <c r="GA4" t="n">
        <v>13.089</v>
      </c>
      <c r="GB4" t="n">
        <v>38.281</v>
      </c>
      <c r="GC4" t="n">
        <v>16.928</v>
      </c>
      <c r="GD4" t="n">
        <v>51.9</v>
      </c>
      <c r="GE4" t="n">
        <v>10.2</v>
      </c>
      <c r="GF4" t="n">
        <v>256.7</v>
      </c>
      <c r="GG4" t="n">
        <v>112.2</v>
      </c>
      <c r="GH4" t="n">
        <v>30.2</v>
      </c>
      <c r="GI4" t="n">
        <v>37.6</v>
      </c>
      <c r="GJ4" t="n">
        <v>42.825</v>
      </c>
      <c r="GK4" t="n">
        <v>12.7</v>
      </c>
      <c r="GL4" t="n">
        <v>33.777</v>
      </c>
      <c r="GM4" t="n">
        <v>3.1</v>
      </c>
      <c r="GN4" t="n">
        <v>9.4</v>
      </c>
      <c r="GO4" t="n">
        <v>88.298</v>
      </c>
      <c r="GP4" t="n">
        <v>6.6</v>
      </c>
      <c r="GQ4" t="n">
        <v>40.7</v>
      </c>
      <c r="GR4" t="n">
        <v>70.8</v>
      </c>
      <c r="GS4" t="n">
        <v>-45.1</v>
      </c>
      <c r="GT4" t="n">
        <v>-295.4</v>
      </c>
      <c r="GU4" t="n">
        <v>-200.6</v>
      </c>
      <c r="GV4" t="n">
        <v>-19.6</v>
      </c>
      <c r="GW4" t="n">
        <v>-28.6</v>
      </c>
      <c r="GX4" t="n">
        <v>-11</v>
      </c>
      <c r="GY4" t="n">
        <v>-39.6</v>
      </c>
      <c r="GZ4" t="n">
        <v>-7.7</v>
      </c>
      <c r="HA4" t="n">
        <v>-676.7</v>
      </c>
      <c r="HB4" t="n">
        <v>-2.9</v>
      </c>
      <c r="HC4" t="n">
        <v>1</v>
      </c>
      <c r="HD4" t="n">
        <v>-6.924</v>
      </c>
      <c r="HE4" t="n">
        <v>-6.645</v>
      </c>
      <c r="HF4" t="n">
        <v>-7</v>
      </c>
      <c r="HG4" t="n">
        <v>-37.1</v>
      </c>
      <c r="HH4" t="n">
        <v>-44.1</v>
      </c>
      <c r="HI4" t="n">
        <v>-0.9</v>
      </c>
      <c r="HJ4" t="n">
        <v>1.8</v>
      </c>
      <c r="HK4" t="n">
        <v>-1.7</v>
      </c>
      <c r="HL4" t="n">
        <v>-1.1</v>
      </c>
      <c r="HM4" t="n">
        <v>2.9</v>
      </c>
      <c r="HN4" t="n">
        <v>-1.1</v>
      </c>
      <c r="HO4" t="n">
        <v>1.7</v>
      </c>
      <c r="HP4" t="n">
        <v>-3.9</v>
      </c>
      <c r="HQ4" t="n">
        <v>-1.9</v>
      </c>
      <c r="HR4" t="n">
        <v>-9.4</v>
      </c>
      <c r="HS4" t="n">
        <v>-2.3</v>
      </c>
      <c r="HT4" t="n">
        <v>-4.1</v>
      </c>
      <c r="HU4" t="n">
        <v>-6.4</v>
      </c>
      <c r="HV4" t="n">
        <v>-5.5</v>
      </c>
      <c r="HW4" t="n">
        <v>-24.4</v>
      </c>
      <c r="HX4" t="n">
        <v>-4.2</v>
      </c>
      <c r="HY4" t="n">
        <v>-5.7</v>
      </c>
      <c r="HZ4" t="n">
        <v>-1.8</v>
      </c>
      <c r="IA4" t="n">
        <v>-2.9</v>
      </c>
      <c r="IB4" t="n">
        <v>-6.7</v>
      </c>
      <c r="IC4" t="n">
        <v>-1.9</v>
      </c>
      <c r="ID4" t="n">
        <v>-10.2</v>
      </c>
      <c r="IE4" t="n">
        <v>-6.5</v>
      </c>
      <c r="IF4" t="n">
        <v>-8.4</v>
      </c>
      <c r="IG4" t="n">
        <v>-32.735</v>
      </c>
      <c r="IH4" t="n">
        <v>-10.065</v>
      </c>
      <c r="II4" t="n">
        <v>0.007</v>
      </c>
      <c r="IJ4" t="n">
        <v>0</v>
      </c>
      <c r="IK4" t="n">
        <v>-13.8</v>
      </c>
      <c r="IL4" t="n">
        <v>-28.3</v>
      </c>
      <c r="IM4" t="n">
        <v>-23.8</v>
      </c>
      <c r="IN4" t="n">
        <v>-13.3</v>
      </c>
      <c r="IO4" t="n">
        <v>-5</v>
      </c>
      <c r="IP4" t="n">
        <v>3.6</v>
      </c>
      <c r="IQ4" t="n">
        <v>0.1</v>
      </c>
      <c r="IR4" t="n">
        <v>19.6</v>
      </c>
      <c r="IS4" t="n">
        <v>21.1</v>
      </c>
      <c r="IT4" t="n">
        <v>-3.7</v>
      </c>
      <c r="IU4" t="n">
        <v>-3.5</v>
      </c>
      <c r="IV4" t="n">
        <v>-4</v>
      </c>
      <c r="IW4" t="n">
        <v>-1.9</v>
      </c>
      <c r="IX4" t="n">
        <v>1.2</v>
      </c>
      <c r="IY4" t="n">
        <v>-6.2</v>
      </c>
      <c r="IZ4" t="n">
        <v>-3</v>
      </c>
    </row>
    <row r="5">
      <c r="A5" t="inlineStr">
        <is>
          <t>North Melbourne</t>
        </is>
      </c>
      <c r="B5" t="inlineStr">
        <is>
          <t>NM</t>
        </is>
      </c>
      <c r="C5" t="n">
        <v>10</v>
      </c>
      <c r="D5" t="n">
        <v>36</v>
      </c>
      <c r="E5" t="n">
        <v>24.366</v>
      </c>
      <c r="F5" t="n">
        <v>86.20399999999999</v>
      </c>
      <c r="G5" t="n">
        <v>184.8</v>
      </c>
      <c r="H5" t="n">
        <v>1580</v>
      </c>
      <c r="I5" t="n">
        <v>1469.6</v>
      </c>
      <c r="J5" t="n">
        <v>9.6</v>
      </c>
      <c r="K5" t="n">
        <v>45.629</v>
      </c>
      <c r="L5" t="n">
        <v>197.7</v>
      </c>
      <c r="M5" t="n">
        <v>154</v>
      </c>
      <c r="N5" t="n">
        <v>351.7</v>
      </c>
      <c r="O5" t="n">
        <v>74.95</v>
      </c>
      <c r="P5" t="n">
        <v>67.577</v>
      </c>
      <c r="Q5" t="n">
        <v>84.416</v>
      </c>
      <c r="R5" t="n">
        <v>56.213</v>
      </c>
      <c r="S5" t="n">
        <v>5.654</v>
      </c>
      <c r="T5" t="n">
        <v>44.9</v>
      </c>
      <c r="U5" t="n">
        <v>38.9</v>
      </c>
      <c r="V5" t="n">
        <v>69.09399999999999</v>
      </c>
      <c r="W5" t="n">
        <v>5302.6</v>
      </c>
      <c r="X5" t="n">
        <v>15.077</v>
      </c>
      <c r="Y5" t="n">
        <v>53.6</v>
      </c>
      <c r="Z5" t="n">
        <v>6.562</v>
      </c>
      <c r="AA5" t="n">
        <v>56.9</v>
      </c>
      <c r="AB5" t="n">
        <v>6.181</v>
      </c>
      <c r="AC5" t="n">
        <v>1.216</v>
      </c>
      <c r="AD5" t="n">
        <v>0.5600000000000001</v>
      </c>
      <c r="AE5" t="n">
        <v>121.1</v>
      </c>
      <c r="AF5" t="n">
        <v>222.1</v>
      </c>
      <c r="AG5" t="n">
        <v>343.2</v>
      </c>
      <c r="AH5" t="n">
        <v>35.286</v>
      </c>
      <c r="AI5" t="n">
        <v>53.6</v>
      </c>
      <c r="AJ5" t="n">
        <v>80.09999999999999</v>
      </c>
      <c r="AK5" t="n">
        <v>11.1</v>
      </c>
      <c r="AL5" t="n">
        <v>19.4</v>
      </c>
      <c r="AM5" t="n">
        <v>60.7</v>
      </c>
      <c r="AN5" t="n">
        <v>69.59999999999999</v>
      </c>
      <c r="AO5" t="n">
        <v>47.2</v>
      </c>
      <c r="AP5" t="n">
        <v>7.4</v>
      </c>
      <c r="AQ5" t="n">
        <v>19.8</v>
      </c>
      <c r="AR5" t="n">
        <v>127.3</v>
      </c>
      <c r="AS5" t="n">
        <v>13.7</v>
      </c>
      <c r="AT5" t="n">
        <v>25.1</v>
      </c>
      <c r="AU5" t="n">
        <v>38.8</v>
      </c>
      <c r="AV5" t="n">
        <v>42.4</v>
      </c>
      <c r="AW5" t="n">
        <v>77.123</v>
      </c>
      <c r="AX5" t="n">
        <v>88.59999999999999</v>
      </c>
      <c r="AY5" t="n">
        <v>9.1</v>
      </c>
      <c r="AZ5" t="n">
        <v>10.8</v>
      </c>
      <c r="BA5" t="n">
        <v>24.053</v>
      </c>
      <c r="BB5" t="n">
        <v>12.5</v>
      </c>
      <c r="BC5" t="n">
        <v>7.5</v>
      </c>
      <c r="BD5" t="n">
        <v>25</v>
      </c>
      <c r="BE5" t="n">
        <v>7.2</v>
      </c>
      <c r="BF5" t="n">
        <v>11.8</v>
      </c>
      <c r="BG5" t="n">
        <v>9.4</v>
      </c>
      <c r="BH5" t="n">
        <v>1.7</v>
      </c>
      <c r="BI5" t="n">
        <v>23.1</v>
      </c>
      <c r="BJ5" t="n">
        <v>9</v>
      </c>
      <c r="BK5" t="n">
        <v>51.082</v>
      </c>
      <c r="BL5" t="n">
        <v>26.281</v>
      </c>
      <c r="BM5" t="n">
        <v>47.216</v>
      </c>
      <c r="BN5" t="n">
        <v>51.448</v>
      </c>
      <c r="BO5" t="n">
        <v>21</v>
      </c>
      <c r="BP5" t="n">
        <v>9.1</v>
      </c>
      <c r="BQ5" t="n">
        <v>28.571</v>
      </c>
      <c r="BR5" t="n">
        <v>78.589</v>
      </c>
      <c r="BS5" t="n">
        <v>-0.089</v>
      </c>
      <c r="BT5" t="n">
        <v>3.402</v>
      </c>
      <c r="BU5" t="n">
        <v>-0.004</v>
      </c>
      <c r="BV5" t="n">
        <v>3.627</v>
      </c>
      <c r="BW5" t="n">
        <v>0.168</v>
      </c>
      <c r="BX5" t="n">
        <v>3.05</v>
      </c>
      <c r="BY5" t="n">
        <v>-0.273</v>
      </c>
      <c r="BZ5" t="n">
        <v>5.9</v>
      </c>
      <c r="CA5" t="n">
        <v>37.2</v>
      </c>
      <c r="CB5" t="n">
        <v>37.1</v>
      </c>
      <c r="CC5" t="n">
        <v>28.8</v>
      </c>
      <c r="CD5" t="n">
        <v>34</v>
      </c>
      <c r="CE5" t="n">
        <v>17.4</v>
      </c>
      <c r="CF5" t="n">
        <v>20.37</v>
      </c>
      <c r="CG5" t="n">
        <v>20.619</v>
      </c>
      <c r="CH5" t="n">
        <v>9.302</v>
      </c>
      <c r="CI5" t="n">
        <v>27.69</v>
      </c>
      <c r="CJ5" t="n">
        <v>11.587</v>
      </c>
      <c r="CK5" t="n">
        <v>10.2</v>
      </c>
      <c r="CL5" t="n">
        <v>36.275</v>
      </c>
      <c r="CM5" t="n">
        <v>58.6</v>
      </c>
      <c r="CN5" t="n">
        <v>10.4</v>
      </c>
      <c r="CO5" t="n">
        <v>262.7</v>
      </c>
      <c r="CP5" t="n">
        <v>131.6</v>
      </c>
      <c r="CQ5" t="n">
        <v>29.7</v>
      </c>
      <c r="CR5" t="n">
        <v>103.2</v>
      </c>
      <c r="CS5" t="n">
        <v>32.1</v>
      </c>
      <c r="CT5" t="n">
        <v>31.105</v>
      </c>
      <c r="CU5" t="n">
        <v>8.300000000000001</v>
      </c>
      <c r="CV5" t="n">
        <v>25.857</v>
      </c>
      <c r="CW5" t="n">
        <v>4.7</v>
      </c>
      <c r="CX5" t="n">
        <v>18.9</v>
      </c>
      <c r="CY5" t="n">
        <v>20.4</v>
      </c>
      <c r="CZ5" t="n">
        <v>-1.5</v>
      </c>
      <c r="DA5" t="n">
        <v>12.3</v>
      </c>
      <c r="DB5" t="n">
        <v>87.80500000000001</v>
      </c>
      <c r="DC5" t="n">
        <v>8.1</v>
      </c>
      <c r="DD5" t="n">
        <v>39.6</v>
      </c>
      <c r="DE5" t="n">
        <v>71.7</v>
      </c>
      <c r="DF5" t="n">
        <v>214.88</v>
      </c>
      <c r="DG5" t="n">
        <v>1714.9</v>
      </c>
      <c r="DH5" t="n">
        <v>1541.2</v>
      </c>
      <c r="DI5" t="n">
        <v>20.4</v>
      </c>
      <c r="DJ5" t="n">
        <v>202.2</v>
      </c>
      <c r="DK5" t="n">
        <v>146.4</v>
      </c>
      <c r="DL5" t="n">
        <v>348.6</v>
      </c>
      <c r="DM5" t="n">
        <v>75.502</v>
      </c>
      <c r="DN5" t="n">
        <v>71.26600000000001</v>
      </c>
      <c r="DO5" t="n">
        <v>81.352</v>
      </c>
      <c r="DP5" t="n">
        <v>5.949</v>
      </c>
      <c r="DQ5" t="n">
        <v>56.3</v>
      </c>
      <c r="DR5" t="n">
        <v>31.9</v>
      </c>
      <c r="DS5" t="n">
        <v>71.047</v>
      </c>
      <c r="DT5" t="n">
        <v>5754.6</v>
      </c>
      <c r="DU5" t="n">
        <v>16.508</v>
      </c>
      <c r="DV5" t="n">
        <v>52.3</v>
      </c>
      <c r="DW5" t="n">
        <v>6.665</v>
      </c>
      <c r="DX5" t="n">
        <v>53.3</v>
      </c>
      <c r="DY5" t="n">
        <v>6.54</v>
      </c>
      <c r="DZ5" t="n">
        <v>6.608</v>
      </c>
      <c r="EA5" t="n">
        <v>6.573</v>
      </c>
      <c r="EB5" t="n">
        <v>128.4</v>
      </c>
      <c r="EC5" t="n">
        <v>214.3</v>
      </c>
      <c r="ED5" t="n">
        <v>342.7</v>
      </c>
      <c r="EE5" t="n">
        <v>37.467</v>
      </c>
      <c r="EF5" t="n">
        <v>56.9</v>
      </c>
      <c r="EG5" t="n">
        <v>78.2</v>
      </c>
      <c r="EH5" t="n">
        <v>13.3</v>
      </c>
      <c r="EI5" t="n">
        <v>20.1</v>
      </c>
      <c r="EJ5" t="n">
        <v>58.1</v>
      </c>
      <c r="EK5" t="n">
        <v>76.3</v>
      </c>
      <c r="EL5" t="n">
        <v>49.5</v>
      </c>
      <c r="EM5" t="n">
        <v>10.8</v>
      </c>
      <c r="EN5" t="n">
        <v>20</v>
      </c>
      <c r="EO5" t="n">
        <v>116</v>
      </c>
      <c r="EP5" t="n">
        <v>13.6</v>
      </c>
      <c r="EQ5" t="n">
        <v>25.8</v>
      </c>
      <c r="ER5" t="n">
        <v>39.4</v>
      </c>
      <c r="ES5" t="n">
        <v>44.3</v>
      </c>
      <c r="ET5" t="n">
        <v>75.84699999999999</v>
      </c>
      <c r="EU5" t="n">
        <v>91.8</v>
      </c>
      <c r="EV5" t="n">
        <v>12.8</v>
      </c>
      <c r="EW5" t="n">
        <v>17</v>
      </c>
      <c r="EX5" t="n">
        <v>30.195</v>
      </c>
      <c r="EY5" t="n">
        <v>15.3</v>
      </c>
      <c r="EZ5" t="n">
        <v>6.5</v>
      </c>
      <c r="FA5" t="n">
        <v>16.6</v>
      </c>
      <c r="FB5" t="n">
        <v>12.5</v>
      </c>
      <c r="FC5" t="n">
        <v>1.8</v>
      </c>
      <c r="FD5" t="n">
        <v>31</v>
      </c>
      <c r="FE5" t="n">
        <v>12.8</v>
      </c>
      <c r="FF5" t="n">
        <v>53.548</v>
      </c>
      <c r="FG5" t="n">
        <v>29.485</v>
      </c>
      <c r="FH5" t="n">
        <v>51.687</v>
      </c>
      <c r="FI5" t="n">
        <v>55.062</v>
      </c>
      <c r="FJ5" t="n">
        <v>28.6</v>
      </c>
      <c r="FK5" t="n">
        <v>101.96</v>
      </c>
      <c r="FL5" t="n">
        <v>8.34</v>
      </c>
      <c r="FM5" t="n">
        <v>3.289</v>
      </c>
      <c r="FN5" t="n">
        <v>0.269</v>
      </c>
      <c r="FO5" t="n">
        <v>3.577</v>
      </c>
      <c r="FP5" t="n">
        <v>0.292</v>
      </c>
      <c r="FQ5" t="n">
        <v>2.827</v>
      </c>
      <c r="FR5" t="n">
        <v>0.232</v>
      </c>
      <c r="FS5" t="n">
        <v>4</v>
      </c>
      <c r="FT5" t="n">
        <v>45</v>
      </c>
      <c r="FU5" t="n">
        <v>63.1</v>
      </c>
      <c r="FV5" t="n">
        <v>39.2</v>
      </c>
      <c r="FW5" t="n">
        <v>58.6</v>
      </c>
      <c r="FX5" t="n">
        <v>14.3</v>
      </c>
      <c r="FY5" t="n">
        <v>27.616</v>
      </c>
      <c r="FZ5" t="n">
        <v>28.097</v>
      </c>
      <c r="GA5" t="n">
        <v>12.991</v>
      </c>
      <c r="GB5" t="n">
        <v>36.888</v>
      </c>
      <c r="GC5" t="n">
        <v>17.018</v>
      </c>
      <c r="GD5" t="n">
        <v>62.2</v>
      </c>
      <c r="GE5" t="n">
        <v>10.9</v>
      </c>
      <c r="GF5" t="n">
        <v>263.3</v>
      </c>
      <c r="GG5" t="n">
        <v>115.2</v>
      </c>
      <c r="GH5" t="n">
        <v>25.1</v>
      </c>
      <c r="GI5" t="n">
        <v>43.6</v>
      </c>
      <c r="GJ5" t="n">
        <v>42.248</v>
      </c>
      <c r="GK5" t="n">
        <v>11.6</v>
      </c>
      <c r="GL5" t="n">
        <v>26.606</v>
      </c>
      <c r="GM5" t="n">
        <v>4</v>
      </c>
      <c r="GN5" t="n">
        <v>8.9</v>
      </c>
      <c r="GO5" t="n">
        <v>93.258</v>
      </c>
      <c r="GP5" t="n">
        <v>6.7</v>
      </c>
      <c r="GQ5" t="n">
        <v>36.6</v>
      </c>
      <c r="GR5" t="n">
        <v>73.2</v>
      </c>
      <c r="GS5" t="n">
        <v>-30.08</v>
      </c>
      <c r="GT5" t="n">
        <v>-134.9</v>
      </c>
      <c r="GU5" t="n">
        <v>-71.59999999999999</v>
      </c>
      <c r="GV5" t="n">
        <v>-10.8</v>
      </c>
      <c r="GW5" t="n">
        <v>-4.5</v>
      </c>
      <c r="GX5" t="n">
        <v>7.6</v>
      </c>
      <c r="GY5" t="n">
        <v>3.1</v>
      </c>
      <c r="GZ5" t="n">
        <v>-11.4</v>
      </c>
      <c r="HA5" t="n">
        <v>-452</v>
      </c>
      <c r="HB5" t="n">
        <v>1.3</v>
      </c>
      <c r="HC5" t="n">
        <v>3.6</v>
      </c>
      <c r="HD5" t="n">
        <v>-5.392</v>
      </c>
      <c r="HE5" t="n">
        <v>-6.013</v>
      </c>
      <c r="HF5" t="n">
        <v>-7.3</v>
      </c>
      <c r="HG5" t="n">
        <v>7.8</v>
      </c>
      <c r="HH5" t="n">
        <v>0.5</v>
      </c>
      <c r="HI5" t="n">
        <v>-3.3</v>
      </c>
      <c r="HJ5" t="n">
        <v>1.9</v>
      </c>
      <c r="HK5" t="n">
        <v>-2.2</v>
      </c>
      <c r="HL5" t="n">
        <v>-0.7</v>
      </c>
      <c r="HM5" t="n">
        <v>2.6</v>
      </c>
      <c r="HN5" t="n">
        <v>-6.7</v>
      </c>
      <c r="HO5" t="n">
        <v>-2.3</v>
      </c>
      <c r="HP5" t="n">
        <v>-3.4</v>
      </c>
      <c r="HQ5" t="n">
        <v>-0.2</v>
      </c>
      <c r="HR5" t="n">
        <v>11.3</v>
      </c>
      <c r="HS5" t="n">
        <v>0.1</v>
      </c>
      <c r="HT5" t="n">
        <v>-0.7</v>
      </c>
      <c r="HU5" t="n">
        <v>-0.6</v>
      </c>
      <c r="HV5" t="n">
        <v>-1.9</v>
      </c>
      <c r="HW5" t="n">
        <v>-3.2</v>
      </c>
      <c r="HX5" t="n">
        <v>-3.7</v>
      </c>
      <c r="HY5" t="n">
        <v>-6.2</v>
      </c>
      <c r="HZ5" t="n">
        <v>-2.8</v>
      </c>
      <c r="IA5" t="n">
        <v>1</v>
      </c>
      <c r="IB5" t="n">
        <v>-4.8</v>
      </c>
      <c r="IC5" t="n">
        <v>-3.1</v>
      </c>
      <c r="ID5" t="n">
        <v>-7.9</v>
      </c>
      <c r="IE5" t="n">
        <v>-3.8</v>
      </c>
      <c r="IF5" t="n">
        <v>-7.6</v>
      </c>
      <c r="IG5" t="n">
        <v>-23.372</v>
      </c>
      <c r="IH5" t="n">
        <v>-8.428000000000001</v>
      </c>
      <c r="II5" t="n">
        <v>0.113</v>
      </c>
      <c r="IJ5" t="n">
        <v>1.9</v>
      </c>
      <c r="IK5" t="n">
        <v>-7.8</v>
      </c>
      <c r="IL5" t="n">
        <v>-26</v>
      </c>
      <c r="IM5" t="n">
        <v>-10.4</v>
      </c>
      <c r="IN5" t="n">
        <v>-24.6</v>
      </c>
      <c r="IO5" t="n">
        <v>3.1</v>
      </c>
      <c r="IP5" t="n">
        <v>-3.6</v>
      </c>
      <c r="IQ5" t="n">
        <v>-0.5</v>
      </c>
      <c r="IR5" t="n">
        <v>-0.6</v>
      </c>
      <c r="IS5" t="n">
        <v>16.4</v>
      </c>
      <c r="IT5" t="n">
        <v>4.6</v>
      </c>
      <c r="IU5" t="n">
        <v>-11.5</v>
      </c>
      <c r="IV5" t="n">
        <v>-3.3</v>
      </c>
      <c r="IW5" t="n">
        <v>0.7</v>
      </c>
      <c r="IX5" t="n">
        <v>1.4</v>
      </c>
      <c r="IY5" t="n">
        <v>3</v>
      </c>
      <c r="IZ5" t="n">
        <v>-1.5</v>
      </c>
    </row>
    <row r="6">
      <c r="A6" t="inlineStr">
        <is>
          <t>Carlton</t>
        </is>
      </c>
      <c r="B6" t="inlineStr">
        <is>
          <t>Carl</t>
        </is>
      </c>
      <c r="C6" t="n">
        <v>10</v>
      </c>
      <c r="D6" t="n">
        <v>36</v>
      </c>
      <c r="E6" t="n">
        <v>25.829</v>
      </c>
      <c r="F6" t="n">
        <v>102.987</v>
      </c>
      <c r="G6" t="n">
        <v>191.7</v>
      </c>
      <c r="H6" t="n">
        <v>1597.4</v>
      </c>
      <c r="I6" t="n">
        <v>1450.3</v>
      </c>
      <c r="J6" t="n">
        <v>9.6</v>
      </c>
      <c r="K6" t="n">
        <v>49.757</v>
      </c>
      <c r="L6" t="n">
        <v>201.7</v>
      </c>
      <c r="M6" t="n">
        <v>145.1</v>
      </c>
      <c r="N6" t="n">
        <v>346.8</v>
      </c>
      <c r="O6" t="n">
        <v>71.857</v>
      </c>
      <c r="P6" t="n">
        <v>63.262</v>
      </c>
      <c r="Q6" t="n">
        <v>83.804</v>
      </c>
      <c r="R6" t="n">
        <v>58.16</v>
      </c>
      <c r="S6" t="n">
        <v>5.742</v>
      </c>
      <c r="T6" t="n">
        <v>50.3</v>
      </c>
      <c r="U6" t="n">
        <v>35.7</v>
      </c>
      <c r="V6" t="n">
        <v>71.976</v>
      </c>
      <c r="W6" t="n">
        <v>5599</v>
      </c>
      <c r="X6" t="n">
        <v>16.145</v>
      </c>
      <c r="Y6" t="n">
        <v>57.6</v>
      </c>
      <c r="Z6" t="n">
        <v>6.021</v>
      </c>
      <c r="AA6" t="n">
        <v>64.90000000000001</v>
      </c>
      <c r="AB6" t="n">
        <v>5.344</v>
      </c>
      <c r="AC6" t="n">
        <v>-2.173</v>
      </c>
      <c r="AD6" t="n">
        <v>0.513</v>
      </c>
      <c r="AE6" t="n">
        <v>131</v>
      </c>
      <c r="AF6" t="n">
        <v>211.5</v>
      </c>
      <c r="AG6" t="n">
        <v>342.5</v>
      </c>
      <c r="AH6" t="n">
        <v>38.248</v>
      </c>
      <c r="AI6" t="n">
        <v>61.8</v>
      </c>
      <c r="AJ6" t="n">
        <v>85.59999999999999</v>
      </c>
      <c r="AK6" t="n">
        <v>14.6</v>
      </c>
      <c r="AL6" t="n">
        <v>20.7</v>
      </c>
      <c r="AM6" t="n">
        <v>64.90000000000001</v>
      </c>
      <c r="AN6" t="n">
        <v>78.90000000000001</v>
      </c>
      <c r="AO6" t="n">
        <v>56.2</v>
      </c>
      <c r="AP6" t="n">
        <v>10.5</v>
      </c>
      <c r="AQ6" t="n">
        <v>23.9</v>
      </c>
      <c r="AR6" t="n">
        <v>118</v>
      </c>
      <c r="AS6" t="n">
        <v>14.3</v>
      </c>
      <c r="AT6" t="n">
        <v>24</v>
      </c>
      <c r="AU6" t="n">
        <v>38.3</v>
      </c>
      <c r="AV6" t="n">
        <v>43.1</v>
      </c>
      <c r="AW6" t="n">
        <v>74.246</v>
      </c>
      <c r="AX6" t="n">
        <v>83.5</v>
      </c>
      <c r="AY6" t="n">
        <v>9.5</v>
      </c>
      <c r="AZ6" t="n">
        <v>12.7</v>
      </c>
      <c r="BA6" t="n">
        <v>25.249</v>
      </c>
      <c r="BB6" t="n">
        <v>14</v>
      </c>
      <c r="BC6" t="n">
        <v>8.300000000000001</v>
      </c>
      <c r="BD6" t="n">
        <v>24</v>
      </c>
      <c r="BE6" t="n">
        <v>7.2</v>
      </c>
      <c r="BF6" t="n">
        <v>10.8</v>
      </c>
      <c r="BG6" t="n">
        <v>9.800000000000001</v>
      </c>
      <c r="BH6" t="n">
        <v>1.8</v>
      </c>
      <c r="BI6" t="n">
        <v>22.8</v>
      </c>
      <c r="BJ6" t="n">
        <v>7.7</v>
      </c>
      <c r="BK6" t="n">
        <v>47.368</v>
      </c>
      <c r="BL6" t="n">
        <v>21.471</v>
      </c>
      <c r="BM6" t="n">
        <v>40.954</v>
      </c>
      <c r="BN6" t="n">
        <v>45.328</v>
      </c>
      <c r="BO6" t="n">
        <v>20.3</v>
      </c>
      <c r="BP6" t="n">
        <v>11.4</v>
      </c>
      <c r="BQ6" t="n">
        <v>29.825</v>
      </c>
      <c r="BR6" t="n">
        <v>74.85899999999999</v>
      </c>
      <c r="BS6" t="n">
        <v>-2.659</v>
      </c>
      <c r="BT6" t="n">
        <v>3.298</v>
      </c>
      <c r="BU6" t="n">
        <v>-0.117</v>
      </c>
      <c r="BV6" t="n">
        <v>3.633</v>
      </c>
      <c r="BW6" t="n">
        <v>-0.067</v>
      </c>
      <c r="BX6" t="n">
        <v>2.797</v>
      </c>
      <c r="BY6" t="n">
        <v>-0.192</v>
      </c>
      <c r="BZ6" t="n">
        <v>2.5</v>
      </c>
      <c r="CA6" t="n">
        <v>31</v>
      </c>
      <c r="CB6" t="n">
        <v>41.1</v>
      </c>
      <c r="CC6" t="n">
        <v>25.3</v>
      </c>
      <c r="CD6" t="n">
        <v>38.6</v>
      </c>
      <c r="CE6" t="n">
        <v>10.7</v>
      </c>
      <c r="CF6" t="n">
        <v>18.919</v>
      </c>
      <c r="CG6" t="n">
        <v>23.611</v>
      </c>
      <c r="CH6" t="n">
        <v>7.5</v>
      </c>
      <c r="CI6" t="n">
        <v>30.533</v>
      </c>
      <c r="CJ6" t="n">
        <v>10.985</v>
      </c>
      <c r="CK6" t="n">
        <v>7.6</v>
      </c>
      <c r="CL6" t="n">
        <v>23.684</v>
      </c>
      <c r="CM6" t="n">
        <v>59.3</v>
      </c>
      <c r="CN6" t="n">
        <v>10.1</v>
      </c>
      <c r="CO6" t="n">
        <v>274.9</v>
      </c>
      <c r="CP6" t="n">
        <v>132.4</v>
      </c>
      <c r="CQ6" t="n">
        <v>30.9</v>
      </c>
      <c r="CR6" t="n">
        <v>94.8</v>
      </c>
      <c r="CS6" t="n">
        <v>34.9</v>
      </c>
      <c r="CT6" t="n">
        <v>36.814</v>
      </c>
      <c r="CU6" t="n">
        <v>10.9</v>
      </c>
      <c r="CV6" t="n">
        <v>31.232</v>
      </c>
      <c r="CW6" t="n">
        <v>4.4</v>
      </c>
      <c r="CX6" t="n">
        <v>21.1</v>
      </c>
      <c r="CY6" t="n">
        <v>20.5</v>
      </c>
      <c r="CZ6" t="n">
        <v>0.6</v>
      </c>
      <c r="DA6" t="n">
        <v>9.800000000000001</v>
      </c>
      <c r="DB6" t="n">
        <v>77.551</v>
      </c>
      <c r="DC6" t="n">
        <v>4</v>
      </c>
      <c r="DD6" t="n">
        <v>41.8</v>
      </c>
      <c r="DE6" t="n">
        <v>69.8</v>
      </c>
      <c r="DF6" t="n">
        <v>203.99</v>
      </c>
      <c r="DG6" t="n">
        <v>1703</v>
      </c>
      <c r="DH6" t="n">
        <v>1544.9</v>
      </c>
      <c r="DI6" t="n">
        <v>20.4</v>
      </c>
      <c r="DJ6" t="n">
        <v>209.3</v>
      </c>
      <c r="DK6" t="n">
        <v>150.6</v>
      </c>
      <c r="DL6" t="n">
        <v>359.9</v>
      </c>
      <c r="DM6" t="n">
        <v>73.854</v>
      </c>
      <c r="DN6" t="n">
        <v>67.941</v>
      </c>
      <c r="DO6" t="n">
        <v>82.072</v>
      </c>
      <c r="DP6" t="n">
        <v>6.069</v>
      </c>
      <c r="DQ6" t="n">
        <v>49.6</v>
      </c>
      <c r="DR6" t="n">
        <v>39.2</v>
      </c>
      <c r="DS6" t="n">
        <v>77.932</v>
      </c>
      <c r="DT6" t="n">
        <v>5839.8</v>
      </c>
      <c r="DU6" t="n">
        <v>16.226</v>
      </c>
      <c r="DV6" t="n">
        <v>57</v>
      </c>
      <c r="DW6" t="n">
        <v>6.314</v>
      </c>
      <c r="DX6" t="n">
        <v>61.7</v>
      </c>
      <c r="DY6" t="n">
        <v>5.833</v>
      </c>
      <c r="DZ6" t="n">
        <v>1.192</v>
      </c>
      <c r="EA6" t="n">
        <v>2.177</v>
      </c>
      <c r="EB6" t="n">
        <v>126.4</v>
      </c>
      <c r="EC6" t="n">
        <v>225.7</v>
      </c>
      <c r="ED6" t="n">
        <v>352.1</v>
      </c>
      <c r="EE6" t="n">
        <v>35.899</v>
      </c>
      <c r="EF6" t="n">
        <v>65</v>
      </c>
      <c r="EG6" t="n">
        <v>82.09999999999999</v>
      </c>
      <c r="EH6" t="n">
        <v>13.7</v>
      </c>
      <c r="EI6" t="n">
        <v>19.9</v>
      </c>
      <c r="EJ6" t="n">
        <v>62.2</v>
      </c>
      <c r="EK6" t="n">
        <v>79.59999999999999</v>
      </c>
      <c r="EL6" t="n">
        <v>52.2</v>
      </c>
      <c r="EM6" t="n">
        <v>7.6</v>
      </c>
      <c r="EN6" t="n">
        <v>21.3</v>
      </c>
      <c r="EO6" t="n">
        <v>120.8</v>
      </c>
      <c r="EP6" t="n">
        <v>9.199999999999999</v>
      </c>
      <c r="EQ6" t="n">
        <v>24.2</v>
      </c>
      <c r="ER6" t="n">
        <v>33.4</v>
      </c>
      <c r="ES6" t="n">
        <v>37.8</v>
      </c>
      <c r="ET6" t="n">
        <v>71.958</v>
      </c>
      <c r="EU6" t="n">
        <v>97.40000000000001</v>
      </c>
      <c r="EV6" t="n">
        <v>11.7</v>
      </c>
      <c r="EW6" t="n">
        <v>12.7</v>
      </c>
      <c r="EX6" t="n">
        <v>25.605</v>
      </c>
      <c r="EY6" t="n">
        <v>17.2</v>
      </c>
      <c r="EZ6" t="n">
        <v>7.2</v>
      </c>
      <c r="FA6" t="n">
        <v>12.9</v>
      </c>
      <c r="FB6" t="n">
        <v>10</v>
      </c>
      <c r="FC6" t="n">
        <v>1.5</v>
      </c>
      <c r="FD6" t="n">
        <v>25.5</v>
      </c>
      <c r="FE6" t="n">
        <v>9.4</v>
      </c>
      <c r="FF6" t="n">
        <v>50.588</v>
      </c>
      <c r="FG6" t="n">
        <v>26.008</v>
      </c>
      <c r="FH6" t="n">
        <v>46.169</v>
      </c>
      <c r="FI6" t="n">
        <v>51.411</v>
      </c>
      <c r="FJ6" t="n">
        <v>22.6</v>
      </c>
      <c r="FK6" t="n">
        <v>84.648</v>
      </c>
      <c r="FL6" t="n">
        <v>1.252</v>
      </c>
      <c r="FM6" t="n">
        <v>3.32</v>
      </c>
      <c r="FN6" t="n">
        <v>0.049</v>
      </c>
      <c r="FO6" t="n">
        <v>3.469</v>
      </c>
      <c r="FP6" t="n">
        <v>0.132</v>
      </c>
      <c r="FQ6" t="n">
        <v>3.076</v>
      </c>
      <c r="FR6" t="n">
        <v>-0.08599999999999999</v>
      </c>
      <c r="FS6" t="n">
        <v>4.5</v>
      </c>
      <c r="FT6" t="n">
        <v>37.7</v>
      </c>
      <c r="FU6" t="n">
        <v>45.2</v>
      </c>
      <c r="FV6" t="n">
        <v>32.3</v>
      </c>
      <c r="FW6" t="n">
        <v>42.1</v>
      </c>
      <c r="FX6" t="n">
        <v>13</v>
      </c>
      <c r="FY6" t="n">
        <v>21.241</v>
      </c>
      <c r="FZ6" t="n">
        <v>25.253</v>
      </c>
      <c r="GA6" t="n">
        <v>9.619999999999999</v>
      </c>
      <c r="GB6" t="n">
        <v>31.493</v>
      </c>
      <c r="GC6" t="n">
        <v>11.677</v>
      </c>
      <c r="GD6" t="n">
        <v>60.4</v>
      </c>
      <c r="GE6" t="n">
        <v>10.3</v>
      </c>
      <c r="GF6" t="n">
        <v>274.3</v>
      </c>
      <c r="GG6" t="n">
        <v>134.8</v>
      </c>
      <c r="GH6" t="n">
        <v>29.6</v>
      </c>
      <c r="GI6" t="n">
        <v>38.9</v>
      </c>
      <c r="GJ6" t="n">
        <v>41.077</v>
      </c>
      <c r="GK6" t="n">
        <v>8.800000000000001</v>
      </c>
      <c r="GL6" t="n">
        <v>22.622</v>
      </c>
      <c r="GM6" t="n">
        <v>1.9</v>
      </c>
      <c r="GN6" t="n">
        <v>9.800000000000001</v>
      </c>
      <c r="GO6" t="n">
        <v>96.93899999999999</v>
      </c>
      <c r="GP6" t="n">
        <v>6.6</v>
      </c>
      <c r="GQ6" t="n">
        <v>43.5</v>
      </c>
      <c r="GR6" t="n">
        <v>70.90000000000001</v>
      </c>
      <c r="GS6" t="n">
        <v>-12.29</v>
      </c>
      <c r="GT6" t="n">
        <v>-105.6</v>
      </c>
      <c r="GU6" t="n">
        <v>-94.59999999999999</v>
      </c>
      <c r="GV6" t="n">
        <v>-10.8</v>
      </c>
      <c r="GW6" t="n">
        <v>-7.6</v>
      </c>
      <c r="GX6" t="n">
        <v>-5.5</v>
      </c>
      <c r="GY6" t="n">
        <v>-13.1</v>
      </c>
      <c r="GZ6" t="n">
        <v>0.7</v>
      </c>
      <c r="HA6" t="n">
        <v>-240.8</v>
      </c>
      <c r="HB6" t="n">
        <v>0.6</v>
      </c>
      <c r="HC6" t="n">
        <v>3.2</v>
      </c>
      <c r="HD6" t="n">
        <v>-3.365</v>
      </c>
      <c r="HE6" t="n">
        <v>-1.664</v>
      </c>
      <c r="HF6" t="n">
        <v>4.6</v>
      </c>
      <c r="HG6" t="n">
        <v>-14.2</v>
      </c>
      <c r="HH6" t="n">
        <v>-9.6</v>
      </c>
      <c r="HI6" t="n">
        <v>-3.2</v>
      </c>
      <c r="HJ6" t="n">
        <v>3.5</v>
      </c>
      <c r="HK6" t="n">
        <v>0.9</v>
      </c>
      <c r="HL6" t="n">
        <v>0.8</v>
      </c>
      <c r="HM6" t="n">
        <v>2.7</v>
      </c>
      <c r="HN6" t="n">
        <v>-0.7</v>
      </c>
      <c r="HO6" t="n">
        <v>4</v>
      </c>
      <c r="HP6" t="n">
        <v>2.9</v>
      </c>
      <c r="HQ6" t="n">
        <v>2.6</v>
      </c>
      <c r="HR6" t="n">
        <v>-2.8</v>
      </c>
      <c r="HS6" t="n">
        <v>5.1</v>
      </c>
      <c r="HT6" t="n">
        <v>-0.2</v>
      </c>
      <c r="HU6" t="n">
        <v>4.9</v>
      </c>
      <c r="HV6" t="n">
        <v>5.3</v>
      </c>
      <c r="HW6" t="n">
        <v>-13.9</v>
      </c>
      <c r="HX6" t="n">
        <v>-2.2</v>
      </c>
      <c r="HY6" t="n">
        <v>0</v>
      </c>
      <c r="HZ6" t="n">
        <v>-3.2</v>
      </c>
      <c r="IA6" t="n">
        <v>1.1</v>
      </c>
      <c r="IB6" t="n">
        <v>-2.1</v>
      </c>
      <c r="IC6" t="n">
        <v>-0.2</v>
      </c>
      <c r="ID6" t="n">
        <v>-2.7</v>
      </c>
      <c r="IE6" t="n">
        <v>-1.7</v>
      </c>
      <c r="IF6" t="n">
        <v>-2.3</v>
      </c>
      <c r="IG6" t="n">
        <v>-9.788</v>
      </c>
      <c r="IH6" t="n">
        <v>-3.912</v>
      </c>
      <c r="II6" t="n">
        <v>-0.022</v>
      </c>
      <c r="IJ6" t="n">
        <v>-2</v>
      </c>
      <c r="IK6" t="n">
        <v>-6.7</v>
      </c>
      <c r="IL6" t="n">
        <v>-4.1</v>
      </c>
      <c r="IM6" t="n">
        <v>-7</v>
      </c>
      <c r="IN6" t="n">
        <v>-3.5</v>
      </c>
      <c r="IO6" t="n">
        <v>-2.3</v>
      </c>
      <c r="IP6" t="n">
        <v>-1.1</v>
      </c>
      <c r="IQ6" t="n">
        <v>-0.2</v>
      </c>
      <c r="IR6" t="n">
        <v>0.6</v>
      </c>
      <c r="IS6" t="n">
        <v>-2.4</v>
      </c>
      <c r="IT6" t="n">
        <v>1.3</v>
      </c>
      <c r="IU6" t="n">
        <v>-4</v>
      </c>
      <c r="IV6" t="n">
        <v>2.1</v>
      </c>
      <c r="IW6" t="n">
        <v>2.5</v>
      </c>
      <c r="IX6" t="n">
        <v>-2.6</v>
      </c>
      <c r="IY6" t="n">
        <v>-1.7</v>
      </c>
      <c r="IZ6" t="n">
        <v>-1.1</v>
      </c>
    </row>
    <row r="7">
      <c r="A7" t="inlineStr">
        <is>
          <t>Port Adelaide</t>
        </is>
      </c>
      <c r="B7" t="inlineStr">
        <is>
          <t>Port</t>
        </is>
      </c>
      <c r="C7" t="n">
        <v>10</v>
      </c>
      <c r="D7" t="n">
        <v>38</v>
      </c>
      <c r="E7" t="n">
        <v>25.529</v>
      </c>
      <c r="F7" t="n">
        <v>96.22199999999999</v>
      </c>
      <c r="G7" t="n">
        <v>169.47</v>
      </c>
      <c r="H7" t="n">
        <v>1573.4</v>
      </c>
      <c r="I7" t="n">
        <v>1403.3</v>
      </c>
      <c r="J7" t="n">
        <v>10.7</v>
      </c>
      <c r="K7" t="n">
        <v>47.202</v>
      </c>
      <c r="L7" t="n">
        <v>198</v>
      </c>
      <c r="M7" t="n">
        <v>129.4</v>
      </c>
      <c r="N7" t="n">
        <v>327.4</v>
      </c>
      <c r="O7" t="n">
        <v>67.532</v>
      </c>
      <c r="P7" t="n">
        <v>59.747</v>
      </c>
      <c r="Q7" t="n">
        <v>79.444</v>
      </c>
      <c r="R7" t="n">
        <v>60.476</v>
      </c>
      <c r="S7" t="n">
        <v>5.403</v>
      </c>
      <c r="T7" t="n">
        <v>44.9</v>
      </c>
      <c r="U7" t="n">
        <v>41.7</v>
      </c>
      <c r="V7" t="n">
        <v>73.675</v>
      </c>
      <c r="W7" t="n">
        <v>5544.3</v>
      </c>
      <c r="X7" t="n">
        <v>16.934</v>
      </c>
      <c r="Y7" t="n">
        <v>61.1</v>
      </c>
      <c r="Z7" t="n">
        <v>5.358</v>
      </c>
      <c r="AA7" t="n">
        <v>66.3</v>
      </c>
      <c r="AB7" t="n">
        <v>4.938</v>
      </c>
      <c r="AC7" t="n">
        <v>1.007</v>
      </c>
      <c r="AD7" t="n">
        <v>-0.944</v>
      </c>
      <c r="AE7" t="n">
        <v>123.4</v>
      </c>
      <c r="AF7" t="n">
        <v>187.8</v>
      </c>
      <c r="AG7" t="n">
        <v>311.2</v>
      </c>
      <c r="AH7" t="n">
        <v>39.653</v>
      </c>
      <c r="AI7" t="n">
        <v>61.8</v>
      </c>
      <c r="AJ7" t="n">
        <v>81.2</v>
      </c>
      <c r="AK7" t="n">
        <v>11.7</v>
      </c>
      <c r="AL7" t="n">
        <v>19.5</v>
      </c>
      <c r="AM7" t="n">
        <v>61.7</v>
      </c>
      <c r="AN7" t="n">
        <v>73.8</v>
      </c>
      <c r="AO7" t="n">
        <v>52</v>
      </c>
      <c r="AP7" t="n">
        <v>9.4</v>
      </c>
      <c r="AQ7" t="n">
        <v>20.4</v>
      </c>
      <c r="AR7" t="n">
        <v>99.3</v>
      </c>
      <c r="AS7" t="n">
        <v>10.2</v>
      </c>
      <c r="AT7" t="n">
        <v>26.5</v>
      </c>
      <c r="AU7" t="n">
        <v>36.7</v>
      </c>
      <c r="AV7" t="n">
        <v>41.1</v>
      </c>
      <c r="AW7" t="n">
        <v>73.236</v>
      </c>
      <c r="AX7" t="n">
        <v>75.8</v>
      </c>
      <c r="AY7" t="n">
        <v>6.9</v>
      </c>
      <c r="AZ7" t="n">
        <v>11.4</v>
      </c>
      <c r="BA7" t="n">
        <v>25.39</v>
      </c>
      <c r="BB7" t="n">
        <v>13.8</v>
      </c>
      <c r="BC7" t="n">
        <v>6.5</v>
      </c>
      <c r="BD7" t="n">
        <v>25</v>
      </c>
      <c r="BE7" t="n">
        <v>6.4</v>
      </c>
      <c r="BF7" t="n">
        <v>10.2</v>
      </c>
      <c r="BG7" t="n">
        <v>9.9</v>
      </c>
      <c r="BH7" t="n">
        <v>1.4</v>
      </c>
      <c r="BI7" t="n">
        <v>22.5</v>
      </c>
      <c r="BJ7" t="n">
        <v>7</v>
      </c>
      <c r="BK7" t="n">
        <v>45.333</v>
      </c>
      <c r="BL7" t="n">
        <v>22.717</v>
      </c>
      <c r="BM7" t="n">
        <v>44.766</v>
      </c>
      <c r="BN7" t="n">
        <v>50.111</v>
      </c>
      <c r="BO7" t="n">
        <v>19.9</v>
      </c>
      <c r="BP7" t="n">
        <v>10.5</v>
      </c>
      <c r="BQ7" t="n">
        <v>20</v>
      </c>
      <c r="BR7" t="n">
        <v>71.827</v>
      </c>
      <c r="BS7" t="n">
        <v>-2.127</v>
      </c>
      <c r="BT7" t="n">
        <v>3.192</v>
      </c>
      <c r="BU7" t="n">
        <v>-0.095</v>
      </c>
      <c r="BV7" t="n">
        <v>3.359</v>
      </c>
      <c r="BW7" t="n">
        <v>0.007</v>
      </c>
      <c r="BX7" t="n">
        <v>2.891</v>
      </c>
      <c r="BY7" t="n">
        <v>-0.278</v>
      </c>
      <c r="BZ7" t="n">
        <v>4</v>
      </c>
      <c r="CA7" t="n">
        <v>34.4</v>
      </c>
      <c r="CB7" t="n">
        <v>32.7</v>
      </c>
      <c r="CC7" t="n">
        <v>27.1</v>
      </c>
      <c r="CD7" t="n">
        <v>32.1</v>
      </c>
      <c r="CE7" t="n">
        <v>11.9</v>
      </c>
      <c r="CF7" t="n">
        <v>18.401</v>
      </c>
      <c r="CG7" t="n">
        <v>19.286</v>
      </c>
      <c r="CH7" t="n">
        <v>8.612</v>
      </c>
      <c r="CI7" t="n">
        <v>28.139</v>
      </c>
      <c r="CJ7" t="n">
        <v>11.014</v>
      </c>
      <c r="CK7" t="n">
        <v>11.3</v>
      </c>
      <c r="CL7" t="n">
        <v>30.973</v>
      </c>
      <c r="CM7" t="n">
        <v>62.5</v>
      </c>
      <c r="CN7" t="n">
        <v>11.2</v>
      </c>
      <c r="CO7" t="n">
        <v>275.6</v>
      </c>
      <c r="CP7" t="n">
        <v>149.2</v>
      </c>
      <c r="CQ7" t="n">
        <v>29.5</v>
      </c>
      <c r="CR7" t="n">
        <v>98</v>
      </c>
      <c r="CS7" t="n">
        <v>42.3</v>
      </c>
      <c r="CT7" t="n">
        <v>43.163</v>
      </c>
      <c r="CU7" t="n">
        <v>11</v>
      </c>
      <c r="CV7" t="n">
        <v>26.005</v>
      </c>
      <c r="CW7" t="n">
        <v>3</v>
      </c>
      <c r="CX7" t="n">
        <v>21.1</v>
      </c>
      <c r="CY7" t="n">
        <v>20</v>
      </c>
      <c r="CZ7" t="n">
        <v>1.1</v>
      </c>
      <c r="DA7" t="n">
        <v>12.1</v>
      </c>
      <c r="DB7" t="n">
        <v>97.521</v>
      </c>
      <c r="DC7" t="n">
        <v>4.6</v>
      </c>
      <c r="DD7" t="n">
        <v>40.9</v>
      </c>
      <c r="DE7" t="n">
        <v>67.8</v>
      </c>
      <c r="DF7" t="n">
        <v>201.15</v>
      </c>
      <c r="DG7" t="n">
        <v>1727.4</v>
      </c>
      <c r="DH7" t="n">
        <v>1483.5</v>
      </c>
      <c r="DI7" t="n">
        <v>19.3</v>
      </c>
      <c r="DJ7" t="n">
        <v>213.5</v>
      </c>
      <c r="DK7" t="n">
        <v>136.1</v>
      </c>
      <c r="DL7" t="n">
        <v>349.6</v>
      </c>
      <c r="DM7" t="n">
        <v>69.30800000000001</v>
      </c>
      <c r="DN7" t="n">
        <v>60.937</v>
      </c>
      <c r="DO7" t="n">
        <v>82.43899999999999</v>
      </c>
      <c r="DP7" t="n">
        <v>5.594</v>
      </c>
      <c r="DQ7" t="n">
        <v>56.6</v>
      </c>
      <c r="DR7" t="n">
        <v>33.7</v>
      </c>
      <c r="DS7" t="n">
        <v>75.056</v>
      </c>
      <c r="DT7" t="n">
        <v>5933.7</v>
      </c>
      <c r="DU7" t="n">
        <v>16.973</v>
      </c>
      <c r="DV7" t="n">
        <v>58.8</v>
      </c>
      <c r="DW7" t="n">
        <v>5.946</v>
      </c>
      <c r="DX7" t="n">
        <v>61.6</v>
      </c>
      <c r="DY7" t="n">
        <v>5.675</v>
      </c>
      <c r="DZ7" t="n">
        <v>2.742</v>
      </c>
      <c r="EA7" t="n">
        <v>0.185</v>
      </c>
      <c r="EB7" t="n">
        <v>135.2</v>
      </c>
      <c r="EC7" t="n">
        <v>203.5</v>
      </c>
      <c r="ED7" t="n">
        <v>338.7</v>
      </c>
      <c r="EE7" t="n">
        <v>39.917</v>
      </c>
      <c r="EF7" t="n">
        <v>66.40000000000001</v>
      </c>
      <c r="EG7" t="n">
        <v>92.3</v>
      </c>
      <c r="EH7" t="n">
        <v>16.7</v>
      </c>
      <c r="EI7" t="n">
        <v>24.7</v>
      </c>
      <c r="EJ7" t="n">
        <v>67.59999999999999</v>
      </c>
      <c r="EK7" t="n">
        <v>83.90000000000001</v>
      </c>
      <c r="EL7" t="n">
        <v>58.9</v>
      </c>
      <c r="EM7" t="n">
        <v>8.6</v>
      </c>
      <c r="EN7" t="n">
        <v>21.6</v>
      </c>
      <c r="EO7" t="n">
        <v>110</v>
      </c>
      <c r="EP7" t="n">
        <v>13.1</v>
      </c>
      <c r="EQ7" t="n">
        <v>25.6</v>
      </c>
      <c r="ER7" t="n">
        <v>38.7</v>
      </c>
      <c r="ES7" t="n">
        <v>42.5</v>
      </c>
      <c r="ET7" t="n">
        <v>75.765</v>
      </c>
      <c r="EU7" t="n">
        <v>80.2</v>
      </c>
      <c r="EV7" t="n">
        <v>10</v>
      </c>
      <c r="EW7" t="n">
        <v>14.4</v>
      </c>
      <c r="EX7" t="n">
        <v>25.442</v>
      </c>
      <c r="EY7" t="n">
        <v>14.5</v>
      </c>
      <c r="EZ7" t="n">
        <v>8.300000000000001</v>
      </c>
      <c r="FA7" t="n">
        <v>14</v>
      </c>
      <c r="FB7" t="n">
        <v>12.2</v>
      </c>
      <c r="FC7" t="n">
        <v>1.8</v>
      </c>
      <c r="FD7" t="n">
        <v>29.6</v>
      </c>
      <c r="FE7" t="n">
        <v>10.2</v>
      </c>
      <c r="FF7" t="n">
        <v>47.297</v>
      </c>
      <c r="FG7" t="n">
        <v>24.735</v>
      </c>
      <c r="FH7" t="n">
        <v>46.29</v>
      </c>
      <c r="FI7" t="n">
        <v>52.297</v>
      </c>
      <c r="FJ7" t="n">
        <v>26</v>
      </c>
      <c r="FK7" t="n">
        <v>100.962</v>
      </c>
      <c r="FL7" t="n">
        <v>-7.162</v>
      </c>
      <c r="FM7" t="n">
        <v>3.422</v>
      </c>
      <c r="FN7" t="n">
        <v>-0.243</v>
      </c>
      <c r="FO7" t="n">
        <v>3.831</v>
      </c>
      <c r="FP7" t="n">
        <v>-0.276</v>
      </c>
      <c r="FQ7" t="n">
        <v>2.925</v>
      </c>
      <c r="FR7" t="n">
        <v>-0.203</v>
      </c>
      <c r="FS7" t="n">
        <v>2.1</v>
      </c>
      <c r="FT7" t="n">
        <v>35.7</v>
      </c>
      <c r="FU7" t="n">
        <v>58.4</v>
      </c>
      <c r="FV7" t="n">
        <v>33</v>
      </c>
      <c r="FW7" t="n">
        <v>49.8</v>
      </c>
      <c r="FX7" t="n">
        <v>13.4</v>
      </c>
      <c r="FY7" t="n">
        <v>22.968</v>
      </c>
      <c r="FZ7" t="n">
        <v>22.609</v>
      </c>
      <c r="GA7" t="n">
        <v>9.621</v>
      </c>
      <c r="GB7" t="n">
        <v>31.068</v>
      </c>
      <c r="GC7" t="n">
        <v>12.987</v>
      </c>
      <c r="GD7" t="n">
        <v>60.6</v>
      </c>
      <c r="GE7" t="n">
        <v>11.5</v>
      </c>
      <c r="GF7" t="n">
        <v>257.1</v>
      </c>
      <c r="GG7" t="n">
        <v>118.7</v>
      </c>
      <c r="GH7" t="n">
        <v>29.5</v>
      </c>
      <c r="GI7" t="n">
        <v>36.7</v>
      </c>
      <c r="GJ7" t="n">
        <v>37.449</v>
      </c>
      <c r="GK7" t="n">
        <v>9.4</v>
      </c>
      <c r="GL7" t="n">
        <v>25.613</v>
      </c>
      <c r="GM7" t="n">
        <v>2.5</v>
      </c>
      <c r="GN7" t="n">
        <v>9.9</v>
      </c>
      <c r="GO7" t="n">
        <v>87.879</v>
      </c>
      <c r="GP7" t="n">
        <v>4.7</v>
      </c>
      <c r="GQ7" t="n">
        <v>42.7</v>
      </c>
      <c r="GR7" t="n">
        <v>70.5</v>
      </c>
      <c r="GS7" t="n">
        <v>-31.68</v>
      </c>
      <c r="GT7" t="n">
        <v>-154</v>
      </c>
      <c r="GU7" t="n">
        <v>-80.2</v>
      </c>
      <c r="GV7" t="n">
        <v>-8.6</v>
      </c>
      <c r="GW7" t="n">
        <v>-15.5</v>
      </c>
      <c r="GX7" t="n">
        <v>-6.7</v>
      </c>
      <c r="GY7" t="n">
        <v>-22.2</v>
      </c>
      <c r="GZ7" t="n">
        <v>-11.7</v>
      </c>
      <c r="HA7" t="n">
        <v>-389.4</v>
      </c>
      <c r="HB7" t="n">
        <v>2.3</v>
      </c>
      <c r="HC7" t="n">
        <v>4.7</v>
      </c>
      <c r="HD7" t="n">
        <v>-1.735</v>
      </c>
      <c r="HE7" t="n">
        <v>-1.129</v>
      </c>
      <c r="HF7" t="n">
        <v>-11.8</v>
      </c>
      <c r="HG7" t="n">
        <v>-15.7</v>
      </c>
      <c r="HH7" t="n">
        <v>-27.5</v>
      </c>
      <c r="HI7" t="n">
        <v>-4.6</v>
      </c>
      <c r="HJ7" t="n">
        <v>-11.1</v>
      </c>
      <c r="HK7" t="n">
        <v>-5</v>
      </c>
      <c r="HL7" t="n">
        <v>-5.2</v>
      </c>
      <c r="HM7" t="n">
        <v>-5.9</v>
      </c>
      <c r="HN7" t="n">
        <v>-10.1</v>
      </c>
      <c r="HO7" t="n">
        <v>-6.9</v>
      </c>
      <c r="HP7" t="n">
        <v>0.8</v>
      </c>
      <c r="HQ7" t="n">
        <v>-1.2</v>
      </c>
      <c r="HR7" t="n">
        <v>-10.7</v>
      </c>
      <c r="HS7" t="n">
        <v>-2.9</v>
      </c>
      <c r="HT7" t="n">
        <v>0.9</v>
      </c>
      <c r="HU7" t="n">
        <v>-2</v>
      </c>
      <c r="HV7" t="n">
        <v>-1.4</v>
      </c>
      <c r="HW7" t="n">
        <v>-4.4</v>
      </c>
      <c r="HX7" t="n">
        <v>-3.1</v>
      </c>
      <c r="HY7" t="n">
        <v>-3</v>
      </c>
      <c r="HZ7" t="n">
        <v>-0.7</v>
      </c>
      <c r="IA7" t="n">
        <v>-1.8</v>
      </c>
      <c r="IB7" t="n">
        <v>-3.8</v>
      </c>
      <c r="IC7" t="n">
        <v>-2.3</v>
      </c>
      <c r="ID7" t="n">
        <v>-7.1</v>
      </c>
      <c r="IE7" t="n">
        <v>-3.2</v>
      </c>
      <c r="IF7" t="n">
        <v>-6.1</v>
      </c>
      <c r="IG7" t="n">
        <v>-29.136</v>
      </c>
      <c r="IH7" t="n">
        <v>5.036</v>
      </c>
      <c r="II7" t="n">
        <v>-0.23</v>
      </c>
      <c r="IJ7" t="n">
        <v>1.9</v>
      </c>
      <c r="IK7" t="n">
        <v>-1.3</v>
      </c>
      <c r="IL7" t="n">
        <v>-25.7</v>
      </c>
      <c r="IM7" t="n">
        <v>-5.9</v>
      </c>
      <c r="IN7" t="n">
        <v>-17.7</v>
      </c>
      <c r="IO7" t="n">
        <v>-1.5</v>
      </c>
      <c r="IP7" t="n">
        <v>1.9</v>
      </c>
      <c r="IQ7" t="n">
        <v>-0.3</v>
      </c>
      <c r="IR7" t="n">
        <v>18.5</v>
      </c>
      <c r="IS7" t="n">
        <v>30.5</v>
      </c>
      <c r="IT7" t="n">
        <v>0</v>
      </c>
      <c r="IU7" t="n">
        <v>5.6</v>
      </c>
      <c r="IV7" t="n">
        <v>1.6</v>
      </c>
      <c r="IW7" t="n">
        <v>0.5</v>
      </c>
      <c r="IX7" t="n">
        <v>-0.1</v>
      </c>
      <c r="IY7" t="n">
        <v>-1.8</v>
      </c>
      <c r="IZ7" t="n">
        <v>-2.7</v>
      </c>
    </row>
    <row r="8">
      <c r="A8" t="inlineStr">
        <is>
          <t>Sydney</t>
        </is>
      </c>
      <c r="B8" t="inlineStr">
        <is>
          <t>Syd</t>
        </is>
      </c>
      <c r="C8" t="n">
        <v>10</v>
      </c>
      <c r="D8" t="n">
        <v>31</v>
      </c>
      <c r="E8" t="n">
        <v>26.604</v>
      </c>
      <c r="F8" t="n">
        <v>128.274</v>
      </c>
      <c r="G8" t="n">
        <v>192.51</v>
      </c>
      <c r="H8" t="n">
        <v>1715.8</v>
      </c>
      <c r="I8" t="n">
        <v>1552.2</v>
      </c>
      <c r="J8" t="n">
        <v>18.9</v>
      </c>
      <c r="K8" t="n">
        <v>50.983</v>
      </c>
      <c r="L8" t="n">
        <v>211.5</v>
      </c>
      <c r="M8" t="n">
        <v>148</v>
      </c>
      <c r="N8" t="n">
        <v>359.5</v>
      </c>
      <c r="O8" t="n">
        <v>72.851</v>
      </c>
      <c r="P8" t="n">
        <v>66.714</v>
      </c>
      <c r="Q8" t="n">
        <v>81.622</v>
      </c>
      <c r="R8" t="n">
        <v>58.832</v>
      </c>
      <c r="S8" t="n">
        <v>6.329</v>
      </c>
      <c r="T8" t="n">
        <v>50.5</v>
      </c>
      <c r="U8" t="n">
        <v>36.4</v>
      </c>
      <c r="V8" t="n">
        <v>73.98399999999999</v>
      </c>
      <c r="W8" t="n">
        <v>5600</v>
      </c>
      <c r="X8" t="n">
        <v>15.577</v>
      </c>
      <c r="Y8" t="n">
        <v>53.1</v>
      </c>
      <c r="Z8" t="n">
        <v>6.77</v>
      </c>
      <c r="AA8" t="n">
        <v>57.8</v>
      </c>
      <c r="AB8" t="n">
        <v>6.22</v>
      </c>
      <c r="AC8" t="n">
        <v>1.6</v>
      </c>
      <c r="AD8" t="n">
        <v>3.273</v>
      </c>
      <c r="AE8" t="n">
        <v>126</v>
      </c>
      <c r="AF8" t="n">
        <v>225.5</v>
      </c>
      <c r="AG8" t="n">
        <v>351.5</v>
      </c>
      <c r="AH8" t="n">
        <v>35.846</v>
      </c>
      <c r="AI8" t="n">
        <v>57.6</v>
      </c>
      <c r="AJ8" t="n">
        <v>80.7</v>
      </c>
      <c r="AK8" t="n">
        <v>13.2</v>
      </c>
      <c r="AL8" t="n">
        <v>23.3</v>
      </c>
      <c r="AM8" t="n">
        <v>57.4</v>
      </c>
      <c r="AN8" t="n">
        <v>74.8</v>
      </c>
      <c r="AO8" t="n">
        <v>52.9</v>
      </c>
      <c r="AP8" t="n">
        <v>11.1</v>
      </c>
      <c r="AQ8" t="n">
        <v>20.8</v>
      </c>
      <c r="AR8" t="n">
        <v>117.9</v>
      </c>
      <c r="AS8" t="n">
        <v>12.2</v>
      </c>
      <c r="AT8" t="n">
        <v>25.7</v>
      </c>
      <c r="AU8" t="n">
        <v>37.9</v>
      </c>
      <c r="AV8" t="n">
        <v>42.9</v>
      </c>
      <c r="AW8" t="n">
        <v>75.05800000000001</v>
      </c>
      <c r="AX8" t="n">
        <v>97.40000000000001</v>
      </c>
      <c r="AY8" t="n">
        <v>9.1</v>
      </c>
      <c r="AZ8" t="n">
        <v>14.5</v>
      </c>
      <c r="BA8" t="n">
        <v>28.713</v>
      </c>
      <c r="BB8" t="n">
        <v>14.6</v>
      </c>
      <c r="BC8" t="n">
        <v>9.800000000000001</v>
      </c>
      <c r="BD8" t="n">
        <v>20</v>
      </c>
      <c r="BE8" t="n">
        <v>7.7</v>
      </c>
      <c r="BF8" t="n">
        <v>12.1</v>
      </c>
      <c r="BG8" t="n">
        <v>11.5</v>
      </c>
      <c r="BH8" t="n">
        <v>1.3</v>
      </c>
      <c r="BI8" t="n">
        <v>26.4</v>
      </c>
      <c r="BJ8" t="n">
        <v>9.300000000000001</v>
      </c>
      <c r="BK8" t="n">
        <v>45.833</v>
      </c>
      <c r="BL8" t="n">
        <v>23.96</v>
      </c>
      <c r="BM8" t="n">
        <v>46.733</v>
      </c>
      <c r="BN8" t="n">
        <v>52.277</v>
      </c>
      <c r="BO8" t="n">
        <v>23.3</v>
      </c>
      <c r="BP8" t="n">
        <v>10.5</v>
      </c>
      <c r="BQ8" t="n">
        <v>32.381</v>
      </c>
      <c r="BR8" t="n">
        <v>84.572</v>
      </c>
      <c r="BS8" t="n">
        <v>-1.772</v>
      </c>
      <c r="BT8" t="n">
        <v>3.203</v>
      </c>
      <c r="BU8" t="n">
        <v>-0.067</v>
      </c>
      <c r="BV8" t="n">
        <v>3.528</v>
      </c>
      <c r="BW8" t="n">
        <v>-0.124</v>
      </c>
      <c r="BX8" t="n">
        <v>2.679</v>
      </c>
      <c r="BY8" t="n">
        <v>0.024</v>
      </c>
      <c r="BZ8" t="n">
        <v>4.6</v>
      </c>
      <c r="CA8" t="n">
        <v>37.1</v>
      </c>
      <c r="CB8" t="n">
        <v>42.4</v>
      </c>
      <c r="CC8" t="n">
        <v>31.9</v>
      </c>
      <c r="CD8" t="n">
        <v>39.5</v>
      </c>
      <c r="CE8" t="n">
        <v>12.7</v>
      </c>
      <c r="CF8" t="n">
        <v>22.275</v>
      </c>
      <c r="CG8" t="n">
        <v>30.163</v>
      </c>
      <c r="CH8" t="n">
        <v>12.772</v>
      </c>
      <c r="CI8" t="n">
        <v>35.447</v>
      </c>
      <c r="CJ8" t="n">
        <v>14.472</v>
      </c>
      <c r="CK8" t="n">
        <v>8.4</v>
      </c>
      <c r="CL8" t="n">
        <v>36.905</v>
      </c>
      <c r="CM8" t="n">
        <v>59.9</v>
      </c>
      <c r="CN8" t="n">
        <v>10.6</v>
      </c>
      <c r="CO8" t="n">
        <v>242</v>
      </c>
      <c r="CP8" t="n">
        <v>110.9</v>
      </c>
      <c r="CQ8" t="n">
        <v>27.9</v>
      </c>
      <c r="CR8" t="n">
        <v>94.3</v>
      </c>
      <c r="CS8" t="n">
        <v>46</v>
      </c>
      <c r="CT8" t="n">
        <v>48.78</v>
      </c>
      <c r="CU8" t="n">
        <v>12.4</v>
      </c>
      <c r="CV8" t="n">
        <v>26.957</v>
      </c>
      <c r="CW8" t="n">
        <v>4.5</v>
      </c>
      <c r="CX8" t="n">
        <v>18.7</v>
      </c>
      <c r="CY8" t="n">
        <v>19.2</v>
      </c>
      <c r="CZ8" t="n">
        <v>-0.5</v>
      </c>
      <c r="DA8" t="n">
        <v>10.6</v>
      </c>
      <c r="DB8" t="n">
        <v>96.226</v>
      </c>
      <c r="DC8" t="n">
        <v>8.699999999999999</v>
      </c>
      <c r="DD8" t="n">
        <v>36.9</v>
      </c>
      <c r="DE8" t="n">
        <v>70.09999999999999</v>
      </c>
      <c r="DF8" t="n">
        <v>183.95</v>
      </c>
      <c r="DG8" t="n">
        <v>1584.9</v>
      </c>
      <c r="DH8" t="n">
        <v>1434.1</v>
      </c>
      <c r="DI8" t="n">
        <v>11.1</v>
      </c>
      <c r="DJ8" t="n">
        <v>199</v>
      </c>
      <c r="DK8" t="n">
        <v>135.6</v>
      </c>
      <c r="DL8" t="n">
        <v>334.6</v>
      </c>
      <c r="DM8" t="n">
        <v>72.176</v>
      </c>
      <c r="DN8" t="n">
        <v>65.42700000000001</v>
      </c>
      <c r="DO8" t="n">
        <v>82.08</v>
      </c>
      <c r="DP8" t="n">
        <v>5.586</v>
      </c>
      <c r="DQ8" t="n">
        <v>49.2</v>
      </c>
      <c r="DR8" t="n">
        <v>38.1</v>
      </c>
      <c r="DS8" t="n">
        <v>75.446</v>
      </c>
      <c r="DT8" t="n">
        <v>5479.6</v>
      </c>
      <c r="DU8" t="n">
        <v>16.377</v>
      </c>
      <c r="DV8" t="n">
        <v>51.9</v>
      </c>
      <c r="DW8" t="n">
        <v>6.447</v>
      </c>
      <c r="DX8" t="n">
        <v>57.5</v>
      </c>
      <c r="DY8" t="n">
        <v>5.819</v>
      </c>
      <c r="DZ8" t="n">
        <v>2.099</v>
      </c>
      <c r="EA8" t="n">
        <v>1.362</v>
      </c>
      <c r="EB8" t="n">
        <v>118.3</v>
      </c>
      <c r="EC8" t="n">
        <v>206.6</v>
      </c>
      <c r="ED8" t="n">
        <v>324.9</v>
      </c>
      <c r="EE8" t="n">
        <v>36.411</v>
      </c>
      <c r="EF8" t="n">
        <v>58.1</v>
      </c>
      <c r="EG8" t="n">
        <v>80.90000000000001</v>
      </c>
      <c r="EH8" t="n">
        <v>12.7</v>
      </c>
      <c r="EI8" t="n">
        <v>19</v>
      </c>
      <c r="EJ8" t="n">
        <v>61.9</v>
      </c>
      <c r="EK8" t="n">
        <v>72.2</v>
      </c>
      <c r="EL8" t="n">
        <v>49.9</v>
      </c>
      <c r="EM8" t="n">
        <v>6.4</v>
      </c>
      <c r="EN8" t="n">
        <v>18.9</v>
      </c>
      <c r="EO8" t="n">
        <v>108.6</v>
      </c>
      <c r="EP8" t="n">
        <v>11.1</v>
      </c>
      <c r="EQ8" t="n">
        <v>23</v>
      </c>
      <c r="ER8" t="n">
        <v>34.1</v>
      </c>
      <c r="ES8" t="n">
        <v>36.7</v>
      </c>
      <c r="ET8" t="n">
        <v>74.65900000000001</v>
      </c>
      <c r="EU8" t="n">
        <v>90.3</v>
      </c>
      <c r="EV8" t="n">
        <v>9.199999999999999</v>
      </c>
      <c r="EW8" t="n">
        <v>11.6</v>
      </c>
      <c r="EX8" t="n">
        <v>23.577</v>
      </c>
      <c r="EY8" t="n">
        <v>14.7</v>
      </c>
      <c r="EZ8" t="n">
        <v>9.4</v>
      </c>
      <c r="FA8" t="n">
        <v>11.3</v>
      </c>
      <c r="FB8" t="n">
        <v>11</v>
      </c>
      <c r="FC8" t="n">
        <v>2.5</v>
      </c>
      <c r="FD8" t="n">
        <v>24.4</v>
      </c>
      <c r="FE8" t="n">
        <v>7.6</v>
      </c>
      <c r="FF8" t="n">
        <v>46.311</v>
      </c>
      <c r="FG8" t="n">
        <v>22.967</v>
      </c>
      <c r="FH8" t="n">
        <v>45.325</v>
      </c>
      <c r="FI8" t="n">
        <v>49.593</v>
      </c>
      <c r="FJ8" t="n">
        <v>22.1</v>
      </c>
      <c r="FK8" t="n">
        <v>75.777</v>
      </c>
      <c r="FL8" t="n">
        <v>0.523</v>
      </c>
      <c r="FM8" t="n">
        <v>3.106</v>
      </c>
      <c r="FN8" t="n">
        <v>0.021</v>
      </c>
      <c r="FO8" t="n">
        <v>3.234</v>
      </c>
      <c r="FP8" t="n">
        <v>-0.003</v>
      </c>
      <c r="FQ8" t="n">
        <v>2.936</v>
      </c>
      <c r="FR8" t="n">
        <v>0.054</v>
      </c>
      <c r="FS8" t="n">
        <v>4.5</v>
      </c>
      <c r="FT8" t="n">
        <v>27.3</v>
      </c>
      <c r="FU8" t="n">
        <v>47</v>
      </c>
      <c r="FV8" t="n">
        <v>29.4</v>
      </c>
      <c r="FW8" t="n">
        <v>35.9</v>
      </c>
      <c r="FX8" t="n">
        <v>13.5</v>
      </c>
      <c r="FY8" t="n">
        <v>21.795</v>
      </c>
      <c r="FZ8" t="n">
        <v>23.65</v>
      </c>
      <c r="GA8" t="n">
        <v>9.845000000000001</v>
      </c>
      <c r="GB8" t="n">
        <v>31.891</v>
      </c>
      <c r="GC8" t="n">
        <v>13.387</v>
      </c>
      <c r="GD8" t="n">
        <v>56.8</v>
      </c>
      <c r="GE8" t="n">
        <v>10</v>
      </c>
      <c r="GF8" t="n">
        <v>259.7</v>
      </c>
      <c r="GG8" t="n">
        <v>121</v>
      </c>
      <c r="GH8" t="n">
        <v>28.9</v>
      </c>
      <c r="GI8" t="n">
        <v>28.1</v>
      </c>
      <c r="GJ8" t="n">
        <v>29.83</v>
      </c>
      <c r="GK8" t="n">
        <v>7.2</v>
      </c>
      <c r="GL8" t="n">
        <v>25.623</v>
      </c>
      <c r="GM8" t="n">
        <v>1.1</v>
      </c>
      <c r="GN8" t="n">
        <v>11.3</v>
      </c>
      <c r="GO8" t="n">
        <v>89.381</v>
      </c>
      <c r="GP8" t="n">
        <v>7.4</v>
      </c>
      <c r="GQ8" t="n">
        <v>39.1</v>
      </c>
      <c r="GR8" t="n">
        <v>69.09999999999999</v>
      </c>
      <c r="GS8" t="n">
        <v>8.56</v>
      </c>
      <c r="GT8" t="n">
        <v>130.9</v>
      </c>
      <c r="GU8" t="n">
        <v>118.1</v>
      </c>
      <c r="GV8" t="n">
        <v>7.8</v>
      </c>
      <c r="GW8" t="n">
        <v>12.5</v>
      </c>
      <c r="GX8" t="n">
        <v>12.4</v>
      </c>
      <c r="GY8" t="n">
        <v>24.9</v>
      </c>
      <c r="GZ8" t="n">
        <v>1.3</v>
      </c>
      <c r="HA8" t="n">
        <v>120.4</v>
      </c>
      <c r="HB8" t="n">
        <v>1.2</v>
      </c>
      <c r="HC8" t="n">
        <v>0.3</v>
      </c>
      <c r="HD8" t="n">
        <v>-0.499</v>
      </c>
      <c r="HE8" t="n">
        <v>1.91</v>
      </c>
      <c r="HF8" t="n">
        <v>7.7</v>
      </c>
      <c r="HG8" t="n">
        <v>18.9</v>
      </c>
      <c r="HH8" t="n">
        <v>26.6</v>
      </c>
      <c r="HI8" t="n">
        <v>-0.5</v>
      </c>
      <c r="HJ8" t="n">
        <v>-0.2</v>
      </c>
      <c r="HK8" t="n">
        <v>0.5</v>
      </c>
      <c r="HL8" t="n">
        <v>4.3</v>
      </c>
      <c r="HM8" t="n">
        <v>-4.5</v>
      </c>
      <c r="HN8" t="n">
        <v>2.6</v>
      </c>
      <c r="HO8" t="n">
        <v>3</v>
      </c>
      <c r="HP8" t="n">
        <v>4.7</v>
      </c>
      <c r="HQ8" t="n">
        <v>1.9</v>
      </c>
      <c r="HR8" t="n">
        <v>9.300000000000001</v>
      </c>
      <c r="HS8" t="n">
        <v>1.1</v>
      </c>
      <c r="HT8" t="n">
        <v>2.7</v>
      </c>
      <c r="HU8" t="n">
        <v>3.8</v>
      </c>
      <c r="HV8" t="n">
        <v>6.2</v>
      </c>
      <c r="HW8" t="n">
        <v>7.1</v>
      </c>
      <c r="HX8" t="n">
        <v>-0.1</v>
      </c>
      <c r="HY8" t="n">
        <v>2.9</v>
      </c>
      <c r="HZ8" t="n">
        <v>-0.1</v>
      </c>
      <c r="IA8" t="n">
        <v>0.4</v>
      </c>
      <c r="IB8" t="n">
        <v>0.8</v>
      </c>
      <c r="IC8" t="n">
        <v>0.5</v>
      </c>
      <c r="ID8" t="n">
        <v>2</v>
      </c>
      <c r="IE8" t="n">
        <v>1.7</v>
      </c>
      <c r="IF8" t="n">
        <v>1.2</v>
      </c>
      <c r="IG8" t="n">
        <v>8.794</v>
      </c>
      <c r="IH8" t="n">
        <v>-2.294</v>
      </c>
      <c r="II8" t="n">
        <v>0.098</v>
      </c>
      <c r="IJ8" t="n">
        <v>0.1</v>
      </c>
      <c r="IK8" t="n">
        <v>9.800000000000001</v>
      </c>
      <c r="IL8" t="n">
        <v>-4.6</v>
      </c>
      <c r="IM8" t="n">
        <v>2.5</v>
      </c>
      <c r="IN8" t="n">
        <v>3.6</v>
      </c>
      <c r="IO8" t="n">
        <v>-0.8</v>
      </c>
      <c r="IP8" t="n">
        <v>3.1</v>
      </c>
      <c r="IQ8" t="n">
        <v>0.6</v>
      </c>
      <c r="IR8" t="n">
        <v>-17.7</v>
      </c>
      <c r="IS8" t="n">
        <v>-10.1</v>
      </c>
      <c r="IT8" t="n">
        <v>-1</v>
      </c>
      <c r="IU8" t="n">
        <v>17.9</v>
      </c>
      <c r="IV8" t="n">
        <v>5.2</v>
      </c>
      <c r="IW8" t="n">
        <v>3.4</v>
      </c>
      <c r="IX8" t="n">
        <v>1.3</v>
      </c>
      <c r="IY8" t="n">
        <v>-2.2</v>
      </c>
      <c r="IZ8" t="n">
        <v>1</v>
      </c>
    </row>
    <row r="9">
      <c r="A9" t="inlineStr">
        <is>
          <t>St Kilda</t>
        </is>
      </c>
      <c r="B9" t="inlineStr">
        <is>
          <t>St K</t>
        </is>
      </c>
      <c r="C9" t="n">
        <v>10</v>
      </c>
      <c r="D9" t="n">
        <v>34</v>
      </c>
      <c r="E9" t="n">
        <v>25.183</v>
      </c>
      <c r="F9" t="n">
        <v>100.248</v>
      </c>
      <c r="G9" t="n">
        <v>188.47</v>
      </c>
      <c r="H9" t="n">
        <v>1632.9</v>
      </c>
      <c r="I9" t="n">
        <v>1500.7</v>
      </c>
      <c r="J9" t="n">
        <v>14.7</v>
      </c>
      <c r="K9" t="n">
        <v>48.811</v>
      </c>
      <c r="L9" t="n">
        <v>210.2</v>
      </c>
      <c r="M9" t="n">
        <v>138.6</v>
      </c>
      <c r="N9" t="n">
        <v>348.8</v>
      </c>
      <c r="O9" t="n">
        <v>73.337</v>
      </c>
      <c r="P9" t="n">
        <v>67.03100000000001</v>
      </c>
      <c r="Q9" t="n">
        <v>82.90000000000001</v>
      </c>
      <c r="R9" t="n">
        <v>60.264</v>
      </c>
      <c r="S9" t="n">
        <v>5.653</v>
      </c>
      <c r="T9" t="n">
        <v>48</v>
      </c>
      <c r="U9" t="n">
        <v>33.8</v>
      </c>
      <c r="V9" t="n">
        <v>71.61</v>
      </c>
      <c r="W9" t="n">
        <v>5390.6</v>
      </c>
      <c r="X9" t="n">
        <v>15.455</v>
      </c>
      <c r="Y9" t="n">
        <v>57.5</v>
      </c>
      <c r="Z9" t="n">
        <v>6.066</v>
      </c>
      <c r="AA9" t="n">
        <v>58.8</v>
      </c>
      <c r="AB9" t="n">
        <v>5.932</v>
      </c>
      <c r="AC9" t="n">
        <v>2.105</v>
      </c>
      <c r="AD9" t="n">
        <v>3.336</v>
      </c>
      <c r="AE9" t="n">
        <v>126.2</v>
      </c>
      <c r="AF9" t="n">
        <v>213.8</v>
      </c>
      <c r="AG9" t="n">
        <v>340</v>
      </c>
      <c r="AH9" t="n">
        <v>37.118</v>
      </c>
      <c r="AI9" t="n">
        <v>54.8</v>
      </c>
      <c r="AJ9" t="n">
        <v>86.3</v>
      </c>
      <c r="AK9" t="n">
        <v>14.6</v>
      </c>
      <c r="AL9" t="n">
        <v>19.3</v>
      </c>
      <c r="AM9" t="n">
        <v>67</v>
      </c>
      <c r="AN9" t="n">
        <v>74.7</v>
      </c>
      <c r="AO9" t="n">
        <v>51.8</v>
      </c>
      <c r="AP9" t="n">
        <v>8.6</v>
      </c>
      <c r="AQ9" t="n">
        <v>20.6</v>
      </c>
      <c r="AR9" t="n">
        <v>111.9</v>
      </c>
      <c r="AS9" t="n">
        <v>10.8</v>
      </c>
      <c r="AT9" t="n">
        <v>27</v>
      </c>
      <c r="AU9" t="n">
        <v>37.8</v>
      </c>
      <c r="AV9" t="n">
        <v>43.5</v>
      </c>
      <c r="AW9" t="n">
        <v>74.483</v>
      </c>
      <c r="AX9" t="n">
        <v>91.2</v>
      </c>
      <c r="AY9" t="n">
        <v>8.5</v>
      </c>
      <c r="AZ9" t="n">
        <v>11.7</v>
      </c>
      <c r="BA9" t="n">
        <v>24.375</v>
      </c>
      <c r="BB9" t="n">
        <v>10.5</v>
      </c>
      <c r="BC9" t="n">
        <v>9.1</v>
      </c>
      <c r="BD9" t="n">
        <v>24</v>
      </c>
      <c r="BE9" t="n">
        <v>7.3</v>
      </c>
      <c r="BF9" t="n">
        <v>11.4</v>
      </c>
      <c r="BG9" t="n">
        <v>10.2</v>
      </c>
      <c r="BH9" t="n">
        <v>1.9</v>
      </c>
      <c r="BI9" t="n">
        <v>24.4</v>
      </c>
      <c r="BJ9" t="n">
        <v>8.199999999999999</v>
      </c>
      <c r="BK9" t="n">
        <v>46.721</v>
      </c>
      <c r="BL9" t="n">
        <v>23.75</v>
      </c>
      <c r="BM9" t="n">
        <v>45</v>
      </c>
      <c r="BN9" t="n">
        <v>50.833</v>
      </c>
      <c r="BO9" t="n">
        <v>21.4</v>
      </c>
      <c r="BP9" t="n">
        <v>11.1</v>
      </c>
      <c r="BQ9" t="n">
        <v>30.631</v>
      </c>
      <c r="BR9" t="n">
        <v>81.69</v>
      </c>
      <c r="BS9" t="n">
        <v>-4.99</v>
      </c>
      <c r="BT9" t="n">
        <v>3.348</v>
      </c>
      <c r="BU9" t="n">
        <v>-0.205</v>
      </c>
      <c r="BV9" t="n">
        <v>3.63</v>
      </c>
      <c r="BW9" t="n">
        <v>-0.299</v>
      </c>
      <c r="BX9" t="n">
        <v>2.993</v>
      </c>
      <c r="BY9" t="n">
        <v>-0.08500000000000001</v>
      </c>
      <c r="BZ9" t="n">
        <v>1.9</v>
      </c>
      <c r="CA9" t="n">
        <v>30.8</v>
      </c>
      <c r="CB9" t="n">
        <v>45.9</v>
      </c>
      <c r="CC9" t="n">
        <v>32.8</v>
      </c>
      <c r="CD9" t="n">
        <v>38</v>
      </c>
      <c r="CE9" t="n">
        <v>7.8</v>
      </c>
      <c r="CF9" t="n">
        <v>21.027</v>
      </c>
      <c r="CG9" t="n">
        <v>20.056</v>
      </c>
      <c r="CH9" t="n">
        <v>8.380000000000001</v>
      </c>
      <c r="CI9" t="n">
        <v>32.584</v>
      </c>
      <c r="CJ9" t="n">
        <v>14.148</v>
      </c>
      <c r="CK9" t="n">
        <v>7.8</v>
      </c>
      <c r="CL9" t="n">
        <v>33.333</v>
      </c>
      <c r="CM9" t="n">
        <v>63</v>
      </c>
      <c r="CN9" t="n">
        <v>11.6</v>
      </c>
      <c r="CO9" t="n">
        <v>253.6</v>
      </c>
      <c r="CP9" t="n">
        <v>121</v>
      </c>
      <c r="CQ9" t="n">
        <v>33.3</v>
      </c>
      <c r="CR9" t="n">
        <v>102.2</v>
      </c>
      <c r="CS9" t="n">
        <v>31.8</v>
      </c>
      <c r="CT9" t="n">
        <v>31.115</v>
      </c>
      <c r="CU9" t="n">
        <v>9.300000000000001</v>
      </c>
      <c r="CV9" t="n">
        <v>29.245</v>
      </c>
      <c r="CW9" t="n">
        <v>2</v>
      </c>
      <c r="CX9" t="n">
        <v>19.4</v>
      </c>
      <c r="CY9" t="n">
        <v>20.3</v>
      </c>
      <c r="CZ9" t="n">
        <v>-0.9</v>
      </c>
      <c r="DA9" t="n">
        <v>10.8</v>
      </c>
      <c r="DB9" t="n">
        <v>99.074</v>
      </c>
      <c r="DC9" t="n">
        <v>8.4</v>
      </c>
      <c r="DD9" t="n">
        <v>43.4</v>
      </c>
      <c r="DE9" t="n">
        <v>70.90000000000001</v>
      </c>
      <c r="DF9" t="n">
        <v>191.1</v>
      </c>
      <c r="DG9" t="n">
        <v>1667.8</v>
      </c>
      <c r="DH9" t="n">
        <v>1525.4</v>
      </c>
      <c r="DI9" t="n">
        <v>15.3</v>
      </c>
      <c r="DJ9" t="n">
        <v>205.5</v>
      </c>
      <c r="DK9" t="n">
        <v>133.9</v>
      </c>
      <c r="DL9" t="n">
        <v>339.4</v>
      </c>
      <c r="DM9" t="n">
        <v>74.867</v>
      </c>
      <c r="DN9" t="n">
        <v>70.706</v>
      </c>
      <c r="DO9" t="n">
        <v>81.255</v>
      </c>
      <c r="DP9" t="n">
        <v>5.387</v>
      </c>
      <c r="DQ9" t="n">
        <v>47.2</v>
      </c>
      <c r="DR9" t="n">
        <v>35.9</v>
      </c>
      <c r="DS9" t="n">
        <v>74.792</v>
      </c>
      <c r="DT9" t="n">
        <v>5493.7</v>
      </c>
      <c r="DU9" t="n">
        <v>16.187</v>
      </c>
      <c r="DV9" t="n">
        <v>50.4</v>
      </c>
      <c r="DW9" t="n">
        <v>6.734</v>
      </c>
      <c r="DX9" t="n">
        <v>54.3</v>
      </c>
      <c r="DY9" t="n">
        <v>6.25</v>
      </c>
      <c r="DZ9" t="n">
        <v>2.019</v>
      </c>
      <c r="EA9" t="n">
        <v>1.268</v>
      </c>
      <c r="EB9" t="n">
        <v>119.4</v>
      </c>
      <c r="EC9" t="n">
        <v>212.3</v>
      </c>
      <c r="ED9" t="n">
        <v>331.7</v>
      </c>
      <c r="EE9" t="n">
        <v>35.996</v>
      </c>
      <c r="EF9" t="n">
        <v>59.1</v>
      </c>
      <c r="EG9" t="n">
        <v>71.7</v>
      </c>
      <c r="EH9" t="n">
        <v>13.5</v>
      </c>
      <c r="EI9" t="n">
        <v>18.3</v>
      </c>
      <c r="EJ9" t="n">
        <v>53.4</v>
      </c>
      <c r="EK9" t="n">
        <v>71.8</v>
      </c>
      <c r="EL9" t="n">
        <v>48.1</v>
      </c>
      <c r="EM9" t="n">
        <v>11.3</v>
      </c>
      <c r="EN9" t="n">
        <v>18.9</v>
      </c>
      <c r="EO9" t="n">
        <v>106.3</v>
      </c>
      <c r="EP9" t="n">
        <v>11.3</v>
      </c>
      <c r="EQ9" t="n">
        <v>23.7</v>
      </c>
      <c r="ER9" t="n">
        <v>35</v>
      </c>
      <c r="ES9" t="n">
        <v>37.8</v>
      </c>
      <c r="ET9" t="n">
        <v>75.926</v>
      </c>
      <c r="EU9" t="n">
        <v>99</v>
      </c>
      <c r="EV9" t="n">
        <v>10.9</v>
      </c>
      <c r="EW9" t="n">
        <v>14.1</v>
      </c>
      <c r="EX9" t="n">
        <v>29.873</v>
      </c>
      <c r="EY9" t="n">
        <v>17.4</v>
      </c>
      <c r="EZ9" t="n">
        <v>9.5</v>
      </c>
      <c r="FA9" t="n">
        <v>12.8</v>
      </c>
      <c r="FB9" t="n">
        <v>11</v>
      </c>
      <c r="FC9" t="n">
        <v>2.1</v>
      </c>
      <c r="FD9" t="n">
        <v>25.7</v>
      </c>
      <c r="FE9" t="n">
        <v>9.699999999999999</v>
      </c>
      <c r="FF9" t="n">
        <v>49.805</v>
      </c>
      <c r="FG9" t="n">
        <v>27.119</v>
      </c>
      <c r="FH9" t="n">
        <v>50.424</v>
      </c>
      <c r="FI9" t="n">
        <v>54.449</v>
      </c>
      <c r="FJ9" t="n">
        <v>23.5</v>
      </c>
      <c r="FK9" t="n">
        <v>82.73999999999999</v>
      </c>
      <c r="FL9" t="n">
        <v>2.96</v>
      </c>
      <c r="FM9" t="n">
        <v>3.219</v>
      </c>
      <c r="FN9" t="n">
        <v>0.115</v>
      </c>
      <c r="FO9" t="n">
        <v>3.434</v>
      </c>
      <c r="FP9" t="n">
        <v>0.16</v>
      </c>
      <c r="FQ9" t="n">
        <v>2.894</v>
      </c>
      <c r="FR9" t="n">
        <v>0.048</v>
      </c>
      <c r="FS9" t="n">
        <v>3.6</v>
      </c>
      <c r="FT9" t="n">
        <v>38.6</v>
      </c>
      <c r="FU9" t="n">
        <v>45.6</v>
      </c>
      <c r="FV9" t="n">
        <v>35.3</v>
      </c>
      <c r="FW9" t="n">
        <v>40.4</v>
      </c>
      <c r="FX9" t="n">
        <v>12.1</v>
      </c>
      <c r="FY9" t="n">
        <v>22.807</v>
      </c>
      <c r="FZ9" t="n">
        <v>21.68</v>
      </c>
      <c r="GA9" t="n">
        <v>10.84</v>
      </c>
      <c r="GB9" t="n">
        <v>27.614</v>
      </c>
      <c r="GC9" t="n">
        <v>13.584</v>
      </c>
      <c r="GD9" t="n">
        <v>61.7</v>
      </c>
      <c r="GE9" t="n">
        <v>11.4</v>
      </c>
      <c r="GF9" t="n">
        <v>262.9</v>
      </c>
      <c r="GG9" t="n">
        <v>119.5</v>
      </c>
      <c r="GH9" t="n">
        <v>25.2</v>
      </c>
      <c r="GI9" t="n">
        <v>48.9</v>
      </c>
      <c r="GJ9" t="n">
        <v>47.754</v>
      </c>
      <c r="GK9" t="n">
        <v>12.9</v>
      </c>
      <c r="GL9" t="n">
        <v>26.38</v>
      </c>
      <c r="GM9" t="n">
        <v>4.6</v>
      </c>
      <c r="GN9" t="n">
        <v>10.1</v>
      </c>
      <c r="GO9" t="n">
        <v>91.089</v>
      </c>
      <c r="GP9" t="n">
        <v>6.8</v>
      </c>
      <c r="GQ9" t="n">
        <v>35.8</v>
      </c>
      <c r="GR9" t="n">
        <v>70.8</v>
      </c>
      <c r="GS9" t="n">
        <v>-2.63</v>
      </c>
      <c r="GT9" t="n">
        <v>-34.9</v>
      </c>
      <c r="GU9" t="n">
        <v>-24.7</v>
      </c>
      <c r="GV9" t="n">
        <v>-0.6</v>
      </c>
      <c r="GW9" t="n">
        <v>4.7</v>
      </c>
      <c r="GX9" t="n">
        <v>4.7</v>
      </c>
      <c r="GY9" t="n">
        <v>9.4</v>
      </c>
      <c r="GZ9" t="n">
        <v>0.8</v>
      </c>
      <c r="HA9" t="n">
        <v>-103.1</v>
      </c>
      <c r="HB9" t="n">
        <v>7.1</v>
      </c>
      <c r="HC9" t="n">
        <v>4.5</v>
      </c>
      <c r="HD9" t="n">
        <v>0.08599999999999999</v>
      </c>
      <c r="HE9" t="n">
        <v>2.068</v>
      </c>
      <c r="HF9" t="n">
        <v>6.8</v>
      </c>
      <c r="HG9" t="n">
        <v>1.5</v>
      </c>
      <c r="HH9" t="n">
        <v>8.300000000000001</v>
      </c>
      <c r="HI9" t="n">
        <v>-4.3</v>
      </c>
      <c r="HJ9" t="n">
        <v>14.6</v>
      </c>
      <c r="HK9" t="n">
        <v>1.1</v>
      </c>
      <c r="HL9" t="n">
        <v>1</v>
      </c>
      <c r="HM9" t="n">
        <v>13.6</v>
      </c>
      <c r="HN9" t="n">
        <v>2.9</v>
      </c>
      <c r="HO9" t="n">
        <v>3.7</v>
      </c>
      <c r="HP9" t="n">
        <v>-2.7</v>
      </c>
      <c r="HQ9" t="n">
        <v>1.7</v>
      </c>
      <c r="HR9" t="n">
        <v>5.6</v>
      </c>
      <c r="HS9" t="n">
        <v>-0.5</v>
      </c>
      <c r="HT9" t="n">
        <v>3.3</v>
      </c>
      <c r="HU9" t="n">
        <v>2.8</v>
      </c>
      <c r="HV9" t="n">
        <v>5.7</v>
      </c>
      <c r="HW9" t="n">
        <v>-7.8</v>
      </c>
      <c r="HX9" t="n">
        <v>-2.4</v>
      </c>
      <c r="HY9" t="n">
        <v>-2.4</v>
      </c>
      <c r="HZ9" t="n">
        <v>-6.9</v>
      </c>
      <c r="IA9" t="n">
        <v>-0.4</v>
      </c>
      <c r="IB9" t="n">
        <v>-1.4</v>
      </c>
      <c r="IC9" t="n">
        <v>-0.8</v>
      </c>
      <c r="ID9" t="n">
        <v>-1.3</v>
      </c>
      <c r="IE9" t="n">
        <v>-1.5</v>
      </c>
      <c r="IF9" t="n">
        <v>-2.1</v>
      </c>
      <c r="IG9" t="n">
        <v>-1.05</v>
      </c>
      <c r="IH9" t="n">
        <v>-7.95</v>
      </c>
      <c r="II9" t="n">
        <v>0.128</v>
      </c>
      <c r="IJ9" t="n">
        <v>-1.7</v>
      </c>
      <c r="IK9" t="n">
        <v>-7.8</v>
      </c>
      <c r="IL9" t="n">
        <v>0.3</v>
      </c>
      <c r="IM9" t="n">
        <v>-2.5</v>
      </c>
      <c r="IN9" t="n">
        <v>-2.4</v>
      </c>
      <c r="IO9" t="n">
        <v>-4.3</v>
      </c>
      <c r="IP9" t="n">
        <v>1.3</v>
      </c>
      <c r="IQ9" t="n">
        <v>0.2</v>
      </c>
      <c r="IR9" t="n">
        <v>-9.300000000000001</v>
      </c>
      <c r="IS9" t="n">
        <v>1.5</v>
      </c>
      <c r="IT9" t="n">
        <v>8.1</v>
      </c>
      <c r="IU9" t="n">
        <v>-17.1</v>
      </c>
      <c r="IV9" t="n">
        <v>-3.6</v>
      </c>
      <c r="IW9" t="n">
        <v>-2.6</v>
      </c>
      <c r="IX9" t="n">
        <v>1.6</v>
      </c>
      <c r="IY9" t="n">
        <v>7.6</v>
      </c>
      <c r="IZ9" t="n">
        <v>0.1</v>
      </c>
    </row>
    <row r="10">
      <c r="A10" t="inlineStr">
        <is>
          <t>Greater Western Sydney</t>
        </is>
      </c>
      <c r="B10" t="inlineStr">
        <is>
          <t>GWS</t>
        </is>
      </c>
      <c r="C10" t="n">
        <v>10</v>
      </c>
      <c r="D10" t="n">
        <v>30</v>
      </c>
      <c r="E10" t="n">
        <v>25.192</v>
      </c>
      <c r="F10" t="n">
        <v>99.017</v>
      </c>
      <c r="G10" t="n">
        <v>219.32</v>
      </c>
      <c r="H10" t="n">
        <v>1718.4</v>
      </c>
      <c r="I10" t="n">
        <v>1531.5</v>
      </c>
      <c r="J10" t="n">
        <v>21</v>
      </c>
      <c r="K10" t="n">
        <v>48.578</v>
      </c>
      <c r="L10" t="n">
        <v>211.2</v>
      </c>
      <c r="M10" t="n">
        <v>143.6</v>
      </c>
      <c r="N10" t="n">
        <v>354.8</v>
      </c>
      <c r="O10" t="n">
        <v>72.773</v>
      </c>
      <c r="P10" t="n">
        <v>67.47199999999999</v>
      </c>
      <c r="Q10" t="n">
        <v>80.571</v>
      </c>
      <c r="R10" t="n">
        <v>59.526</v>
      </c>
      <c r="S10" t="n">
        <v>6.214</v>
      </c>
      <c r="T10" t="n">
        <v>54.1</v>
      </c>
      <c r="U10" t="n">
        <v>40.5</v>
      </c>
      <c r="V10" t="n">
        <v>75.419</v>
      </c>
      <c r="W10" t="n">
        <v>6143.5</v>
      </c>
      <c r="X10" t="n">
        <v>17.315</v>
      </c>
      <c r="Y10" t="n">
        <v>60</v>
      </c>
      <c r="Z10" t="n">
        <v>5.913</v>
      </c>
      <c r="AA10" t="n">
        <v>62.1</v>
      </c>
      <c r="AB10" t="n">
        <v>5.713</v>
      </c>
      <c r="AC10" t="n">
        <v>2.685</v>
      </c>
      <c r="AD10" t="n">
        <v>0.983</v>
      </c>
      <c r="AE10" t="n">
        <v>134.2</v>
      </c>
      <c r="AF10" t="n">
        <v>211.2</v>
      </c>
      <c r="AG10" t="n">
        <v>345.4</v>
      </c>
      <c r="AH10" t="n">
        <v>38.854</v>
      </c>
      <c r="AI10" t="n">
        <v>62.6</v>
      </c>
      <c r="AJ10" t="n">
        <v>87.2</v>
      </c>
      <c r="AK10" t="n">
        <v>16.1</v>
      </c>
      <c r="AL10" t="n">
        <v>20.2</v>
      </c>
      <c r="AM10" t="n">
        <v>67</v>
      </c>
      <c r="AN10" t="n">
        <v>83.3</v>
      </c>
      <c r="AO10" t="n">
        <v>58.1</v>
      </c>
      <c r="AP10" t="n">
        <v>11.3</v>
      </c>
      <c r="AQ10" t="n">
        <v>23.8</v>
      </c>
      <c r="AR10" t="n">
        <v>112.9</v>
      </c>
      <c r="AS10" t="n">
        <v>13.4</v>
      </c>
      <c r="AT10" t="n">
        <v>25.4</v>
      </c>
      <c r="AU10" t="n">
        <v>38.8</v>
      </c>
      <c r="AV10" t="n">
        <v>42</v>
      </c>
      <c r="AW10" t="n">
        <v>76.429</v>
      </c>
      <c r="AX10" t="n">
        <v>92.3</v>
      </c>
      <c r="AY10" t="n">
        <v>11.2</v>
      </c>
      <c r="AZ10" t="n">
        <v>11.9</v>
      </c>
      <c r="BA10" t="n">
        <v>21.996</v>
      </c>
      <c r="BB10" t="n">
        <v>15.4</v>
      </c>
      <c r="BC10" t="n">
        <v>10.4</v>
      </c>
      <c r="BD10" t="n">
        <v>20</v>
      </c>
      <c r="BE10" t="n">
        <v>8.6</v>
      </c>
      <c r="BF10" t="n">
        <v>15.1</v>
      </c>
      <c r="BG10" t="n">
        <v>10.8</v>
      </c>
      <c r="BH10" t="n">
        <v>1.6</v>
      </c>
      <c r="BI10" t="n">
        <v>28.7</v>
      </c>
      <c r="BJ10" t="n">
        <v>10.4</v>
      </c>
      <c r="BK10" t="n">
        <v>52.613</v>
      </c>
      <c r="BL10" t="n">
        <v>27.911</v>
      </c>
      <c r="BM10" t="n">
        <v>47.874</v>
      </c>
      <c r="BN10" t="n">
        <v>53.05</v>
      </c>
      <c r="BO10" t="n">
        <v>25.9</v>
      </c>
      <c r="BP10" t="n">
        <v>10.4</v>
      </c>
      <c r="BQ10" t="n">
        <v>27.885</v>
      </c>
      <c r="BR10" t="n">
        <v>93.244</v>
      </c>
      <c r="BS10" t="n">
        <v>6.556</v>
      </c>
      <c r="BT10" t="n">
        <v>3.249</v>
      </c>
      <c r="BU10" t="n">
        <v>0.228</v>
      </c>
      <c r="BV10" t="n">
        <v>3.531</v>
      </c>
      <c r="BW10" t="n">
        <v>0.229</v>
      </c>
      <c r="BX10" t="n">
        <v>2.957</v>
      </c>
      <c r="BY10" t="n">
        <v>0.228</v>
      </c>
      <c r="BZ10" t="n">
        <v>5.1</v>
      </c>
      <c r="CA10" t="n">
        <v>45.8</v>
      </c>
      <c r="CB10" t="n">
        <v>50.5</v>
      </c>
      <c r="CC10" t="n">
        <v>36.6</v>
      </c>
      <c r="CD10" t="n">
        <v>47.1</v>
      </c>
      <c r="CE10" t="n">
        <v>17.7</v>
      </c>
      <c r="CF10" t="n">
        <v>23.567</v>
      </c>
      <c r="CG10" t="n">
        <v>25.124</v>
      </c>
      <c r="CH10" t="n">
        <v>11.721</v>
      </c>
      <c r="CI10" t="n">
        <v>32.925</v>
      </c>
      <c r="CJ10" t="n">
        <v>13.978</v>
      </c>
      <c r="CK10" t="n">
        <v>13.5</v>
      </c>
      <c r="CL10" t="n">
        <v>27.407</v>
      </c>
      <c r="CM10" t="n">
        <v>60.9</v>
      </c>
      <c r="CN10" t="n">
        <v>10</v>
      </c>
      <c r="CO10" t="n">
        <v>264.8</v>
      </c>
      <c r="CP10" t="n">
        <v>132.4</v>
      </c>
      <c r="CQ10" t="n">
        <v>30.8</v>
      </c>
      <c r="CR10" t="n">
        <v>97.2</v>
      </c>
      <c r="CS10" t="n">
        <v>37.8</v>
      </c>
      <c r="CT10" t="n">
        <v>38.889</v>
      </c>
      <c r="CU10" t="n">
        <v>12.4</v>
      </c>
      <c r="CV10" t="n">
        <v>32.804</v>
      </c>
      <c r="CW10" t="n">
        <v>2.7</v>
      </c>
      <c r="CX10" t="n">
        <v>18.9</v>
      </c>
      <c r="CY10" t="n">
        <v>22.1</v>
      </c>
      <c r="CZ10" t="n">
        <v>-3.2</v>
      </c>
      <c r="DA10" t="n">
        <v>10.3</v>
      </c>
      <c r="DB10" t="n">
        <v>95.146</v>
      </c>
      <c r="DC10" t="n">
        <v>12.8</v>
      </c>
      <c r="DD10" t="n">
        <v>40.8</v>
      </c>
      <c r="DE10" t="n">
        <v>70.2</v>
      </c>
      <c r="DF10" t="n">
        <v>203.6</v>
      </c>
      <c r="DG10" t="n">
        <v>1581.4</v>
      </c>
      <c r="DH10" t="n">
        <v>1412.1</v>
      </c>
      <c r="DI10" t="n">
        <v>9</v>
      </c>
      <c r="DJ10" t="n">
        <v>194.4</v>
      </c>
      <c r="DK10" t="n">
        <v>141.9</v>
      </c>
      <c r="DL10" t="n">
        <v>336.3</v>
      </c>
      <c r="DM10" t="n">
        <v>73.149</v>
      </c>
      <c r="DN10" t="n">
        <v>66.255</v>
      </c>
      <c r="DO10" t="n">
        <v>82.593</v>
      </c>
      <c r="DP10" t="n">
        <v>5.522</v>
      </c>
      <c r="DQ10" t="n">
        <v>53.7</v>
      </c>
      <c r="DR10" t="n">
        <v>38.3</v>
      </c>
      <c r="DS10" t="n">
        <v>70.795</v>
      </c>
      <c r="DT10" t="n">
        <v>5847</v>
      </c>
      <c r="DU10" t="n">
        <v>17.386</v>
      </c>
      <c r="DV10" t="n">
        <v>53.8</v>
      </c>
      <c r="DW10" t="n">
        <v>6.251</v>
      </c>
      <c r="DX10" t="n">
        <v>62.7</v>
      </c>
      <c r="DY10" t="n">
        <v>5.364</v>
      </c>
      <c r="DZ10" t="n">
        <v>-0.396</v>
      </c>
      <c r="EA10" t="n">
        <v>-0.177</v>
      </c>
      <c r="EB10" t="n">
        <v>132.1</v>
      </c>
      <c r="EC10" t="n">
        <v>198.6</v>
      </c>
      <c r="ED10" t="n">
        <v>330.7</v>
      </c>
      <c r="EE10" t="n">
        <v>39.946</v>
      </c>
      <c r="EF10" t="n">
        <v>62.5</v>
      </c>
      <c r="EG10" t="n">
        <v>85</v>
      </c>
      <c r="EH10" t="n">
        <v>15.2</v>
      </c>
      <c r="EI10" t="n">
        <v>19.6</v>
      </c>
      <c r="EJ10" t="n">
        <v>65.40000000000001</v>
      </c>
      <c r="EK10" t="n">
        <v>81</v>
      </c>
      <c r="EL10" t="n">
        <v>55.6</v>
      </c>
      <c r="EM10" t="n">
        <v>10.9</v>
      </c>
      <c r="EN10" t="n">
        <v>19.6</v>
      </c>
      <c r="EO10" t="n">
        <v>113.4</v>
      </c>
      <c r="EP10" t="n">
        <v>14</v>
      </c>
      <c r="EQ10" t="n">
        <v>24.2</v>
      </c>
      <c r="ER10" t="n">
        <v>38.2</v>
      </c>
      <c r="ES10" t="n">
        <v>42.7</v>
      </c>
      <c r="ET10" t="n">
        <v>76.815</v>
      </c>
      <c r="EU10" t="n">
        <v>76.40000000000001</v>
      </c>
      <c r="EV10" t="n">
        <v>10.1</v>
      </c>
      <c r="EW10" t="n">
        <v>10.8</v>
      </c>
      <c r="EX10" t="n">
        <v>20.112</v>
      </c>
      <c r="EY10" t="n">
        <v>13.5</v>
      </c>
      <c r="EZ10" t="n">
        <v>7</v>
      </c>
      <c r="FA10" t="n">
        <v>12.2</v>
      </c>
      <c r="FB10" t="n">
        <v>10.5</v>
      </c>
      <c r="FC10" t="n">
        <v>1.2</v>
      </c>
      <c r="FD10" t="n">
        <v>25</v>
      </c>
      <c r="FE10" t="n">
        <v>8.800000000000001</v>
      </c>
      <c r="FF10" t="n">
        <v>48.8</v>
      </c>
      <c r="FG10" t="n">
        <v>22.719</v>
      </c>
      <c r="FH10" t="n">
        <v>42.272</v>
      </c>
      <c r="FI10" t="n">
        <v>46.555</v>
      </c>
      <c r="FJ10" t="n">
        <v>22.7</v>
      </c>
      <c r="FK10" t="n">
        <v>82.08799999999999</v>
      </c>
      <c r="FL10" t="n">
        <v>0.412</v>
      </c>
      <c r="FM10" t="n">
        <v>3.284</v>
      </c>
      <c r="FN10" t="n">
        <v>0.016</v>
      </c>
      <c r="FO10" t="n">
        <v>3.501</v>
      </c>
      <c r="FP10" t="n">
        <v>0.052</v>
      </c>
      <c r="FQ10" t="n">
        <v>2.993</v>
      </c>
      <c r="FR10" t="n">
        <v>-0.031</v>
      </c>
      <c r="FS10" t="n">
        <v>3.8</v>
      </c>
      <c r="FT10" t="n">
        <v>31.1</v>
      </c>
      <c r="FU10" t="n">
        <v>48.8</v>
      </c>
      <c r="FV10" t="n">
        <v>25.9</v>
      </c>
      <c r="FW10" t="n">
        <v>44.3</v>
      </c>
      <c r="FX10" t="n">
        <v>13.5</v>
      </c>
      <c r="FY10" t="n">
        <v>20.826</v>
      </c>
      <c r="FZ10" t="n">
        <v>21.579</v>
      </c>
      <c r="GA10" t="n">
        <v>8.683999999999999</v>
      </c>
      <c r="GB10" t="n">
        <v>32.348</v>
      </c>
      <c r="GC10" t="n">
        <v>11.509</v>
      </c>
      <c r="GD10" t="n">
        <v>57.1</v>
      </c>
      <c r="GE10" t="n">
        <v>12.7</v>
      </c>
      <c r="GF10" t="n">
        <v>263.3</v>
      </c>
      <c r="GG10" t="n">
        <v>115.3</v>
      </c>
      <c r="GH10" t="n">
        <v>30.8</v>
      </c>
      <c r="GI10" t="n">
        <v>39.6</v>
      </c>
      <c r="GJ10" t="n">
        <v>40.867</v>
      </c>
      <c r="GK10" t="n">
        <v>11.8</v>
      </c>
      <c r="GL10" t="n">
        <v>29.798</v>
      </c>
      <c r="GM10" t="n">
        <v>3.3</v>
      </c>
      <c r="GN10" t="n">
        <v>10.5</v>
      </c>
      <c r="GO10" t="n">
        <v>95.238</v>
      </c>
      <c r="GP10" t="n">
        <v>7.5</v>
      </c>
      <c r="GQ10" t="n">
        <v>41.1</v>
      </c>
      <c r="GR10" t="n">
        <v>72.3</v>
      </c>
      <c r="GS10" t="n">
        <v>15.72</v>
      </c>
      <c r="GT10" t="n">
        <v>137</v>
      </c>
      <c r="GU10" t="n">
        <v>119.4</v>
      </c>
      <c r="GV10" t="n">
        <v>12</v>
      </c>
      <c r="GW10" t="n">
        <v>16.8</v>
      </c>
      <c r="GX10" t="n">
        <v>1.7</v>
      </c>
      <c r="GY10" t="n">
        <v>18.5</v>
      </c>
      <c r="GZ10" t="n">
        <v>0.4</v>
      </c>
      <c r="HA10" t="n">
        <v>296.5</v>
      </c>
      <c r="HB10" t="n">
        <v>6.2</v>
      </c>
      <c r="HC10" t="n">
        <v>-0.6</v>
      </c>
      <c r="HD10" t="n">
        <v>3.081</v>
      </c>
      <c r="HE10" t="n">
        <v>1.16</v>
      </c>
      <c r="HF10" t="n">
        <v>2.1</v>
      </c>
      <c r="HG10" t="n">
        <v>12.6</v>
      </c>
      <c r="HH10" t="n">
        <v>14.7</v>
      </c>
      <c r="HI10" t="n">
        <v>0.1</v>
      </c>
      <c r="HJ10" t="n">
        <v>2.2</v>
      </c>
      <c r="HK10" t="n">
        <v>0.9</v>
      </c>
      <c r="HL10" t="n">
        <v>0.6</v>
      </c>
      <c r="HM10" t="n">
        <v>1.6</v>
      </c>
      <c r="HN10" t="n">
        <v>2.3</v>
      </c>
      <c r="HO10" t="n">
        <v>2.5</v>
      </c>
      <c r="HP10" t="n">
        <v>0.4</v>
      </c>
      <c r="HQ10" t="n">
        <v>4.2</v>
      </c>
      <c r="HR10" t="n">
        <v>-0.5</v>
      </c>
      <c r="HS10" t="n">
        <v>-0.6</v>
      </c>
      <c r="HT10" t="n">
        <v>1.2</v>
      </c>
      <c r="HU10" t="n">
        <v>0.6</v>
      </c>
      <c r="HV10" t="n">
        <v>-0.7</v>
      </c>
      <c r="HW10" t="n">
        <v>15.9</v>
      </c>
      <c r="HX10" t="n">
        <v>1.1</v>
      </c>
      <c r="HY10" t="n">
        <v>1.1</v>
      </c>
      <c r="HZ10" t="n">
        <v>1.9</v>
      </c>
      <c r="IA10" t="n">
        <v>3.4</v>
      </c>
      <c r="IB10" t="n">
        <v>2.9</v>
      </c>
      <c r="IC10" t="n">
        <v>0.3</v>
      </c>
      <c r="ID10" t="n">
        <v>3.7</v>
      </c>
      <c r="IE10" t="n">
        <v>1.6</v>
      </c>
      <c r="IF10" t="n">
        <v>3.2</v>
      </c>
      <c r="IG10" t="n">
        <v>11.156</v>
      </c>
      <c r="IH10" t="n">
        <v>6.144</v>
      </c>
      <c r="II10" t="n">
        <v>-0.035</v>
      </c>
      <c r="IJ10" t="n">
        <v>1.3</v>
      </c>
      <c r="IK10" t="n">
        <v>14.7</v>
      </c>
      <c r="IL10" t="n">
        <v>1.7</v>
      </c>
      <c r="IM10" t="n">
        <v>10.7</v>
      </c>
      <c r="IN10" t="n">
        <v>2.8</v>
      </c>
      <c r="IO10" t="n">
        <v>4.2</v>
      </c>
      <c r="IP10" t="n">
        <v>3.8</v>
      </c>
      <c r="IQ10" t="n">
        <v>-2.7</v>
      </c>
      <c r="IR10" t="n">
        <v>1.5</v>
      </c>
      <c r="IS10" t="n">
        <v>17.1</v>
      </c>
      <c r="IT10" t="n">
        <v>0</v>
      </c>
      <c r="IU10" t="n">
        <v>-1.8</v>
      </c>
      <c r="IV10" t="n">
        <v>0.6</v>
      </c>
      <c r="IW10" t="n">
        <v>-0.6</v>
      </c>
      <c r="IX10" t="n">
        <v>5.3</v>
      </c>
      <c r="IY10" t="n">
        <v>-0.3</v>
      </c>
      <c r="IZ10" t="n">
        <v>-2.1</v>
      </c>
    </row>
    <row r="11">
      <c r="A11" t="inlineStr">
        <is>
          <t>Richmond</t>
        </is>
      </c>
      <c r="B11" t="inlineStr">
        <is>
          <t>Rich</t>
        </is>
      </c>
      <c r="C11" t="n">
        <v>10</v>
      </c>
      <c r="D11" t="n">
        <v>34</v>
      </c>
      <c r="E11" t="n">
        <v>25.318</v>
      </c>
      <c r="F11" t="n">
        <v>92.639</v>
      </c>
      <c r="G11" t="n">
        <v>173.13</v>
      </c>
      <c r="H11" t="n">
        <v>1491.5</v>
      </c>
      <c r="I11" t="n">
        <v>1400.8</v>
      </c>
      <c r="J11" t="n">
        <v>6.4</v>
      </c>
      <c r="K11" t="n">
        <v>45.823</v>
      </c>
      <c r="L11" t="n">
        <v>194.6</v>
      </c>
      <c r="M11" t="n">
        <v>147.5</v>
      </c>
      <c r="N11" t="n">
        <v>342.1</v>
      </c>
      <c r="O11" t="n">
        <v>72.376</v>
      </c>
      <c r="P11" t="n">
        <v>66.033</v>
      </c>
      <c r="Q11" t="n">
        <v>80.746</v>
      </c>
      <c r="R11" t="n">
        <v>56.884</v>
      </c>
      <c r="S11" t="n">
        <v>5.919</v>
      </c>
      <c r="T11" t="n">
        <v>43.1</v>
      </c>
      <c r="U11" t="n">
        <v>41.3</v>
      </c>
      <c r="V11" t="n">
        <v>73.88200000000001</v>
      </c>
      <c r="W11" t="n">
        <v>5505.4</v>
      </c>
      <c r="X11" t="n">
        <v>16.093</v>
      </c>
      <c r="Y11" t="n">
        <v>56.4</v>
      </c>
      <c r="Z11" t="n">
        <v>6.066</v>
      </c>
      <c r="AA11" t="n">
        <v>64.7</v>
      </c>
      <c r="AB11" t="n">
        <v>5.287</v>
      </c>
      <c r="AC11" t="n">
        <v>0.634</v>
      </c>
      <c r="AD11" t="n">
        <v>1.619</v>
      </c>
      <c r="AE11" t="n">
        <v>119.8</v>
      </c>
      <c r="AF11" t="n">
        <v>214.4</v>
      </c>
      <c r="AG11" t="n">
        <v>334.2</v>
      </c>
      <c r="AH11" t="n">
        <v>35.847</v>
      </c>
      <c r="AI11" t="n">
        <v>58.2</v>
      </c>
      <c r="AJ11" t="n">
        <v>80.09999999999999</v>
      </c>
      <c r="AK11" t="n">
        <v>9.199999999999999</v>
      </c>
      <c r="AL11" t="n">
        <v>21.3</v>
      </c>
      <c r="AM11" t="n">
        <v>58.8</v>
      </c>
      <c r="AN11" t="n">
        <v>72.7</v>
      </c>
      <c r="AO11" t="n">
        <v>50.3</v>
      </c>
      <c r="AP11" t="n">
        <v>9</v>
      </c>
      <c r="AQ11" t="n">
        <v>18.8</v>
      </c>
      <c r="AR11" t="n">
        <v>115.6</v>
      </c>
      <c r="AS11" t="n">
        <v>9.4</v>
      </c>
      <c r="AT11" t="n">
        <v>23.3</v>
      </c>
      <c r="AU11" t="n">
        <v>32.7</v>
      </c>
      <c r="AV11" t="n">
        <v>39.8</v>
      </c>
      <c r="AW11" t="n">
        <v>71.10599999999999</v>
      </c>
      <c r="AX11" t="n">
        <v>89.40000000000001</v>
      </c>
      <c r="AY11" t="n">
        <v>9.1</v>
      </c>
      <c r="AZ11" t="n">
        <v>10.4</v>
      </c>
      <c r="BA11" t="n">
        <v>24.13</v>
      </c>
      <c r="BB11" t="n">
        <v>14.7</v>
      </c>
      <c r="BC11" t="n">
        <v>5.6</v>
      </c>
      <c r="BD11" t="n">
        <v>24</v>
      </c>
      <c r="BE11" t="n">
        <v>6</v>
      </c>
      <c r="BF11" t="n">
        <v>8.4</v>
      </c>
      <c r="BG11" t="n">
        <v>9.199999999999999</v>
      </c>
      <c r="BH11" t="n">
        <v>1.8</v>
      </c>
      <c r="BI11" t="n">
        <v>19.4</v>
      </c>
      <c r="BJ11" t="n">
        <v>6.2</v>
      </c>
      <c r="BK11" t="n">
        <v>43.299</v>
      </c>
      <c r="BL11" t="n">
        <v>19.49</v>
      </c>
      <c r="BM11" t="n">
        <v>40.835</v>
      </c>
      <c r="BN11" t="n">
        <v>45.012</v>
      </c>
      <c r="BO11" t="n">
        <v>17.4</v>
      </c>
      <c r="BP11" t="n">
        <v>8.4</v>
      </c>
      <c r="BQ11" t="n">
        <v>29.762</v>
      </c>
      <c r="BR11" t="n">
        <v>59.543</v>
      </c>
      <c r="BS11" t="n">
        <v>-1.743</v>
      </c>
      <c r="BT11" t="n">
        <v>3.069</v>
      </c>
      <c r="BU11" t="n">
        <v>-0.09</v>
      </c>
      <c r="BV11" t="n">
        <v>3.2</v>
      </c>
      <c r="BW11" t="n">
        <v>0.052</v>
      </c>
      <c r="BX11" t="n">
        <v>2.842</v>
      </c>
      <c r="BY11" t="n">
        <v>-0.335</v>
      </c>
      <c r="BZ11" t="n">
        <v>5.5</v>
      </c>
      <c r="CA11" t="n">
        <v>22.4</v>
      </c>
      <c r="CB11" t="n">
        <v>31.7</v>
      </c>
      <c r="CC11" t="n">
        <v>25.1</v>
      </c>
      <c r="CD11" t="n">
        <v>28.5</v>
      </c>
      <c r="CE11" t="n">
        <v>6</v>
      </c>
      <c r="CF11" t="n">
        <v>16.994</v>
      </c>
      <c r="CG11" t="n">
        <v>23.002</v>
      </c>
      <c r="CH11" t="n">
        <v>9.201000000000001</v>
      </c>
      <c r="CI11" t="n">
        <v>29.167</v>
      </c>
      <c r="CJ11" t="n">
        <v>11.31</v>
      </c>
      <c r="CK11" t="n">
        <v>13</v>
      </c>
      <c r="CL11" t="n">
        <v>29.231</v>
      </c>
      <c r="CM11" t="n">
        <v>49.8</v>
      </c>
      <c r="CN11" t="n">
        <v>6.5</v>
      </c>
      <c r="CO11" t="n">
        <v>262</v>
      </c>
      <c r="CP11" t="n">
        <v>132.1</v>
      </c>
      <c r="CQ11" t="n">
        <v>32.4</v>
      </c>
      <c r="CR11" t="n">
        <v>90.59999999999999</v>
      </c>
      <c r="CS11" t="n">
        <v>35.8</v>
      </c>
      <c r="CT11" t="n">
        <v>39.514</v>
      </c>
      <c r="CU11" t="n">
        <v>9.6</v>
      </c>
      <c r="CV11" t="n">
        <v>26.816</v>
      </c>
      <c r="CW11" t="n">
        <v>3.3</v>
      </c>
      <c r="CX11" t="n">
        <v>17.1</v>
      </c>
      <c r="CY11" t="n">
        <v>18.7</v>
      </c>
      <c r="CZ11" t="n">
        <v>-1.6</v>
      </c>
      <c r="DA11" t="n">
        <v>12.5</v>
      </c>
      <c r="DB11" t="n">
        <v>83.2</v>
      </c>
      <c r="DC11" t="n">
        <v>5.3</v>
      </c>
      <c r="DD11" t="n">
        <v>42</v>
      </c>
      <c r="DE11" t="n">
        <v>69.59999999999999</v>
      </c>
      <c r="DF11" t="n">
        <v>217.78</v>
      </c>
      <c r="DG11" t="n">
        <v>1804.8</v>
      </c>
      <c r="DH11" t="n">
        <v>1670.1</v>
      </c>
      <c r="DI11" t="n">
        <v>23.6</v>
      </c>
      <c r="DJ11" t="n">
        <v>226</v>
      </c>
      <c r="DK11" t="n">
        <v>164.6</v>
      </c>
      <c r="DL11" t="n">
        <v>390.6</v>
      </c>
      <c r="DM11" t="n">
        <v>75.678</v>
      </c>
      <c r="DN11" t="n">
        <v>68.628</v>
      </c>
      <c r="DO11" t="n">
        <v>85.358</v>
      </c>
      <c r="DP11" t="n">
        <v>7.843</v>
      </c>
      <c r="DQ11" t="n">
        <v>55.9</v>
      </c>
      <c r="DR11" t="n">
        <v>34.2</v>
      </c>
      <c r="DS11" t="n">
        <v>79.34999999999999</v>
      </c>
      <c r="DT11" t="n">
        <v>6109.4</v>
      </c>
      <c r="DU11" t="n">
        <v>15.641</v>
      </c>
      <c r="DV11" t="n">
        <v>50.4</v>
      </c>
      <c r="DW11" t="n">
        <v>7.75</v>
      </c>
      <c r="DX11" t="n">
        <v>58.1</v>
      </c>
      <c r="DY11" t="n">
        <v>6.723</v>
      </c>
      <c r="DZ11" t="n">
        <v>4.281</v>
      </c>
      <c r="EA11" t="n">
        <v>4.092</v>
      </c>
      <c r="EB11" t="n">
        <v>127.5</v>
      </c>
      <c r="EC11" t="n">
        <v>256.9</v>
      </c>
      <c r="ED11" t="n">
        <v>384.4</v>
      </c>
      <c r="EE11" t="n">
        <v>33.169</v>
      </c>
      <c r="EF11" t="n">
        <v>64.7</v>
      </c>
      <c r="EG11" t="n">
        <v>86.09999999999999</v>
      </c>
      <c r="EH11" t="n">
        <v>16.3</v>
      </c>
      <c r="EI11" t="n">
        <v>20.9</v>
      </c>
      <c r="EJ11" t="n">
        <v>65.2</v>
      </c>
      <c r="EK11" t="n">
        <v>80.2</v>
      </c>
      <c r="EL11" t="n">
        <v>55.3</v>
      </c>
      <c r="EM11" t="n">
        <v>8.1</v>
      </c>
      <c r="EN11" t="n">
        <v>19.4</v>
      </c>
      <c r="EO11" t="n">
        <v>137.1</v>
      </c>
      <c r="EP11" t="n">
        <v>11.2</v>
      </c>
      <c r="EQ11" t="n">
        <v>24.9</v>
      </c>
      <c r="ER11" t="n">
        <v>36.1</v>
      </c>
      <c r="ES11" t="n">
        <v>36.4</v>
      </c>
      <c r="ET11" t="n">
        <v>78.571</v>
      </c>
      <c r="EU11" t="n">
        <v>110.9</v>
      </c>
      <c r="EV11" t="n">
        <v>10.2</v>
      </c>
      <c r="EW11" t="n">
        <v>15.5</v>
      </c>
      <c r="EX11" t="n">
        <v>27.728</v>
      </c>
      <c r="EY11" t="n">
        <v>16</v>
      </c>
      <c r="EZ11" t="n">
        <v>8.199999999999999</v>
      </c>
      <c r="FA11" t="n">
        <v>14</v>
      </c>
      <c r="FB11" t="n">
        <v>12.8</v>
      </c>
      <c r="FC11" t="n">
        <v>2.6</v>
      </c>
      <c r="FD11" t="n">
        <v>28.8</v>
      </c>
      <c r="FE11" t="n">
        <v>10.8</v>
      </c>
      <c r="FF11" t="n">
        <v>48.611</v>
      </c>
      <c r="FG11" t="n">
        <v>25.045</v>
      </c>
      <c r="FH11" t="n">
        <v>47.943</v>
      </c>
      <c r="FI11" t="n">
        <v>51.521</v>
      </c>
      <c r="FJ11" t="n">
        <v>26.7</v>
      </c>
      <c r="FK11" t="n">
        <v>91.395</v>
      </c>
      <c r="FL11" t="n">
        <v>2.805</v>
      </c>
      <c r="FM11" t="n">
        <v>3.173</v>
      </c>
      <c r="FN11" t="n">
        <v>0.097</v>
      </c>
      <c r="FO11" t="n">
        <v>3.427</v>
      </c>
      <c r="FP11" t="n">
        <v>0.008</v>
      </c>
      <c r="FQ11" t="n">
        <v>2.819</v>
      </c>
      <c r="FR11" t="n">
        <v>0.223</v>
      </c>
      <c r="FS11" t="n">
        <v>5.8</v>
      </c>
      <c r="FT11" t="n">
        <v>33.4</v>
      </c>
      <c r="FU11" t="n">
        <v>57.6</v>
      </c>
      <c r="FV11" t="n">
        <v>33.6</v>
      </c>
      <c r="FW11" t="n">
        <v>51.8</v>
      </c>
      <c r="FX11" t="n">
        <v>11.4</v>
      </c>
      <c r="FY11" t="n">
        <v>24.813</v>
      </c>
      <c r="FZ11" t="n">
        <v>29.855</v>
      </c>
      <c r="GA11" t="n">
        <v>13.913</v>
      </c>
      <c r="GB11" t="n">
        <v>39.06</v>
      </c>
      <c r="GC11" t="n">
        <v>16.396</v>
      </c>
      <c r="GD11" t="n">
        <v>57.8</v>
      </c>
      <c r="GE11" t="n">
        <v>9.5</v>
      </c>
      <c r="GF11" t="n">
        <v>253.3</v>
      </c>
      <c r="GG11" t="n">
        <v>112.3</v>
      </c>
      <c r="GH11" t="n">
        <v>25.3</v>
      </c>
      <c r="GI11" t="n">
        <v>37.4</v>
      </c>
      <c r="GJ11" t="n">
        <v>41.009</v>
      </c>
      <c r="GK11" t="n">
        <v>9</v>
      </c>
      <c r="GL11" t="n">
        <v>24.064</v>
      </c>
      <c r="GM11" t="n">
        <v>3.1</v>
      </c>
      <c r="GN11" t="n">
        <v>9.1</v>
      </c>
      <c r="GO11" t="n">
        <v>85.714</v>
      </c>
      <c r="GP11" t="n">
        <v>10.3</v>
      </c>
      <c r="GQ11" t="n">
        <v>35</v>
      </c>
      <c r="GR11" t="n">
        <v>68.5</v>
      </c>
      <c r="GS11" t="n">
        <v>-44.65</v>
      </c>
      <c r="GT11" t="n">
        <v>-313.3</v>
      </c>
      <c r="GU11" t="n">
        <v>-269.3</v>
      </c>
      <c r="GV11" t="n">
        <v>-17.2</v>
      </c>
      <c r="GW11" t="n">
        <v>-31.4</v>
      </c>
      <c r="GX11" t="n">
        <v>-17.1</v>
      </c>
      <c r="GY11" t="n">
        <v>-48.5</v>
      </c>
      <c r="GZ11" t="n">
        <v>-12.8</v>
      </c>
      <c r="HA11" t="n">
        <v>-604</v>
      </c>
      <c r="HB11" t="n">
        <v>6</v>
      </c>
      <c r="HC11" t="n">
        <v>6.6</v>
      </c>
      <c r="HD11" t="n">
        <v>-3.646</v>
      </c>
      <c r="HE11" t="n">
        <v>-2.473</v>
      </c>
      <c r="HF11" t="n">
        <v>-7.7</v>
      </c>
      <c r="HG11" t="n">
        <v>-42.5</v>
      </c>
      <c r="HH11" t="n">
        <v>-50.2</v>
      </c>
      <c r="HI11" t="n">
        <v>-6.5</v>
      </c>
      <c r="HJ11" t="n">
        <v>-6</v>
      </c>
      <c r="HK11" t="n">
        <v>-7.1</v>
      </c>
      <c r="HL11" t="n">
        <v>0.4</v>
      </c>
      <c r="HM11" t="n">
        <v>-6.4</v>
      </c>
      <c r="HN11" t="n">
        <v>-7.5</v>
      </c>
      <c r="HO11" t="n">
        <v>-5</v>
      </c>
      <c r="HP11" t="n">
        <v>0.9</v>
      </c>
      <c r="HQ11" t="n">
        <v>-0.6</v>
      </c>
      <c r="HR11" t="n">
        <v>-21.5</v>
      </c>
      <c r="HS11" t="n">
        <v>-1.8</v>
      </c>
      <c r="HT11" t="n">
        <v>-1.6</v>
      </c>
      <c r="HU11" t="n">
        <v>-3.4</v>
      </c>
      <c r="HV11" t="n">
        <v>3.4</v>
      </c>
      <c r="HW11" t="n">
        <v>-21.5</v>
      </c>
      <c r="HX11" t="n">
        <v>-1.1</v>
      </c>
      <c r="HY11" t="n">
        <v>-5.1</v>
      </c>
      <c r="HZ11" t="n">
        <v>-1.3</v>
      </c>
      <c r="IA11" t="n">
        <v>-2.6</v>
      </c>
      <c r="IB11" t="n">
        <v>-5.6</v>
      </c>
      <c r="IC11" t="n">
        <v>-3.6</v>
      </c>
      <c r="ID11" t="n">
        <v>-9.4</v>
      </c>
      <c r="IE11" t="n">
        <v>-4.6</v>
      </c>
      <c r="IF11" t="n">
        <v>-9.300000000000001</v>
      </c>
      <c r="IG11" t="n">
        <v>-31.852</v>
      </c>
      <c r="IH11" t="n">
        <v>-4.548</v>
      </c>
      <c r="II11" t="n">
        <v>-0.104</v>
      </c>
      <c r="IJ11" t="n">
        <v>-0.3</v>
      </c>
      <c r="IK11" t="n">
        <v>-11</v>
      </c>
      <c r="IL11" t="n">
        <v>-25.9</v>
      </c>
      <c r="IM11" t="n">
        <v>-8.5</v>
      </c>
      <c r="IN11" t="n">
        <v>-23.3</v>
      </c>
      <c r="IO11" t="n">
        <v>-5.4</v>
      </c>
      <c r="IP11" t="n">
        <v>-8</v>
      </c>
      <c r="IQ11" t="n">
        <v>-3</v>
      </c>
      <c r="IR11" t="n">
        <v>8.699999999999999</v>
      </c>
      <c r="IS11" t="n">
        <v>19.8</v>
      </c>
      <c r="IT11" t="n">
        <v>7.1</v>
      </c>
      <c r="IU11" t="n">
        <v>-1.6</v>
      </c>
      <c r="IV11" t="n">
        <v>0.6</v>
      </c>
      <c r="IW11" t="n">
        <v>0.2</v>
      </c>
      <c r="IX11" t="n">
        <v>-5</v>
      </c>
      <c r="IY11" t="n">
        <v>7</v>
      </c>
      <c r="IZ11" t="n">
        <v>1.1</v>
      </c>
    </row>
    <row r="12">
      <c r="A12" t="inlineStr">
        <is>
          <t>Western Bulldogs</t>
        </is>
      </c>
      <c r="B12" t="inlineStr">
        <is>
          <t>WB</t>
        </is>
      </c>
      <c r="C12" t="n">
        <v>10</v>
      </c>
      <c r="D12" t="n">
        <v>34</v>
      </c>
      <c r="E12" t="n">
        <v>26.092</v>
      </c>
      <c r="F12" t="n">
        <v>106.848</v>
      </c>
      <c r="G12" t="n">
        <v>230.52</v>
      </c>
      <c r="H12" t="n">
        <v>1735.8</v>
      </c>
      <c r="I12" t="n">
        <v>1568.1</v>
      </c>
      <c r="J12" t="n">
        <v>21.5</v>
      </c>
      <c r="K12" t="n">
        <v>53.701</v>
      </c>
      <c r="L12" t="n">
        <v>214.9</v>
      </c>
      <c r="M12" t="n">
        <v>151.8</v>
      </c>
      <c r="N12" t="n">
        <v>366.7</v>
      </c>
      <c r="O12" t="n">
        <v>75.375</v>
      </c>
      <c r="P12" t="n">
        <v>69.474</v>
      </c>
      <c r="Q12" t="n">
        <v>83.729</v>
      </c>
      <c r="R12" t="n">
        <v>58.604</v>
      </c>
      <c r="S12" t="n">
        <v>5.895</v>
      </c>
      <c r="T12" t="n">
        <v>55.8</v>
      </c>
      <c r="U12" t="n">
        <v>35.5</v>
      </c>
      <c r="V12" t="n">
        <v>74.58</v>
      </c>
      <c r="W12" t="n">
        <v>5958.6</v>
      </c>
      <c r="X12" t="n">
        <v>16.249</v>
      </c>
      <c r="Y12" t="n">
        <v>52.2</v>
      </c>
      <c r="Z12" t="n">
        <v>7.025</v>
      </c>
      <c r="AA12" t="n">
        <v>61.8</v>
      </c>
      <c r="AB12" t="n">
        <v>5.934</v>
      </c>
      <c r="AC12" t="n">
        <v>6.571</v>
      </c>
      <c r="AD12" t="n">
        <v>3.919</v>
      </c>
      <c r="AE12" t="n">
        <v>134.2</v>
      </c>
      <c r="AF12" t="n">
        <v>228.6</v>
      </c>
      <c r="AG12" t="n">
        <v>362.8</v>
      </c>
      <c r="AH12" t="n">
        <v>36.99</v>
      </c>
      <c r="AI12" t="n">
        <v>62.9</v>
      </c>
      <c r="AJ12" t="n">
        <v>89.5</v>
      </c>
      <c r="AK12" t="n">
        <v>18.7</v>
      </c>
      <c r="AL12" t="n">
        <v>24.1</v>
      </c>
      <c r="AM12" t="n">
        <v>65.40000000000001</v>
      </c>
      <c r="AN12" t="n">
        <v>83.3</v>
      </c>
      <c r="AO12" t="n">
        <v>55.6</v>
      </c>
      <c r="AP12" t="n">
        <v>8.1</v>
      </c>
      <c r="AQ12" t="n">
        <v>21.1</v>
      </c>
      <c r="AR12" t="n">
        <v>123.3</v>
      </c>
      <c r="AS12" t="n">
        <v>14.6</v>
      </c>
      <c r="AT12" t="n">
        <v>25.9</v>
      </c>
      <c r="AU12" t="n">
        <v>40.5</v>
      </c>
      <c r="AV12" t="n">
        <v>41.8</v>
      </c>
      <c r="AW12" t="n">
        <v>80.383</v>
      </c>
      <c r="AX12" t="n">
        <v>97</v>
      </c>
      <c r="AY12" t="n">
        <v>13.1</v>
      </c>
      <c r="AZ12" t="n">
        <v>15.8</v>
      </c>
      <c r="BA12" t="n">
        <v>28.315</v>
      </c>
      <c r="BB12" t="n">
        <v>15.5</v>
      </c>
      <c r="BC12" t="n">
        <v>9.5</v>
      </c>
      <c r="BD12" t="n">
        <v>26</v>
      </c>
      <c r="BE12" t="n">
        <v>8.4</v>
      </c>
      <c r="BF12" t="n">
        <v>17.3</v>
      </c>
      <c r="BG12" t="n">
        <v>11.3</v>
      </c>
      <c r="BH12" t="n">
        <v>2</v>
      </c>
      <c r="BI12" t="n">
        <v>31.6</v>
      </c>
      <c r="BJ12" t="n">
        <v>13.4</v>
      </c>
      <c r="BK12" t="n">
        <v>54.747</v>
      </c>
      <c r="BL12" t="n">
        <v>31.004</v>
      </c>
      <c r="BM12" t="n">
        <v>51.254</v>
      </c>
      <c r="BN12" t="n">
        <v>56.631</v>
      </c>
      <c r="BO12" t="n">
        <v>28.3</v>
      </c>
      <c r="BP12" t="n">
        <v>12.1</v>
      </c>
      <c r="BQ12" t="n">
        <v>29.752</v>
      </c>
      <c r="BR12" t="n">
        <v>107.078</v>
      </c>
      <c r="BS12" t="n">
        <v>6.022</v>
      </c>
      <c r="BT12" t="n">
        <v>3.389</v>
      </c>
      <c r="BU12" t="n">
        <v>0.191</v>
      </c>
      <c r="BV12" t="n">
        <v>3.681</v>
      </c>
      <c r="BW12" t="n">
        <v>0.531</v>
      </c>
      <c r="BX12" t="n">
        <v>3.006</v>
      </c>
      <c r="BY12" t="n">
        <v>-0.254</v>
      </c>
      <c r="BZ12" t="n">
        <v>6.2</v>
      </c>
      <c r="CA12" t="n">
        <v>43.4</v>
      </c>
      <c r="CB12" t="n">
        <v>65.5</v>
      </c>
      <c r="CC12" t="n">
        <v>44.9</v>
      </c>
      <c r="CD12" t="n">
        <v>53.8</v>
      </c>
      <c r="CE12" t="n">
        <v>16.4</v>
      </c>
      <c r="CF12" t="n">
        <v>25.753</v>
      </c>
      <c r="CG12" t="n">
        <v>27.473</v>
      </c>
      <c r="CH12" t="n">
        <v>14.601</v>
      </c>
      <c r="CI12" t="n">
        <v>34.992</v>
      </c>
      <c r="CJ12" t="n">
        <v>17.304</v>
      </c>
      <c r="CK12" t="n">
        <v>9.9</v>
      </c>
      <c r="CL12" t="n">
        <v>35.354</v>
      </c>
      <c r="CM12" t="n">
        <v>55.2</v>
      </c>
      <c r="CN12" t="n">
        <v>12.2</v>
      </c>
      <c r="CO12" t="n">
        <v>262.6</v>
      </c>
      <c r="CP12" t="n">
        <v>115.5</v>
      </c>
      <c r="CQ12" t="n">
        <v>28</v>
      </c>
      <c r="CR12" t="n">
        <v>95.2</v>
      </c>
      <c r="CS12" t="n">
        <v>33</v>
      </c>
      <c r="CT12" t="n">
        <v>34.664</v>
      </c>
      <c r="CU12" t="n">
        <v>9.5</v>
      </c>
      <c r="CV12" t="n">
        <v>28.788</v>
      </c>
      <c r="CW12" t="n">
        <v>1.7</v>
      </c>
      <c r="CX12" t="n">
        <v>18.9</v>
      </c>
      <c r="CY12" t="n">
        <v>19</v>
      </c>
      <c r="CZ12" t="n">
        <v>-0.1</v>
      </c>
      <c r="DA12" t="n">
        <v>9.1</v>
      </c>
      <c r="DB12" t="n">
        <v>95.604</v>
      </c>
      <c r="DC12" t="n">
        <v>7.3</v>
      </c>
      <c r="DD12" t="n">
        <v>43.2</v>
      </c>
      <c r="DE12" t="n">
        <v>71.59999999999999</v>
      </c>
      <c r="DF12" t="n">
        <v>186.85</v>
      </c>
      <c r="DG12" t="n">
        <v>1563.8</v>
      </c>
      <c r="DH12" t="n">
        <v>1459.6</v>
      </c>
      <c r="DI12" t="n">
        <v>8.5</v>
      </c>
      <c r="DJ12" t="n">
        <v>198.5</v>
      </c>
      <c r="DK12" t="n">
        <v>140.4</v>
      </c>
      <c r="DL12" t="n">
        <v>338.9</v>
      </c>
      <c r="DM12" t="n">
        <v>72.55800000000001</v>
      </c>
      <c r="DN12" t="n">
        <v>66.398</v>
      </c>
      <c r="DO12" t="n">
        <v>81.268</v>
      </c>
      <c r="DP12" t="n">
        <v>6.139</v>
      </c>
      <c r="DQ12" t="n">
        <v>47.6</v>
      </c>
      <c r="DR12" t="n">
        <v>37.4</v>
      </c>
      <c r="DS12" t="n">
        <v>67.02500000000001</v>
      </c>
      <c r="DT12" t="n">
        <v>5388.3</v>
      </c>
      <c r="DU12" t="n">
        <v>15.899</v>
      </c>
      <c r="DV12" t="n">
        <v>56.7</v>
      </c>
      <c r="DW12" t="n">
        <v>5.977</v>
      </c>
      <c r="DX12" t="n">
        <v>62.7</v>
      </c>
      <c r="DY12" t="n">
        <v>5.405</v>
      </c>
      <c r="DZ12" t="n">
        <v>1.209</v>
      </c>
      <c r="EA12" t="n">
        <v>0.316</v>
      </c>
      <c r="EB12" t="n">
        <v>127.2</v>
      </c>
      <c r="EC12" t="n">
        <v>204</v>
      </c>
      <c r="ED12" t="n">
        <v>331.2</v>
      </c>
      <c r="EE12" t="n">
        <v>38.406</v>
      </c>
      <c r="EF12" t="n">
        <v>61.8</v>
      </c>
      <c r="EG12" t="n">
        <v>81.40000000000001</v>
      </c>
      <c r="EH12" t="n">
        <v>13.1</v>
      </c>
      <c r="EI12" t="n">
        <v>19.6</v>
      </c>
      <c r="EJ12" t="n">
        <v>61.8</v>
      </c>
      <c r="EK12" t="n">
        <v>80.2</v>
      </c>
      <c r="EL12" t="n">
        <v>54.1</v>
      </c>
      <c r="EM12" t="n">
        <v>10.6</v>
      </c>
      <c r="EN12" t="n">
        <v>20.3</v>
      </c>
      <c r="EO12" t="n">
        <v>110.6</v>
      </c>
      <c r="EP12" t="n">
        <v>13</v>
      </c>
      <c r="EQ12" t="n">
        <v>20.8</v>
      </c>
      <c r="ER12" t="n">
        <v>33.8</v>
      </c>
      <c r="ES12" t="n">
        <v>39.5</v>
      </c>
      <c r="ET12" t="n">
        <v>71.899</v>
      </c>
      <c r="EU12" t="n">
        <v>84.09999999999999</v>
      </c>
      <c r="EV12" t="n">
        <v>9.4</v>
      </c>
      <c r="EW12" t="n">
        <v>12.1</v>
      </c>
      <c r="EX12" t="n">
        <v>25.42</v>
      </c>
      <c r="EY12" t="n">
        <v>14</v>
      </c>
      <c r="EZ12" t="n">
        <v>9.5</v>
      </c>
      <c r="FA12" t="n">
        <v>11.2</v>
      </c>
      <c r="FB12" t="n">
        <v>9.699999999999999</v>
      </c>
      <c r="FC12" t="n">
        <v>1.2</v>
      </c>
      <c r="FD12" t="n">
        <v>24.7</v>
      </c>
      <c r="FE12" t="n">
        <v>8.9</v>
      </c>
      <c r="FF12" t="n">
        <v>45.344</v>
      </c>
      <c r="FG12" t="n">
        <v>23.529</v>
      </c>
      <c r="FH12" t="n">
        <v>43.908</v>
      </c>
      <c r="FI12" t="n">
        <v>51.891</v>
      </c>
      <c r="FJ12" t="n">
        <v>20.9</v>
      </c>
      <c r="FK12" t="n">
        <v>80.68300000000001</v>
      </c>
      <c r="FL12" t="n">
        <v>-4.983</v>
      </c>
      <c r="FM12" t="n">
        <v>3.267</v>
      </c>
      <c r="FN12" t="n">
        <v>-0.202</v>
      </c>
      <c r="FO12" t="n">
        <v>3.491</v>
      </c>
      <c r="FP12" t="n">
        <v>-0.257</v>
      </c>
      <c r="FQ12" t="n">
        <v>2.947</v>
      </c>
      <c r="FR12" t="n">
        <v>-0.123</v>
      </c>
      <c r="FS12" t="n">
        <v>5.7</v>
      </c>
      <c r="FT12" t="n">
        <v>28.2</v>
      </c>
      <c r="FU12" t="n">
        <v>43</v>
      </c>
      <c r="FV12" t="n">
        <v>32.7</v>
      </c>
      <c r="FW12" t="n">
        <v>34.6</v>
      </c>
      <c r="FX12" t="n">
        <v>9.6</v>
      </c>
      <c r="FY12" t="n">
        <v>19.753</v>
      </c>
      <c r="FZ12" t="n">
        <v>21.092</v>
      </c>
      <c r="GA12" t="n">
        <v>9.180999999999999</v>
      </c>
      <c r="GB12" t="n">
        <v>29.057</v>
      </c>
      <c r="GC12" t="n">
        <v>12.674</v>
      </c>
      <c r="GD12" t="n">
        <v>62.2</v>
      </c>
      <c r="GE12" t="n">
        <v>12.3</v>
      </c>
      <c r="GF12" t="n">
        <v>273.1</v>
      </c>
      <c r="GG12" t="n">
        <v>141.7</v>
      </c>
      <c r="GH12" t="n">
        <v>34.2</v>
      </c>
      <c r="GI12" t="n">
        <v>44.2</v>
      </c>
      <c r="GJ12" t="n">
        <v>46.283</v>
      </c>
      <c r="GK12" t="n">
        <v>11.8</v>
      </c>
      <c r="GL12" t="n">
        <v>26.697</v>
      </c>
      <c r="GM12" t="n">
        <v>3.8</v>
      </c>
      <c r="GN12" t="n">
        <v>11.1</v>
      </c>
      <c r="GO12" t="n">
        <v>95.495</v>
      </c>
      <c r="GP12" t="n">
        <v>6.3</v>
      </c>
      <c r="GQ12" t="n">
        <v>46.5</v>
      </c>
      <c r="GR12" t="n">
        <v>70.59999999999999</v>
      </c>
      <c r="GS12" t="n">
        <v>43.67</v>
      </c>
      <c r="GT12" t="n">
        <v>172</v>
      </c>
      <c r="GU12" t="n">
        <v>108.5</v>
      </c>
      <c r="GV12" t="n">
        <v>13</v>
      </c>
      <c r="GW12" t="n">
        <v>16.4</v>
      </c>
      <c r="GX12" t="n">
        <v>11.4</v>
      </c>
      <c r="GY12" t="n">
        <v>27.8</v>
      </c>
      <c r="GZ12" t="n">
        <v>8.199999999999999</v>
      </c>
      <c r="HA12" t="n">
        <v>570.3</v>
      </c>
      <c r="HB12" t="n">
        <v>-4.5</v>
      </c>
      <c r="HC12" t="n">
        <v>-0.9</v>
      </c>
      <c r="HD12" t="n">
        <v>5.362</v>
      </c>
      <c r="HE12" t="n">
        <v>3.602</v>
      </c>
      <c r="HF12" t="n">
        <v>7</v>
      </c>
      <c r="HG12" t="n">
        <v>24.6</v>
      </c>
      <c r="HH12" t="n">
        <v>31.6</v>
      </c>
      <c r="HI12" t="n">
        <v>1.1</v>
      </c>
      <c r="HJ12" t="n">
        <v>8.1</v>
      </c>
      <c r="HK12" t="n">
        <v>5.6</v>
      </c>
      <c r="HL12" t="n">
        <v>4.5</v>
      </c>
      <c r="HM12" t="n">
        <v>3.6</v>
      </c>
      <c r="HN12" t="n">
        <v>3.1</v>
      </c>
      <c r="HO12" t="n">
        <v>1.5</v>
      </c>
      <c r="HP12" t="n">
        <v>-2.5</v>
      </c>
      <c r="HQ12" t="n">
        <v>0.8</v>
      </c>
      <c r="HR12" t="n">
        <v>12.7</v>
      </c>
      <c r="HS12" t="n">
        <v>1.6</v>
      </c>
      <c r="HT12" t="n">
        <v>5.1</v>
      </c>
      <c r="HU12" t="n">
        <v>6.7</v>
      </c>
      <c r="HV12" t="n">
        <v>2.3</v>
      </c>
      <c r="HW12" t="n">
        <v>12.9</v>
      </c>
      <c r="HX12" t="n">
        <v>3.7</v>
      </c>
      <c r="HY12" t="n">
        <v>3.7</v>
      </c>
      <c r="HZ12" t="n">
        <v>1.5</v>
      </c>
      <c r="IA12" t="n">
        <v>0</v>
      </c>
      <c r="IB12" t="n">
        <v>6.1</v>
      </c>
      <c r="IC12" t="n">
        <v>1.6</v>
      </c>
      <c r="ID12" t="n">
        <v>6.9</v>
      </c>
      <c r="IE12" t="n">
        <v>4.5</v>
      </c>
      <c r="IF12" t="n">
        <v>7.4</v>
      </c>
      <c r="IG12" t="n">
        <v>26.395</v>
      </c>
      <c r="IH12" t="n">
        <v>11.005</v>
      </c>
      <c r="II12" t="n">
        <v>0.122</v>
      </c>
      <c r="IJ12" t="n">
        <v>0.5</v>
      </c>
      <c r="IK12" t="n">
        <v>15.2</v>
      </c>
      <c r="IL12" t="n">
        <v>22.5</v>
      </c>
      <c r="IM12" t="n">
        <v>12.2</v>
      </c>
      <c r="IN12" t="n">
        <v>19.2</v>
      </c>
      <c r="IO12" t="n">
        <v>6.8</v>
      </c>
      <c r="IP12" t="n">
        <v>-7</v>
      </c>
      <c r="IQ12" t="n">
        <v>-0.1</v>
      </c>
      <c r="IR12" t="n">
        <v>-10.5</v>
      </c>
      <c r="IS12" t="n">
        <v>-26.2</v>
      </c>
      <c r="IT12" t="n">
        <v>-6.2</v>
      </c>
      <c r="IU12" t="n">
        <v>-11.2</v>
      </c>
      <c r="IV12" t="n">
        <v>-2.3</v>
      </c>
      <c r="IW12" t="n">
        <v>-2.1</v>
      </c>
      <c r="IX12" t="n">
        <v>1</v>
      </c>
      <c r="IY12" t="n">
        <v>-3.3</v>
      </c>
      <c r="IZ12" t="n">
        <v>1</v>
      </c>
    </row>
    <row r="13">
      <c r="A13" t="inlineStr">
        <is>
          <t>Fremantle</t>
        </is>
      </c>
      <c r="B13" t="inlineStr">
        <is>
          <t>Frem</t>
        </is>
      </c>
      <c r="C13" t="n">
        <v>10</v>
      </c>
      <c r="D13" t="n">
        <v>27</v>
      </c>
      <c r="E13" t="n">
        <v>25.27</v>
      </c>
      <c r="F13" t="n">
        <v>96.283</v>
      </c>
      <c r="G13" t="n">
        <v>200.22</v>
      </c>
      <c r="H13" t="n">
        <v>1625.8</v>
      </c>
      <c r="I13" t="n">
        <v>1394</v>
      </c>
      <c r="J13" t="n">
        <v>15.2</v>
      </c>
      <c r="K13" t="n">
        <v>48.723</v>
      </c>
      <c r="L13" t="n">
        <v>186.9</v>
      </c>
      <c r="M13" t="n">
        <v>141</v>
      </c>
      <c r="N13" t="n">
        <v>327.9</v>
      </c>
      <c r="O13" t="n">
        <v>71.699</v>
      </c>
      <c r="P13" t="n">
        <v>63.296</v>
      </c>
      <c r="Q13" t="n">
        <v>82.837</v>
      </c>
      <c r="R13" t="n">
        <v>56.999</v>
      </c>
      <c r="S13" t="n">
        <v>4.998</v>
      </c>
      <c r="T13" t="n">
        <v>51</v>
      </c>
      <c r="U13" t="n">
        <v>36.8</v>
      </c>
      <c r="V13" t="n">
        <v>74.797</v>
      </c>
      <c r="W13" t="n">
        <v>5598.7</v>
      </c>
      <c r="X13" t="n">
        <v>17.074</v>
      </c>
      <c r="Y13" t="n">
        <v>53.8</v>
      </c>
      <c r="Z13" t="n">
        <v>6.095</v>
      </c>
      <c r="AA13" t="n">
        <v>64.40000000000001</v>
      </c>
      <c r="AB13" t="n">
        <v>5.092</v>
      </c>
      <c r="AC13" t="n">
        <v>0.823</v>
      </c>
      <c r="AD13" t="n">
        <v>-2.889</v>
      </c>
      <c r="AE13" t="n">
        <v>132.5</v>
      </c>
      <c r="AF13" t="n">
        <v>191.9</v>
      </c>
      <c r="AG13" t="n">
        <v>324.4</v>
      </c>
      <c r="AH13" t="n">
        <v>40.845</v>
      </c>
      <c r="AI13" t="n">
        <v>63.7</v>
      </c>
      <c r="AJ13" t="n">
        <v>85.40000000000001</v>
      </c>
      <c r="AK13" t="n">
        <v>12.8</v>
      </c>
      <c r="AL13" t="n">
        <v>20.4</v>
      </c>
      <c r="AM13" t="n">
        <v>65</v>
      </c>
      <c r="AN13" t="n">
        <v>80.09999999999999</v>
      </c>
      <c r="AO13" t="n">
        <v>55.1</v>
      </c>
      <c r="AP13" t="n">
        <v>11.1</v>
      </c>
      <c r="AQ13" t="n">
        <v>19.6</v>
      </c>
      <c r="AR13" t="n">
        <v>113.1</v>
      </c>
      <c r="AS13" t="n">
        <v>12.2</v>
      </c>
      <c r="AT13" t="n">
        <v>26.7</v>
      </c>
      <c r="AU13" t="n">
        <v>38.9</v>
      </c>
      <c r="AV13" t="n">
        <v>41.1</v>
      </c>
      <c r="AW13" t="n">
        <v>75.669</v>
      </c>
      <c r="AX13" t="n">
        <v>71.59999999999999</v>
      </c>
      <c r="AY13" t="n">
        <v>10</v>
      </c>
      <c r="AZ13" t="n">
        <v>11</v>
      </c>
      <c r="BA13" t="n">
        <v>21.569</v>
      </c>
      <c r="BB13" t="n">
        <v>14.5</v>
      </c>
      <c r="BC13" t="n">
        <v>8.1</v>
      </c>
      <c r="BD13" t="n">
        <v>20</v>
      </c>
      <c r="BE13" t="n">
        <v>7.5</v>
      </c>
      <c r="BF13" t="n">
        <v>12.7</v>
      </c>
      <c r="BG13" t="n">
        <v>10.5</v>
      </c>
      <c r="BH13" t="n">
        <v>2.2</v>
      </c>
      <c r="BI13" t="n">
        <v>26.6</v>
      </c>
      <c r="BJ13" t="n">
        <v>9.4</v>
      </c>
      <c r="BK13" t="n">
        <v>47.744</v>
      </c>
      <c r="BL13" t="n">
        <v>24.902</v>
      </c>
      <c r="BM13" t="n">
        <v>45.49</v>
      </c>
      <c r="BN13" t="n">
        <v>52.157</v>
      </c>
      <c r="BO13" t="n">
        <v>23.1</v>
      </c>
      <c r="BP13" t="n">
        <v>10.4</v>
      </c>
      <c r="BQ13" t="n">
        <v>28.846</v>
      </c>
      <c r="BR13" t="n">
        <v>86.17700000000001</v>
      </c>
      <c r="BS13" t="n">
        <v>-1.677</v>
      </c>
      <c r="BT13" t="n">
        <v>3.24</v>
      </c>
      <c r="BU13" t="n">
        <v>-0.063</v>
      </c>
      <c r="BV13" t="n">
        <v>3.576</v>
      </c>
      <c r="BW13" t="n">
        <v>0.109</v>
      </c>
      <c r="BX13" t="n">
        <v>2.831</v>
      </c>
      <c r="BY13" t="n">
        <v>-0.273</v>
      </c>
      <c r="BZ13" t="n">
        <v>4.9</v>
      </c>
      <c r="CA13" t="n">
        <v>31.8</v>
      </c>
      <c r="CB13" t="n">
        <v>50</v>
      </c>
      <c r="CC13" t="n">
        <v>36.9</v>
      </c>
      <c r="CD13" t="n">
        <v>39.2</v>
      </c>
      <c r="CE13" t="n">
        <v>10.6</v>
      </c>
      <c r="CF13" t="n">
        <v>20.924</v>
      </c>
      <c r="CG13" t="n">
        <v>21.579</v>
      </c>
      <c r="CH13" t="n">
        <v>10.789</v>
      </c>
      <c r="CI13" t="n">
        <v>29.525</v>
      </c>
      <c r="CJ13" t="n">
        <v>13.264</v>
      </c>
      <c r="CK13" t="n">
        <v>9.9</v>
      </c>
      <c r="CL13" t="n">
        <v>24.242</v>
      </c>
      <c r="CM13" t="n">
        <v>63.5</v>
      </c>
      <c r="CN13" t="n">
        <v>10.1</v>
      </c>
      <c r="CO13" t="n">
        <v>269.4</v>
      </c>
      <c r="CP13" t="n">
        <v>137</v>
      </c>
      <c r="CQ13" t="n">
        <v>34.6</v>
      </c>
      <c r="CR13" t="n">
        <v>99.3</v>
      </c>
      <c r="CS13" t="n">
        <v>41</v>
      </c>
      <c r="CT13" t="n">
        <v>41.289</v>
      </c>
      <c r="CU13" t="n">
        <v>11.3</v>
      </c>
      <c r="CV13" t="n">
        <v>27.561</v>
      </c>
      <c r="CW13" t="n">
        <v>3.4</v>
      </c>
      <c r="CX13" t="n">
        <v>20</v>
      </c>
      <c r="CY13" t="n">
        <v>21</v>
      </c>
      <c r="CZ13" t="n">
        <v>-1</v>
      </c>
      <c r="DA13" t="n">
        <v>10.2</v>
      </c>
      <c r="DB13" t="n">
        <v>95.098</v>
      </c>
      <c r="DC13" t="n">
        <v>6.5</v>
      </c>
      <c r="DD13" t="n">
        <v>47.4</v>
      </c>
      <c r="DE13" t="n">
        <v>71.2</v>
      </c>
      <c r="DF13" t="n">
        <v>195.44</v>
      </c>
      <c r="DG13" t="n">
        <v>1673.8</v>
      </c>
      <c r="DH13" t="n">
        <v>1513.3</v>
      </c>
      <c r="DI13" t="n">
        <v>14.8</v>
      </c>
      <c r="DJ13" t="n">
        <v>209</v>
      </c>
      <c r="DK13" t="n">
        <v>141.6</v>
      </c>
      <c r="DL13" t="n">
        <v>350.6</v>
      </c>
      <c r="DM13" t="n">
        <v>70.964</v>
      </c>
      <c r="DN13" t="n">
        <v>64.354</v>
      </c>
      <c r="DO13" t="n">
        <v>80.72</v>
      </c>
      <c r="DP13" t="n">
        <v>5.521</v>
      </c>
      <c r="DQ13" t="n">
        <v>49.2</v>
      </c>
      <c r="DR13" t="n">
        <v>37.3</v>
      </c>
      <c r="DS13" t="n">
        <v>73.137</v>
      </c>
      <c r="DT13" t="n">
        <v>5610.7</v>
      </c>
      <c r="DU13" t="n">
        <v>16.003</v>
      </c>
      <c r="DV13" t="n">
        <v>58</v>
      </c>
      <c r="DW13" t="n">
        <v>6.045</v>
      </c>
      <c r="DX13" t="n">
        <v>63.6</v>
      </c>
      <c r="DY13" t="n">
        <v>5.513</v>
      </c>
      <c r="DZ13" t="n">
        <v>-1.051</v>
      </c>
      <c r="EA13" t="n">
        <v>-1.759</v>
      </c>
      <c r="EB13" t="n">
        <v>135.4</v>
      </c>
      <c r="EC13" t="n">
        <v>207.9</v>
      </c>
      <c r="ED13" t="n">
        <v>343.3</v>
      </c>
      <c r="EE13" t="n">
        <v>39.441</v>
      </c>
      <c r="EF13" t="n">
        <v>64.59999999999999</v>
      </c>
      <c r="EG13" t="n">
        <v>89.8</v>
      </c>
      <c r="EH13" t="n">
        <v>17.2</v>
      </c>
      <c r="EI13" t="n">
        <v>23.9</v>
      </c>
      <c r="EJ13" t="n">
        <v>65.90000000000001</v>
      </c>
      <c r="EK13" t="n">
        <v>82.90000000000001</v>
      </c>
      <c r="EL13" t="n">
        <v>57.5</v>
      </c>
      <c r="EM13" t="n">
        <v>10.3</v>
      </c>
      <c r="EN13" t="n">
        <v>26.1</v>
      </c>
      <c r="EO13" t="n">
        <v>111.1</v>
      </c>
      <c r="EP13" t="n">
        <v>12.1</v>
      </c>
      <c r="EQ13" t="n">
        <v>25.8</v>
      </c>
      <c r="ER13" t="n">
        <v>37.9</v>
      </c>
      <c r="ES13" t="n">
        <v>43.6</v>
      </c>
      <c r="ET13" t="n">
        <v>73.39400000000001</v>
      </c>
      <c r="EU13" t="n">
        <v>87.09999999999999</v>
      </c>
      <c r="EV13" t="n">
        <v>10.2</v>
      </c>
      <c r="EW13" t="n">
        <v>9.800000000000001</v>
      </c>
      <c r="EX13" t="n">
        <v>19.919</v>
      </c>
      <c r="EY13" t="n">
        <v>14.4</v>
      </c>
      <c r="EZ13" t="n">
        <v>8.800000000000001</v>
      </c>
      <c r="FA13" t="n">
        <v>11.8</v>
      </c>
      <c r="FB13" t="n">
        <v>10.5</v>
      </c>
      <c r="FC13" t="n">
        <v>2.3</v>
      </c>
      <c r="FD13" t="n">
        <v>23.5</v>
      </c>
      <c r="FE13" t="n">
        <v>7.4</v>
      </c>
      <c r="FF13" t="n">
        <v>50.213</v>
      </c>
      <c r="FG13" t="n">
        <v>23.984</v>
      </c>
      <c r="FH13" t="n">
        <v>45.325</v>
      </c>
      <c r="FI13" t="n">
        <v>47.764</v>
      </c>
      <c r="FJ13" t="n">
        <v>22.1</v>
      </c>
      <c r="FK13" t="n">
        <v>75.2</v>
      </c>
      <c r="FL13" t="n">
        <v>3.8</v>
      </c>
      <c r="FM13" t="n">
        <v>3.2</v>
      </c>
      <c r="FN13" t="n">
        <v>0.162</v>
      </c>
      <c r="FO13" t="n">
        <v>3.498</v>
      </c>
      <c r="FP13" t="n">
        <v>0.07199999999999999</v>
      </c>
      <c r="FQ13" t="n">
        <v>2.843</v>
      </c>
      <c r="FR13" t="n">
        <v>0.269</v>
      </c>
      <c r="FS13" t="n">
        <v>2.5</v>
      </c>
      <c r="FT13" t="n">
        <v>34</v>
      </c>
      <c r="FU13" t="n">
        <v>44.8</v>
      </c>
      <c r="FV13" t="n">
        <v>23.1</v>
      </c>
      <c r="FW13" t="n">
        <v>46.7</v>
      </c>
      <c r="FX13" t="n">
        <v>11.5</v>
      </c>
      <c r="FY13" t="n">
        <v>19.928</v>
      </c>
      <c r="FZ13" t="n">
        <v>20.308</v>
      </c>
      <c r="GA13" t="n">
        <v>9.512</v>
      </c>
      <c r="GB13" t="n">
        <v>26.466</v>
      </c>
      <c r="GC13" t="n">
        <v>10.46</v>
      </c>
      <c r="GD13" t="n">
        <v>65.59999999999999</v>
      </c>
      <c r="GE13" t="n">
        <v>17.7</v>
      </c>
      <c r="GF13" t="n">
        <v>269.3</v>
      </c>
      <c r="GG13" t="n">
        <v>118.8</v>
      </c>
      <c r="GH13" t="n">
        <v>32.8</v>
      </c>
      <c r="GI13" t="n">
        <v>39.4</v>
      </c>
      <c r="GJ13" t="n">
        <v>39.678</v>
      </c>
      <c r="GK13" t="n">
        <v>11</v>
      </c>
      <c r="GL13" t="n">
        <v>27.919</v>
      </c>
      <c r="GM13" t="n">
        <v>2.5</v>
      </c>
      <c r="GN13" t="n">
        <v>10.3</v>
      </c>
      <c r="GO13" t="n">
        <v>87.379</v>
      </c>
      <c r="GP13" t="n">
        <v>8.199999999999999</v>
      </c>
      <c r="GQ13" t="n">
        <v>44.4</v>
      </c>
      <c r="GR13" t="n">
        <v>70.5</v>
      </c>
      <c r="GS13" t="n">
        <v>4.78</v>
      </c>
      <c r="GT13" t="n">
        <v>-48</v>
      </c>
      <c r="GU13" t="n">
        <v>-119.3</v>
      </c>
      <c r="GV13" t="n">
        <v>0.4</v>
      </c>
      <c r="GW13" t="n">
        <v>-22.1</v>
      </c>
      <c r="GX13" t="n">
        <v>-0.6</v>
      </c>
      <c r="GY13" t="n">
        <v>-22.7</v>
      </c>
      <c r="GZ13" t="n">
        <v>1.8</v>
      </c>
      <c r="HA13" t="n">
        <v>-12</v>
      </c>
      <c r="HB13" t="n">
        <v>-4.2</v>
      </c>
      <c r="HC13" t="n">
        <v>0.8</v>
      </c>
      <c r="HD13" t="n">
        <v>1.874</v>
      </c>
      <c r="HE13" t="n">
        <v>-1.13</v>
      </c>
      <c r="HF13" t="n">
        <v>-2.9</v>
      </c>
      <c r="HG13" t="n">
        <v>-16</v>
      </c>
      <c r="HH13" t="n">
        <v>-18.9</v>
      </c>
      <c r="HI13" t="n">
        <v>-0.9</v>
      </c>
      <c r="HJ13" t="n">
        <v>-4.4</v>
      </c>
      <c r="HK13" t="n">
        <v>-4.4</v>
      </c>
      <c r="HL13" t="n">
        <v>-3.5</v>
      </c>
      <c r="HM13" t="n">
        <v>-0.9</v>
      </c>
      <c r="HN13" t="n">
        <v>-2.8</v>
      </c>
      <c r="HO13" t="n">
        <v>-2.4</v>
      </c>
      <c r="HP13" t="n">
        <v>0.8</v>
      </c>
      <c r="HQ13" t="n">
        <v>-6.5</v>
      </c>
      <c r="HR13" t="n">
        <v>2</v>
      </c>
      <c r="HS13" t="n">
        <v>0.1</v>
      </c>
      <c r="HT13" t="n">
        <v>0.9</v>
      </c>
      <c r="HU13" t="n">
        <v>1</v>
      </c>
      <c r="HV13" t="n">
        <v>-2.5</v>
      </c>
      <c r="HW13" t="n">
        <v>-15.5</v>
      </c>
      <c r="HX13" t="n">
        <v>-0.2</v>
      </c>
      <c r="HY13" t="n">
        <v>1.2</v>
      </c>
      <c r="HZ13" t="n">
        <v>0.1</v>
      </c>
      <c r="IA13" t="n">
        <v>-0.7</v>
      </c>
      <c r="IB13" t="n">
        <v>0.9</v>
      </c>
      <c r="IC13" t="n">
        <v>0</v>
      </c>
      <c r="ID13" t="n">
        <v>3.1</v>
      </c>
      <c r="IE13" t="n">
        <v>2</v>
      </c>
      <c r="IF13" t="n">
        <v>1</v>
      </c>
      <c r="IG13" t="n">
        <v>10.977</v>
      </c>
      <c r="IH13" t="n">
        <v>-5.477</v>
      </c>
      <c r="II13" t="n">
        <v>0.04</v>
      </c>
      <c r="IJ13" t="n">
        <v>2.4</v>
      </c>
      <c r="IK13" t="n">
        <v>-2.2</v>
      </c>
      <c r="IL13" t="n">
        <v>5.2</v>
      </c>
      <c r="IM13" t="n">
        <v>13.8</v>
      </c>
      <c r="IN13" t="n">
        <v>-7.5</v>
      </c>
      <c r="IO13" t="n">
        <v>-0.9</v>
      </c>
      <c r="IP13" t="n">
        <v>-2.1</v>
      </c>
      <c r="IQ13" t="n">
        <v>-7.6</v>
      </c>
      <c r="IR13" t="n">
        <v>0.1</v>
      </c>
      <c r="IS13" t="n">
        <v>18.2</v>
      </c>
      <c r="IT13" t="n">
        <v>1.8</v>
      </c>
      <c r="IU13" t="n">
        <v>1.6</v>
      </c>
      <c r="IV13" t="n">
        <v>0.3</v>
      </c>
      <c r="IW13" t="n">
        <v>0.9</v>
      </c>
      <c r="IX13" t="n">
        <v>-1.7</v>
      </c>
      <c r="IY13" t="n">
        <v>3</v>
      </c>
      <c r="IZ13" t="n">
        <v>0.7</v>
      </c>
    </row>
    <row r="14">
      <c r="A14" t="inlineStr">
        <is>
          <t>Collingwood</t>
        </is>
      </c>
      <c r="B14" t="inlineStr">
        <is>
          <t>Coll</t>
        </is>
      </c>
      <c r="C14" t="n">
        <v>10</v>
      </c>
      <c r="D14" t="n">
        <v>32</v>
      </c>
      <c r="E14" t="n">
        <v>28.977</v>
      </c>
      <c r="F14" t="n">
        <v>164.717</v>
      </c>
      <c r="G14" t="n">
        <v>204.99</v>
      </c>
      <c r="H14" t="n">
        <v>1630.7</v>
      </c>
      <c r="I14" t="n">
        <v>1480.9</v>
      </c>
      <c r="J14" t="n">
        <v>14.1</v>
      </c>
      <c r="K14" t="n">
        <v>53.392</v>
      </c>
      <c r="L14" t="n">
        <v>202.6</v>
      </c>
      <c r="M14" t="n">
        <v>145.7</v>
      </c>
      <c r="N14" t="n">
        <v>348.3</v>
      </c>
      <c r="O14" t="n">
        <v>70.37</v>
      </c>
      <c r="P14" t="n">
        <v>64.511</v>
      </c>
      <c r="Q14" t="n">
        <v>78.518</v>
      </c>
      <c r="R14" t="n">
        <v>58.168</v>
      </c>
      <c r="S14" t="n">
        <v>6.333</v>
      </c>
      <c r="T14" t="n">
        <v>54.4</v>
      </c>
      <c r="U14" t="n">
        <v>35.2</v>
      </c>
      <c r="V14" t="n">
        <v>74.735</v>
      </c>
      <c r="W14" t="n">
        <v>5993.7</v>
      </c>
      <c r="X14" t="n">
        <v>17.208</v>
      </c>
      <c r="Y14" t="n">
        <v>60.5</v>
      </c>
      <c r="Z14" t="n">
        <v>5.757</v>
      </c>
      <c r="AA14" t="n">
        <v>64.5</v>
      </c>
      <c r="AB14" t="n">
        <v>5.4</v>
      </c>
      <c r="AC14" t="n">
        <v>-3.601</v>
      </c>
      <c r="AD14" t="n">
        <v>-0.105</v>
      </c>
      <c r="AE14" t="n">
        <v>128.8</v>
      </c>
      <c r="AF14" t="n">
        <v>209.4</v>
      </c>
      <c r="AG14" t="n">
        <v>338.2</v>
      </c>
      <c r="AH14" t="n">
        <v>38.084</v>
      </c>
      <c r="AI14" t="n">
        <v>70.09999999999999</v>
      </c>
      <c r="AJ14" t="n">
        <v>82.59999999999999</v>
      </c>
      <c r="AK14" t="n">
        <v>14.3</v>
      </c>
      <c r="AL14" t="n">
        <v>20.2</v>
      </c>
      <c r="AM14" t="n">
        <v>62.4</v>
      </c>
      <c r="AN14" t="n">
        <v>79.3</v>
      </c>
      <c r="AO14" t="n">
        <v>53.7</v>
      </c>
      <c r="AP14" t="n">
        <v>10</v>
      </c>
      <c r="AQ14" t="n">
        <v>20.4</v>
      </c>
      <c r="AR14" t="n">
        <v>109.7</v>
      </c>
      <c r="AS14" t="n">
        <v>11.3</v>
      </c>
      <c r="AT14" t="n">
        <v>23.7</v>
      </c>
      <c r="AU14" t="n">
        <v>35</v>
      </c>
      <c r="AV14" t="n">
        <v>42.6</v>
      </c>
      <c r="AW14" t="n">
        <v>69.014</v>
      </c>
      <c r="AX14" t="n">
        <v>84.2</v>
      </c>
      <c r="AY14" t="n">
        <v>9.800000000000001</v>
      </c>
      <c r="AZ14" t="n">
        <v>12.7</v>
      </c>
      <c r="BA14" t="n">
        <v>23.346</v>
      </c>
      <c r="BB14" t="n">
        <v>18.3</v>
      </c>
      <c r="BC14" t="n">
        <v>9.4</v>
      </c>
      <c r="BD14" t="n">
        <v>20</v>
      </c>
      <c r="BE14" t="n">
        <v>7</v>
      </c>
      <c r="BF14" t="n">
        <v>10.6</v>
      </c>
      <c r="BG14" t="n">
        <v>11.2</v>
      </c>
      <c r="BH14" t="n">
        <v>2.1</v>
      </c>
      <c r="BI14" t="n">
        <v>23.8</v>
      </c>
      <c r="BJ14" t="n">
        <v>8</v>
      </c>
      <c r="BK14" t="n">
        <v>44.538</v>
      </c>
      <c r="BL14" t="n">
        <v>19.485</v>
      </c>
      <c r="BM14" t="n">
        <v>40.074</v>
      </c>
      <c r="BN14" t="n">
        <v>43.75</v>
      </c>
      <c r="BO14" t="n">
        <v>21.5</v>
      </c>
      <c r="BP14" t="n">
        <v>9.199999999999999</v>
      </c>
      <c r="BQ14" t="n">
        <v>22.826</v>
      </c>
      <c r="BR14" t="n">
        <v>71.76600000000001</v>
      </c>
      <c r="BS14" t="n">
        <v>0.9340000000000001</v>
      </c>
      <c r="BT14" t="n">
        <v>3.015</v>
      </c>
      <c r="BU14" t="n">
        <v>0.039</v>
      </c>
      <c r="BV14" t="n">
        <v>3.241</v>
      </c>
      <c r="BW14" t="n">
        <v>0.097</v>
      </c>
      <c r="BX14" t="n">
        <v>2.714</v>
      </c>
      <c r="BY14" t="n">
        <v>-0.038</v>
      </c>
      <c r="BZ14" t="n">
        <v>2.6</v>
      </c>
      <c r="CA14" t="n">
        <v>29.4</v>
      </c>
      <c r="CB14" t="n">
        <v>42.8</v>
      </c>
      <c r="CC14" t="n">
        <v>21.1</v>
      </c>
      <c r="CD14" t="n">
        <v>43.7</v>
      </c>
      <c r="CE14" t="n">
        <v>10</v>
      </c>
      <c r="CF14" t="n">
        <v>19.283</v>
      </c>
      <c r="CG14" t="n">
        <v>24.581</v>
      </c>
      <c r="CH14" t="n">
        <v>6.983</v>
      </c>
      <c r="CI14" t="n">
        <v>32.308</v>
      </c>
      <c r="CJ14" t="n">
        <v>10.169</v>
      </c>
      <c r="CK14" t="n">
        <v>9.199999999999999</v>
      </c>
      <c r="CL14" t="n">
        <v>25</v>
      </c>
      <c r="CM14" t="n">
        <v>65.09999999999999</v>
      </c>
      <c r="CN14" t="n">
        <v>15.2</v>
      </c>
      <c r="CO14" t="n">
        <v>280.1</v>
      </c>
      <c r="CP14" t="n">
        <v>125.9</v>
      </c>
      <c r="CQ14" t="n">
        <v>28.2</v>
      </c>
      <c r="CR14" t="n">
        <v>97.2</v>
      </c>
      <c r="CS14" t="n">
        <v>37</v>
      </c>
      <c r="CT14" t="n">
        <v>38.066</v>
      </c>
      <c r="CU14" t="n">
        <v>11.4</v>
      </c>
      <c r="CV14" t="n">
        <v>30.811</v>
      </c>
      <c r="CW14" t="n">
        <v>3.2</v>
      </c>
      <c r="CX14" t="n">
        <v>18.4</v>
      </c>
      <c r="CY14" t="n">
        <v>19.8</v>
      </c>
      <c r="CZ14" t="n">
        <v>-1.4</v>
      </c>
      <c r="DA14" t="n">
        <v>8.199999999999999</v>
      </c>
      <c r="DB14" t="n">
        <v>93.902</v>
      </c>
      <c r="DC14" t="n">
        <v>4.3</v>
      </c>
      <c r="DD14" t="n">
        <v>44.3</v>
      </c>
      <c r="DE14" t="n">
        <v>68</v>
      </c>
      <c r="DF14" t="n">
        <v>201.01</v>
      </c>
      <c r="DG14" t="n">
        <v>1669.6</v>
      </c>
      <c r="DH14" t="n">
        <v>1508</v>
      </c>
      <c r="DI14" t="n">
        <v>15.9</v>
      </c>
      <c r="DJ14" t="n">
        <v>214.1</v>
      </c>
      <c r="DK14" t="n">
        <v>147</v>
      </c>
      <c r="DL14" t="n">
        <v>361.1</v>
      </c>
      <c r="DM14" t="n">
        <v>71.72499999999999</v>
      </c>
      <c r="DN14" t="n">
        <v>63.802</v>
      </c>
      <c r="DO14" t="n">
        <v>83.265</v>
      </c>
      <c r="DP14" t="n">
        <v>5.547</v>
      </c>
      <c r="DQ14" t="n">
        <v>47.1</v>
      </c>
      <c r="DR14" t="n">
        <v>42.8</v>
      </c>
      <c r="DS14" t="n">
        <v>78.676</v>
      </c>
      <c r="DT14" t="n">
        <v>5869.6</v>
      </c>
      <c r="DU14" t="n">
        <v>16.255</v>
      </c>
      <c r="DV14" t="n">
        <v>57.9</v>
      </c>
      <c r="DW14" t="n">
        <v>6.237</v>
      </c>
      <c r="DX14" t="n">
        <v>69.90000000000001</v>
      </c>
      <c r="DY14" t="n">
        <v>5.166</v>
      </c>
      <c r="DZ14" t="n">
        <v>-1.061</v>
      </c>
      <c r="EA14" t="n">
        <v>-0.897</v>
      </c>
      <c r="EB14" t="n">
        <v>134.1</v>
      </c>
      <c r="EC14" t="n">
        <v>220.3</v>
      </c>
      <c r="ED14" t="n">
        <v>354.4</v>
      </c>
      <c r="EE14" t="n">
        <v>37.839</v>
      </c>
      <c r="EF14" t="n">
        <v>64.5</v>
      </c>
      <c r="EG14" t="n">
        <v>90.7</v>
      </c>
      <c r="EH14" t="n">
        <v>12.4</v>
      </c>
      <c r="EI14" t="n">
        <v>21.7</v>
      </c>
      <c r="EJ14" t="n">
        <v>69</v>
      </c>
      <c r="EK14" t="n">
        <v>81.5</v>
      </c>
      <c r="EL14" t="n">
        <v>57.3</v>
      </c>
      <c r="EM14" t="n">
        <v>10.2</v>
      </c>
      <c r="EN14" t="n">
        <v>21.6</v>
      </c>
      <c r="EO14" t="n">
        <v>119.7</v>
      </c>
      <c r="EP14" t="n">
        <v>10.9</v>
      </c>
      <c r="EQ14" t="n">
        <v>28.7</v>
      </c>
      <c r="ER14" t="n">
        <v>39.6</v>
      </c>
      <c r="ES14" t="n">
        <v>39.8</v>
      </c>
      <c r="ET14" t="n">
        <v>75.628</v>
      </c>
      <c r="EU14" t="n">
        <v>90.8</v>
      </c>
      <c r="EV14" t="n">
        <v>9.4</v>
      </c>
      <c r="EW14" t="n">
        <v>11.5</v>
      </c>
      <c r="EX14" t="n">
        <v>24.416</v>
      </c>
      <c r="EY14" t="n">
        <v>14.7</v>
      </c>
      <c r="EZ14" t="n">
        <v>6</v>
      </c>
      <c r="FA14" t="n">
        <v>11.2</v>
      </c>
      <c r="FB14" t="n">
        <v>8.4</v>
      </c>
      <c r="FC14" t="n">
        <v>2</v>
      </c>
      <c r="FD14" t="n">
        <v>21.6</v>
      </c>
      <c r="FE14" t="n">
        <v>7.9</v>
      </c>
      <c r="FF14" t="n">
        <v>51.852</v>
      </c>
      <c r="FG14" t="n">
        <v>23.779</v>
      </c>
      <c r="FH14" t="n">
        <v>41.614</v>
      </c>
      <c r="FI14" t="n">
        <v>45.86</v>
      </c>
      <c r="FJ14" t="n">
        <v>19.3</v>
      </c>
      <c r="FK14" t="n">
        <v>71.994</v>
      </c>
      <c r="FL14" t="n">
        <v>1.506</v>
      </c>
      <c r="FM14" t="n">
        <v>3.349</v>
      </c>
      <c r="FN14" t="n">
        <v>0.07000000000000001</v>
      </c>
      <c r="FO14" t="n">
        <v>3.575</v>
      </c>
      <c r="FP14" t="n">
        <v>0</v>
      </c>
      <c r="FQ14" t="n">
        <v>2.974</v>
      </c>
      <c r="FR14" t="n">
        <v>0.186</v>
      </c>
      <c r="FS14" t="n">
        <v>2.5</v>
      </c>
      <c r="FT14" t="n">
        <v>37.7</v>
      </c>
      <c r="FU14" t="n">
        <v>35.4</v>
      </c>
      <c r="FV14" t="n">
        <v>30.4</v>
      </c>
      <c r="FW14" t="n">
        <v>36.4</v>
      </c>
      <c r="FX14" t="n">
        <v>8.800000000000001</v>
      </c>
      <c r="FY14" t="n">
        <v>17.186</v>
      </c>
      <c r="FZ14" t="n">
        <v>20.241</v>
      </c>
      <c r="GA14" t="n">
        <v>8.916</v>
      </c>
      <c r="GB14" t="n">
        <v>29.549</v>
      </c>
      <c r="GC14" t="n">
        <v>11.507</v>
      </c>
      <c r="GD14" t="n">
        <v>55</v>
      </c>
      <c r="GE14" t="n">
        <v>6.8</v>
      </c>
      <c r="GF14" t="n">
        <v>269.6</v>
      </c>
      <c r="GG14" t="n">
        <v>143.5</v>
      </c>
      <c r="GH14" t="n">
        <v>35.4</v>
      </c>
      <c r="GI14" t="n">
        <v>41.1</v>
      </c>
      <c r="GJ14" t="n">
        <v>42.371</v>
      </c>
      <c r="GK14" t="n">
        <v>11.1</v>
      </c>
      <c r="GL14" t="n">
        <v>27.007</v>
      </c>
      <c r="GM14" t="n">
        <v>2.3</v>
      </c>
      <c r="GN14" t="n">
        <v>10.8</v>
      </c>
      <c r="GO14" t="n">
        <v>90.741</v>
      </c>
      <c r="GP14" t="n">
        <v>4.5</v>
      </c>
      <c r="GQ14" t="n">
        <v>47.7</v>
      </c>
      <c r="GR14" t="n">
        <v>68.2</v>
      </c>
      <c r="GS14" t="n">
        <v>3.98</v>
      </c>
      <c r="GT14" t="n">
        <v>-38.9</v>
      </c>
      <c r="GU14" t="n">
        <v>-27.1</v>
      </c>
      <c r="GV14" t="n">
        <v>-1.8</v>
      </c>
      <c r="GW14" t="n">
        <v>-11.5</v>
      </c>
      <c r="GX14" t="n">
        <v>-1.3</v>
      </c>
      <c r="GY14" t="n">
        <v>-12.8</v>
      </c>
      <c r="GZ14" t="n">
        <v>7.3</v>
      </c>
      <c r="HA14" t="n">
        <v>124.1</v>
      </c>
      <c r="HB14" t="n">
        <v>2.6</v>
      </c>
      <c r="HC14" t="n">
        <v>-5.4</v>
      </c>
      <c r="HD14" t="n">
        <v>-2.54</v>
      </c>
      <c r="HE14" t="n">
        <v>0.792</v>
      </c>
      <c r="HF14" t="n">
        <v>-5.3</v>
      </c>
      <c r="HG14" t="n">
        <v>-10.9</v>
      </c>
      <c r="HH14" t="n">
        <v>-16.2</v>
      </c>
      <c r="HI14" t="n">
        <v>5.6</v>
      </c>
      <c r="HJ14" t="n">
        <v>-8.1</v>
      </c>
      <c r="HK14" t="n">
        <v>1.9</v>
      </c>
      <c r="HL14" t="n">
        <v>-1.5</v>
      </c>
      <c r="HM14" t="n">
        <v>-6.6</v>
      </c>
      <c r="HN14" t="n">
        <v>-2.2</v>
      </c>
      <c r="HO14" t="n">
        <v>-3.6</v>
      </c>
      <c r="HP14" t="n">
        <v>-0.2</v>
      </c>
      <c r="HQ14" t="n">
        <v>-1.2</v>
      </c>
      <c r="HR14" t="n">
        <v>-10</v>
      </c>
      <c r="HS14" t="n">
        <v>0.4</v>
      </c>
      <c r="HT14" t="n">
        <v>-5</v>
      </c>
      <c r="HU14" t="n">
        <v>-4.6</v>
      </c>
      <c r="HV14" t="n">
        <v>2.8</v>
      </c>
      <c r="HW14" t="n">
        <v>-6.6</v>
      </c>
      <c r="HX14" t="n">
        <v>0.4</v>
      </c>
      <c r="HY14" t="n">
        <v>1.2</v>
      </c>
      <c r="HZ14" t="n">
        <v>3.6</v>
      </c>
      <c r="IA14" t="n">
        <v>3.4</v>
      </c>
      <c r="IB14" t="n">
        <v>-0.6</v>
      </c>
      <c r="IC14" t="n">
        <v>2.8</v>
      </c>
      <c r="ID14" t="n">
        <v>2.2</v>
      </c>
      <c r="IE14" t="n">
        <v>0.1</v>
      </c>
      <c r="IF14" t="n">
        <v>2.2</v>
      </c>
      <c r="IG14" t="n">
        <v>-0.228</v>
      </c>
      <c r="IH14" t="n">
        <v>-0.572</v>
      </c>
      <c r="II14" t="n">
        <v>-0.333</v>
      </c>
      <c r="IJ14" t="n">
        <v>0.1</v>
      </c>
      <c r="IK14" t="n">
        <v>-8.300000000000001</v>
      </c>
      <c r="IL14" t="n">
        <v>7.4</v>
      </c>
      <c r="IM14" t="n">
        <v>-9.300000000000001</v>
      </c>
      <c r="IN14" t="n">
        <v>7.3</v>
      </c>
      <c r="IO14" t="n">
        <v>1.2</v>
      </c>
      <c r="IP14" t="n">
        <v>10.1</v>
      </c>
      <c r="IQ14" t="n">
        <v>8.4</v>
      </c>
      <c r="IR14" t="n">
        <v>10.5</v>
      </c>
      <c r="IS14" t="n">
        <v>-17.6</v>
      </c>
      <c r="IT14" t="n">
        <v>-7.2</v>
      </c>
      <c r="IU14" t="n">
        <v>-4.1</v>
      </c>
      <c r="IV14" t="n">
        <v>0.3</v>
      </c>
      <c r="IW14" t="n">
        <v>0.9</v>
      </c>
      <c r="IX14" t="n">
        <v>-0.2</v>
      </c>
      <c r="IY14" t="n">
        <v>-3.4</v>
      </c>
      <c r="IZ14" t="n">
        <v>-0.2</v>
      </c>
    </row>
    <row r="15">
      <c r="A15" t="inlineStr">
        <is>
          <t>Adelaide</t>
        </is>
      </c>
      <c r="B15" t="inlineStr">
        <is>
          <t>Adel</t>
        </is>
      </c>
      <c r="C15" t="n">
        <v>10</v>
      </c>
      <c r="D15" t="n">
        <v>33</v>
      </c>
      <c r="E15" t="n">
        <v>26.036</v>
      </c>
      <c r="F15" t="n">
        <v>105.057</v>
      </c>
      <c r="G15" t="n">
        <v>198.32</v>
      </c>
      <c r="H15" t="n">
        <v>1680.5</v>
      </c>
      <c r="I15" t="n">
        <v>1494.7</v>
      </c>
      <c r="J15" t="n">
        <v>16.5</v>
      </c>
      <c r="K15" t="n">
        <v>49.913</v>
      </c>
      <c r="L15" t="n">
        <v>215.8</v>
      </c>
      <c r="M15" t="n">
        <v>119.1</v>
      </c>
      <c r="N15" t="n">
        <v>334.9</v>
      </c>
      <c r="O15" t="n">
        <v>69.991</v>
      </c>
      <c r="P15" t="n">
        <v>64.36499999999999</v>
      </c>
      <c r="Q15" t="n">
        <v>80.185</v>
      </c>
      <c r="R15" t="n">
        <v>64.437</v>
      </c>
      <c r="S15" t="n">
        <v>5.316</v>
      </c>
      <c r="T15" t="n">
        <v>50.3</v>
      </c>
      <c r="U15" t="n">
        <v>39.2</v>
      </c>
      <c r="V15" t="n">
        <v>76.265</v>
      </c>
      <c r="W15" t="n">
        <v>5860.5</v>
      </c>
      <c r="X15" t="n">
        <v>17.499</v>
      </c>
      <c r="Y15" t="n">
        <v>62</v>
      </c>
      <c r="Z15" t="n">
        <v>5.402</v>
      </c>
      <c r="AA15" t="n">
        <v>69.3</v>
      </c>
      <c r="AB15" t="n">
        <v>4.833</v>
      </c>
      <c r="AC15" t="n">
        <v>1.314</v>
      </c>
      <c r="AD15" t="n">
        <v>0.825</v>
      </c>
      <c r="AE15" t="n">
        <v>134.7</v>
      </c>
      <c r="AF15" t="n">
        <v>191.3</v>
      </c>
      <c r="AG15" t="n">
        <v>326</v>
      </c>
      <c r="AH15" t="n">
        <v>41.319</v>
      </c>
      <c r="AI15" t="n">
        <v>70.90000000000001</v>
      </c>
      <c r="AJ15" t="n">
        <v>88.3</v>
      </c>
      <c r="AK15" t="n">
        <v>13.5</v>
      </c>
      <c r="AL15" t="n">
        <v>24.9</v>
      </c>
      <c r="AM15" t="n">
        <v>63.4</v>
      </c>
      <c r="AN15" t="n">
        <v>87.59999999999999</v>
      </c>
      <c r="AO15" t="n">
        <v>59.2</v>
      </c>
      <c r="AP15" t="n">
        <v>10.7</v>
      </c>
      <c r="AQ15" t="n">
        <v>21.8</v>
      </c>
      <c r="AR15" t="n">
        <v>93.40000000000001</v>
      </c>
      <c r="AS15" t="n">
        <v>11.5</v>
      </c>
      <c r="AT15" t="n">
        <v>25.5</v>
      </c>
      <c r="AU15" t="n">
        <v>37</v>
      </c>
      <c r="AV15" t="n">
        <v>39.5</v>
      </c>
      <c r="AW15" t="n">
        <v>76.962</v>
      </c>
      <c r="AX15" t="n">
        <v>85.40000000000001</v>
      </c>
      <c r="AY15" t="n">
        <v>10.6</v>
      </c>
      <c r="AZ15" t="n">
        <v>11.2</v>
      </c>
      <c r="BA15" t="n">
        <v>22.266</v>
      </c>
      <c r="BB15" t="n">
        <v>15.2</v>
      </c>
      <c r="BC15" t="n">
        <v>6.8</v>
      </c>
      <c r="BD15" t="n">
        <v>19</v>
      </c>
      <c r="BE15" t="n">
        <v>8</v>
      </c>
      <c r="BF15" t="n">
        <v>13.7</v>
      </c>
      <c r="BG15" t="n">
        <v>9.9</v>
      </c>
      <c r="BH15" t="n">
        <v>2.3</v>
      </c>
      <c r="BI15" t="n">
        <v>25.5</v>
      </c>
      <c r="BJ15" t="n">
        <v>10.4</v>
      </c>
      <c r="BK15" t="n">
        <v>53.725</v>
      </c>
      <c r="BL15" t="n">
        <v>27.237</v>
      </c>
      <c r="BM15" t="n">
        <v>46.918</v>
      </c>
      <c r="BN15" t="n">
        <v>50.696</v>
      </c>
      <c r="BO15" t="n">
        <v>23.3</v>
      </c>
      <c r="BP15" t="n">
        <v>11.5</v>
      </c>
      <c r="BQ15" t="n">
        <v>35.652</v>
      </c>
      <c r="BR15" t="n">
        <v>82.276</v>
      </c>
      <c r="BS15" t="n">
        <v>7.524</v>
      </c>
      <c r="BT15" t="n">
        <v>3.227</v>
      </c>
      <c r="BU15" t="n">
        <v>0.295</v>
      </c>
      <c r="BV15" t="n">
        <v>3.6</v>
      </c>
      <c r="BW15" t="n">
        <v>0.378</v>
      </c>
      <c r="BX15" t="n">
        <v>2.779</v>
      </c>
      <c r="BY15" t="n">
        <v>0.195</v>
      </c>
      <c r="BZ15" t="n">
        <v>3.8</v>
      </c>
      <c r="CA15" t="n">
        <v>36</v>
      </c>
      <c r="CB15" t="n">
        <v>52.3</v>
      </c>
      <c r="CC15" t="n">
        <v>36.2</v>
      </c>
      <c r="CD15" t="n">
        <v>47.2</v>
      </c>
      <c r="CE15" t="n">
        <v>8.699999999999999</v>
      </c>
      <c r="CF15" t="n">
        <v>20.208</v>
      </c>
      <c r="CG15" t="n">
        <v>20.256</v>
      </c>
      <c r="CH15" t="n">
        <v>9.487</v>
      </c>
      <c r="CI15" t="n">
        <v>28.571</v>
      </c>
      <c r="CJ15" t="n">
        <v>12.429</v>
      </c>
      <c r="CK15" t="n">
        <v>12.2</v>
      </c>
      <c r="CL15" t="n">
        <v>21.311</v>
      </c>
      <c r="CM15" t="n">
        <v>63.5</v>
      </c>
      <c r="CN15" t="n">
        <v>8.1</v>
      </c>
      <c r="CO15" t="n">
        <v>276.8</v>
      </c>
      <c r="CP15" t="n">
        <v>134.9</v>
      </c>
      <c r="CQ15" t="n">
        <v>32.4</v>
      </c>
      <c r="CR15" t="n">
        <v>100.8</v>
      </c>
      <c r="CS15" t="n">
        <v>46.2</v>
      </c>
      <c r="CT15" t="n">
        <v>45.833</v>
      </c>
      <c r="CU15" t="n">
        <v>12.1</v>
      </c>
      <c r="CV15" t="n">
        <v>26.19</v>
      </c>
      <c r="CW15" t="n">
        <v>1.8</v>
      </c>
      <c r="CX15" t="n">
        <v>22.6</v>
      </c>
      <c r="CY15" t="n">
        <v>19.9</v>
      </c>
      <c r="CZ15" t="n">
        <v>2.7</v>
      </c>
      <c r="DA15" t="n">
        <v>9.4</v>
      </c>
      <c r="DB15" t="n">
        <v>89.36199999999999</v>
      </c>
      <c r="DC15" t="n">
        <v>4.8</v>
      </c>
      <c r="DD15" t="n">
        <v>46</v>
      </c>
      <c r="DE15" t="n">
        <v>70.8</v>
      </c>
      <c r="DF15" t="n">
        <v>187.46</v>
      </c>
      <c r="DG15" t="n">
        <v>1619.2</v>
      </c>
      <c r="DH15" t="n">
        <v>1463</v>
      </c>
      <c r="DI15" t="n">
        <v>13.5</v>
      </c>
      <c r="DJ15" t="n">
        <v>206.6</v>
      </c>
      <c r="DK15" t="n">
        <v>141.4</v>
      </c>
      <c r="DL15" t="n">
        <v>348</v>
      </c>
      <c r="DM15" t="n">
        <v>70.14400000000001</v>
      </c>
      <c r="DN15" t="n">
        <v>63.069</v>
      </c>
      <c r="DO15" t="n">
        <v>80.48099999999999</v>
      </c>
      <c r="DP15" t="n">
        <v>5.48</v>
      </c>
      <c r="DQ15" t="n">
        <v>51.4</v>
      </c>
      <c r="DR15" t="n">
        <v>36.3</v>
      </c>
      <c r="DS15" t="n">
        <v>72.167</v>
      </c>
      <c r="DT15" t="n">
        <v>5833.4</v>
      </c>
      <c r="DU15" t="n">
        <v>16.763</v>
      </c>
      <c r="DV15" t="n">
        <v>59.9</v>
      </c>
      <c r="DW15" t="n">
        <v>5.81</v>
      </c>
      <c r="DX15" t="n">
        <v>70.8</v>
      </c>
      <c r="DY15" t="n">
        <v>4.915</v>
      </c>
      <c r="DZ15" t="n">
        <v>-2.375</v>
      </c>
      <c r="EA15" t="n">
        <v>-4.299</v>
      </c>
      <c r="EB15" t="n">
        <v>135.5</v>
      </c>
      <c r="EC15" t="n">
        <v>202.8</v>
      </c>
      <c r="ED15" t="n">
        <v>338.3</v>
      </c>
      <c r="EE15" t="n">
        <v>40.053</v>
      </c>
      <c r="EF15" t="n">
        <v>69.5</v>
      </c>
      <c r="EG15" t="n">
        <v>92.5</v>
      </c>
      <c r="EH15" t="n">
        <v>15</v>
      </c>
      <c r="EI15" t="n">
        <v>22.9</v>
      </c>
      <c r="EJ15" t="n">
        <v>69.59999999999999</v>
      </c>
      <c r="EK15" t="n">
        <v>81.40000000000001</v>
      </c>
      <c r="EL15" t="n">
        <v>57.5</v>
      </c>
      <c r="EM15" t="n">
        <v>9.4</v>
      </c>
      <c r="EN15" t="n">
        <v>21.6</v>
      </c>
      <c r="EO15" t="n">
        <v>110.7</v>
      </c>
      <c r="EP15" t="n">
        <v>12.6</v>
      </c>
      <c r="EQ15" t="n">
        <v>27.7</v>
      </c>
      <c r="ER15" t="n">
        <v>40.3</v>
      </c>
      <c r="ES15" t="n">
        <v>45.6</v>
      </c>
      <c r="ET15" t="n">
        <v>75.877</v>
      </c>
      <c r="EU15" t="n">
        <v>81.59999999999999</v>
      </c>
      <c r="EV15" t="n">
        <v>9.1</v>
      </c>
      <c r="EW15" t="n">
        <v>10.1</v>
      </c>
      <c r="EX15" t="n">
        <v>19.65</v>
      </c>
      <c r="EY15" t="n">
        <v>17.5</v>
      </c>
      <c r="EZ15" t="n">
        <v>7.8</v>
      </c>
      <c r="FA15" t="n">
        <v>11</v>
      </c>
      <c r="FB15" t="n">
        <v>9.699999999999999</v>
      </c>
      <c r="FC15" t="n">
        <v>1.4</v>
      </c>
      <c r="FD15" t="n">
        <v>24.1</v>
      </c>
      <c r="FE15" t="n">
        <v>7.2</v>
      </c>
      <c r="FF15" t="n">
        <v>45.643</v>
      </c>
      <c r="FG15" t="n">
        <v>21.401</v>
      </c>
      <c r="FH15" t="n">
        <v>40.272</v>
      </c>
      <c r="FI15" t="n">
        <v>46.887</v>
      </c>
      <c r="FJ15" t="n">
        <v>20.6</v>
      </c>
      <c r="FK15" t="n">
        <v>76.251</v>
      </c>
      <c r="FL15" t="n">
        <v>-1.951</v>
      </c>
      <c r="FM15" t="n">
        <v>3.164</v>
      </c>
      <c r="FN15" t="n">
        <v>-0.081</v>
      </c>
      <c r="FO15" t="n">
        <v>3.401</v>
      </c>
      <c r="FP15" t="n">
        <v>-0.029</v>
      </c>
      <c r="FQ15" t="n">
        <v>2.877</v>
      </c>
      <c r="FR15" t="n">
        <v>-0.143</v>
      </c>
      <c r="FS15" t="n">
        <v>3.3</v>
      </c>
      <c r="FT15" t="n">
        <v>31.5</v>
      </c>
      <c r="FU15" t="n">
        <v>40.9</v>
      </c>
      <c r="FV15" t="n">
        <v>20.3</v>
      </c>
      <c r="FW15" t="n">
        <v>45.3</v>
      </c>
      <c r="FX15" t="n">
        <v>10.1</v>
      </c>
      <c r="FY15" t="n">
        <v>17.637</v>
      </c>
      <c r="FZ15" t="n">
        <v>15.702</v>
      </c>
      <c r="GA15" t="n">
        <v>6.077</v>
      </c>
      <c r="GB15" t="n">
        <v>27.043</v>
      </c>
      <c r="GC15" t="n">
        <v>8.657</v>
      </c>
      <c r="GD15" t="n">
        <v>63</v>
      </c>
      <c r="GE15" t="n">
        <v>12.9</v>
      </c>
      <c r="GF15" t="n">
        <v>259.9</v>
      </c>
      <c r="GG15" t="n">
        <v>120.9</v>
      </c>
      <c r="GH15" t="n">
        <v>32.8</v>
      </c>
      <c r="GI15" t="n">
        <v>37.2</v>
      </c>
      <c r="GJ15" t="n">
        <v>36.868</v>
      </c>
      <c r="GK15" t="n">
        <v>9.9</v>
      </c>
      <c r="GL15" t="n">
        <v>26.613</v>
      </c>
      <c r="GM15" t="n">
        <v>2.5</v>
      </c>
      <c r="GN15" t="n">
        <v>9.800000000000001</v>
      </c>
      <c r="GO15" t="n">
        <v>93.878</v>
      </c>
      <c r="GP15" t="n">
        <v>5.4</v>
      </c>
      <c r="GQ15" t="n">
        <v>44.2</v>
      </c>
      <c r="GR15" t="n">
        <v>70.40000000000001</v>
      </c>
      <c r="GS15" t="n">
        <v>10.86</v>
      </c>
      <c r="GT15" t="n">
        <v>61.3</v>
      </c>
      <c r="GU15" t="n">
        <v>31.7</v>
      </c>
      <c r="GV15" t="n">
        <v>3</v>
      </c>
      <c r="GW15" t="n">
        <v>9.199999999999999</v>
      </c>
      <c r="GX15" t="n">
        <v>-22.3</v>
      </c>
      <c r="GY15" t="n">
        <v>-13.1</v>
      </c>
      <c r="GZ15" t="n">
        <v>-1.1</v>
      </c>
      <c r="HA15" t="n">
        <v>27.1</v>
      </c>
      <c r="HB15" t="n">
        <v>2.1</v>
      </c>
      <c r="HC15" t="n">
        <v>-1.5</v>
      </c>
      <c r="HD15" t="n">
        <v>3.689</v>
      </c>
      <c r="HE15" t="n">
        <v>5.124</v>
      </c>
      <c r="HF15" t="n">
        <v>-0.8</v>
      </c>
      <c r="HG15" t="n">
        <v>-11.5</v>
      </c>
      <c r="HH15" t="n">
        <v>-12.3</v>
      </c>
      <c r="HI15" t="n">
        <v>1.4</v>
      </c>
      <c r="HJ15" t="n">
        <v>-4.2</v>
      </c>
      <c r="HK15" t="n">
        <v>-1.5</v>
      </c>
      <c r="HL15" t="n">
        <v>2</v>
      </c>
      <c r="HM15" t="n">
        <v>-6.2</v>
      </c>
      <c r="HN15" t="n">
        <v>6.2</v>
      </c>
      <c r="HO15" t="n">
        <v>1.7</v>
      </c>
      <c r="HP15" t="n">
        <v>1.3</v>
      </c>
      <c r="HQ15" t="n">
        <v>0.2</v>
      </c>
      <c r="HR15" t="n">
        <v>-17.3</v>
      </c>
      <c r="HS15" t="n">
        <v>-1.1</v>
      </c>
      <c r="HT15" t="n">
        <v>-2.2</v>
      </c>
      <c r="HU15" t="n">
        <v>-3.3</v>
      </c>
      <c r="HV15" t="n">
        <v>-6.1</v>
      </c>
      <c r="HW15" t="n">
        <v>3.8</v>
      </c>
      <c r="HX15" t="n">
        <v>1.5</v>
      </c>
      <c r="HY15" t="n">
        <v>1.1</v>
      </c>
      <c r="HZ15" t="n">
        <v>-2.3</v>
      </c>
      <c r="IA15" t="n">
        <v>-1</v>
      </c>
      <c r="IB15" t="n">
        <v>2.7</v>
      </c>
      <c r="IC15" t="n">
        <v>0.2</v>
      </c>
      <c r="ID15" t="n">
        <v>1.4</v>
      </c>
      <c r="IE15" t="n">
        <v>3.2</v>
      </c>
      <c r="IF15" t="n">
        <v>2.7</v>
      </c>
      <c r="IG15" t="n">
        <v>6.026</v>
      </c>
      <c r="IH15" t="n">
        <v>9.474</v>
      </c>
      <c r="II15" t="n">
        <v>0.063</v>
      </c>
      <c r="IJ15" t="n">
        <v>0.5</v>
      </c>
      <c r="IK15" t="n">
        <v>4.5</v>
      </c>
      <c r="IL15" t="n">
        <v>11.4</v>
      </c>
      <c r="IM15" t="n">
        <v>15.9</v>
      </c>
      <c r="IN15" t="n">
        <v>1.9</v>
      </c>
      <c r="IO15" t="n">
        <v>-1.4</v>
      </c>
      <c r="IP15" t="n">
        <v>0.5</v>
      </c>
      <c r="IQ15" t="n">
        <v>-4.8</v>
      </c>
      <c r="IR15" t="n">
        <v>16.9</v>
      </c>
      <c r="IS15" t="n">
        <v>14</v>
      </c>
      <c r="IT15" t="n">
        <v>-0.4</v>
      </c>
      <c r="IU15" t="n">
        <v>9</v>
      </c>
      <c r="IV15" t="n">
        <v>2.2</v>
      </c>
      <c r="IW15" t="n">
        <v>-0.7</v>
      </c>
      <c r="IX15" t="n">
        <v>-0.6</v>
      </c>
      <c r="IY15" t="n">
        <v>1.8</v>
      </c>
      <c r="IZ15" t="n">
        <v>0.4</v>
      </c>
    </row>
    <row r="16">
      <c r="A16" t="inlineStr">
        <is>
          <t>Gold Coast</t>
        </is>
      </c>
      <c r="B16" t="inlineStr">
        <is>
          <t>GC</t>
        </is>
      </c>
      <c r="C16" t="n">
        <v>10</v>
      </c>
      <c r="D16" t="n">
        <v>33</v>
      </c>
      <c r="E16" t="n">
        <v>25.789</v>
      </c>
      <c r="F16" t="n">
        <v>101.596</v>
      </c>
      <c r="G16" t="n">
        <v>205.39</v>
      </c>
      <c r="H16" t="n">
        <v>1691.2</v>
      </c>
      <c r="I16" t="n">
        <v>1467.9</v>
      </c>
      <c r="J16" t="n">
        <v>16.7</v>
      </c>
      <c r="K16" t="n">
        <v>52.504</v>
      </c>
      <c r="L16" t="n">
        <v>195.6</v>
      </c>
      <c r="M16" t="n">
        <v>159.3</v>
      </c>
      <c r="N16" t="n">
        <v>354.9</v>
      </c>
      <c r="O16" t="n">
        <v>74.782</v>
      </c>
      <c r="P16" t="n">
        <v>68.50700000000001</v>
      </c>
      <c r="Q16" t="n">
        <v>82.486</v>
      </c>
      <c r="R16" t="n">
        <v>55.114</v>
      </c>
      <c r="S16" t="n">
        <v>5.598</v>
      </c>
      <c r="T16" t="n">
        <v>53.9</v>
      </c>
      <c r="U16" t="n">
        <v>38.6</v>
      </c>
      <c r="V16" t="n">
        <v>77.2</v>
      </c>
      <c r="W16" t="n">
        <v>6144.9</v>
      </c>
      <c r="X16" t="n">
        <v>17.314</v>
      </c>
      <c r="Y16" t="n">
        <v>57.4</v>
      </c>
      <c r="Z16" t="n">
        <v>6.183</v>
      </c>
      <c r="AA16" t="n">
        <v>62.3</v>
      </c>
      <c r="AB16" t="n">
        <v>5.697</v>
      </c>
      <c r="AC16" t="n">
        <v>1.272</v>
      </c>
      <c r="AD16" t="n">
        <v>1.741</v>
      </c>
      <c r="AE16" t="n">
        <v>130.1</v>
      </c>
      <c r="AF16" t="n">
        <v>217.9</v>
      </c>
      <c r="AG16" t="n">
        <v>348</v>
      </c>
      <c r="AH16" t="n">
        <v>37.385</v>
      </c>
      <c r="AI16" t="n">
        <v>62.3</v>
      </c>
      <c r="AJ16" t="n">
        <v>85.90000000000001</v>
      </c>
      <c r="AK16" t="n">
        <v>14.5</v>
      </c>
      <c r="AL16" t="n">
        <v>19.8</v>
      </c>
      <c r="AM16" t="n">
        <v>66.09999999999999</v>
      </c>
      <c r="AN16" t="n">
        <v>79.8</v>
      </c>
      <c r="AO16" t="n">
        <v>54.8</v>
      </c>
      <c r="AP16" t="n">
        <v>10.3</v>
      </c>
      <c r="AQ16" t="n">
        <v>22.2</v>
      </c>
      <c r="AR16" t="n">
        <v>128.2</v>
      </c>
      <c r="AS16" t="n">
        <v>11.3</v>
      </c>
      <c r="AT16" t="n">
        <v>26.4</v>
      </c>
      <c r="AU16" t="n">
        <v>37.7</v>
      </c>
      <c r="AV16" t="n">
        <v>41.8</v>
      </c>
      <c r="AW16" t="n">
        <v>77.033</v>
      </c>
      <c r="AX16" t="n">
        <v>80.90000000000001</v>
      </c>
      <c r="AY16" t="n">
        <v>10.1</v>
      </c>
      <c r="AZ16" t="n">
        <v>12.9</v>
      </c>
      <c r="BA16" t="n">
        <v>23.933</v>
      </c>
      <c r="BB16" t="n">
        <v>12.7</v>
      </c>
      <c r="BC16" t="n">
        <v>9.300000000000001</v>
      </c>
      <c r="BD16" t="n">
        <v>20</v>
      </c>
      <c r="BE16" t="n">
        <v>7.3</v>
      </c>
      <c r="BF16" t="n">
        <v>12.5</v>
      </c>
      <c r="BG16" t="n">
        <v>11.8</v>
      </c>
      <c r="BH16" t="n">
        <v>2.7</v>
      </c>
      <c r="BI16" t="n">
        <v>26</v>
      </c>
      <c r="BJ16" t="n">
        <v>8.800000000000001</v>
      </c>
      <c r="BK16" t="n">
        <v>48.077</v>
      </c>
      <c r="BL16" t="n">
        <v>23.191</v>
      </c>
      <c r="BM16" t="n">
        <v>45.083</v>
      </c>
      <c r="BN16" t="n">
        <v>48.237</v>
      </c>
      <c r="BO16" t="n">
        <v>24.1</v>
      </c>
      <c r="BP16" t="n">
        <v>11.1</v>
      </c>
      <c r="BQ16" t="n">
        <v>22.523</v>
      </c>
      <c r="BR16" t="n">
        <v>83.622</v>
      </c>
      <c r="BS16" t="n">
        <v>0.478</v>
      </c>
      <c r="BT16" t="n">
        <v>3.216</v>
      </c>
      <c r="BU16" t="n">
        <v>0.018</v>
      </c>
      <c r="BV16" t="n">
        <v>3.397</v>
      </c>
      <c r="BW16" t="n">
        <v>0.05</v>
      </c>
      <c r="BX16" t="n">
        <v>2.962</v>
      </c>
      <c r="BY16" t="n">
        <v>-0.027</v>
      </c>
      <c r="BZ16" t="n">
        <v>3.2</v>
      </c>
      <c r="CA16" t="n">
        <v>37.5</v>
      </c>
      <c r="CB16" t="n">
        <v>46.1</v>
      </c>
      <c r="CC16" t="n">
        <v>31.7</v>
      </c>
      <c r="CD16" t="n">
        <v>41.1</v>
      </c>
      <c r="CE16" t="n">
        <v>14</v>
      </c>
      <c r="CF16" t="n">
        <v>22.14</v>
      </c>
      <c r="CG16" t="n">
        <v>25.065</v>
      </c>
      <c r="CH16" t="n">
        <v>10.622</v>
      </c>
      <c r="CI16" t="n">
        <v>33.591</v>
      </c>
      <c r="CJ16" t="n">
        <v>14.308</v>
      </c>
      <c r="CK16" t="n">
        <v>12.2</v>
      </c>
      <c r="CL16" t="n">
        <v>27.869</v>
      </c>
      <c r="CM16" t="n">
        <v>58.9</v>
      </c>
      <c r="CN16" t="n">
        <v>11.7</v>
      </c>
      <c r="CO16" t="n">
        <v>256.9</v>
      </c>
      <c r="CP16" t="n">
        <v>118.4</v>
      </c>
      <c r="CQ16" t="n">
        <v>35.5</v>
      </c>
      <c r="CR16" t="n">
        <v>96.5</v>
      </c>
      <c r="CS16" t="n">
        <v>46.2</v>
      </c>
      <c r="CT16" t="n">
        <v>47.876</v>
      </c>
      <c r="CU16" t="n">
        <v>11.7</v>
      </c>
      <c r="CV16" t="n">
        <v>25.325</v>
      </c>
      <c r="CW16" t="n">
        <v>2.2</v>
      </c>
      <c r="CX16" t="n">
        <v>20.8</v>
      </c>
      <c r="CY16" t="n">
        <v>22.3</v>
      </c>
      <c r="CZ16" t="n">
        <v>-1.5</v>
      </c>
      <c r="DA16" t="n">
        <v>10.6</v>
      </c>
      <c r="DB16" t="n">
        <v>94.34</v>
      </c>
      <c r="DC16" t="n">
        <v>8.699999999999999</v>
      </c>
      <c r="DD16" t="n">
        <v>45.6</v>
      </c>
      <c r="DE16" t="n">
        <v>71.7</v>
      </c>
      <c r="DF16" t="n">
        <v>194.47</v>
      </c>
      <c r="DG16" t="n">
        <v>1608.9</v>
      </c>
      <c r="DH16" t="n">
        <v>1453.4</v>
      </c>
      <c r="DI16" t="n">
        <v>13.3</v>
      </c>
      <c r="DJ16" t="n">
        <v>200.8</v>
      </c>
      <c r="DK16" t="n">
        <v>142</v>
      </c>
      <c r="DL16" t="n">
        <v>342.8</v>
      </c>
      <c r="DM16" t="n">
        <v>71.441</v>
      </c>
      <c r="DN16" t="n">
        <v>65.139</v>
      </c>
      <c r="DO16" t="n">
        <v>80.352</v>
      </c>
      <c r="DP16" t="n">
        <v>5.82</v>
      </c>
      <c r="DQ16" t="n">
        <v>50</v>
      </c>
      <c r="DR16" t="n">
        <v>40.6</v>
      </c>
      <c r="DS16" t="n">
        <v>75.325</v>
      </c>
      <c r="DT16" t="n">
        <v>5902.6</v>
      </c>
      <c r="DU16" t="n">
        <v>17.219</v>
      </c>
      <c r="DV16" t="n">
        <v>59.2</v>
      </c>
      <c r="DW16" t="n">
        <v>5.791</v>
      </c>
      <c r="DX16" t="n">
        <v>62.3</v>
      </c>
      <c r="DY16" t="n">
        <v>5.502</v>
      </c>
      <c r="DZ16" t="n">
        <v>2.035</v>
      </c>
      <c r="EA16" t="n">
        <v>0.025</v>
      </c>
      <c r="EB16" t="n">
        <v>129.4</v>
      </c>
      <c r="EC16" t="n">
        <v>205.5</v>
      </c>
      <c r="ED16" t="n">
        <v>334.9</v>
      </c>
      <c r="EE16" t="n">
        <v>38.638</v>
      </c>
      <c r="EF16" t="n">
        <v>62.6</v>
      </c>
      <c r="EG16" t="n">
        <v>85.40000000000001</v>
      </c>
      <c r="EH16" t="n">
        <v>13.8</v>
      </c>
      <c r="EI16" t="n">
        <v>23.9</v>
      </c>
      <c r="EJ16" t="n">
        <v>61.5</v>
      </c>
      <c r="EK16" t="n">
        <v>81.09999999999999</v>
      </c>
      <c r="EL16" t="n">
        <v>56</v>
      </c>
      <c r="EM16" t="n">
        <v>9.1</v>
      </c>
      <c r="EN16" t="n">
        <v>21.3</v>
      </c>
      <c r="EO16" t="n">
        <v>109.4</v>
      </c>
      <c r="EP16" t="n">
        <v>10.3</v>
      </c>
      <c r="EQ16" t="n">
        <v>25.2</v>
      </c>
      <c r="ER16" t="n">
        <v>35.5</v>
      </c>
      <c r="ES16" t="n">
        <v>40.5</v>
      </c>
      <c r="ET16" t="n">
        <v>71.605</v>
      </c>
      <c r="EU16" t="n">
        <v>81.5</v>
      </c>
      <c r="EV16" t="n">
        <v>8.1</v>
      </c>
      <c r="EW16" t="n">
        <v>9.800000000000001</v>
      </c>
      <c r="EX16" t="n">
        <v>19.6</v>
      </c>
      <c r="EY16" t="n">
        <v>13.6</v>
      </c>
      <c r="EZ16" t="n">
        <v>7.9</v>
      </c>
      <c r="FA16" t="n">
        <v>10.7</v>
      </c>
      <c r="FB16" t="n">
        <v>10.8</v>
      </c>
      <c r="FC16" t="n">
        <v>2.5</v>
      </c>
      <c r="FD16" t="n">
        <v>23.7</v>
      </c>
      <c r="FE16" t="n">
        <v>8.199999999999999</v>
      </c>
      <c r="FF16" t="n">
        <v>45.148</v>
      </c>
      <c r="FG16" t="n">
        <v>21.4</v>
      </c>
      <c r="FH16" t="n">
        <v>43</v>
      </c>
      <c r="FI16" t="n">
        <v>47.4</v>
      </c>
      <c r="FJ16" t="n">
        <v>21.1</v>
      </c>
      <c r="FK16" t="n">
        <v>76.574</v>
      </c>
      <c r="FL16" t="n">
        <v>-4.074</v>
      </c>
      <c r="FM16" t="n">
        <v>3.231</v>
      </c>
      <c r="FN16" t="n">
        <v>-0.172</v>
      </c>
      <c r="FO16" t="n">
        <v>3.457</v>
      </c>
      <c r="FP16" t="n">
        <v>0.264</v>
      </c>
      <c r="FQ16" t="n">
        <v>2.941</v>
      </c>
      <c r="FR16" t="n">
        <v>-0.73</v>
      </c>
      <c r="FS16" t="n">
        <v>5.1</v>
      </c>
      <c r="FT16" t="n">
        <v>28.4</v>
      </c>
      <c r="FU16" t="n">
        <v>41.5</v>
      </c>
      <c r="FV16" t="n">
        <v>30.4</v>
      </c>
      <c r="FW16" t="n">
        <v>36.9</v>
      </c>
      <c r="FX16" t="n">
        <v>7.7</v>
      </c>
      <c r="FY16" t="n">
        <v>19.72</v>
      </c>
      <c r="FZ16" t="n">
        <v>24.878</v>
      </c>
      <c r="GA16" t="n">
        <v>10.758</v>
      </c>
      <c r="GB16" t="n">
        <v>31.763</v>
      </c>
      <c r="GC16" t="n">
        <v>12.043</v>
      </c>
      <c r="GD16" t="n">
        <v>63.4</v>
      </c>
      <c r="GE16" t="n">
        <v>12.4</v>
      </c>
      <c r="GF16" t="n">
        <v>268.7</v>
      </c>
      <c r="GG16" t="n">
        <v>130</v>
      </c>
      <c r="GH16" t="n">
        <v>28.6</v>
      </c>
      <c r="GI16" t="n">
        <v>36.5</v>
      </c>
      <c r="GJ16" t="n">
        <v>37.824</v>
      </c>
      <c r="GK16" t="n">
        <v>10</v>
      </c>
      <c r="GL16" t="n">
        <v>27.397</v>
      </c>
      <c r="GM16" t="n">
        <v>1.9</v>
      </c>
      <c r="GN16" t="n">
        <v>11.5</v>
      </c>
      <c r="GO16" t="n">
        <v>90.435</v>
      </c>
      <c r="GP16" t="n">
        <v>6.8</v>
      </c>
      <c r="GQ16" t="n">
        <v>43.1</v>
      </c>
      <c r="GR16" t="n">
        <v>68.90000000000001</v>
      </c>
      <c r="GS16" t="n">
        <v>10.92</v>
      </c>
      <c r="GT16" t="n">
        <v>82.3</v>
      </c>
      <c r="GU16" t="n">
        <v>14.5</v>
      </c>
      <c r="GV16" t="n">
        <v>3.4</v>
      </c>
      <c r="GW16" t="n">
        <v>-5.2</v>
      </c>
      <c r="GX16" t="n">
        <v>17.3</v>
      </c>
      <c r="GY16" t="n">
        <v>12.1</v>
      </c>
      <c r="GZ16" t="n">
        <v>3.9</v>
      </c>
      <c r="HA16" t="n">
        <v>242.3</v>
      </c>
      <c r="HB16" t="n">
        <v>-1.8</v>
      </c>
      <c r="HC16" t="n">
        <v>0</v>
      </c>
      <c r="HD16" t="n">
        <v>-0.763</v>
      </c>
      <c r="HE16" t="n">
        <v>1.716</v>
      </c>
      <c r="HF16" t="n">
        <v>0.7</v>
      </c>
      <c r="HG16" t="n">
        <v>12.4</v>
      </c>
      <c r="HH16" t="n">
        <v>13.1</v>
      </c>
      <c r="HI16" t="n">
        <v>-0.3</v>
      </c>
      <c r="HJ16" t="n">
        <v>0.5</v>
      </c>
      <c r="HK16" t="n">
        <v>0.7</v>
      </c>
      <c r="HL16" t="n">
        <v>-4.1</v>
      </c>
      <c r="HM16" t="n">
        <v>4.6</v>
      </c>
      <c r="HN16" t="n">
        <v>-1.3</v>
      </c>
      <c r="HO16" t="n">
        <v>-1.2</v>
      </c>
      <c r="HP16" t="n">
        <v>1.2</v>
      </c>
      <c r="HQ16" t="n">
        <v>0.9</v>
      </c>
      <c r="HR16" t="n">
        <v>18.8</v>
      </c>
      <c r="HS16" t="n">
        <v>1</v>
      </c>
      <c r="HT16" t="n">
        <v>1.2</v>
      </c>
      <c r="HU16" t="n">
        <v>2.2</v>
      </c>
      <c r="HV16" t="n">
        <v>1.3</v>
      </c>
      <c r="HW16" t="n">
        <v>-0.6</v>
      </c>
      <c r="HX16" t="n">
        <v>2</v>
      </c>
      <c r="HY16" t="n">
        <v>3.1</v>
      </c>
      <c r="HZ16" t="n">
        <v>-0.9</v>
      </c>
      <c r="IA16" t="n">
        <v>1.4</v>
      </c>
      <c r="IB16" t="n">
        <v>1.8</v>
      </c>
      <c r="IC16" t="n">
        <v>1</v>
      </c>
      <c r="ID16" t="n">
        <v>2.3</v>
      </c>
      <c r="IE16" t="n">
        <v>0.6</v>
      </c>
      <c r="IF16" t="n">
        <v>3</v>
      </c>
      <c r="IG16" t="n">
        <v>7.049</v>
      </c>
      <c r="IH16" t="n">
        <v>4.551</v>
      </c>
      <c r="II16" t="n">
        <v>-0.015</v>
      </c>
      <c r="IJ16" t="n">
        <v>-1.9</v>
      </c>
      <c r="IK16" t="n">
        <v>9.1</v>
      </c>
      <c r="IL16" t="n">
        <v>4.6</v>
      </c>
      <c r="IM16" t="n">
        <v>1.3</v>
      </c>
      <c r="IN16" t="n">
        <v>4.2</v>
      </c>
      <c r="IO16" t="n">
        <v>6.3</v>
      </c>
      <c r="IP16" t="n">
        <v>-4.5</v>
      </c>
      <c r="IQ16" t="n">
        <v>-0.7</v>
      </c>
      <c r="IR16" t="n">
        <v>-11.8</v>
      </c>
      <c r="IS16" t="n">
        <v>-11.6</v>
      </c>
      <c r="IT16" t="n">
        <v>6.9</v>
      </c>
      <c r="IU16" t="n">
        <v>9.699999999999999</v>
      </c>
      <c r="IV16" t="n">
        <v>1.7</v>
      </c>
      <c r="IW16" t="n">
        <v>0.3</v>
      </c>
      <c r="IX16" t="n">
        <v>1.9</v>
      </c>
      <c r="IY16" t="n">
        <v>2.5</v>
      </c>
      <c r="IZ16" t="n">
        <v>2.8</v>
      </c>
    </row>
    <row r="17">
      <c r="A17" t="inlineStr">
        <is>
          <t>Geelong</t>
        </is>
      </c>
      <c r="B17" t="inlineStr">
        <is>
          <t>Geel</t>
        </is>
      </c>
      <c r="C17" t="n">
        <v>10</v>
      </c>
      <c r="D17" t="n">
        <v>28</v>
      </c>
      <c r="E17" t="n">
        <v>27.276</v>
      </c>
      <c r="F17" t="n">
        <v>128.987</v>
      </c>
      <c r="G17" t="n">
        <v>227.08</v>
      </c>
      <c r="H17" t="n">
        <v>1748.6</v>
      </c>
      <c r="I17" t="n">
        <v>1589.2</v>
      </c>
      <c r="J17" t="n">
        <v>25.111</v>
      </c>
      <c r="K17" t="n">
        <v>55.144</v>
      </c>
      <c r="L17" t="n">
        <v>218.2</v>
      </c>
      <c r="M17" t="n">
        <v>135</v>
      </c>
      <c r="N17" t="n">
        <v>353.2</v>
      </c>
      <c r="O17" t="n">
        <v>73.018</v>
      </c>
      <c r="P17" t="n">
        <v>68.23999999999999</v>
      </c>
      <c r="Q17" t="n">
        <v>80.741</v>
      </c>
      <c r="R17" t="n">
        <v>61.778</v>
      </c>
      <c r="S17" t="n">
        <v>5.651</v>
      </c>
      <c r="T17" t="n">
        <v>60</v>
      </c>
      <c r="U17" t="n">
        <v>35.1</v>
      </c>
      <c r="V17" t="n">
        <v>74.52200000000001</v>
      </c>
      <c r="W17" t="n">
        <v>6196.3</v>
      </c>
      <c r="X17" t="n">
        <v>17.543</v>
      </c>
      <c r="Y17" t="n">
        <v>52.9</v>
      </c>
      <c r="Z17" t="n">
        <v>6.677</v>
      </c>
      <c r="AA17" t="n">
        <v>57.6</v>
      </c>
      <c r="AB17" t="n">
        <v>6.132</v>
      </c>
      <c r="AC17" t="n">
        <v>7.337</v>
      </c>
      <c r="AD17" t="n">
        <v>4.713</v>
      </c>
      <c r="AE17" t="n">
        <v>134.4</v>
      </c>
      <c r="AF17" t="n">
        <v>213.1</v>
      </c>
      <c r="AG17" t="n">
        <v>347.5</v>
      </c>
      <c r="AH17" t="n">
        <v>38.676</v>
      </c>
      <c r="AI17" t="n">
        <v>66</v>
      </c>
      <c r="AJ17" t="n">
        <v>91.5</v>
      </c>
      <c r="AK17" t="n">
        <v>17</v>
      </c>
      <c r="AL17" t="n">
        <v>25.8</v>
      </c>
      <c r="AM17" t="n">
        <v>65.8</v>
      </c>
      <c r="AN17" t="n">
        <v>84.2</v>
      </c>
      <c r="AO17" t="n">
        <v>57.1</v>
      </c>
      <c r="AP17" t="n">
        <v>7.4</v>
      </c>
      <c r="AQ17" t="n">
        <v>19.2</v>
      </c>
      <c r="AR17" t="n">
        <v>107.3</v>
      </c>
      <c r="AS17" t="n">
        <v>14.1</v>
      </c>
      <c r="AT17" t="n">
        <v>22.8</v>
      </c>
      <c r="AU17" t="n">
        <v>36.9</v>
      </c>
      <c r="AV17" t="n">
        <v>38.5</v>
      </c>
      <c r="AW17" t="n">
        <v>72.208</v>
      </c>
      <c r="AX17" t="n">
        <v>96.8</v>
      </c>
      <c r="AY17" t="n">
        <v>12.7</v>
      </c>
      <c r="AZ17" t="n">
        <v>18.1</v>
      </c>
      <c r="BA17" t="n">
        <v>30.167</v>
      </c>
      <c r="BB17" t="n">
        <v>17.5</v>
      </c>
      <c r="BC17" t="n">
        <v>9.300000000000001</v>
      </c>
      <c r="BD17" t="n">
        <v>20</v>
      </c>
      <c r="BE17" t="n">
        <v>8.800000000000001</v>
      </c>
      <c r="BF17" t="n">
        <v>16.4</v>
      </c>
      <c r="BG17" t="n">
        <v>14.2</v>
      </c>
      <c r="BH17" t="n">
        <v>2.3</v>
      </c>
      <c r="BI17" t="n">
        <v>32.4</v>
      </c>
      <c r="BJ17" t="n">
        <v>13.8</v>
      </c>
      <c r="BK17" t="n">
        <v>50.617</v>
      </c>
      <c r="BL17" t="n">
        <v>27.333</v>
      </c>
      <c r="BM17" t="n">
        <v>51</v>
      </c>
      <c r="BN17" t="n">
        <v>54</v>
      </c>
      <c r="BO17" t="n">
        <v>30.5</v>
      </c>
      <c r="BP17" t="n">
        <v>11.5</v>
      </c>
      <c r="BQ17" t="n">
        <v>35.652</v>
      </c>
      <c r="BR17" t="n">
        <v>105.237</v>
      </c>
      <c r="BS17" t="n">
        <v>5.063</v>
      </c>
      <c r="BT17" t="n">
        <v>3.248</v>
      </c>
      <c r="BU17" t="n">
        <v>0.156</v>
      </c>
      <c r="BV17" t="n">
        <v>3.448</v>
      </c>
      <c r="BW17" t="n">
        <v>0.02</v>
      </c>
      <c r="BX17" t="n">
        <v>2.979</v>
      </c>
      <c r="BY17" t="n">
        <v>0.34</v>
      </c>
      <c r="BZ17" t="n">
        <v>6.2</v>
      </c>
      <c r="CA17" t="n">
        <v>39.6</v>
      </c>
      <c r="CB17" t="n">
        <v>66.8</v>
      </c>
      <c r="CC17" t="n">
        <v>44.7</v>
      </c>
      <c r="CD17" t="n">
        <v>54.9</v>
      </c>
      <c r="CE17" t="n">
        <v>13</v>
      </c>
      <c r="CF17" t="n">
        <v>27.712</v>
      </c>
      <c r="CG17" t="n">
        <v>30.636</v>
      </c>
      <c r="CH17" t="n">
        <v>15.318</v>
      </c>
      <c r="CI17" t="n">
        <v>38.071</v>
      </c>
      <c r="CJ17" t="n">
        <v>18.136</v>
      </c>
      <c r="CK17" t="n">
        <v>10.3</v>
      </c>
      <c r="CL17" t="n">
        <v>30.097</v>
      </c>
      <c r="CM17" t="n">
        <v>64.2</v>
      </c>
      <c r="CN17" t="n">
        <v>13.3</v>
      </c>
      <c r="CO17" t="n">
        <v>273.4</v>
      </c>
      <c r="CP17" t="n">
        <v>121.8</v>
      </c>
      <c r="CQ17" t="n">
        <v>24.4</v>
      </c>
      <c r="CR17" t="n">
        <v>100.8</v>
      </c>
      <c r="CS17" t="n">
        <v>40.9</v>
      </c>
      <c r="CT17" t="n">
        <v>40.575</v>
      </c>
      <c r="CU17" t="n">
        <v>7.8</v>
      </c>
      <c r="CV17" t="n">
        <v>19.071</v>
      </c>
      <c r="CW17" t="n">
        <v>1.2</v>
      </c>
      <c r="CX17" t="n">
        <v>19.6</v>
      </c>
      <c r="CY17" t="n">
        <v>17.8</v>
      </c>
      <c r="CZ17" t="n">
        <v>1.8</v>
      </c>
      <c r="DA17" t="n">
        <v>8.9</v>
      </c>
      <c r="DB17" t="n">
        <v>82.02200000000001</v>
      </c>
      <c r="DC17" t="n">
        <v>7.2</v>
      </c>
      <c r="DD17" t="n">
        <v>35.2</v>
      </c>
      <c r="DE17" t="n">
        <v>71.5</v>
      </c>
      <c r="DF17" t="n">
        <v>187.78</v>
      </c>
      <c r="DG17" t="n">
        <v>1550.9</v>
      </c>
      <c r="DH17" t="n">
        <v>1504.7</v>
      </c>
      <c r="DI17" t="n">
        <v>4.889</v>
      </c>
      <c r="DJ17" t="n">
        <v>207.2</v>
      </c>
      <c r="DK17" t="n">
        <v>144</v>
      </c>
      <c r="DL17" t="n">
        <v>351.2</v>
      </c>
      <c r="DM17" t="n">
        <v>70.64400000000001</v>
      </c>
      <c r="DN17" t="n">
        <v>64.286</v>
      </c>
      <c r="DO17" t="n">
        <v>79.792</v>
      </c>
      <c r="DP17" t="n">
        <v>5.47</v>
      </c>
      <c r="DQ17" t="n">
        <v>47.1</v>
      </c>
      <c r="DR17" t="n">
        <v>42.5</v>
      </c>
      <c r="DS17" t="n">
        <v>70.833</v>
      </c>
      <c r="DT17" t="n">
        <v>5645.3</v>
      </c>
      <c r="DU17" t="n">
        <v>16.074</v>
      </c>
      <c r="DV17" t="n">
        <v>62.3</v>
      </c>
      <c r="DW17" t="n">
        <v>5.637</v>
      </c>
      <c r="DX17" t="n">
        <v>65.90000000000001</v>
      </c>
      <c r="DY17" t="n">
        <v>5.329</v>
      </c>
      <c r="DZ17" t="n">
        <v>0.176</v>
      </c>
      <c r="EA17" t="n">
        <v>0.453</v>
      </c>
      <c r="EB17" t="n">
        <v>129.1</v>
      </c>
      <c r="EC17" t="n">
        <v>210.9</v>
      </c>
      <c r="ED17" t="n">
        <v>340</v>
      </c>
      <c r="EE17" t="n">
        <v>37.971</v>
      </c>
      <c r="EF17" t="n">
        <v>57.9</v>
      </c>
      <c r="EG17" t="n">
        <v>88.8</v>
      </c>
      <c r="EH17" t="n">
        <v>12.6</v>
      </c>
      <c r="EI17" t="n">
        <v>22.8</v>
      </c>
      <c r="EJ17" t="n">
        <v>66</v>
      </c>
      <c r="EK17" t="n">
        <v>75.40000000000001</v>
      </c>
      <c r="EL17" t="n">
        <v>54.6</v>
      </c>
      <c r="EM17" t="n">
        <v>8.4</v>
      </c>
      <c r="EN17" t="n">
        <v>21.3</v>
      </c>
      <c r="EO17" t="n">
        <v>111.3</v>
      </c>
      <c r="EP17" t="n">
        <v>11.9</v>
      </c>
      <c r="EQ17" t="n">
        <v>25.1</v>
      </c>
      <c r="ER17" t="n">
        <v>37</v>
      </c>
      <c r="ES17" t="n">
        <v>45.1</v>
      </c>
      <c r="ET17" t="n">
        <v>68.29300000000001</v>
      </c>
      <c r="EU17" t="n">
        <v>88.5</v>
      </c>
      <c r="EV17" t="n">
        <v>8.4</v>
      </c>
      <c r="EW17" t="n">
        <v>10.7</v>
      </c>
      <c r="EX17" t="n">
        <v>22.718</v>
      </c>
      <c r="EY17" t="n">
        <v>13.1</v>
      </c>
      <c r="EZ17" t="n">
        <v>7.1</v>
      </c>
      <c r="FA17" t="n">
        <v>11.6</v>
      </c>
      <c r="FB17" t="n">
        <v>8.9</v>
      </c>
      <c r="FC17" t="n">
        <v>1.6</v>
      </c>
      <c r="FD17" t="n">
        <v>22.6</v>
      </c>
      <c r="FE17" t="n">
        <v>7.6</v>
      </c>
      <c r="FF17" t="n">
        <v>51.327</v>
      </c>
      <c r="FG17" t="n">
        <v>24.628</v>
      </c>
      <c r="FH17" t="n">
        <v>43.524</v>
      </c>
      <c r="FI17" t="n">
        <v>47.983</v>
      </c>
      <c r="FJ17" t="n">
        <v>20.5</v>
      </c>
      <c r="FK17" t="n">
        <v>73.381</v>
      </c>
      <c r="FL17" t="n">
        <v>3.519</v>
      </c>
      <c r="FM17" t="n">
        <v>3.247</v>
      </c>
      <c r="FN17" t="n">
        <v>0.156</v>
      </c>
      <c r="FO17" t="n">
        <v>3.547</v>
      </c>
      <c r="FP17" t="n">
        <v>0.29</v>
      </c>
      <c r="FQ17" t="n">
        <v>2.848</v>
      </c>
      <c r="FR17" t="n">
        <v>-0.023</v>
      </c>
      <c r="FS17" t="n">
        <v>4</v>
      </c>
      <c r="FT17" t="n">
        <v>34</v>
      </c>
      <c r="FU17" t="n">
        <v>40.5</v>
      </c>
      <c r="FV17" t="n">
        <v>36.3</v>
      </c>
      <c r="FW17" t="n">
        <v>31.5</v>
      </c>
      <c r="FX17" t="n">
        <v>10.7</v>
      </c>
      <c r="FY17" t="n">
        <v>19.119</v>
      </c>
      <c r="FZ17" t="n">
        <v>21.928</v>
      </c>
      <c r="GA17" t="n">
        <v>8.916</v>
      </c>
      <c r="GB17" t="n">
        <v>29.118</v>
      </c>
      <c r="GC17" t="n">
        <v>12.206</v>
      </c>
      <c r="GD17" t="n">
        <v>62.5</v>
      </c>
      <c r="GE17" t="n">
        <v>9.199999999999999</v>
      </c>
      <c r="GF17" t="n">
        <v>273.8</v>
      </c>
      <c r="GG17" t="n">
        <v>149.5</v>
      </c>
      <c r="GH17" t="n">
        <v>28.6</v>
      </c>
      <c r="GI17" t="n">
        <v>43.7</v>
      </c>
      <c r="GJ17" t="n">
        <v>43.439</v>
      </c>
      <c r="GK17" t="n">
        <v>9.699999999999999</v>
      </c>
      <c r="GL17" t="n">
        <v>22.197</v>
      </c>
      <c r="GM17" t="n">
        <v>3.1</v>
      </c>
      <c r="GN17" t="n">
        <v>14</v>
      </c>
      <c r="GO17" t="n">
        <v>89.286</v>
      </c>
      <c r="GP17" t="n">
        <v>6.3</v>
      </c>
      <c r="GQ17" t="n">
        <v>39.4</v>
      </c>
      <c r="GR17" t="n">
        <v>71.59999999999999</v>
      </c>
      <c r="GS17" t="n">
        <v>39.3</v>
      </c>
      <c r="GT17" t="n">
        <v>197.7</v>
      </c>
      <c r="GU17" t="n">
        <v>84.5</v>
      </c>
      <c r="GV17" t="n">
        <v>20.222</v>
      </c>
      <c r="GW17" t="n">
        <v>11</v>
      </c>
      <c r="GX17" t="n">
        <v>-9</v>
      </c>
      <c r="GY17" t="n">
        <v>2</v>
      </c>
      <c r="GZ17" t="n">
        <v>12.9</v>
      </c>
      <c r="HA17" t="n">
        <v>551</v>
      </c>
      <c r="HB17" t="n">
        <v>-9.4</v>
      </c>
      <c r="HC17" t="n">
        <v>-8.300000000000001</v>
      </c>
      <c r="HD17" t="n">
        <v>7.161</v>
      </c>
      <c r="HE17" t="n">
        <v>4.26</v>
      </c>
      <c r="HF17" t="n">
        <v>5.3</v>
      </c>
      <c r="HG17" t="n">
        <v>2.2</v>
      </c>
      <c r="HH17" t="n">
        <v>7.5</v>
      </c>
      <c r="HI17" t="n">
        <v>8.1</v>
      </c>
      <c r="HJ17" t="n">
        <v>2.7</v>
      </c>
      <c r="HK17" t="n">
        <v>4.4</v>
      </c>
      <c r="HL17" t="n">
        <v>3</v>
      </c>
      <c r="HM17" t="n">
        <v>-0.2</v>
      </c>
      <c r="HN17" t="n">
        <v>8.800000000000001</v>
      </c>
      <c r="HO17" t="n">
        <v>2.5</v>
      </c>
      <c r="HP17" t="n">
        <v>-1</v>
      </c>
      <c r="HQ17" t="n">
        <v>-2.1</v>
      </c>
      <c r="HR17" t="n">
        <v>-4</v>
      </c>
      <c r="HS17" t="n">
        <v>2.2</v>
      </c>
      <c r="HT17" t="n">
        <v>-2.3</v>
      </c>
      <c r="HU17" t="n">
        <v>-0.1</v>
      </c>
      <c r="HV17" t="n">
        <v>-6.6</v>
      </c>
      <c r="HW17" t="n">
        <v>8.300000000000001</v>
      </c>
      <c r="HX17" t="n">
        <v>4.3</v>
      </c>
      <c r="HY17" t="n">
        <v>7.4</v>
      </c>
      <c r="HZ17" t="n">
        <v>4.4</v>
      </c>
      <c r="IA17" t="n">
        <v>2.2</v>
      </c>
      <c r="IB17" t="n">
        <v>4.8</v>
      </c>
      <c r="IC17" t="n">
        <v>5.3</v>
      </c>
      <c r="ID17" t="n">
        <v>9.800000000000001</v>
      </c>
      <c r="IE17" t="n">
        <v>6.2</v>
      </c>
      <c r="IF17" t="n">
        <v>10</v>
      </c>
      <c r="IG17" t="n">
        <v>31.856</v>
      </c>
      <c r="IH17" t="n">
        <v>1.544</v>
      </c>
      <c r="II17" t="n">
        <v>0.001</v>
      </c>
      <c r="IJ17" t="n">
        <v>2.2</v>
      </c>
      <c r="IK17" t="n">
        <v>5.6</v>
      </c>
      <c r="IL17" t="n">
        <v>26.3</v>
      </c>
      <c r="IM17" t="n">
        <v>8.4</v>
      </c>
      <c r="IN17" t="n">
        <v>23.4</v>
      </c>
      <c r="IO17" t="n">
        <v>2.3</v>
      </c>
      <c r="IP17" t="n">
        <v>1.7</v>
      </c>
      <c r="IQ17" t="n">
        <v>4.1</v>
      </c>
      <c r="IR17" t="n">
        <v>-0.4</v>
      </c>
      <c r="IS17" t="n">
        <v>-27.7</v>
      </c>
      <c r="IT17" t="n">
        <v>-4.2</v>
      </c>
      <c r="IU17" t="n">
        <v>-2.8</v>
      </c>
      <c r="IV17" t="n">
        <v>-1.9</v>
      </c>
      <c r="IW17" t="n">
        <v>-1.9</v>
      </c>
      <c r="IX17" t="n">
        <v>0.9</v>
      </c>
      <c r="IY17" t="n">
        <v>-4.2</v>
      </c>
      <c r="IZ17" t="n">
        <v>-0.1</v>
      </c>
    </row>
    <row r="18">
      <c r="A18" t="inlineStr">
        <is>
          <t>Hawthorn</t>
        </is>
      </c>
      <c r="B18" t="inlineStr">
        <is>
          <t>Haw</t>
        </is>
      </c>
      <c r="C18" t="n">
        <v>10</v>
      </c>
      <c r="D18" t="n">
        <v>30</v>
      </c>
      <c r="E18" t="n">
        <v>26.254</v>
      </c>
      <c r="F18" t="n">
        <v>119.443</v>
      </c>
      <c r="G18" t="n">
        <v>218.79</v>
      </c>
      <c r="H18" t="n">
        <v>1721.8</v>
      </c>
      <c r="I18" t="n">
        <v>1549.7</v>
      </c>
      <c r="J18" t="n">
        <v>17.1</v>
      </c>
      <c r="K18" t="n">
        <v>51.064</v>
      </c>
      <c r="L18" t="n">
        <v>213</v>
      </c>
      <c r="M18" t="n">
        <v>159</v>
      </c>
      <c r="N18" t="n">
        <v>372</v>
      </c>
      <c r="O18" t="n">
        <v>69.973</v>
      </c>
      <c r="P18" t="n">
        <v>61.502</v>
      </c>
      <c r="Q18" t="n">
        <v>81.321</v>
      </c>
      <c r="R18" t="n">
        <v>57.258</v>
      </c>
      <c r="S18" t="n">
        <v>5.337</v>
      </c>
      <c r="T18" t="n">
        <v>52.3</v>
      </c>
      <c r="U18" t="n">
        <v>42.4</v>
      </c>
      <c r="V18" t="n">
        <v>78.51900000000001</v>
      </c>
      <c r="W18" t="n">
        <v>6104.9</v>
      </c>
      <c r="X18" t="n">
        <v>16.411</v>
      </c>
      <c r="Y18" t="n">
        <v>62.4</v>
      </c>
      <c r="Z18" t="n">
        <v>5.962</v>
      </c>
      <c r="AA18" t="n">
        <v>67.40000000000001</v>
      </c>
      <c r="AB18" t="n">
        <v>5.519</v>
      </c>
      <c r="AC18" t="n">
        <v>0.195</v>
      </c>
      <c r="AD18" t="n">
        <v>-1.955</v>
      </c>
      <c r="AE18" t="n">
        <v>140.2</v>
      </c>
      <c r="AF18" t="n">
        <v>222.3</v>
      </c>
      <c r="AG18" t="n">
        <v>362.5</v>
      </c>
      <c r="AH18" t="n">
        <v>38.676</v>
      </c>
      <c r="AI18" t="n">
        <v>71.59999999999999</v>
      </c>
      <c r="AJ18" t="n">
        <v>97</v>
      </c>
      <c r="AK18" t="n">
        <v>16.9</v>
      </c>
      <c r="AL18" t="n">
        <v>22.4</v>
      </c>
      <c r="AM18" t="n">
        <v>74.59999999999999</v>
      </c>
      <c r="AN18" t="n">
        <v>86.40000000000001</v>
      </c>
      <c r="AO18" t="n">
        <v>61.9</v>
      </c>
      <c r="AP18" t="n">
        <v>10.1</v>
      </c>
      <c r="AQ18" t="n">
        <v>23.4</v>
      </c>
      <c r="AR18" t="n">
        <v>125.5</v>
      </c>
      <c r="AS18" t="n">
        <v>10.7</v>
      </c>
      <c r="AT18" t="n">
        <v>27.9</v>
      </c>
      <c r="AU18" t="n">
        <v>38.6</v>
      </c>
      <c r="AV18" t="n">
        <v>44.2</v>
      </c>
      <c r="AW18" t="n">
        <v>72.398</v>
      </c>
      <c r="AX18" t="n">
        <v>79.90000000000001</v>
      </c>
      <c r="AY18" t="n">
        <v>9.1</v>
      </c>
      <c r="AZ18" t="n">
        <v>13.2</v>
      </c>
      <c r="BA18" t="n">
        <v>25.239</v>
      </c>
      <c r="BB18" t="n">
        <v>18.1</v>
      </c>
      <c r="BC18" t="n">
        <v>6.7</v>
      </c>
      <c r="BD18" t="n">
        <v>23</v>
      </c>
      <c r="BE18" t="n">
        <v>7.9</v>
      </c>
      <c r="BF18" t="n">
        <v>13.2</v>
      </c>
      <c r="BG18" t="n">
        <v>10.5</v>
      </c>
      <c r="BH18" t="n">
        <v>2</v>
      </c>
      <c r="BI18" t="n">
        <v>25.7</v>
      </c>
      <c r="BJ18" t="n">
        <v>9.5</v>
      </c>
      <c r="BK18" t="n">
        <v>51.362</v>
      </c>
      <c r="BL18" t="n">
        <v>25.239</v>
      </c>
      <c r="BM18" t="n">
        <v>45.315</v>
      </c>
      <c r="BN18" t="n">
        <v>49.14</v>
      </c>
      <c r="BO18" t="n">
        <v>23.5</v>
      </c>
      <c r="BP18" t="n">
        <v>11.2</v>
      </c>
      <c r="BQ18" t="n">
        <v>32.143</v>
      </c>
      <c r="BR18" t="n">
        <v>81.973</v>
      </c>
      <c r="BS18" t="n">
        <v>5.627</v>
      </c>
      <c r="BT18" t="n">
        <v>3.202</v>
      </c>
      <c r="BU18" t="n">
        <v>0.22</v>
      </c>
      <c r="BV18" t="n">
        <v>3.389</v>
      </c>
      <c r="BW18" t="n">
        <v>0.074</v>
      </c>
      <c r="BX18" t="n">
        <v>2.942</v>
      </c>
      <c r="BY18" t="n">
        <v>0.422</v>
      </c>
      <c r="BZ18" t="n">
        <v>2.2</v>
      </c>
      <c r="CA18" t="n">
        <v>35.1</v>
      </c>
      <c r="CB18" t="n">
        <v>52.4</v>
      </c>
      <c r="CC18" t="n">
        <v>33.4</v>
      </c>
      <c r="CD18" t="n">
        <v>47.4</v>
      </c>
      <c r="CE18" t="n">
        <v>8.9</v>
      </c>
      <c r="CF18" t="n">
        <v>19.882</v>
      </c>
      <c r="CG18" t="n">
        <v>20.673</v>
      </c>
      <c r="CH18" t="n">
        <v>8.654</v>
      </c>
      <c r="CI18" t="n">
        <v>29.501</v>
      </c>
      <c r="CJ18" t="n">
        <v>12.327</v>
      </c>
      <c r="CK18" t="n">
        <v>11</v>
      </c>
      <c r="CL18" t="n">
        <v>24.545</v>
      </c>
      <c r="CM18" t="n">
        <v>65.5</v>
      </c>
      <c r="CN18" t="n">
        <v>13.7</v>
      </c>
      <c r="CO18" t="n">
        <v>281.6</v>
      </c>
      <c r="CP18" t="n">
        <v>139</v>
      </c>
      <c r="CQ18" t="n">
        <v>32.6</v>
      </c>
      <c r="CR18" t="n">
        <v>106.3</v>
      </c>
      <c r="CS18" t="n">
        <v>44.3</v>
      </c>
      <c r="CT18" t="n">
        <v>41.675</v>
      </c>
      <c r="CU18" t="n">
        <v>11.1</v>
      </c>
      <c r="CV18" t="n">
        <v>25.056</v>
      </c>
      <c r="CW18" t="n">
        <v>2.5</v>
      </c>
      <c r="CX18" t="n">
        <v>17.5</v>
      </c>
      <c r="CY18" t="n">
        <v>19.5</v>
      </c>
      <c r="CZ18" t="n">
        <v>-2</v>
      </c>
      <c r="DA18" t="n">
        <v>10</v>
      </c>
      <c r="DB18" t="n">
        <v>98</v>
      </c>
      <c r="DC18" t="n">
        <v>8</v>
      </c>
      <c r="DD18" t="n">
        <v>48.4</v>
      </c>
      <c r="DE18" t="n">
        <v>70.3</v>
      </c>
      <c r="DF18" t="n">
        <v>197.8</v>
      </c>
      <c r="DG18" t="n">
        <v>1578.7</v>
      </c>
      <c r="DH18" t="n">
        <v>1481.9</v>
      </c>
      <c r="DI18" t="n">
        <v>12.9</v>
      </c>
      <c r="DJ18" t="n">
        <v>208.2</v>
      </c>
      <c r="DK18" t="n">
        <v>136.1</v>
      </c>
      <c r="DL18" t="n">
        <v>344.3</v>
      </c>
      <c r="DM18" t="n">
        <v>68.95099999999999</v>
      </c>
      <c r="DN18" t="n">
        <v>61.383</v>
      </c>
      <c r="DO18" t="n">
        <v>80.529</v>
      </c>
      <c r="DP18" t="n">
        <v>5.256</v>
      </c>
      <c r="DQ18" t="n">
        <v>54</v>
      </c>
      <c r="DR18" t="n">
        <v>38.2</v>
      </c>
      <c r="DS18" t="n">
        <v>73.04000000000001</v>
      </c>
      <c r="DT18" t="n">
        <v>5846.3</v>
      </c>
      <c r="DU18" t="n">
        <v>16.98</v>
      </c>
      <c r="DV18" t="n">
        <v>63.2</v>
      </c>
      <c r="DW18" t="n">
        <v>5.448</v>
      </c>
      <c r="DX18" t="n">
        <v>71.5</v>
      </c>
      <c r="DY18" t="n">
        <v>4.815</v>
      </c>
      <c r="DZ18" t="n">
        <v>-3.891</v>
      </c>
      <c r="EA18" t="n">
        <v>-3.034</v>
      </c>
      <c r="EB18" t="n">
        <v>135.1</v>
      </c>
      <c r="EC18" t="n">
        <v>197.3</v>
      </c>
      <c r="ED18" t="n">
        <v>332.4</v>
      </c>
      <c r="EE18" t="n">
        <v>40.644</v>
      </c>
      <c r="EF18" t="n">
        <v>67.40000000000001</v>
      </c>
      <c r="EG18" t="n">
        <v>91.2</v>
      </c>
      <c r="EH18" t="n">
        <v>15.3</v>
      </c>
      <c r="EI18" t="n">
        <v>21.7</v>
      </c>
      <c r="EJ18" t="n">
        <v>69.5</v>
      </c>
      <c r="EK18" t="n">
        <v>79.59999999999999</v>
      </c>
      <c r="EL18" t="n">
        <v>57.6</v>
      </c>
      <c r="EM18" t="n">
        <v>10.2</v>
      </c>
      <c r="EN18" t="n">
        <v>20.4</v>
      </c>
      <c r="EO18" t="n">
        <v>105.8</v>
      </c>
      <c r="EP18" t="n">
        <v>12.8</v>
      </c>
      <c r="EQ18" t="n">
        <v>28.8</v>
      </c>
      <c r="ER18" t="n">
        <v>41.6</v>
      </c>
      <c r="ES18" t="n">
        <v>45.1</v>
      </c>
      <c r="ET18" t="n">
        <v>75.61</v>
      </c>
      <c r="EU18" t="n">
        <v>75.3</v>
      </c>
      <c r="EV18" t="n">
        <v>7.6</v>
      </c>
      <c r="EW18" t="n">
        <v>9.1</v>
      </c>
      <c r="EX18" t="n">
        <v>16.852</v>
      </c>
      <c r="EY18" t="n">
        <v>14.1</v>
      </c>
      <c r="EZ18" t="n">
        <v>7.2</v>
      </c>
      <c r="FA18" t="n">
        <v>10.8</v>
      </c>
      <c r="FB18" t="n">
        <v>10.1</v>
      </c>
      <c r="FC18" t="n">
        <v>2.2</v>
      </c>
      <c r="FD18" t="n">
        <v>23.1</v>
      </c>
      <c r="FE18" t="n">
        <v>8</v>
      </c>
      <c r="FF18" t="n">
        <v>46.753</v>
      </c>
      <c r="FG18" t="n">
        <v>20</v>
      </c>
      <c r="FH18" t="n">
        <v>38.704</v>
      </c>
      <c r="FI18" t="n">
        <v>42.778</v>
      </c>
      <c r="FJ18" t="n">
        <v>20.8</v>
      </c>
      <c r="FK18" t="n">
        <v>70.375</v>
      </c>
      <c r="FL18" t="n">
        <v>2.325</v>
      </c>
      <c r="FM18" t="n">
        <v>3.047</v>
      </c>
      <c r="FN18" t="n">
        <v>0.101</v>
      </c>
      <c r="FO18" t="n">
        <v>3.306</v>
      </c>
      <c r="FP18" t="n">
        <v>0.079</v>
      </c>
      <c r="FQ18" t="n">
        <v>2.814</v>
      </c>
      <c r="FR18" t="n">
        <v>0.12</v>
      </c>
      <c r="FS18" t="n">
        <v>3.9</v>
      </c>
      <c r="FT18" t="n">
        <v>35</v>
      </c>
      <c r="FU18" t="n">
        <v>36</v>
      </c>
      <c r="FV18" t="n">
        <v>27.2</v>
      </c>
      <c r="FW18" t="n">
        <v>38.8</v>
      </c>
      <c r="FX18" t="n">
        <v>8.9</v>
      </c>
      <c r="FY18" t="n">
        <v>17.747</v>
      </c>
      <c r="FZ18" t="n">
        <v>21.99</v>
      </c>
      <c r="GA18" t="n">
        <v>7.853</v>
      </c>
      <c r="GB18" t="n">
        <v>28.994</v>
      </c>
      <c r="GC18" t="n">
        <v>10.651</v>
      </c>
      <c r="GD18" t="n">
        <v>69.7</v>
      </c>
      <c r="GE18" t="n">
        <v>11.1</v>
      </c>
      <c r="GF18" t="n">
        <v>310.4</v>
      </c>
      <c r="GG18" t="n">
        <v>144</v>
      </c>
      <c r="GH18" t="n">
        <v>30.1</v>
      </c>
      <c r="GI18" t="n">
        <v>40.7</v>
      </c>
      <c r="GJ18" t="n">
        <v>38.252</v>
      </c>
      <c r="GK18" t="n">
        <v>10.8</v>
      </c>
      <c r="GL18" t="n">
        <v>26.536</v>
      </c>
      <c r="GM18" t="n">
        <v>4.8</v>
      </c>
      <c r="GN18" t="n">
        <v>10.2</v>
      </c>
      <c r="GO18" t="n">
        <v>96.078</v>
      </c>
      <c r="GP18" t="n">
        <v>6.5</v>
      </c>
      <c r="GQ18" t="n">
        <v>42</v>
      </c>
      <c r="GR18" t="n">
        <v>69.59999999999999</v>
      </c>
      <c r="GS18" t="n">
        <v>20.99</v>
      </c>
      <c r="GT18" t="n">
        <v>143.1</v>
      </c>
      <c r="GU18" t="n">
        <v>67.8</v>
      </c>
      <c r="GV18" t="n">
        <v>4.2</v>
      </c>
      <c r="GW18" t="n">
        <v>4.8</v>
      </c>
      <c r="GX18" t="n">
        <v>22.9</v>
      </c>
      <c r="GY18" t="n">
        <v>27.7</v>
      </c>
      <c r="GZ18" t="n">
        <v>-1.7</v>
      </c>
      <c r="HA18" t="n">
        <v>258.6</v>
      </c>
      <c r="HB18" t="n">
        <v>-0.8</v>
      </c>
      <c r="HC18" t="n">
        <v>-4.1</v>
      </c>
      <c r="HD18" t="n">
        <v>4.086</v>
      </c>
      <c r="HE18" t="n">
        <v>1.079</v>
      </c>
      <c r="HF18" t="n">
        <v>5.1</v>
      </c>
      <c r="HG18" t="n">
        <v>25</v>
      </c>
      <c r="HH18" t="n">
        <v>30.1</v>
      </c>
      <c r="HI18" t="n">
        <v>4.2</v>
      </c>
      <c r="HJ18" t="n">
        <v>5.8</v>
      </c>
      <c r="HK18" t="n">
        <v>1.6</v>
      </c>
      <c r="HL18" t="n">
        <v>0.7</v>
      </c>
      <c r="HM18" t="n">
        <v>5.1</v>
      </c>
      <c r="HN18" t="n">
        <v>6.8</v>
      </c>
      <c r="HO18" t="n">
        <v>4.3</v>
      </c>
      <c r="HP18" t="n">
        <v>-0.1</v>
      </c>
      <c r="HQ18" t="n">
        <v>3</v>
      </c>
      <c r="HR18" t="n">
        <v>19.7</v>
      </c>
      <c r="HS18" t="n">
        <v>-2.1</v>
      </c>
      <c r="HT18" t="n">
        <v>-0.9</v>
      </c>
      <c r="HU18" t="n">
        <v>-3</v>
      </c>
      <c r="HV18" t="n">
        <v>-0.9</v>
      </c>
      <c r="HW18" t="n">
        <v>4.6</v>
      </c>
      <c r="HX18" t="n">
        <v>1.5</v>
      </c>
      <c r="HY18" t="n">
        <v>4.1</v>
      </c>
      <c r="HZ18" t="n">
        <v>4</v>
      </c>
      <c r="IA18" t="n">
        <v>-0.5</v>
      </c>
      <c r="IB18" t="n">
        <v>2.4</v>
      </c>
      <c r="IC18" t="n">
        <v>0.4</v>
      </c>
      <c r="ID18" t="n">
        <v>2.6</v>
      </c>
      <c r="IE18" t="n">
        <v>1.5</v>
      </c>
      <c r="IF18" t="n">
        <v>2.7</v>
      </c>
      <c r="IG18" t="n">
        <v>11.598</v>
      </c>
      <c r="IH18" t="n">
        <v>3.302</v>
      </c>
      <c r="II18" t="n">
        <v>0.156</v>
      </c>
      <c r="IJ18" t="n">
        <v>-1.7</v>
      </c>
      <c r="IK18" t="n">
        <v>0.1</v>
      </c>
      <c r="IL18" t="n">
        <v>16.4</v>
      </c>
      <c r="IM18" t="n">
        <v>6.2</v>
      </c>
      <c r="IN18" t="n">
        <v>8.6</v>
      </c>
      <c r="IO18" t="n">
        <v>0</v>
      </c>
      <c r="IP18" t="n">
        <v>-4.2</v>
      </c>
      <c r="IQ18" t="n">
        <v>2.6</v>
      </c>
      <c r="IR18" t="n">
        <v>-28.8</v>
      </c>
      <c r="IS18" t="n">
        <v>-5</v>
      </c>
      <c r="IT18" t="n">
        <v>2.5</v>
      </c>
      <c r="IU18" t="n">
        <v>3.6</v>
      </c>
      <c r="IV18" t="n">
        <v>0.3</v>
      </c>
      <c r="IW18" t="n">
        <v>-2.3</v>
      </c>
      <c r="IX18" t="n">
        <v>1.5</v>
      </c>
      <c r="IY18" t="n">
        <v>6.4</v>
      </c>
      <c r="IZ18" t="n">
        <v>0.7</v>
      </c>
    </row>
    <row r="19">
      <c r="A19" t="inlineStr">
        <is>
          <t>Brisbane</t>
        </is>
      </c>
      <c r="B19" t="inlineStr">
        <is>
          <t>Bris</t>
        </is>
      </c>
      <c r="C19" t="n">
        <v>10</v>
      </c>
      <c r="D19" t="n">
        <v>33</v>
      </c>
      <c r="E19" t="n">
        <v>26.402</v>
      </c>
      <c r="F19" t="n">
        <v>132.322</v>
      </c>
      <c r="G19" t="n">
        <v>216.55</v>
      </c>
      <c r="H19" t="n">
        <v>1728.5</v>
      </c>
      <c r="I19" t="n">
        <v>1644.8</v>
      </c>
      <c r="J19" t="n">
        <v>19.889</v>
      </c>
      <c r="K19" t="n">
        <v>50.249</v>
      </c>
      <c r="L19" t="n">
        <v>233.6</v>
      </c>
      <c r="M19" t="n">
        <v>142.6</v>
      </c>
      <c r="N19" t="n">
        <v>376.2</v>
      </c>
      <c r="O19" t="n">
        <v>71.584</v>
      </c>
      <c r="P19" t="n">
        <v>65.111</v>
      </c>
      <c r="Q19" t="n">
        <v>82.188</v>
      </c>
      <c r="R19" t="n">
        <v>62.095</v>
      </c>
      <c r="S19" t="n">
        <v>6.188</v>
      </c>
      <c r="T19" t="n">
        <v>57.3</v>
      </c>
      <c r="U19" t="n">
        <v>39.4</v>
      </c>
      <c r="V19" t="n">
        <v>75.91500000000001</v>
      </c>
      <c r="W19" t="n">
        <v>6140</v>
      </c>
      <c r="X19" t="n">
        <v>16.321</v>
      </c>
      <c r="Y19" t="n">
        <v>55.9</v>
      </c>
      <c r="Z19" t="n">
        <v>6.73</v>
      </c>
      <c r="AA19" t="n">
        <v>65.8</v>
      </c>
      <c r="AB19" t="n">
        <v>5.717</v>
      </c>
      <c r="AC19" t="n">
        <v>1.2</v>
      </c>
      <c r="AD19" t="n">
        <v>0.9340000000000001</v>
      </c>
      <c r="AE19" t="n">
        <v>135.9</v>
      </c>
      <c r="AF19" t="n">
        <v>231.2</v>
      </c>
      <c r="AG19" t="n">
        <v>367.1</v>
      </c>
      <c r="AH19" t="n">
        <v>37.02</v>
      </c>
      <c r="AI19" t="n">
        <v>67.8</v>
      </c>
      <c r="AJ19" t="n">
        <v>94.8</v>
      </c>
      <c r="AK19" t="n">
        <v>17.7</v>
      </c>
      <c r="AL19" t="n">
        <v>22.9</v>
      </c>
      <c r="AM19" t="n">
        <v>71.90000000000001</v>
      </c>
      <c r="AN19" t="n">
        <v>80.59999999999999</v>
      </c>
      <c r="AO19" t="n">
        <v>57.9</v>
      </c>
      <c r="AP19" t="n">
        <v>9.800000000000001</v>
      </c>
      <c r="AQ19" t="n">
        <v>21.5</v>
      </c>
      <c r="AR19" t="n">
        <v>113.3</v>
      </c>
      <c r="AS19" t="n">
        <v>12</v>
      </c>
      <c r="AT19" t="n">
        <v>29.8</v>
      </c>
      <c r="AU19" t="n">
        <v>41.8</v>
      </c>
      <c r="AV19" t="n">
        <v>45</v>
      </c>
      <c r="AW19" t="n">
        <v>74.889</v>
      </c>
      <c r="AX19" t="n">
        <v>103.6</v>
      </c>
      <c r="AY19" t="n">
        <v>8.1</v>
      </c>
      <c r="AZ19" t="n">
        <v>10.9</v>
      </c>
      <c r="BA19" t="n">
        <v>19.023</v>
      </c>
      <c r="BB19" t="n">
        <v>15</v>
      </c>
      <c r="BC19" t="n">
        <v>8.4</v>
      </c>
      <c r="BD19" t="n">
        <v>23</v>
      </c>
      <c r="BE19" t="n">
        <v>7.8</v>
      </c>
      <c r="BF19" t="n">
        <v>13.2</v>
      </c>
      <c r="BG19" t="n">
        <v>12.6</v>
      </c>
      <c r="BH19" t="n">
        <v>1.8</v>
      </c>
      <c r="BI19" t="n">
        <v>28.8</v>
      </c>
      <c r="BJ19" t="n">
        <v>9</v>
      </c>
      <c r="BK19" t="n">
        <v>45.833</v>
      </c>
      <c r="BL19" t="n">
        <v>23.037</v>
      </c>
      <c r="BM19" t="n">
        <v>45.026</v>
      </c>
      <c r="BN19" t="n">
        <v>50.262</v>
      </c>
      <c r="BO19" t="n">
        <v>25.6</v>
      </c>
      <c r="BP19" t="n">
        <v>10.7</v>
      </c>
      <c r="BQ19" t="n">
        <v>22.43</v>
      </c>
      <c r="BR19" t="n">
        <v>90.934</v>
      </c>
      <c r="BS19" t="n">
        <v>-0.9340000000000001</v>
      </c>
      <c r="BT19" t="n">
        <v>3.157</v>
      </c>
      <c r="BU19" t="n">
        <v>-0.032</v>
      </c>
      <c r="BV19" t="n">
        <v>3.391</v>
      </c>
      <c r="BW19" t="n">
        <v>-0.074</v>
      </c>
      <c r="BX19" t="n">
        <v>2.92</v>
      </c>
      <c r="BY19" t="n">
        <v>0.01</v>
      </c>
      <c r="BZ19" t="n">
        <v>3.5</v>
      </c>
      <c r="CA19" t="n">
        <v>36.2</v>
      </c>
      <c r="CB19" t="n">
        <v>52.1</v>
      </c>
      <c r="CC19" t="n">
        <v>33.7</v>
      </c>
      <c r="CD19" t="n">
        <v>49.5</v>
      </c>
      <c r="CE19" t="n">
        <v>8.6</v>
      </c>
      <c r="CF19" t="n">
        <v>21.862</v>
      </c>
      <c r="CG19" t="n">
        <v>26.952</v>
      </c>
      <c r="CH19" t="n">
        <v>11.839</v>
      </c>
      <c r="CI19" t="n">
        <v>33.988</v>
      </c>
      <c r="CJ19" t="n">
        <v>13.162</v>
      </c>
      <c r="CK19" t="n">
        <v>11.8</v>
      </c>
      <c r="CL19" t="n">
        <v>27.966</v>
      </c>
      <c r="CM19" t="n">
        <v>62.3</v>
      </c>
      <c r="CN19" t="n">
        <v>12.1</v>
      </c>
      <c r="CO19" t="n">
        <v>266.6</v>
      </c>
      <c r="CP19" t="n">
        <v>122.5</v>
      </c>
      <c r="CQ19" t="n">
        <v>32.9</v>
      </c>
      <c r="CR19" t="n">
        <v>102.4</v>
      </c>
      <c r="CS19" t="n">
        <v>44.3</v>
      </c>
      <c r="CT19" t="n">
        <v>43.262</v>
      </c>
      <c r="CU19" t="n">
        <v>10.5</v>
      </c>
      <c r="CV19" t="n">
        <v>23.702</v>
      </c>
      <c r="CW19" t="n">
        <v>2.2</v>
      </c>
      <c r="CX19" t="n">
        <v>17.6</v>
      </c>
      <c r="CY19" t="n">
        <v>17.7</v>
      </c>
      <c r="CZ19" t="n">
        <v>-0.1</v>
      </c>
      <c r="DA19" t="n">
        <v>10</v>
      </c>
      <c r="DB19" t="n">
        <v>86</v>
      </c>
      <c r="DC19" t="n">
        <v>4.9</v>
      </c>
      <c r="DD19" t="n">
        <v>48.5</v>
      </c>
      <c r="DE19" t="n">
        <v>69.2</v>
      </c>
      <c r="DF19" t="n">
        <v>206.77</v>
      </c>
      <c r="DG19" t="n">
        <v>1571.1</v>
      </c>
      <c r="DH19" t="n">
        <v>1424.9</v>
      </c>
      <c r="DI19" t="n">
        <v>10.111</v>
      </c>
      <c r="DJ19" t="n">
        <v>194.5</v>
      </c>
      <c r="DK19" t="n">
        <v>142.4</v>
      </c>
      <c r="DL19" t="n">
        <v>336.9</v>
      </c>
      <c r="DM19" t="n">
        <v>71.267</v>
      </c>
      <c r="DN19" t="n">
        <v>65.34699999999999</v>
      </c>
      <c r="DO19" t="n">
        <v>79.354</v>
      </c>
      <c r="DP19" t="n">
        <v>5.408</v>
      </c>
      <c r="DQ19" t="n">
        <v>51.9</v>
      </c>
      <c r="DR19" t="n">
        <v>43.1</v>
      </c>
      <c r="DS19" t="n">
        <v>75.218</v>
      </c>
      <c r="DT19" t="n">
        <v>5967.6</v>
      </c>
      <c r="DU19" t="n">
        <v>17.713</v>
      </c>
      <c r="DV19" t="n">
        <v>56.5</v>
      </c>
      <c r="DW19" t="n">
        <v>5.963</v>
      </c>
      <c r="DX19" t="n">
        <v>67.40000000000001</v>
      </c>
      <c r="DY19" t="n">
        <v>4.999</v>
      </c>
      <c r="DZ19" t="n">
        <v>0.488</v>
      </c>
      <c r="EA19" t="n">
        <v>1.581</v>
      </c>
      <c r="EB19" t="n">
        <v>130.9</v>
      </c>
      <c r="EC19" t="n">
        <v>197.2</v>
      </c>
      <c r="ED19" t="n">
        <v>328.1</v>
      </c>
      <c r="EE19" t="n">
        <v>39.896</v>
      </c>
      <c r="EF19" t="n">
        <v>65.8</v>
      </c>
      <c r="EG19" t="n">
        <v>89.7</v>
      </c>
      <c r="EH19" t="n">
        <v>12.9</v>
      </c>
      <c r="EI19" t="n">
        <v>20.7</v>
      </c>
      <c r="EJ19" t="n">
        <v>69.09999999999999</v>
      </c>
      <c r="EK19" t="n">
        <v>81.40000000000001</v>
      </c>
      <c r="EL19" t="n">
        <v>56.9</v>
      </c>
      <c r="EM19" t="n">
        <v>8.699999999999999</v>
      </c>
      <c r="EN19" t="n">
        <v>20.4</v>
      </c>
      <c r="EO19" t="n">
        <v>109.3</v>
      </c>
      <c r="EP19" t="n">
        <v>12.2</v>
      </c>
      <c r="EQ19" t="n">
        <v>22.7</v>
      </c>
      <c r="ER19" t="n">
        <v>34.9</v>
      </c>
      <c r="ES19" t="n">
        <v>41.4</v>
      </c>
      <c r="ET19" t="n">
        <v>70.29000000000001</v>
      </c>
      <c r="EU19" t="n">
        <v>76.5</v>
      </c>
      <c r="EV19" t="n">
        <v>9.699999999999999</v>
      </c>
      <c r="EW19" t="n">
        <v>12.7</v>
      </c>
      <c r="EX19" t="n">
        <v>24.47</v>
      </c>
      <c r="EY19" t="n">
        <v>13.7</v>
      </c>
      <c r="EZ19" t="n">
        <v>7.7</v>
      </c>
      <c r="FA19" t="n">
        <v>11.5</v>
      </c>
      <c r="FB19" t="n">
        <v>10.1</v>
      </c>
      <c r="FC19" t="n">
        <v>2.5</v>
      </c>
      <c r="FD19" t="n">
        <v>23.6</v>
      </c>
      <c r="FE19" t="n">
        <v>8.6</v>
      </c>
      <c r="FF19" t="n">
        <v>48.729</v>
      </c>
      <c r="FG19" t="n">
        <v>22.158</v>
      </c>
      <c r="FH19" t="n">
        <v>41.618</v>
      </c>
      <c r="FI19" t="n">
        <v>45.472</v>
      </c>
      <c r="FJ19" t="n">
        <v>21.6</v>
      </c>
      <c r="FK19" t="n">
        <v>76.98999999999999</v>
      </c>
      <c r="FL19" t="n">
        <v>-0.39</v>
      </c>
      <c r="FM19" t="n">
        <v>3.262</v>
      </c>
      <c r="FN19" t="n">
        <v>-0.017</v>
      </c>
      <c r="FO19" t="n">
        <v>3.453</v>
      </c>
      <c r="FP19" t="n">
        <v>0.145</v>
      </c>
      <c r="FQ19" t="n">
        <v>2.998</v>
      </c>
      <c r="FR19" t="n">
        <v>-0.24</v>
      </c>
      <c r="FS19" t="n">
        <v>5.2</v>
      </c>
      <c r="FT19" t="n">
        <v>34.4</v>
      </c>
      <c r="FU19" t="n">
        <v>39.5</v>
      </c>
      <c r="FV19" t="n">
        <v>28.5</v>
      </c>
      <c r="FW19" t="n">
        <v>37.7</v>
      </c>
      <c r="FX19" t="n">
        <v>12.9</v>
      </c>
      <c r="FY19" t="n">
        <v>19.404</v>
      </c>
      <c r="FZ19" t="n">
        <v>25.397</v>
      </c>
      <c r="GA19" t="n">
        <v>9.523999999999999</v>
      </c>
      <c r="GB19" t="n">
        <v>30.647</v>
      </c>
      <c r="GC19" t="n">
        <v>12.266</v>
      </c>
      <c r="GD19" t="n">
        <v>60.8</v>
      </c>
      <c r="GE19" t="n">
        <v>10.9</v>
      </c>
      <c r="GF19" t="n">
        <v>276.3</v>
      </c>
      <c r="GG19" t="n">
        <v>142.8</v>
      </c>
      <c r="GH19" t="n">
        <v>33.2</v>
      </c>
      <c r="GI19" t="n">
        <v>42.4</v>
      </c>
      <c r="GJ19" t="n">
        <v>41.447</v>
      </c>
      <c r="GK19" t="n">
        <v>9.800000000000001</v>
      </c>
      <c r="GL19" t="n">
        <v>23.113</v>
      </c>
      <c r="GM19" t="n">
        <v>2.2</v>
      </c>
      <c r="GN19" t="n">
        <v>12.3</v>
      </c>
      <c r="GO19" t="n">
        <v>93.496</v>
      </c>
      <c r="GP19" t="n">
        <v>8.4</v>
      </c>
      <c r="GQ19" t="n">
        <v>47.9</v>
      </c>
      <c r="GR19" t="n">
        <v>69.5</v>
      </c>
      <c r="GS19" t="n">
        <v>9.779999999999999</v>
      </c>
      <c r="GT19" t="n">
        <v>157.4</v>
      </c>
      <c r="GU19" t="n">
        <v>219.9</v>
      </c>
      <c r="GV19" t="n">
        <v>9.778</v>
      </c>
      <c r="GW19" t="n">
        <v>39.1</v>
      </c>
      <c r="GX19" t="n">
        <v>0.2</v>
      </c>
      <c r="GY19" t="n">
        <v>39.3</v>
      </c>
      <c r="GZ19" t="n">
        <v>5.4</v>
      </c>
      <c r="HA19" t="n">
        <v>172.4</v>
      </c>
      <c r="HB19" t="n">
        <v>-0.6</v>
      </c>
      <c r="HC19" t="n">
        <v>-1.6</v>
      </c>
      <c r="HD19" t="n">
        <v>0.712</v>
      </c>
      <c r="HE19" t="n">
        <v>-0.646</v>
      </c>
      <c r="HF19" t="n">
        <v>5</v>
      </c>
      <c r="HG19" t="n">
        <v>34</v>
      </c>
      <c r="HH19" t="n">
        <v>39</v>
      </c>
      <c r="HI19" t="n">
        <v>2</v>
      </c>
      <c r="HJ19" t="n">
        <v>5.1</v>
      </c>
      <c r="HK19" t="n">
        <v>4.8</v>
      </c>
      <c r="HL19" t="n">
        <v>2.2</v>
      </c>
      <c r="HM19" t="n">
        <v>2.8</v>
      </c>
      <c r="HN19" t="n">
        <v>-0.8</v>
      </c>
      <c r="HO19" t="n">
        <v>1</v>
      </c>
      <c r="HP19" t="n">
        <v>1.1</v>
      </c>
      <c r="HQ19" t="n">
        <v>1.1</v>
      </c>
      <c r="HR19" t="n">
        <v>4</v>
      </c>
      <c r="HS19" t="n">
        <v>-0.2</v>
      </c>
      <c r="HT19" t="n">
        <v>7.1</v>
      </c>
      <c r="HU19" t="n">
        <v>6.9</v>
      </c>
      <c r="HV19" t="n">
        <v>3.6</v>
      </c>
      <c r="HW19" t="n">
        <v>27.1</v>
      </c>
      <c r="HX19" t="n">
        <v>-1.6</v>
      </c>
      <c r="HY19" t="n">
        <v>-1.8</v>
      </c>
      <c r="HZ19" t="n">
        <v>1.3</v>
      </c>
      <c r="IA19" t="n">
        <v>0.7</v>
      </c>
      <c r="IB19" t="n">
        <v>1.7</v>
      </c>
      <c r="IC19" t="n">
        <v>2.5</v>
      </c>
      <c r="ID19" t="n">
        <v>5.2</v>
      </c>
      <c r="IE19" t="n">
        <v>0.4</v>
      </c>
      <c r="IF19" t="n">
        <v>4</v>
      </c>
      <c r="IG19" t="n">
        <v>13.944</v>
      </c>
      <c r="IH19" t="n">
        <v>-0.544</v>
      </c>
      <c r="II19" t="n">
        <v>-0.105</v>
      </c>
      <c r="IJ19" t="n">
        <v>-1.7</v>
      </c>
      <c r="IK19" t="n">
        <v>1.8</v>
      </c>
      <c r="IL19" t="n">
        <v>12.6</v>
      </c>
      <c r="IM19" t="n">
        <v>5.2</v>
      </c>
      <c r="IN19" t="n">
        <v>11.8</v>
      </c>
      <c r="IO19" t="n">
        <v>-4.3</v>
      </c>
      <c r="IP19" t="n">
        <v>1.5</v>
      </c>
      <c r="IQ19" t="n">
        <v>1.2</v>
      </c>
      <c r="IR19" t="n">
        <v>-9.699999999999999</v>
      </c>
      <c r="IS19" t="n">
        <v>-20.3</v>
      </c>
      <c r="IT19" t="n">
        <v>-0.3</v>
      </c>
      <c r="IU19" t="n">
        <v>1.9</v>
      </c>
      <c r="IV19" t="n">
        <v>0.7</v>
      </c>
      <c r="IW19" t="n">
        <v>0</v>
      </c>
      <c r="IX19" t="n">
        <v>-3.5</v>
      </c>
      <c r="IY19" t="n">
        <v>0.6</v>
      </c>
      <c r="IZ19" t="n">
        <v>-0.3</v>
      </c>
    </row>
    <row r="20">
      <c r="A20" t="inlineStr">
        <is>
          <t>Average</t>
        </is>
      </c>
      <c r="B20" t="inlineStr">
        <is>
          <t>AFL</t>
        </is>
      </c>
      <c r="C20" t="n">
        <v>95</v>
      </c>
      <c r="D20" t="n">
        <v>33.167</v>
      </c>
      <c r="E20" t="n">
        <v>25.851</v>
      </c>
      <c r="F20" t="n">
        <v>108.029</v>
      </c>
      <c r="G20" t="n">
        <v>197.046</v>
      </c>
      <c r="H20" t="n">
        <v>1641.611</v>
      </c>
      <c r="I20" t="n">
        <v>1491.628</v>
      </c>
      <c r="J20" t="n">
        <v>14.403</v>
      </c>
      <c r="K20" t="n">
        <v>49.8</v>
      </c>
      <c r="L20" t="n">
        <v>205.839</v>
      </c>
      <c r="M20" t="n">
        <v>144.456</v>
      </c>
      <c r="N20" t="n">
        <v>350.294</v>
      </c>
      <c r="O20" t="n">
        <v>72.477</v>
      </c>
      <c r="P20" t="n">
        <v>65.82299999999999</v>
      </c>
      <c r="Q20" t="n">
        <v>81.959</v>
      </c>
      <c r="R20" t="n">
        <v>58.762</v>
      </c>
      <c r="S20" t="n">
        <v>5.846</v>
      </c>
      <c r="T20" t="n">
        <v>50.761</v>
      </c>
      <c r="U20" t="n">
        <v>38.083</v>
      </c>
      <c r="V20" t="n">
        <v>74.09999999999999</v>
      </c>
      <c r="W20" t="n">
        <v>5756.389</v>
      </c>
      <c r="X20" t="n">
        <v>16.433</v>
      </c>
      <c r="Y20" t="n">
        <v>56.7</v>
      </c>
      <c r="Z20" t="n">
        <v>6.178</v>
      </c>
      <c r="AA20" t="n">
        <v>62.778</v>
      </c>
      <c r="AB20" t="n">
        <v>5.58</v>
      </c>
      <c r="AC20" t="n">
        <v>1.402</v>
      </c>
      <c r="AD20" t="n">
        <v>0.866</v>
      </c>
      <c r="AE20" t="n">
        <v>128.761</v>
      </c>
      <c r="AF20" t="n">
        <v>213.511</v>
      </c>
      <c r="AG20" t="n">
        <v>342.272</v>
      </c>
      <c r="AH20" t="n">
        <v>37.62</v>
      </c>
      <c r="AI20" t="n">
        <v>62.817</v>
      </c>
      <c r="AJ20" t="n">
        <v>85.27200000000001</v>
      </c>
      <c r="AK20" t="n">
        <v>14.05</v>
      </c>
      <c r="AL20" t="n">
        <v>21.05</v>
      </c>
      <c r="AM20" t="n">
        <v>64.22199999999999</v>
      </c>
      <c r="AN20" t="n">
        <v>78.889</v>
      </c>
      <c r="AO20" t="n">
        <v>54.5</v>
      </c>
      <c r="AP20" t="n">
        <v>9.489000000000001</v>
      </c>
      <c r="AQ20" t="n">
        <v>21.028</v>
      </c>
      <c r="AR20" t="n">
        <v>115.156</v>
      </c>
      <c r="AS20" t="n">
        <v>11.9</v>
      </c>
      <c r="AT20" t="n">
        <v>24.967</v>
      </c>
      <c r="AU20" t="n">
        <v>36.867</v>
      </c>
      <c r="AV20" t="n">
        <v>40.967</v>
      </c>
      <c r="AW20" t="n">
        <v>74.72199999999999</v>
      </c>
      <c r="AX20" t="n">
        <v>88.428</v>
      </c>
      <c r="AY20" t="n">
        <v>9.760999999999999</v>
      </c>
      <c r="AZ20" t="n">
        <v>12.372</v>
      </c>
      <c r="BA20" t="n">
        <v>24.373</v>
      </c>
      <c r="BB20" t="n">
        <v>14.911</v>
      </c>
      <c r="BC20" t="n">
        <v>8.256</v>
      </c>
      <c r="BD20" t="n">
        <v>22.222</v>
      </c>
      <c r="BE20" t="n">
        <v>7.422</v>
      </c>
      <c r="BF20" t="n">
        <v>12.144</v>
      </c>
      <c r="BG20" t="n">
        <v>10.717</v>
      </c>
      <c r="BH20" t="n">
        <v>1.911</v>
      </c>
      <c r="BI20" t="n">
        <v>25.25</v>
      </c>
      <c r="BJ20" t="n">
        <v>8.906000000000001</v>
      </c>
      <c r="BK20" t="n">
        <v>48.097</v>
      </c>
      <c r="BL20" t="n">
        <v>23.925</v>
      </c>
      <c r="BM20" t="n">
        <v>45.037</v>
      </c>
      <c r="BN20" t="n">
        <v>49.743</v>
      </c>
      <c r="BO20" t="n">
        <v>22.656</v>
      </c>
      <c r="BP20" t="n">
        <v>10.383</v>
      </c>
      <c r="BQ20" t="n">
        <v>28.518</v>
      </c>
      <c r="BR20" t="n">
        <v>81.937</v>
      </c>
      <c r="BS20" t="n">
        <v>-0.304</v>
      </c>
      <c r="BT20" t="n">
        <v>3.246</v>
      </c>
      <c r="BU20" t="n">
        <v>-0.012</v>
      </c>
      <c r="BV20" t="n">
        <v>3.487</v>
      </c>
      <c r="BW20" t="n">
        <v>0.043</v>
      </c>
      <c r="BX20" t="n">
        <v>2.915</v>
      </c>
      <c r="BY20" t="n">
        <v>-0.08699999999999999</v>
      </c>
      <c r="BZ20" t="n">
        <v>4.15</v>
      </c>
      <c r="CA20" t="n">
        <v>32.944</v>
      </c>
      <c r="CB20" t="n">
        <v>46.489</v>
      </c>
      <c r="CC20" t="n">
        <v>31.811</v>
      </c>
      <c r="CD20" t="n">
        <v>40.828</v>
      </c>
      <c r="CE20" t="n">
        <v>10.944</v>
      </c>
      <c r="CF20" t="n">
        <v>20.917</v>
      </c>
      <c r="CG20" t="n">
        <v>23.638</v>
      </c>
      <c r="CH20" t="n">
        <v>10.246</v>
      </c>
      <c r="CI20" t="n">
        <v>31.366</v>
      </c>
      <c r="CJ20" t="n">
        <v>12.916</v>
      </c>
      <c r="CK20" t="n">
        <v>10.383</v>
      </c>
      <c r="CL20" t="n">
        <v>29.267</v>
      </c>
      <c r="CM20" t="n">
        <v>59.617</v>
      </c>
      <c r="CN20" t="n">
        <v>10.789</v>
      </c>
      <c r="CO20" t="n">
        <v>266.372</v>
      </c>
      <c r="CP20" t="n">
        <v>127.794</v>
      </c>
      <c r="CQ20" t="n">
        <v>30.411</v>
      </c>
      <c r="CR20" t="n">
        <v>96.97199999999999</v>
      </c>
      <c r="CS20" t="n">
        <v>38.917</v>
      </c>
      <c r="CT20" t="n">
        <v>40.132</v>
      </c>
      <c r="CU20" t="n">
        <v>10.45</v>
      </c>
      <c r="CV20" t="n">
        <v>26.852</v>
      </c>
      <c r="CW20" t="n">
        <v>2.789</v>
      </c>
      <c r="CX20" t="n">
        <v>19.494</v>
      </c>
      <c r="CY20" t="n">
        <v>19.561</v>
      </c>
      <c r="CZ20" t="n">
        <v>-0.067</v>
      </c>
      <c r="DA20" t="n">
        <v>10.539</v>
      </c>
      <c r="DB20" t="n">
        <v>91.61799999999999</v>
      </c>
      <c r="DC20" t="n">
        <v>6.728</v>
      </c>
      <c r="DD20" t="n">
        <v>42.156</v>
      </c>
      <c r="DE20" t="n">
        <v>70.244</v>
      </c>
      <c r="DF20" t="n">
        <v>199.353</v>
      </c>
      <c r="DG20" t="n">
        <v>1658.117</v>
      </c>
      <c r="DH20" t="n">
        <v>1505.122</v>
      </c>
      <c r="DI20" t="n">
        <v>15.597</v>
      </c>
      <c r="DJ20" t="n">
        <v>207.344</v>
      </c>
      <c r="DK20" t="n">
        <v>145.05</v>
      </c>
      <c r="DL20" t="n">
        <v>352.394</v>
      </c>
      <c r="DM20" t="n">
        <v>72.646</v>
      </c>
      <c r="DN20" t="n">
        <v>66.044</v>
      </c>
      <c r="DO20" t="n">
        <v>82.083</v>
      </c>
      <c r="DP20" t="n">
        <v>5.911</v>
      </c>
      <c r="DQ20" t="n">
        <v>51.394</v>
      </c>
      <c r="DR20" t="n">
        <v>37.822</v>
      </c>
      <c r="DS20" t="n">
        <v>74.51000000000001</v>
      </c>
      <c r="DT20" t="n">
        <v>5792.189</v>
      </c>
      <c r="DU20" t="n">
        <v>16.437</v>
      </c>
      <c r="DV20" t="n">
        <v>56.472</v>
      </c>
      <c r="DW20" t="n">
        <v>6.24</v>
      </c>
      <c r="DX20" t="n">
        <v>62.667</v>
      </c>
      <c r="DY20" t="n">
        <v>5.623</v>
      </c>
      <c r="DZ20" t="n">
        <v>1.589</v>
      </c>
      <c r="EA20" t="n">
        <v>1.122</v>
      </c>
      <c r="EB20" t="n">
        <v>129.089</v>
      </c>
      <c r="EC20" t="n">
        <v>215.339</v>
      </c>
      <c r="ED20" t="n">
        <v>344.428</v>
      </c>
      <c r="EE20" t="n">
        <v>37.479</v>
      </c>
      <c r="EF20" t="n">
        <v>62.961</v>
      </c>
      <c r="EG20" t="n">
        <v>85.233</v>
      </c>
      <c r="EH20" t="n">
        <v>14.233</v>
      </c>
      <c r="EI20" t="n">
        <v>20.928</v>
      </c>
      <c r="EJ20" t="n">
        <v>64.306</v>
      </c>
      <c r="EK20" t="n">
        <v>79.117</v>
      </c>
      <c r="EL20" t="n">
        <v>54.567</v>
      </c>
      <c r="EM20" t="n">
        <v>9.561</v>
      </c>
      <c r="EN20" t="n">
        <v>21.111</v>
      </c>
      <c r="EO20" t="n">
        <v>115.817</v>
      </c>
      <c r="EP20" t="n">
        <v>11.983</v>
      </c>
      <c r="EQ20" t="n">
        <v>25.022</v>
      </c>
      <c r="ER20" t="n">
        <v>37.006</v>
      </c>
      <c r="ES20" t="n">
        <v>40.961</v>
      </c>
      <c r="ET20" t="n">
        <v>74.949</v>
      </c>
      <c r="EU20" t="n">
        <v>89.68300000000001</v>
      </c>
      <c r="EV20" t="n">
        <v>9.978</v>
      </c>
      <c r="EW20" t="n">
        <v>12.65</v>
      </c>
      <c r="EX20" t="n">
        <v>24.614</v>
      </c>
      <c r="EY20" t="n">
        <v>15</v>
      </c>
      <c r="EZ20" t="n">
        <v>8.272</v>
      </c>
      <c r="FA20" t="n">
        <v>12.489</v>
      </c>
      <c r="FB20" t="n">
        <v>10.767</v>
      </c>
      <c r="FC20" t="n">
        <v>1.894</v>
      </c>
      <c r="FD20" t="n">
        <v>25.639</v>
      </c>
      <c r="FE20" t="n">
        <v>9.178000000000001</v>
      </c>
      <c r="FF20" t="n">
        <v>48.711</v>
      </c>
      <c r="FG20" t="n">
        <v>24.3</v>
      </c>
      <c r="FH20" t="n">
        <v>45.249</v>
      </c>
      <c r="FI20" t="n">
        <v>49.886</v>
      </c>
      <c r="FJ20" t="n">
        <v>23.044</v>
      </c>
      <c r="FK20" t="n">
        <v>83.392</v>
      </c>
      <c r="FL20" t="n">
        <v>0.375</v>
      </c>
      <c r="FM20" t="n">
        <v>3.254</v>
      </c>
      <c r="FN20" t="n">
        <v>0.015</v>
      </c>
      <c r="FO20" t="n">
        <v>3.5</v>
      </c>
      <c r="FP20" t="n">
        <v>0.063</v>
      </c>
      <c r="FQ20" t="n">
        <v>2.914</v>
      </c>
      <c r="FR20" t="n">
        <v>-0.052</v>
      </c>
      <c r="FS20" t="n">
        <v>4.217</v>
      </c>
      <c r="FT20" t="n">
        <v>34.017</v>
      </c>
      <c r="FU20" t="n">
        <v>47.467</v>
      </c>
      <c r="FV20" t="n">
        <v>32.111</v>
      </c>
      <c r="FW20" t="n">
        <v>42</v>
      </c>
      <c r="FX20" t="n">
        <v>11.589</v>
      </c>
      <c r="FY20" t="n">
        <v>21.237</v>
      </c>
      <c r="FZ20" t="n">
        <v>23.902</v>
      </c>
      <c r="GA20" t="n">
        <v>10.255</v>
      </c>
      <c r="GB20" t="n">
        <v>31.655</v>
      </c>
      <c r="GC20" t="n">
        <v>13.037</v>
      </c>
      <c r="GD20" t="n">
        <v>59.917</v>
      </c>
      <c r="GE20" t="n">
        <v>10.828</v>
      </c>
      <c r="GF20" t="n">
        <v>266.161</v>
      </c>
      <c r="GG20" t="n">
        <v>126.533</v>
      </c>
      <c r="GH20" t="n">
        <v>30.25</v>
      </c>
      <c r="GI20" t="n">
        <v>39.339</v>
      </c>
      <c r="GJ20" t="n">
        <v>40.567</v>
      </c>
      <c r="GK20" t="n">
        <v>10.511</v>
      </c>
      <c r="GL20" t="n">
        <v>26.719</v>
      </c>
      <c r="GM20" t="n">
        <v>2.85</v>
      </c>
      <c r="GN20" t="n">
        <v>10.489</v>
      </c>
      <c r="GO20" t="n">
        <v>91.47199999999999</v>
      </c>
      <c r="GP20" t="n">
        <v>6.761</v>
      </c>
      <c r="GQ20" t="n">
        <v>42.083</v>
      </c>
      <c r="GR20" t="n">
        <v>70.422</v>
      </c>
      <c r="GS20" t="n">
        <v>-2.307</v>
      </c>
      <c r="GT20" t="n">
        <v>-16.506</v>
      </c>
      <c r="GU20" t="n">
        <v>-13.494</v>
      </c>
      <c r="GV20" t="n">
        <v>-1.193</v>
      </c>
      <c r="GW20" t="n">
        <v>-1.506</v>
      </c>
      <c r="GX20" t="n">
        <v>-0.594</v>
      </c>
      <c r="GY20" t="n">
        <v>-2.1</v>
      </c>
      <c r="GZ20" t="n">
        <v>-0.633</v>
      </c>
      <c r="HA20" t="n">
        <v>-35.8</v>
      </c>
      <c r="HB20" t="n">
        <v>0.228</v>
      </c>
      <c r="HC20" t="n">
        <v>0.111</v>
      </c>
      <c r="HD20" t="n">
        <v>-0.187</v>
      </c>
      <c r="HE20" t="n">
        <v>-0.255</v>
      </c>
      <c r="HF20" t="n">
        <v>-0.328</v>
      </c>
      <c r="HG20" t="n">
        <v>-1.828</v>
      </c>
      <c r="HH20" t="n">
        <v>-2.156</v>
      </c>
      <c r="HI20" t="n">
        <v>-0.144</v>
      </c>
      <c r="HJ20" t="n">
        <v>0.039</v>
      </c>
      <c r="HK20" t="n">
        <v>-0.183</v>
      </c>
      <c r="HL20" t="n">
        <v>0.122</v>
      </c>
      <c r="HM20" t="n">
        <v>-0.083</v>
      </c>
      <c r="HN20" t="n">
        <v>-0.228</v>
      </c>
      <c r="HO20" t="n">
        <v>-0.067</v>
      </c>
      <c r="HP20" t="n">
        <v>-0.07199999999999999</v>
      </c>
      <c r="HQ20" t="n">
        <v>-0.083</v>
      </c>
      <c r="HR20" t="n">
        <v>-0.661</v>
      </c>
      <c r="HS20" t="n">
        <v>-0.083</v>
      </c>
      <c r="HT20" t="n">
        <v>-0.056</v>
      </c>
      <c r="HU20" t="n">
        <v>-0.139</v>
      </c>
      <c r="HV20" t="n">
        <v>0.006</v>
      </c>
      <c r="HW20" t="n">
        <v>-1.256</v>
      </c>
      <c r="HX20" t="n">
        <v>-0.217</v>
      </c>
      <c r="HY20" t="n">
        <v>-0.278</v>
      </c>
      <c r="HZ20" t="n">
        <v>-0.089</v>
      </c>
      <c r="IA20" t="n">
        <v>-0.017</v>
      </c>
      <c r="IB20" t="n">
        <v>-0.344</v>
      </c>
      <c r="IC20" t="n">
        <v>-0.05</v>
      </c>
      <c r="ID20" t="n">
        <v>-0.389</v>
      </c>
      <c r="IE20" t="n">
        <v>-0.272</v>
      </c>
      <c r="IF20" t="n">
        <v>-0.389</v>
      </c>
      <c r="IG20" t="n">
        <v>-1.454</v>
      </c>
      <c r="IH20" t="n">
        <v>-0.679</v>
      </c>
      <c r="II20" t="n">
        <v>-0.007</v>
      </c>
      <c r="IJ20" t="n">
        <v>-0.067</v>
      </c>
      <c r="IK20" t="n">
        <v>-1.072</v>
      </c>
      <c r="IL20" t="n">
        <v>-0.978</v>
      </c>
      <c r="IM20" t="n">
        <v>-0.3</v>
      </c>
      <c r="IN20" t="n">
        <v>-1.172</v>
      </c>
      <c r="IO20" t="n">
        <v>-0.644</v>
      </c>
      <c r="IP20" t="n">
        <v>-0.3</v>
      </c>
      <c r="IQ20" t="n">
        <v>-0.039</v>
      </c>
      <c r="IR20" t="n">
        <v>0.211</v>
      </c>
      <c r="IS20" t="n">
        <v>1.261</v>
      </c>
      <c r="IT20" t="n">
        <v>0.161</v>
      </c>
      <c r="IU20" t="n">
        <v>-0.422</v>
      </c>
      <c r="IV20" t="n">
        <v>-0.061</v>
      </c>
      <c r="IW20" t="n">
        <v>-0.061</v>
      </c>
      <c r="IX20" t="n">
        <v>-0.033</v>
      </c>
      <c r="IY20" t="n">
        <v>0.07199999999999999</v>
      </c>
      <c r="IZ20" t="n">
        <v>-0.178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A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Abbreviation</t>
        </is>
      </c>
      <c r="C1" t="inlineStr">
        <is>
          <t>Matches</t>
        </is>
      </c>
      <c r="D1" t="inlineStr">
        <is>
          <t>Players</t>
        </is>
      </c>
      <c r="E1" t="inlineStr">
        <is>
          <t>Age</t>
        </is>
      </c>
      <c r="F1" t="inlineStr">
        <is>
          <t>Experience</t>
        </is>
      </c>
      <c r="G1" t="inlineStr">
        <is>
          <t>RatingPoints</t>
        </is>
      </c>
      <c r="H1" t="inlineStr">
        <is>
          <t>Supercoach</t>
        </is>
      </c>
      <c r="I1" t="inlineStr">
        <is>
          <t>DreamTeamPoints</t>
        </is>
      </c>
      <c r="J1" t="inlineStr">
        <is>
          <t>CoachesVotes</t>
        </is>
      </c>
      <c r="K1" t="inlineStr">
        <is>
          <t>ForwardHalf</t>
        </is>
      </c>
      <c r="L1" t="inlineStr">
        <is>
          <t>TimeInPossession</t>
        </is>
      </c>
      <c r="M1" t="inlineStr">
        <is>
          <t>Kicks</t>
        </is>
      </c>
      <c r="N1" t="inlineStr">
        <is>
          <t>Handballs</t>
        </is>
      </c>
      <c r="O1" t="inlineStr">
        <is>
          <t>Disposals</t>
        </is>
      </c>
      <c r="P1" t="inlineStr">
        <is>
          <t>DisposalEfficiency</t>
        </is>
      </c>
      <c r="Q1" t="inlineStr">
        <is>
          <t>KickingEfficiency</t>
        </is>
      </c>
      <c r="R1" t="inlineStr">
        <is>
          <t>HandballEfficiency</t>
        </is>
      </c>
      <c r="S1" t="inlineStr">
        <is>
          <t>KickPercentage</t>
        </is>
      </c>
      <c r="T1" t="inlineStr">
        <is>
          <t>DisposalsPerOppositionTackle</t>
        </is>
      </c>
      <c r="U1" t="inlineStr">
        <is>
          <t>Inside50s</t>
        </is>
      </c>
      <c r="V1" t="inlineStr">
        <is>
          <t>Rebound50s</t>
        </is>
      </c>
      <c r="W1" t="inlineStr">
        <is>
          <t>Rebound50sPerOppositionInside50s</t>
        </is>
      </c>
      <c r="X1" t="inlineStr">
        <is>
          <t>MetresGained</t>
        </is>
      </c>
      <c r="Y1" t="inlineStr">
        <is>
          <t>MetresGainedPerDisposal</t>
        </is>
      </c>
      <c r="Z1" t="inlineStr">
        <is>
          <t>KickMetresGained</t>
        </is>
      </c>
      <c r="AA1" t="inlineStr">
        <is>
          <t>KickMetresGainedPerKick</t>
        </is>
      </c>
      <c r="AB1" t="inlineStr">
        <is>
          <t>HandballMetresGained</t>
        </is>
      </c>
      <c r="AC1" t="inlineStr">
        <is>
          <t>HandballMetresGainedPerHandball</t>
        </is>
      </c>
      <c r="AD1" t="inlineStr">
        <is>
          <t>Clangers</t>
        </is>
      </c>
      <c r="AE1" t="inlineStr">
        <is>
          <t>DisposalsPerClanger</t>
        </is>
      </c>
      <c r="AF1" t="inlineStr">
        <is>
          <t>Turnovers</t>
        </is>
      </c>
      <c r="AG1" t="inlineStr">
        <is>
          <t>DisposalsPerTurnover</t>
        </is>
      </c>
      <c r="AH1" t="inlineStr">
        <is>
          <t>DisposalRetentionPercentage</t>
        </is>
      </c>
      <c r="AI1" t="inlineStr">
        <is>
          <t>KickIntoF50RetentionPercentage</t>
        </is>
      </c>
      <c r="AJ1" t="inlineStr">
        <is>
          <t>xThreatPerKick</t>
        </is>
      </c>
      <c r="AK1" t="inlineStr">
        <is>
          <t>ThreatRating</t>
        </is>
      </c>
      <c r="AL1" t="inlineStr">
        <is>
          <t>xRetainPerKick</t>
        </is>
      </c>
      <c r="AM1" t="inlineStr">
        <is>
          <t>RetentionRating</t>
        </is>
      </c>
      <c r="AN1" t="inlineStr">
        <is>
          <t>ContestedPossessions</t>
        </is>
      </c>
      <c r="AO1" t="inlineStr">
        <is>
          <t>UncontestedPossessions</t>
        </is>
      </c>
      <c r="AP1" t="inlineStr">
        <is>
          <t>TotalPossessions</t>
        </is>
      </c>
      <c r="AQ1" t="inlineStr">
        <is>
          <t>ContestedPossessionRate</t>
        </is>
      </c>
      <c r="AR1" t="inlineStr">
        <is>
          <t>Intercepts</t>
        </is>
      </c>
      <c r="AS1" t="inlineStr">
        <is>
          <t>GroundBallGets</t>
        </is>
      </c>
      <c r="AT1" t="inlineStr">
        <is>
          <t>GroundBallGetsForward50</t>
        </is>
      </c>
      <c r="AU1" t="inlineStr">
        <is>
          <t>HardBallGets</t>
        </is>
      </c>
      <c r="AV1" t="inlineStr">
        <is>
          <t>LooseBallGets</t>
        </is>
      </c>
      <c r="AW1" t="inlineStr">
        <is>
          <t>PostClearanceContestedPossessions</t>
        </is>
      </c>
      <c r="AX1" t="inlineStr">
        <is>
          <t>PostClearanceGroundBallGets</t>
        </is>
      </c>
      <c r="AY1" t="inlineStr">
        <is>
          <t>GathersFromHitout</t>
        </is>
      </c>
      <c r="AZ1" t="inlineStr">
        <is>
          <t>CrumbingPossessions</t>
        </is>
      </c>
      <c r="BA1" t="inlineStr">
        <is>
          <t>HandballReceives</t>
        </is>
      </c>
      <c r="BB1" t="inlineStr">
        <is>
          <t>CentreClearances</t>
        </is>
      </c>
      <c r="BC1" t="inlineStr">
        <is>
          <t>StoppageClearances</t>
        </is>
      </c>
      <c r="BD1" t="inlineStr">
        <is>
          <t>TotalClearances</t>
        </is>
      </c>
      <c r="BE1" t="inlineStr">
        <is>
          <t>FirstPossessions</t>
        </is>
      </c>
      <c r="BF1" t="inlineStr">
        <is>
          <t>FirstPossessionToClearance</t>
        </is>
      </c>
      <c r="BG1" t="inlineStr">
        <is>
          <t>Marks</t>
        </is>
      </c>
      <c r="BH1" t="inlineStr">
        <is>
          <t>ContestedMarks</t>
        </is>
      </c>
      <c r="BI1" t="inlineStr">
        <is>
          <t>MarksInside50</t>
        </is>
      </c>
      <c r="BJ1" t="inlineStr">
        <is>
          <t>MarksInside50PerInside50</t>
        </is>
      </c>
      <c r="BK1" t="inlineStr">
        <is>
          <t>InterceptMarks</t>
        </is>
      </c>
      <c r="BL1" t="inlineStr">
        <is>
          <t>MarksOnLead</t>
        </is>
      </c>
      <c r="BM1" t="inlineStr">
        <is>
          <t>GoalScorers_Total</t>
        </is>
      </c>
      <c r="BN1" t="inlineStr">
        <is>
          <t>GoalScorers</t>
        </is>
      </c>
      <c r="BO1" t="inlineStr">
        <is>
          <t>Goals</t>
        </is>
      </c>
      <c r="BP1" t="inlineStr">
        <is>
          <t>Behinds</t>
        </is>
      </c>
      <c r="BQ1" t="inlineStr">
        <is>
          <t>TotalPoints</t>
        </is>
      </c>
      <c r="BR1" t="inlineStr">
        <is>
          <t>RushedBehinds</t>
        </is>
      </c>
      <c r="BS1" t="inlineStr">
        <is>
          <t>ShotsAtGoal</t>
        </is>
      </c>
      <c r="BT1" t="inlineStr">
        <is>
          <t>GoalAssists</t>
        </is>
      </c>
      <c r="BU1" t="inlineStr">
        <is>
          <t>GoalAccuracy</t>
        </is>
      </c>
      <c r="BV1" t="inlineStr">
        <is>
          <t>GoalsPerInside50</t>
        </is>
      </c>
      <c r="BW1" t="inlineStr">
        <is>
          <t>ScoringShotsPerInside50</t>
        </is>
      </c>
      <c r="BX1" t="inlineStr">
        <is>
          <t>ShotsPerInside50</t>
        </is>
      </c>
      <c r="BY1" t="inlineStr">
        <is>
          <t>ContestOffensiveOneOnOnes</t>
        </is>
      </c>
      <c r="BZ1" t="inlineStr">
        <is>
          <t>ContestOffensiveWinPercentage</t>
        </is>
      </c>
      <c r="CA1" t="inlineStr">
        <is>
          <t>xWins</t>
        </is>
      </c>
      <c r="CB1" t="inlineStr">
        <is>
          <t>WinsAboveXWins</t>
        </is>
      </c>
      <c r="CC1" t="inlineStr">
        <is>
          <t>xScore</t>
        </is>
      </c>
      <c r="CD1" t="inlineStr">
        <is>
          <t>xScoreRating</t>
        </is>
      </c>
      <c r="CE1" t="inlineStr">
        <is>
          <t>xScorePerShot</t>
        </is>
      </c>
      <c r="CF1" t="inlineStr">
        <is>
          <t>xScoreRatingPerShot</t>
        </is>
      </c>
      <c r="CG1" t="inlineStr">
        <is>
          <t>xScorePerShot_Set</t>
        </is>
      </c>
      <c r="CH1" t="inlineStr">
        <is>
          <t>xScoreRatingPerShot_Set</t>
        </is>
      </c>
      <c r="CI1" t="inlineStr">
        <is>
          <t>xScorePerShot_General</t>
        </is>
      </c>
      <c r="CJ1" t="inlineStr">
        <is>
          <t>xScoreRatingPerShot_General</t>
        </is>
      </c>
      <c r="CK1" t="inlineStr">
        <is>
          <t>PointsFromKickIn</t>
        </is>
      </c>
      <c r="CL1" t="inlineStr">
        <is>
          <t>PointsFromStoppage</t>
        </is>
      </c>
      <c r="CM1" t="inlineStr">
        <is>
          <t>PointsFromTurnover</t>
        </is>
      </c>
      <c r="CN1" t="inlineStr">
        <is>
          <t>PointsFromDefensiveHalf</t>
        </is>
      </c>
      <c r="CO1" t="inlineStr">
        <is>
          <t>PointsFromForwardHalf</t>
        </is>
      </c>
      <c r="CP1" t="inlineStr">
        <is>
          <t>PointsFromCentreBounce</t>
        </is>
      </c>
      <c r="CQ1" t="inlineStr">
        <is>
          <t>ChainToScore</t>
        </is>
      </c>
      <c r="CR1" t="inlineStr">
        <is>
          <t>D50ToF50</t>
        </is>
      </c>
      <c r="CS1" t="inlineStr">
        <is>
          <t>D50ToScore</t>
        </is>
      </c>
      <c r="CT1" t="inlineStr">
        <is>
          <t>DefHalfToF50</t>
        </is>
      </c>
      <c r="CU1" t="inlineStr">
        <is>
          <t>DefHalfToScore</t>
        </is>
      </c>
      <c r="CV1" t="inlineStr">
        <is>
          <t>ContestDefensiveOneOnOnes</t>
        </is>
      </c>
      <c r="CW1" t="inlineStr">
        <is>
          <t>ContestDefensiveLossPercentage</t>
        </is>
      </c>
      <c r="CX1" t="inlineStr">
        <is>
          <t>Tackles</t>
        </is>
      </c>
      <c r="CY1" t="inlineStr">
        <is>
          <t>TacklesInside50</t>
        </is>
      </c>
      <c r="CZ1" t="inlineStr">
        <is>
          <t>PressureActs</t>
        </is>
      </c>
      <c r="DA1" t="inlineStr">
        <is>
          <t>PressureActsDefensiveHalf</t>
        </is>
      </c>
      <c r="DB1" t="inlineStr">
        <is>
          <t>Spoils</t>
        </is>
      </c>
      <c r="DC1" t="inlineStr">
        <is>
          <t>RuckContests</t>
        </is>
      </c>
      <c r="DD1" t="inlineStr">
        <is>
          <t>Hitouts</t>
        </is>
      </c>
      <c r="DE1" t="inlineStr">
        <is>
          <t>HitoutsWinPercentage</t>
        </is>
      </c>
      <c r="DF1" t="inlineStr">
        <is>
          <t>HitoutsToAdvantage</t>
        </is>
      </c>
      <c r="DG1" t="inlineStr">
        <is>
          <t>HitoutsToAdvantagePercentage</t>
        </is>
      </c>
      <c r="DH1" t="inlineStr">
        <is>
          <t>RuckHardBallGets</t>
        </is>
      </c>
      <c r="DI1" t="inlineStr">
        <is>
          <t>HitoutToFirstPossession</t>
        </is>
      </c>
      <c r="DJ1" t="inlineStr">
        <is>
          <t>HitoutToClearance</t>
        </is>
      </c>
      <c r="DK1" t="inlineStr">
        <is>
          <t>FreesFor</t>
        </is>
      </c>
      <c r="DL1" t="inlineStr">
        <is>
          <t>FreesAgainst</t>
        </is>
      </c>
      <c r="DM1" t="inlineStr">
        <is>
          <t>FreesDiff</t>
        </is>
      </c>
      <c r="DN1" t="inlineStr">
        <is>
          <t>KickIns</t>
        </is>
      </c>
      <c r="DO1" t="inlineStr">
        <is>
          <t>KickInsPlayOnPercentage</t>
        </is>
      </c>
      <c r="DP1" t="inlineStr">
        <is>
          <t>Bounces</t>
        </is>
      </c>
      <c r="DQ1" t="inlineStr">
        <is>
          <t>OnePercenters</t>
        </is>
      </c>
      <c r="DR1" t="inlineStr">
        <is>
          <t>InterchangeCount</t>
        </is>
      </c>
      <c r="DS1" t="inlineStr">
        <is>
          <t>RatingPoints_Opposition</t>
        </is>
      </c>
      <c r="DT1" t="inlineStr">
        <is>
          <t>Supercoach_Opposition</t>
        </is>
      </c>
      <c r="DU1" t="inlineStr">
        <is>
          <t>DreamTeamPoints_Opposition</t>
        </is>
      </c>
      <c r="DV1" t="inlineStr">
        <is>
          <t>CoachesVotes_Opposition</t>
        </is>
      </c>
      <c r="DW1" t="inlineStr">
        <is>
          <t>TimeInPossession_Opposition</t>
        </is>
      </c>
      <c r="DX1" t="inlineStr">
        <is>
          <t>Kicks_Opposition</t>
        </is>
      </c>
      <c r="DY1" t="inlineStr">
        <is>
          <t>Handballs_Opposition</t>
        </is>
      </c>
      <c r="DZ1" t="inlineStr">
        <is>
          <t>Disposals_Opposition</t>
        </is>
      </c>
      <c r="EA1" t="inlineStr">
        <is>
          <t>DisposalEfficiency_Opposition</t>
        </is>
      </c>
      <c r="EB1" t="inlineStr">
        <is>
          <t>KickingEfficiency_Opposition</t>
        </is>
      </c>
      <c r="EC1" t="inlineStr">
        <is>
          <t>HandballEfficiency_Opposition</t>
        </is>
      </c>
      <c r="ED1" t="inlineStr">
        <is>
          <t>OppositionDisposalsPerTackle</t>
        </is>
      </c>
      <c r="EE1" t="inlineStr">
        <is>
          <t>Inside50s_Opposition</t>
        </is>
      </c>
      <c r="EF1" t="inlineStr">
        <is>
          <t>Rebound50s_Opposition</t>
        </is>
      </c>
      <c r="EG1" t="inlineStr">
        <is>
          <t>OppositionRebound50sPerInside50s</t>
        </is>
      </c>
      <c r="EH1" t="inlineStr">
        <is>
          <t>MetresGained_Opposition</t>
        </is>
      </c>
      <c r="EI1" t="inlineStr">
        <is>
          <t>MetresGainedPerDisposal_Opposition</t>
        </is>
      </c>
      <c r="EJ1" t="inlineStr">
        <is>
          <t>KickMetresGained_Opposition</t>
        </is>
      </c>
      <c r="EK1" t="inlineStr">
        <is>
          <t>KickMetresGainedPerKick_Opposition</t>
        </is>
      </c>
      <c r="EL1" t="inlineStr">
        <is>
          <t>HandballMetresGained_Opposition</t>
        </is>
      </c>
      <c r="EM1" t="inlineStr">
        <is>
          <t>HandballMetresGainedPerHandball_Opposition</t>
        </is>
      </c>
      <c r="EN1" t="inlineStr">
        <is>
          <t>Clangers_Opposition</t>
        </is>
      </c>
      <c r="EO1" t="inlineStr">
        <is>
          <t>DisposalsPerClanger_Opposition</t>
        </is>
      </c>
      <c r="EP1" t="inlineStr">
        <is>
          <t>Turnovers_Opposition</t>
        </is>
      </c>
      <c r="EQ1" t="inlineStr">
        <is>
          <t>DisposalsPerTurnover_Opposition</t>
        </is>
      </c>
      <c r="ER1" t="inlineStr">
        <is>
          <t>DisposalRetentionPercentage_Opposition</t>
        </is>
      </c>
      <c r="ES1" t="inlineStr">
        <is>
          <t>KickIntoF50RetentionPercentage_Opposition</t>
        </is>
      </c>
      <c r="ET1" t="inlineStr">
        <is>
          <t>xThreatPerKick_Opposition</t>
        </is>
      </c>
      <c r="EU1" t="inlineStr">
        <is>
          <t>ThreatRating_Opposition</t>
        </is>
      </c>
      <c r="EV1" t="inlineStr">
        <is>
          <t>xRetainPerKick_Opposition</t>
        </is>
      </c>
      <c r="EW1" t="inlineStr">
        <is>
          <t>RetentionRating_Opposition</t>
        </is>
      </c>
      <c r="EX1" t="inlineStr">
        <is>
          <t>ContestedPossessions_Opposition</t>
        </is>
      </c>
      <c r="EY1" t="inlineStr">
        <is>
          <t>UncontestedPossessions_Opposition</t>
        </is>
      </c>
      <c r="EZ1" t="inlineStr">
        <is>
          <t>TotalPossessions_Opposition</t>
        </is>
      </c>
      <c r="FA1" t="inlineStr">
        <is>
          <t>ContestedPossessionRate_Opposition</t>
        </is>
      </c>
      <c r="FB1" t="inlineStr">
        <is>
          <t>Intercepts_Opposition</t>
        </is>
      </c>
      <c r="FC1" t="inlineStr">
        <is>
          <t>GroundBallGets_Opposition</t>
        </is>
      </c>
      <c r="FD1" t="inlineStr">
        <is>
          <t>GroundBallGetsForward50_Opposition</t>
        </is>
      </c>
      <c r="FE1" t="inlineStr">
        <is>
          <t>HardBallGets_Opposition</t>
        </is>
      </c>
      <c r="FF1" t="inlineStr">
        <is>
          <t>LooseBallGets_Opposition</t>
        </is>
      </c>
      <c r="FG1" t="inlineStr">
        <is>
          <t>PostClearanceContestedPossessions_Opposition</t>
        </is>
      </c>
      <c r="FH1" t="inlineStr">
        <is>
          <t>PostClearanceGroundBallGets_Opposition</t>
        </is>
      </c>
      <c r="FI1" t="inlineStr">
        <is>
          <t>GathersFromHitout_Opposition</t>
        </is>
      </c>
      <c r="FJ1" t="inlineStr">
        <is>
          <t>CrumbingPossessions_Opposition</t>
        </is>
      </c>
      <c r="FK1" t="inlineStr">
        <is>
          <t>HandballReceives_Opposition</t>
        </is>
      </c>
      <c r="FL1" t="inlineStr">
        <is>
          <t>CentreClearances_Opposition</t>
        </is>
      </c>
      <c r="FM1" t="inlineStr">
        <is>
          <t>StoppageClearances_Opposition</t>
        </is>
      </c>
      <c r="FN1" t="inlineStr">
        <is>
          <t>TotalClearances_Opposition</t>
        </is>
      </c>
      <c r="FO1" t="inlineStr">
        <is>
          <t>FirstPossessions_Opposition</t>
        </is>
      </c>
      <c r="FP1" t="inlineStr">
        <is>
          <t>FirstPossessionToClearance_Opposition</t>
        </is>
      </c>
      <c r="FQ1" t="inlineStr">
        <is>
          <t>Marks_Opposition</t>
        </is>
      </c>
      <c r="FR1" t="inlineStr">
        <is>
          <t>ContestedMarks_Opposition</t>
        </is>
      </c>
      <c r="FS1" t="inlineStr">
        <is>
          <t>MarksInside50_Opposition</t>
        </is>
      </c>
      <c r="FT1" t="inlineStr">
        <is>
          <t>MarksInside50PerInside50_Opposition</t>
        </is>
      </c>
      <c r="FU1" t="inlineStr">
        <is>
          <t>InterceptMarks_Opposition</t>
        </is>
      </c>
      <c r="FV1" t="inlineStr">
        <is>
          <t>MarksOnLead_Opposition</t>
        </is>
      </c>
      <c r="FW1" t="inlineStr">
        <is>
          <t>Goals_Opposition</t>
        </is>
      </c>
      <c r="FX1" t="inlineStr">
        <is>
          <t>Behinds_Opposition</t>
        </is>
      </c>
      <c r="FY1" t="inlineStr">
        <is>
          <t>TotalPoints_Opposition</t>
        </is>
      </c>
      <c r="FZ1" t="inlineStr">
        <is>
          <t>RushedBehinds_Opposition</t>
        </is>
      </c>
      <c r="GA1" t="inlineStr">
        <is>
          <t>ShotsAtGoal_Opposition</t>
        </is>
      </c>
      <c r="GB1" t="inlineStr">
        <is>
          <t>GoalAssists_Opposition</t>
        </is>
      </c>
      <c r="GC1" t="inlineStr">
        <is>
          <t>GoalAccuracy_Opposition</t>
        </is>
      </c>
      <c r="GD1" t="inlineStr">
        <is>
          <t>GoalsPerInside50_Opposition</t>
        </is>
      </c>
      <c r="GE1" t="inlineStr">
        <is>
          <t>ScoringShotsPerInside50_Opposition</t>
        </is>
      </c>
      <c r="GF1" t="inlineStr">
        <is>
          <t>ShotsPerInside50_Opposition</t>
        </is>
      </c>
      <c r="GG1" t="inlineStr">
        <is>
          <t>xScore_Opposition</t>
        </is>
      </c>
      <c r="GH1" t="inlineStr">
        <is>
          <t>xScoreRating_Opposition</t>
        </is>
      </c>
      <c r="GI1" t="inlineStr">
        <is>
          <t>xScorePerShot_Opposition</t>
        </is>
      </c>
      <c r="GJ1" t="inlineStr">
        <is>
          <t>xScoreRatingPerShot_Opposition</t>
        </is>
      </c>
      <c r="GK1" t="inlineStr">
        <is>
          <t>xScorePerShot_Set_Opposition</t>
        </is>
      </c>
      <c r="GL1" t="inlineStr">
        <is>
          <t>xScoreRatingPerShot_Set_Opposition</t>
        </is>
      </c>
      <c r="GM1" t="inlineStr">
        <is>
          <t>xScorePerShot_General_Opposition</t>
        </is>
      </c>
      <c r="GN1" t="inlineStr">
        <is>
          <t>xScoreRatingPerShot_General_Opposition</t>
        </is>
      </c>
      <c r="GO1" t="inlineStr">
        <is>
          <t>PointsFromKickIn_Opposition</t>
        </is>
      </c>
      <c r="GP1" t="inlineStr">
        <is>
          <t>PointsFromStoppage_Opposition</t>
        </is>
      </c>
      <c r="GQ1" t="inlineStr">
        <is>
          <t>PointsFromTurnover_Opposition</t>
        </is>
      </c>
      <c r="GR1" t="inlineStr">
        <is>
          <t>PointsFromDefensiveHalf_Opposition</t>
        </is>
      </c>
      <c r="GS1" t="inlineStr">
        <is>
          <t>PointsFromForwardHalf_Opposition</t>
        </is>
      </c>
      <c r="GT1" t="inlineStr">
        <is>
          <t>PointsFromCentreBounce_Opposition</t>
        </is>
      </c>
      <c r="GU1" t="inlineStr">
        <is>
          <t>ChainToScore_Opposition</t>
        </is>
      </c>
      <c r="GV1" t="inlineStr">
        <is>
          <t>D50ToF50_Opposition</t>
        </is>
      </c>
      <c r="GW1" t="inlineStr">
        <is>
          <t>D50ToScore_Opposition</t>
        </is>
      </c>
      <c r="GX1" t="inlineStr">
        <is>
          <t>DefHalfToF50_Opposition</t>
        </is>
      </c>
      <c r="GY1" t="inlineStr">
        <is>
          <t>DefHalfToScore_Opposition</t>
        </is>
      </c>
      <c r="GZ1" t="inlineStr">
        <is>
          <t>Tackles_Opposition</t>
        </is>
      </c>
      <c r="HA1" t="inlineStr">
        <is>
          <t>TacklesInside50_Opposition</t>
        </is>
      </c>
      <c r="HB1" t="inlineStr">
        <is>
          <t>PressureActs_Opposition</t>
        </is>
      </c>
      <c r="HC1" t="inlineStr">
        <is>
          <t>PressureActsDefensiveHalf_Opposition</t>
        </is>
      </c>
      <c r="HD1" t="inlineStr">
        <is>
          <t>Spoils_Opposition</t>
        </is>
      </c>
      <c r="HE1" t="inlineStr">
        <is>
          <t>Hitouts_Opposition</t>
        </is>
      </c>
      <c r="HF1" t="inlineStr">
        <is>
          <t>HitoutsWinPercentage_Opposition</t>
        </is>
      </c>
      <c r="HG1" t="inlineStr">
        <is>
          <t>HitoutsToAdvantage_Opposition</t>
        </is>
      </c>
      <c r="HH1" t="inlineStr">
        <is>
          <t>HitoutsToAdvantagePercentage_Opposition</t>
        </is>
      </c>
      <c r="HI1" t="inlineStr">
        <is>
          <t>RuckHardBallGets_Opposition</t>
        </is>
      </c>
      <c r="HJ1" t="inlineStr">
        <is>
          <t>HitoutToFirstPossession_Opposition</t>
        </is>
      </c>
      <c r="HK1" t="inlineStr">
        <is>
          <t>HitoutToClearance_Opposition</t>
        </is>
      </c>
      <c r="HL1" t="inlineStr">
        <is>
          <t>KickIns_Opposition</t>
        </is>
      </c>
      <c r="HM1" t="inlineStr">
        <is>
          <t>KickInsPlayOnPercentage_Opposition</t>
        </is>
      </c>
      <c r="HN1" t="inlineStr">
        <is>
          <t>Bounces_Opposition</t>
        </is>
      </c>
      <c r="HO1" t="inlineStr">
        <is>
          <t>OnePercenters_Opposition</t>
        </is>
      </c>
      <c r="HP1" t="inlineStr">
        <is>
          <t>InterchangeCount_Opposition</t>
        </is>
      </c>
      <c r="HQ1" t="inlineStr">
        <is>
          <t>RatingPoints_Diff</t>
        </is>
      </c>
      <c r="HR1" t="inlineStr">
        <is>
          <t>Supercoach_Diff</t>
        </is>
      </c>
      <c r="HS1" t="inlineStr">
        <is>
          <t>DreamTeamPoints_Diff</t>
        </is>
      </c>
      <c r="HT1" t="inlineStr">
        <is>
          <t>CoachesVotes_Diff</t>
        </is>
      </c>
      <c r="HU1" t="inlineStr">
        <is>
          <t>TimeInPossession_Diff</t>
        </is>
      </c>
      <c r="HV1" t="inlineStr">
        <is>
          <t>Kicks_Diff</t>
        </is>
      </c>
      <c r="HW1" t="inlineStr">
        <is>
          <t>Handballs_Diff</t>
        </is>
      </c>
      <c r="HX1" t="inlineStr">
        <is>
          <t>Disposals_Diff</t>
        </is>
      </c>
      <c r="HY1" t="inlineStr">
        <is>
          <t>Inside50s_Diff</t>
        </is>
      </c>
      <c r="HZ1" t="inlineStr">
        <is>
          <t>MetresGained_Diff</t>
        </is>
      </c>
      <c r="IA1" t="inlineStr">
        <is>
          <t>KickMetresGained_Diff</t>
        </is>
      </c>
      <c r="IB1" t="inlineStr">
        <is>
          <t>HandballMetresGained_Diff</t>
        </is>
      </c>
      <c r="IC1" t="inlineStr">
        <is>
          <t>Clangers_Diff</t>
        </is>
      </c>
      <c r="ID1" t="inlineStr">
        <is>
          <t>Turnovers_Diff</t>
        </is>
      </c>
      <c r="IE1" t="inlineStr">
        <is>
          <t>ThreatRating_Diff</t>
        </is>
      </c>
      <c r="IF1" t="inlineStr">
        <is>
          <t>RetentionRating_Diff</t>
        </is>
      </c>
      <c r="IG1" t="inlineStr">
        <is>
          <t>ContestedPossessions_Diff</t>
        </is>
      </c>
      <c r="IH1" t="inlineStr">
        <is>
          <t>UncontestedPossessions_Diff</t>
        </is>
      </c>
      <c r="II1" t="inlineStr">
        <is>
          <t>TotalPossessions_Diff</t>
        </is>
      </c>
      <c r="IJ1" t="inlineStr">
        <is>
          <t>Intercepts_Diff</t>
        </is>
      </c>
      <c r="IK1" t="inlineStr">
        <is>
          <t>GroundBallGets_Diff</t>
        </is>
      </c>
      <c r="IL1" t="inlineStr">
        <is>
          <t>GroundBallGetsForward50_Diff</t>
        </is>
      </c>
      <c r="IM1" t="inlineStr">
        <is>
          <t>HardBallGets_Diff</t>
        </is>
      </c>
      <c r="IN1" t="inlineStr">
        <is>
          <t>LooseBallGets_Diff</t>
        </is>
      </c>
      <c r="IO1" t="inlineStr">
        <is>
          <t>PostClearanceContestedPossessions_Diff</t>
        </is>
      </c>
      <c r="IP1" t="inlineStr">
        <is>
          <t>PostClearanceGroundBallGets_Diff</t>
        </is>
      </c>
      <c r="IQ1" t="inlineStr">
        <is>
          <t>GathersFromHitout_Diff</t>
        </is>
      </c>
      <c r="IR1" t="inlineStr">
        <is>
          <t>CrumbingPossessions_Diff</t>
        </is>
      </c>
      <c r="IS1" t="inlineStr">
        <is>
          <t>HandballReceives_Diff</t>
        </is>
      </c>
      <c r="IT1" t="inlineStr">
        <is>
          <t>CentreClearances_Diff</t>
        </is>
      </c>
      <c r="IU1" t="inlineStr">
        <is>
          <t>StoppageClearances_Diff</t>
        </is>
      </c>
      <c r="IV1" t="inlineStr">
        <is>
          <t>TotalClearances_Diff</t>
        </is>
      </c>
      <c r="IW1" t="inlineStr">
        <is>
          <t>FirstPossessions_Diff</t>
        </is>
      </c>
      <c r="IX1" t="inlineStr">
        <is>
          <t>Marks_Diff</t>
        </is>
      </c>
      <c r="IY1" t="inlineStr">
        <is>
          <t>ContestedMarks_Diff</t>
        </is>
      </c>
      <c r="IZ1" t="inlineStr">
        <is>
          <t>MarksInside50_Diff</t>
        </is>
      </c>
      <c r="JA1" t="inlineStr">
        <is>
          <t>InterceptMarks_Diff</t>
        </is>
      </c>
      <c r="JB1" t="inlineStr">
        <is>
          <t>MarksOnLead_Diff</t>
        </is>
      </c>
      <c r="JC1" t="inlineStr">
        <is>
          <t>Goals_Diff</t>
        </is>
      </c>
      <c r="JD1" t="inlineStr">
        <is>
          <t>Behinds_Diff</t>
        </is>
      </c>
      <c r="JE1" t="inlineStr">
        <is>
          <t>TotalPoints_Diff</t>
        </is>
      </c>
      <c r="JF1" t="inlineStr">
        <is>
          <t>ShotsAtGoal_Diff</t>
        </is>
      </c>
      <c r="JG1" t="inlineStr">
        <is>
          <t>GoalAssists_Diff</t>
        </is>
      </c>
      <c r="JH1" t="inlineStr">
        <is>
          <t>xScore_Diff</t>
        </is>
      </c>
      <c r="JI1" t="inlineStr">
        <is>
          <t>xScoreRating_Diff</t>
        </is>
      </c>
      <c r="JJ1" t="inlineStr">
        <is>
          <t>xScorePerShot_Diff</t>
        </is>
      </c>
      <c r="JK1" t="inlineStr">
        <is>
          <t>PointsFromKickIn_Diff</t>
        </is>
      </c>
      <c r="JL1" t="inlineStr">
        <is>
          <t>PointsFromStoppage_Diff</t>
        </is>
      </c>
      <c r="JM1" t="inlineStr">
        <is>
          <t>PointsFromTurnover_Diff</t>
        </is>
      </c>
      <c r="JN1" t="inlineStr">
        <is>
          <t>PointsFromDefensiveHalf_Diff</t>
        </is>
      </c>
      <c r="JO1" t="inlineStr">
        <is>
          <t>PointsFromForwardHalf_Diff</t>
        </is>
      </c>
      <c r="JP1" t="inlineStr">
        <is>
          <t>PointsFromCentreBounce_Diff</t>
        </is>
      </c>
      <c r="JQ1" t="inlineStr">
        <is>
          <t>Tackles_Diff</t>
        </is>
      </c>
      <c r="JR1" t="inlineStr">
        <is>
          <t>TacklesInside50_Diff</t>
        </is>
      </c>
      <c r="JS1" t="inlineStr">
        <is>
          <t>PressureActs_Diff</t>
        </is>
      </c>
      <c r="JT1" t="inlineStr">
        <is>
          <t>PressureActsDefensiveHalf_Diff</t>
        </is>
      </c>
      <c r="JU1" t="inlineStr">
        <is>
          <t>Spoils_Diff</t>
        </is>
      </c>
      <c r="JV1" t="inlineStr">
        <is>
          <t>Hitouts_Diff</t>
        </is>
      </c>
      <c r="JW1" t="inlineStr">
        <is>
          <t>HitoutsToAdvantage_Diff</t>
        </is>
      </c>
      <c r="JX1" t="inlineStr">
        <is>
          <t>RuckHardBallGets_Diff</t>
        </is>
      </c>
      <c r="JY1" t="inlineStr">
        <is>
          <t>Bounces_Diff</t>
        </is>
      </c>
      <c r="JZ1" t="inlineStr">
        <is>
          <t>OnePercenters_Diff</t>
        </is>
      </c>
      <c r="KA1" t="inlineStr">
        <is>
          <t>InterchangeCount_Diff</t>
        </is>
      </c>
    </row>
    <row r="2">
      <c r="A2" t="inlineStr">
        <is>
          <t>Sydney</t>
        </is>
      </c>
      <c r="B2" t="inlineStr">
        <is>
          <t>Syd</t>
        </is>
      </c>
      <c r="C2" t="n">
        <v>23</v>
      </c>
      <c r="D2" t="n">
        <v>35</v>
      </c>
      <c r="E2" t="n">
        <v>26.316</v>
      </c>
      <c r="F2" t="n">
        <v>118.934</v>
      </c>
      <c r="G2" t="n">
        <v>193.417</v>
      </c>
      <c r="H2" t="n">
        <v>1653.261</v>
      </c>
      <c r="I2" t="n">
        <v>1511.087</v>
      </c>
      <c r="J2" t="n">
        <v>14.696</v>
      </c>
      <c r="K2" t="n">
        <v>50.759</v>
      </c>
      <c r="L2" t="n">
        <v>41.478</v>
      </c>
      <c r="M2" t="n">
        <v>211.957</v>
      </c>
      <c r="N2" t="n">
        <v>142.435</v>
      </c>
      <c r="O2" t="n">
        <v>354.391</v>
      </c>
      <c r="P2" t="n">
        <v>71.709</v>
      </c>
      <c r="Q2" t="n">
        <v>65.27200000000001</v>
      </c>
      <c r="R2" t="n">
        <v>81.288</v>
      </c>
      <c r="S2" t="n">
        <v>59.809</v>
      </c>
      <c r="T2" t="n">
        <v>5.989</v>
      </c>
      <c r="U2" t="n">
        <v>52.261</v>
      </c>
      <c r="V2" t="n">
        <v>38.522</v>
      </c>
      <c r="W2" t="n">
        <v>74.642</v>
      </c>
      <c r="X2" t="n">
        <v>5773.217</v>
      </c>
      <c r="Y2" t="n">
        <v>16.291</v>
      </c>
      <c r="Z2" t="n">
        <v>5537.047</v>
      </c>
      <c r="AA2" t="n">
        <v>26.291</v>
      </c>
      <c r="AB2" t="n">
        <v>118.75</v>
      </c>
      <c r="AC2" t="n">
        <v>0.836</v>
      </c>
      <c r="AD2" t="n">
        <v>59.13</v>
      </c>
      <c r="AE2" t="n">
        <v>5.993</v>
      </c>
      <c r="AF2" t="n">
        <v>63.783</v>
      </c>
      <c r="AG2" t="n">
        <v>5.556</v>
      </c>
      <c r="AH2" t="n">
        <v>70.14100000000001</v>
      </c>
      <c r="AI2" t="n">
        <v>46.154</v>
      </c>
      <c r="AJ2" t="n">
        <v>23.656</v>
      </c>
      <c r="AK2" t="n">
        <v>0.252</v>
      </c>
      <c r="AL2" t="n">
        <v>57.572</v>
      </c>
      <c r="AM2" t="n">
        <v>1.267</v>
      </c>
      <c r="AN2" t="n">
        <v>129.609</v>
      </c>
      <c r="AO2" t="n">
        <v>215.043</v>
      </c>
      <c r="AP2" t="n">
        <v>344.652</v>
      </c>
      <c r="AQ2" t="n">
        <v>37.606</v>
      </c>
      <c r="AR2" t="n">
        <v>61.696</v>
      </c>
      <c r="AS2" t="n">
        <v>86.696</v>
      </c>
      <c r="AT2" t="n">
        <v>15.261</v>
      </c>
      <c r="AU2" t="n">
        <v>22.913</v>
      </c>
      <c r="AV2" t="n">
        <v>63.783</v>
      </c>
      <c r="AW2" t="n">
        <v>78.39100000000001</v>
      </c>
      <c r="AX2" t="n">
        <v>57.522</v>
      </c>
      <c r="AY2" t="n">
        <v>10.739</v>
      </c>
      <c r="AZ2" t="n">
        <v>22.391</v>
      </c>
      <c r="BA2" t="n">
        <v>112.783</v>
      </c>
      <c r="BB2" t="n">
        <v>11.696</v>
      </c>
      <c r="BC2" t="n">
        <v>26.739</v>
      </c>
      <c r="BD2" t="n">
        <v>38.435</v>
      </c>
      <c r="BE2" t="n">
        <v>42.217</v>
      </c>
      <c r="BF2" t="n">
        <v>76.20999999999999</v>
      </c>
      <c r="BG2" t="n">
        <v>89.696</v>
      </c>
      <c r="BH2" t="n">
        <v>7.348</v>
      </c>
      <c r="BI2" t="n">
        <v>11.565</v>
      </c>
      <c r="BJ2" t="n">
        <v>22.13</v>
      </c>
      <c r="BK2" t="n">
        <v>13.783</v>
      </c>
      <c r="BL2" t="n">
        <v>7.739</v>
      </c>
      <c r="BM2" t="n">
        <v>28</v>
      </c>
      <c r="BN2" t="n">
        <v>7.696</v>
      </c>
      <c r="BO2" t="n">
        <v>11.478</v>
      </c>
      <c r="BP2" t="n">
        <v>11.348</v>
      </c>
      <c r="BQ2" t="n">
        <v>80.217</v>
      </c>
      <c r="BR2" t="n">
        <v>1.522</v>
      </c>
      <c r="BS2" t="n">
        <v>25.565</v>
      </c>
      <c r="BT2" t="n">
        <v>8.348000000000001</v>
      </c>
      <c r="BU2" t="n">
        <v>44.898</v>
      </c>
      <c r="BV2" t="n">
        <v>21.963</v>
      </c>
      <c r="BW2" t="n">
        <v>43.677</v>
      </c>
      <c r="BX2" t="n">
        <v>48.918</v>
      </c>
      <c r="BY2" t="n">
        <v>10.478</v>
      </c>
      <c r="BZ2" t="n">
        <v>26.556</v>
      </c>
      <c r="CA2" t="n">
        <v>12.632</v>
      </c>
      <c r="CB2" t="n">
        <v>-0.632</v>
      </c>
      <c r="CC2" t="n">
        <v>80.655</v>
      </c>
      <c r="CD2" t="n">
        <v>-1.959</v>
      </c>
      <c r="CE2" t="n">
        <v>3.16</v>
      </c>
      <c r="CF2" t="n">
        <v>-0.077</v>
      </c>
      <c r="CG2" t="n">
        <v>3.555</v>
      </c>
      <c r="CH2" t="n">
        <v>0.057</v>
      </c>
      <c r="CI2" t="n">
        <v>2.696</v>
      </c>
      <c r="CJ2" t="n">
        <v>-0.233</v>
      </c>
      <c r="CK2" t="n">
        <v>3.87</v>
      </c>
      <c r="CL2" t="n">
        <v>32.435</v>
      </c>
      <c r="CM2" t="n">
        <v>43.913</v>
      </c>
      <c r="CN2" t="n">
        <v>33.348</v>
      </c>
      <c r="CO2" t="n">
        <v>37.087</v>
      </c>
      <c r="CP2" t="n">
        <v>9.782999999999999</v>
      </c>
      <c r="CQ2" t="n">
        <v>20.77</v>
      </c>
      <c r="CR2" t="n">
        <v>25.592</v>
      </c>
      <c r="CS2" t="n">
        <v>10.384</v>
      </c>
      <c r="CT2" t="n">
        <v>34.057</v>
      </c>
      <c r="CU2" t="n">
        <v>13.714</v>
      </c>
      <c r="CV2" t="n">
        <v>9.739000000000001</v>
      </c>
      <c r="CW2" t="n">
        <v>30.804</v>
      </c>
      <c r="CX2" t="n">
        <v>60.087</v>
      </c>
      <c r="CY2" t="n">
        <v>9.957000000000001</v>
      </c>
      <c r="CZ2" t="n">
        <v>258.348</v>
      </c>
      <c r="DA2" t="n">
        <v>121.087</v>
      </c>
      <c r="DB2" t="n">
        <v>30.87</v>
      </c>
      <c r="DC2" t="n">
        <v>95.565</v>
      </c>
      <c r="DD2" t="n">
        <v>43.435</v>
      </c>
      <c r="DE2" t="n">
        <v>45.45</v>
      </c>
      <c r="DF2" t="n">
        <v>12.087</v>
      </c>
      <c r="DG2" t="n">
        <v>27.828</v>
      </c>
      <c r="DH2" t="n">
        <v>4.174</v>
      </c>
      <c r="DI2" t="n">
        <v>44.545</v>
      </c>
      <c r="DJ2" t="n">
        <v>39.239</v>
      </c>
      <c r="DK2" t="n">
        <v>19.435</v>
      </c>
      <c r="DL2" t="n">
        <v>20.217</v>
      </c>
      <c r="DM2" t="n">
        <v>-0.783</v>
      </c>
      <c r="DN2" t="n">
        <v>10.304</v>
      </c>
      <c r="DO2" t="n">
        <v>95.35899999999999</v>
      </c>
      <c r="DP2" t="n">
        <v>10.087</v>
      </c>
      <c r="DQ2" t="n">
        <v>40.174</v>
      </c>
      <c r="DR2" t="n">
        <v>71.04300000000001</v>
      </c>
      <c r="DS2" t="n">
        <v>194.935</v>
      </c>
      <c r="DT2" t="n">
        <v>1647.261</v>
      </c>
      <c r="DU2" t="n">
        <v>1477.13</v>
      </c>
      <c r="DV2" t="n">
        <v>15.304</v>
      </c>
      <c r="DW2" t="n">
        <v>40.783</v>
      </c>
      <c r="DX2" t="n">
        <v>205.13</v>
      </c>
      <c r="DY2" t="n">
        <v>143.391</v>
      </c>
      <c r="DZ2" t="n">
        <v>348.522</v>
      </c>
      <c r="EA2" t="n">
        <v>72.24299999999999</v>
      </c>
      <c r="EB2" t="n">
        <v>65.43000000000001</v>
      </c>
      <c r="EC2" t="n">
        <v>81.989</v>
      </c>
      <c r="ED2" t="n">
        <v>5.8</v>
      </c>
      <c r="EE2" t="n">
        <v>51.609</v>
      </c>
      <c r="EF2" t="n">
        <v>40.217</v>
      </c>
      <c r="EG2" t="n">
        <v>76.955</v>
      </c>
      <c r="EH2" t="n">
        <v>5763.739</v>
      </c>
      <c r="EI2" t="n">
        <v>16.538</v>
      </c>
      <c r="EJ2" t="n">
        <v>5459.867</v>
      </c>
      <c r="EK2" t="n">
        <v>26.775</v>
      </c>
      <c r="EL2" t="n">
        <v>156.163</v>
      </c>
      <c r="EM2" t="n">
        <v>1.092</v>
      </c>
      <c r="EN2" t="n">
        <v>55.261</v>
      </c>
      <c r="EO2" t="n">
        <v>6.307</v>
      </c>
      <c r="EP2" t="n">
        <v>61.522</v>
      </c>
      <c r="EQ2" t="n">
        <v>5.665</v>
      </c>
      <c r="ER2" t="n">
        <v>69.761</v>
      </c>
      <c r="ES2" t="n">
        <v>46.794</v>
      </c>
      <c r="ET2" t="n">
        <v>22.776</v>
      </c>
      <c r="EU2" t="n">
        <v>0.532</v>
      </c>
      <c r="EV2" t="n">
        <v>57.167</v>
      </c>
      <c r="EW2" t="n">
        <v>0.167</v>
      </c>
      <c r="EX2" t="n">
        <v>127.435</v>
      </c>
      <c r="EY2" t="n">
        <v>212.261</v>
      </c>
      <c r="EZ2" t="n">
        <v>339.696</v>
      </c>
      <c r="FA2" t="n">
        <v>37.514</v>
      </c>
      <c r="FB2" t="n">
        <v>63.957</v>
      </c>
      <c r="FC2" t="n">
        <v>86.217</v>
      </c>
      <c r="FD2" t="n">
        <v>15</v>
      </c>
      <c r="FE2" t="n">
        <v>21.174</v>
      </c>
      <c r="FF2" t="n">
        <v>65.04300000000001</v>
      </c>
      <c r="FG2" t="n">
        <v>78.87</v>
      </c>
      <c r="FH2" t="n">
        <v>55</v>
      </c>
      <c r="FI2" t="n">
        <v>7.261</v>
      </c>
      <c r="FJ2" t="n">
        <v>20.739</v>
      </c>
      <c r="FK2" t="n">
        <v>114.261</v>
      </c>
      <c r="FL2" t="n">
        <v>11.565</v>
      </c>
      <c r="FM2" t="n">
        <v>23.913</v>
      </c>
      <c r="FN2" t="n">
        <v>35.478</v>
      </c>
      <c r="FO2" t="n">
        <v>39</v>
      </c>
      <c r="FP2" t="n">
        <v>73.467</v>
      </c>
      <c r="FQ2" t="n">
        <v>88.261</v>
      </c>
      <c r="FR2" t="n">
        <v>9.304</v>
      </c>
      <c r="FS2" t="n">
        <v>10.957</v>
      </c>
      <c r="FT2" t="n">
        <v>21.23</v>
      </c>
      <c r="FU2" t="n">
        <v>16.304</v>
      </c>
      <c r="FV2" t="n">
        <v>8.260999999999999</v>
      </c>
      <c r="FW2" t="n">
        <v>12</v>
      </c>
      <c r="FX2" t="n">
        <v>10.696</v>
      </c>
      <c r="FY2" t="n">
        <v>82.696</v>
      </c>
      <c r="FZ2" t="n">
        <v>2.348</v>
      </c>
      <c r="GA2" t="n">
        <v>25.043</v>
      </c>
      <c r="GB2" t="n">
        <v>7.565</v>
      </c>
      <c r="GC2" t="n">
        <v>47.917</v>
      </c>
      <c r="GD2" t="n">
        <v>23.252</v>
      </c>
      <c r="GE2" t="n">
        <v>43.976</v>
      </c>
      <c r="GF2" t="n">
        <v>48.526</v>
      </c>
      <c r="GG2" t="n">
        <v>79.11</v>
      </c>
      <c r="GH2" t="n">
        <v>1.238</v>
      </c>
      <c r="GI2" t="n">
        <v>3.159</v>
      </c>
      <c r="GJ2" t="n">
        <v>0.049</v>
      </c>
      <c r="GK2" t="n">
        <v>3.387</v>
      </c>
      <c r="GL2" t="n">
        <v>-0.019</v>
      </c>
      <c r="GM2" t="n">
        <v>2.904</v>
      </c>
      <c r="GN2" t="n">
        <v>0.126</v>
      </c>
      <c r="GO2" t="n">
        <v>4.478</v>
      </c>
      <c r="GP2" t="n">
        <v>30.261</v>
      </c>
      <c r="GQ2" t="n">
        <v>47.957</v>
      </c>
      <c r="GR2" t="n">
        <v>29.696</v>
      </c>
      <c r="GS2" t="n">
        <v>40.652</v>
      </c>
      <c r="GT2" t="n">
        <v>12.348</v>
      </c>
      <c r="GU2" t="n">
        <v>20.77</v>
      </c>
      <c r="GV2" t="n">
        <v>21.294</v>
      </c>
      <c r="GW2" t="n">
        <v>8.919</v>
      </c>
      <c r="GX2" t="n">
        <v>30.871</v>
      </c>
      <c r="GY2" t="n">
        <v>12.392</v>
      </c>
      <c r="GZ2" t="n">
        <v>59.174</v>
      </c>
      <c r="HA2" t="n">
        <v>10.174</v>
      </c>
      <c r="HB2" t="n">
        <v>267.261</v>
      </c>
      <c r="HC2" t="n">
        <v>128.739</v>
      </c>
      <c r="HD2" t="n">
        <v>28.565</v>
      </c>
      <c r="HE2" t="n">
        <v>31.087</v>
      </c>
      <c r="HF2" t="n">
        <v>32.5</v>
      </c>
      <c r="HG2" t="n">
        <v>8.042999999999999</v>
      </c>
      <c r="HH2" t="n">
        <v>25.874</v>
      </c>
      <c r="HI2" t="n">
        <v>2.391</v>
      </c>
      <c r="HJ2" t="n">
        <v>44.895</v>
      </c>
      <c r="HK2" t="n">
        <v>40.28</v>
      </c>
      <c r="HL2" t="n">
        <v>11.13</v>
      </c>
      <c r="HM2" t="n">
        <v>90.625</v>
      </c>
      <c r="HN2" t="n">
        <v>7.565</v>
      </c>
      <c r="HO2" t="n">
        <v>39.913</v>
      </c>
      <c r="HP2" t="n">
        <v>69.783</v>
      </c>
      <c r="HQ2" t="n">
        <v>-1.517</v>
      </c>
      <c r="HR2" t="n">
        <v>6</v>
      </c>
      <c r="HS2" t="n">
        <v>33.957</v>
      </c>
      <c r="HT2" t="n">
        <v>-0.609</v>
      </c>
      <c r="HU2" t="n">
        <v>0.696</v>
      </c>
      <c r="HV2" t="n">
        <v>6.826</v>
      </c>
      <c r="HW2" t="n">
        <v>-0.957</v>
      </c>
      <c r="HX2" t="n">
        <v>5.87</v>
      </c>
      <c r="HY2" t="n">
        <v>0.652</v>
      </c>
      <c r="HZ2" t="n">
        <v>9.478</v>
      </c>
      <c r="IA2" t="n">
        <v>77.181</v>
      </c>
      <c r="IB2" t="n">
        <v>-37.414</v>
      </c>
      <c r="IC2" t="n">
        <v>3.87</v>
      </c>
      <c r="ID2" t="n">
        <v>2.261</v>
      </c>
      <c r="IE2" t="n">
        <v>-0.28</v>
      </c>
      <c r="IF2" t="n">
        <v>1.1</v>
      </c>
      <c r="IG2" t="n">
        <v>2.174</v>
      </c>
      <c r="IH2" t="n">
        <v>2.783</v>
      </c>
      <c r="II2" t="n">
        <v>4.957</v>
      </c>
      <c r="IJ2" t="n">
        <v>-2.261</v>
      </c>
      <c r="IK2" t="n">
        <v>0.478</v>
      </c>
      <c r="IL2" t="n">
        <v>0.261</v>
      </c>
      <c r="IM2" t="n">
        <v>1.739</v>
      </c>
      <c r="IN2" t="n">
        <v>-1.261</v>
      </c>
      <c r="IO2" t="n">
        <v>-0.478</v>
      </c>
      <c r="IP2" t="n">
        <v>2.522</v>
      </c>
      <c r="IQ2" t="n">
        <v>3.478</v>
      </c>
      <c r="IR2" t="n">
        <v>1.652</v>
      </c>
      <c r="IS2" t="n">
        <v>-1.478</v>
      </c>
      <c r="IT2" t="n">
        <v>0.13</v>
      </c>
      <c r="IU2" t="n">
        <v>2.826</v>
      </c>
      <c r="IV2" t="n">
        <v>2.957</v>
      </c>
      <c r="IW2" t="n">
        <v>3.217</v>
      </c>
      <c r="IX2" t="n">
        <v>1.435</v>
      </c>
      <c r="IY2" t="n">
        <v>-1.957</v>
      </c>
      <c r="IZ2" t="n">
        <v>0.609</v>
      </c>
      <c r="JA2" t="n">
        <v>-2.522</v>
      </c>
      <c r="JB2" t="n">
        <v>-0.522</v>
      </c>
      <c r="JC2" t="n">
        <v>-0.522</v>
      </c>
      <c r="JD2" t="n">
        <v>0.652</v>
      </c>
      <c r="JE2" t="n">
        <v>-2.478</v>
      </c>
      <c r="JF2" t="n">
        <v>0.522</v>
      </c>
      <c r="JG2" t="n">
        <v>0.783</v>
      </c>
      <c r="JH2" t="n">
        <v>1.544</v>
      </c>
      <c r="JI2" t="n">
        <v>-3.196</v>
      </c>
      <c r="JJ2" t="n">
        <v>0.001</v>
      </c>
      <c r="JK2" t="n">
        <v>-0.609</v>
      </c>
      <c r="JL2" t="n">
        <v>2.174</v>
      </c>
      <c r="JM2" t="n">
        <v>-4.043</v>
      </c>
      <c r="JN2" t="n">
        <v>3.652</v>
      </c>
      <c r="JO2" t="n">
        <v>-3.565</v>
      </c>
      <c r="JP2" t="n">
        <v>-2.565</v>
      </c>
      <c r="JQ2" t="n">
        <v>0.913</v>
      </c>
      <c r="JR2" t="n">
        <v>-0.217</v>
      </c>
      <c r="JS2" t="n">
        <v>-8.913</v>
      </c>
      <c r="JT2" t="n">
        <v>-7.652</v>
      </c>
      <c r="JU2" t="n">
        <v>2.304</v>
      </c>
      <c r="JV2" t="n">
        <v>12.348</v>
      </c>
      <c r="JW2" t="n">
        <v>4.043</v>
      </c>
      <c r="JX2" t="n">
        <v>1.783</v>
      </c>
      <c r="JY2" t="n">
        <v>2.522</v>
      </c>
      <c r="JZ2" t="n">
        <v>0.261</v>
      </c>
      <c r="KA2" t="n">
        <v>1.261</v>
      </c>
    </row>
    <row r="3">
      <c r="A3" t="inlineStr">
        <is>
          <t>Hawthorn</t>
        </is>
      </c>
      <c r="B3" t="inlineStr">
        <is>
          <t>Haw</t>
        </is>
      </c>
      <c r="C3" t="n">
        <v>26</v>
      </c>
      <c r="D3" t="n">
        <v>35</v>
      </c>
      <c r="E3" t="n">
        <v>25.906</v>
      </c>
      <c r="F3" t="n">
        <v>109.416</v>
      </c>
      <c r="G3" t="n">
        <v>211.885</v>
      </c>
      <c r="H3" t="n">
        <v>1716.808</v>
      </c>
      <c r="I3" t="n">
        <v>1548.885</v>
      </c>
      <c r="J3" t="n">
        <v>17.538</v>
      </c>
      <c r="K3" t="n">
        <v>51.181</v>
      </c>
      <c r="L3" t="n">
        <v>42.269</v>
      </c>
      <c r="M3" t="n">
        <v>211.615</v>
      </c>
      <c r="N3" t="n">
        <v>155.192</v>
      </c>
      <c r="O3" t="n">
        <v>366.808</v>
      </c>
      <c r="P3" t="n">
        <v>72.245</v>
      </c>
      <c r="Q3" t="n">
        <v>64.813</v>
      </c>
      <c r="R3" t="n">
        <v>82.379</v>
      </c>
      <c r="S3" t="n">
        <v>57.691</v>
      </c>
      <c r="T3" t="n">
        <v>5.456</v>
      </c>
      <c r="U3" t="n">
        <v>52.885</v>
      </c>
      <c r="V3" t="n">
        <v>39.962</v>
      </c>
      <c r="W3" t="n">
        <v>77.711</v>
      </c>
      <c r="X3" t="n">
        <v>6130.731</v>
      </c>
      <c r="Y3" t="n">
        <v>16.714</v>
      </c>
      <c r="Z3" t="n">
        <v>5756.451</v>
      </c>
      <c r="AA3" t="n">
        <v>27.402</v>
      </c>
      <c r="AB3" t="n">
        <v>180.013</v>
      </c>
      <c r="AC3" t="n">
        <v>1.164</v>
      </c>
      <c r="AD3" t="n">
        <v>57.346</v>
      </c>
      <c r="AE3" t="n">
        <v>6.396</v>
      </c>
      <c r="AF3" t="n">
        <v>65.462</v>
      </c>
      <c r="AG3" t="n">
        <v>5.603</v>
      </c>
      <c r="AH3" t="n">
        <v>69.988</v>
      </c>
      <c r="AI3" t="n">
        <v>48.584</v>
      </c>
      <c r="AJ3" t="n">
        <v>23.445</v>
      </c>
      <c r="AK3" t="n">
        <v>3.272</v>
      </c>
      <c r="AL3" t="n">
        <v>54.962</v>
      </c>
      <c r="AM3" t="n">
        <v>0.428</v>
      </c>
      <c r="AN3" t="n">
        <v>134.538</v>
      </c>
      <c r="AO3" t="n">
        <v>223.154</v>
      </c>
      <c r="AP3" t="n">
        <v>357.692</v>
      </c>
      <c r="AQ3" t="n">
        <v>37.613</v>
      </c>
      <c r="AR3" t="n">
        <v>68.11499999999999</v>
      </c>
      <c r="AS3" t="n">
        <v>89.423</v>
      </c>
      <c r="AT3" t="n">
        <v>14.423</v>
      </c>
      <c r="AU3" t="n">
        <v>20.5</v>
      </c>
      <c r="AV3" t="n">
        <v>68.923</v>
      </c>
      <c r="AW3" t="n">
        <v>83.80800000000001</v>
      </c>
      <c r="AX3" t="n">
        <v>58.462</v>
      </c>
      <c r="AY3" t="n">
        <v>10.538</v>
      </c>
      <c r="AZ3" t="n">
        <v>22.385</v>
      </c>
      <c r="BA3" t="n">
        <v>125.115</v>
      </c>
      <c r="BB3" t="n">
        <v>11.308</v>
      </c>
      <c r="BC3" t="n">
        <v>25.885</v>
      </c>
      <c r="BD3" t="n">
        <v>37.192</v>
      </c>
      <c r="BE3" t="n">
        <v>41.615</v>
      </c>
      <c r="BF3" t="n">
        <v>73.47499999999999</v>
      </c>
      <c r="BG3" t="n">
        <v>85.19199999999999</v>
      </c>
      <c r="BH3" t="n">
        <v>9.885</v>
      </c>
      <c r="BI3" t="n">
        <v>13.808</v>
      </c>
      <c r="BJ3" t="n">
        <v>26.109</v>
      </c>
      <c r="BK3" t="n">
        <v>16.538</v>
      </c>
      <c r="BL3" t="n">
        <v>7.077</v>
      </c>
      <c r="BM3" t="n">
        <v>26</v>
      </c>
      <c r="BN3" t="n">
        <v>7.885</v>
      </c>
      <c r="BO3" t="n">
        <v>13.192</v>
      </c>
      <c r="BP3" t="n">
        <v>10.769</v>
      </c>
      <c r="BQ3" t="n">
        <v>89.923</v>
      </c>
      <c r="BR3" t="n">
        <v>2</v>
      </c>
      <c r="BS3" t="n">
        <v>26.308</v>
      </c>
      <c r="BT3" t="n">
        <v>9.5</v>
      </c>
      <c r="BU3" t="n">
        <v>50.146</v>
      </c>
      <c r="BV3" t="n">
        <v>24.945</v>
      </c>
      <c r="BW3" t="n">
        <v>45.309</v>
      </c>
      <c r="BX3" t="n">
        <v>49.745</v>
      </c>
      <c r="BY3" t="n">
        <v>10.885</v>
      </c>
      <c r="BZ3" t="n">
        <v>28.975</v>
      </c>
      <c r="CA3" t="n">
        <v>16.023</v>
      </c>
      <c r="CB3" t="n">
        <v>0.977</v>
      </c>
      <c r="CC3" t="n">
        <v>85.285</v>
      </c>
      <c r="CD3" t="n">
        <v>2.638</v>
      </c>
      <c r="CE3" t="n">
        <v>3.242</v>
      </c>
      <c r="CF3" t="n">
        <v>0.1</v>
      </c>
      <c r="CG3" t="n">
        <v>3.432</v>
      </c>
      <c r="CH3" t="n">
        <v>0.031</v>
      </c>
      <c r="CI3" t="n">
        <v>2.957</v>
      </c>
      <c r="CJ3" t="n">
        <v>0.204</v>
      </c>
      <c r="CK3" t="n">
        <v>4.5</v>
      </c>
      <c r="CL3" t="n">
        <v>36.077</v>
      </c>
      <c r="CM3" t="n">
        <v>49.346</v>
      </c>
      <c r="CN3" t="n">
        <v>35.5</v>
      </c>
      <c r="CO3" t="n">
        <v>41.346</v>
      </c>
      <c r="CP3" t="n">
        <v>13.077</v>
      </c>
      <c r="CQ3" t="n">
        <v>20.801</v>
      </c>
      <c r="CR3" t="n">
        <v>23.424</v>
      </c>
      <c r="CS3" t="n">
        <v>10.066</v>
      </c>
      <c r="CT3" t="n">
        <v>30.937</v>
      </c>
      <c r="CU3" t="n">
        <v>13.235</v>
      </c>
      <c r="CV3" t="n">
        <v>11.346</v>
      </c>
      <c r="CW3" t="n">
        <v>22.712</v>
      </c>
      <c r="CX3" t="n">
        <v>62.885</v>
      </c>
      <c r="CY3" t="n">
        <v>11.692</v>
      </c>
      <c r="CZ3" t="n">
        <v>278.654</v>
      </c>
      <c r="DA3" t="n">
        <v>136.615</v>
      </c>
      <c r="DB3" t="n">
        <v>30.308</v>
      </c>
      <c r="DC3" t="n">
        <v>102.462</v>
      </c>
      <c r="DD3" t="n">
        <v>43.769</v>
      </c>
      <c r="DE3" t="n">
        <v>42.718</v>
      </c>
      <c r="DF3" t="n">
        <v>11.423</v>
      </c>
      <c r="DG3" t="n">
        <v>26.098</v>
      </c>
      <c r="DH3" t="n">
        <v>2.654</v>
      </c>
      <c r="DI3" t="n">
        <v>43.849</v>
      </c>
      <c r="DJ3" t="n">
        <v>37.346</v>
      </c>
      <c r="DK3" t="n">
        <v>20</v>
      </c>
      <c r="DL3" t="n">
        <v>18.423</v>
      </c>
      <c r="DM3" t="n">
        <v>1.577</v>
      </c>
      <c r="DN3" t="n">
        <v>10.692</v>
      </c>
      <c r="DO3" t="n">
        <v>98.56100000000001</v>
      </c>
      <c r="DP3" t="n">
        <v>8.192</v>
      </c>
      <c r="DQ3" t="n">
        <v>43.192</v>
      </c>
      <c r="DR3" t="n">
        <v>70.154</v>
      </c>
      <c r="DS3" t="n">
        <v>195.638</v>
      </c>
      <c r="DT3" t="n">
        <v>1583.577</v>
      </c>
      <c r="DU3" t="n">
        <v>1469.231</v>
      </c>
      <c r="DV3" t="n">
        <v>12.462</v>
      </c>
      <c r="DW3" t="n">
        <v>38.769</v>
      </c>
      <c r="DX3" t="n">
        <v>204.423</v>
      </c>
      <c r="DY3" t="n">
        <v>140.346</v>
      </c>
      <c r="DZ3" t="n">
        <v>344.769</v>
      </c>
      <c r="EA3" t="n">
        <v>70.54900000000001</v>
      </c>
      <c r="EB3" t="n">
        <v>62.916</v>
      </c>
      <c r="EC3" t="n">
        <v>81.666</v>
      </c>
      <c r="ED3" t="n">
        <v>5.483</v>
      </c>
      <c r="EE3" t="n">
        <v>51.423</v>
      </c>
      <c r="EF3" t="n">
        <v>38.962</v>
      </c>
      <c r="EG3" t="n">
        <v>73.673</v>
      </c>
      <c r="EH3" t="n">
        <v>5853.769</v>
      </c>
      <c r="EI3" t="n">
        <v>16.979</v>
      </c>
      <c r="EJ3" t="n">
        <v>5417.34</v>
      </c>
      <c r="EK3" t="n">
        <v>26.747</v>
      </c>
      <c r="EL3" t="n">
        <v>196.773</v>
      </c>
      <c r="EM3" t="n">
        <v>1.406</v>
      </c>
      <c r="EN3" t="n">
        <v>61.846</v>
      </c>
      <c r="EO3" t="n">
        <v>5.575</v>
      </c>
      <c r="EP3" t="n">
        <v>68</v>
      </c>
      <c r="EQ3" t="n">
        <v>5.07</v>
      </c>
      <c r="ER3" t="n">
        <v>67.666</v>
      </c>
      <c r="ES3" t="n">
        <v>42.704</v>
      </c>
      <c r="ET3" t="n">
        <v>23.19</v>
      </c>
      <c r="EU3" t="n">
        <v>-2.203</v>
      </c>
      <c r="EV3" t="n">
        <v>55.71</v>
      </c>
      <c r="EW3" t="n">
        <v>-1.158</v>
      </c>
      <c r="EX3" t="n">
        <v>131.923</v>
      </c>
      <c r="EY3" t="n">
        <v>202.654</v>
      </c>
      <c r="EZ3" t="n">
        <v>334.577</v>
      </c>
      <c r="FA3" t="n">
        <v>39.43</v>
      </c>
      <c r="FB3" t="n">
        <v>65.538</v>
      </c>
      <c r="FC3" t="n">
        <v>89.61499999999999</v>
      </c>
      <c r="FD3" t="n">
        <v>15.538</v>
      </c>
      <c r="FE3" t="n">
        <v>20.577</v>
      </c>
      <c r="FF3" t="n">
        <v>69.038</v>
      </c>
      <c r="FG3" t="n">
        <v>78.80800000000001</v>
      </c>
      <c r="FH3" t="n">
        <v>56.692</v>
      </c>
      <c r="FI3" t="n">
        <v>9.846</v>
      </c>
      <c r="FJ3" t="n">
        <v>20.923</v>
      </c>
      <c r="FK3" t="n">
        <v>111</v>
      </c>
      <c r="FL3" t="n">
        <v>11.962</v>
      </c>
      <c r="FM3" t="n">
        <v>27.885</v>
      </c>
      <c r="FN3" t="n">
        <v>39.846</v>
      </c>
      <c r="FO3" t="n">
        <v>44</v>
      </c>
      <c r="FP3" t="n">
        <v>75.524</v>
      </c>
      <c r="FQ3" t="n">
        <v>78.077</v>
      </c>
      <c r="FR3" t="n">
        <v>7.923</v>
      </c>
      <c r="FS3" t="n">
        <v>9</v>
      </c>
      <c r="FT3" t="n">
        <v>17.502</v>
      </c>
      <c r="FU3" t="n">
        <v>14.077</v>
      </c>
      <c r="FV3" t="n">
        <v>6.769</v>
      </c>
      <c r="FW3" t="n">
        <v>10.769</v>
      </c>
      <c r="FX3" t="n">
        <v>10.808</v>
      </c>
      <c r="FY3" t="n">
        <v>75.423</v>
      </c>
      <c r="FZ3" t="n">
        <v>1.962</v>
      </c>
      <c r="GA3" t="n">
        <v>24</v>
      </c>
      <c r="GB3" t="n">
        <v>7.846</v>
      </c>
      <c r="GC3" t="n">
        <v>44.872</v>
      </c>
      <c r="GD3" t="n">
        <v>20.942</v>
      </c>
      <c r="GE3" t="n">
        <v>41.96</v>
      </c>
      <c r="GF3" t="n">
        <v>46.672</v>
      </c>
      <c r="GG3" t="n">
        <v>75.717</v>
      </c>
      <c r="GH3" t="n">
        <v>-2.256</v>
      </c>
      <c r="GI3" t="n">
        <v>3.155</v>
      </c>
      <c r="GJ3" t="n">
        <v>-0.094</v>
      </c>
      <c r="GK3" t="n">
        <v>3.523</v>
      </c>
      <c r="GL3" t="n">
        <v>-0.196</v>
      </c>
      <c r="GM3" t="n">
        <v>2.834</v>
      </c>
      <c r="GN3" t="n">
        <v>-0.005</v>
      </c>
      <c r="GO3" t="n">
        <v>3.385</v>
      </c>
      <c r="GP3" t="n">
        <v>33.077</v>
      </c>
      <c r="GQ3" t="n">
        <v>38.962</v>
      </c>
      <c r="GR3" t="n">
        <v>29.577</v>
      </c>
      <c r="GS3" t="n">
        <v>36.769</v>
      </c>
      <c r="GT3" t="n">
        <v>9.077</v>
      </c>
      <c r="GU3" t="n">
        <v>18.739</v>
      </c>
      <c r="GV3" t="n">
        <v>20.912</v>
      </c>
      <c r="GW3" t="n">
        <v>8.829000000000001</v>
      </c>
      <c r="GX3" t="n">
        <v>29.184</v>
      </c>
      <c r="GY3" t="n">
        <v>11.826</v>
      </c>
      <c r="GZ3" t="n">
        <v>67.23099999999999</v>
      </c>
      <c r="HA3" t="n">
        <v>12.462</v>
      </c>
      <c r="HB3" t="n">
        <v>294.885</v>
      </c>
      <c r="HC3" t="n">
        <v>136.308</v>
      </c>
      <c r="HD3" t="n">
        <v>31</v>
      </c>
      <c r="HE3" t="n">
        <v>40.231</v>
      </c>
      <c r="HF3" t="n">
        <v>39.205</v>
      </c>
      <c r="HG3" t="n">
        <v>10.846</v>
      </c>
      <c r="HH3" t="n">
        <v>26.96</v>
      </c>
      <c r="HI3" t="n">
        <v>3.769</v>
      </c>
      <c r="HJ3" t="n">
        <v>44.264</v>
      </c>
      <c r="HK3" t="n">
        <v>39.293</v>
      </c>
      <c r="HL3" t="n">
        <v>10.538</v>
      </c>
      <c r="HM3" t="n">
        <v>93.431</v>
      </c>
      <c r="HN3" t="n">
        <v>7.231</v>
      </c>
      <c r="HO3" t="n">
        <v>43.115</v>
      </c>
      <c r="HP3" t="n">
        <v>69.69199999999999</v>
      </c>
      <c r="HQ3" t="n">
        <v>16.246</v>
      </c>
      <c r="HR3" t="n">
        <v>133.231</v>
      </c>
      <c r="HS3" t="n">
        <v>79.654</v>
      </c>
      <c r="HT3" t="n">
        <v>5.077</v>
      </c>
      <c r="HU3" t="n">
        <v>3.5</v>
      </c>
      <c r="HV3" t="n">
        <v>7.192</v>
      </c>
      <c r="HW3" t="n">
        <v>14.846</v>
      </c>
      <c r="HX3" t="n">
        <v>22.038</v>
      </c>
      <c r="HY3" t="n">
        <v>1.462</v>
      </c>
      <c r="HZ3" t="n">
        <v>276.962</v>
      </c>
      <c r="IA3" t="n">
        <v>339.112</v>
      </c>
      <c r="IB3" t="n">
        <v>-16.76</v>
      </c>
      <c r="IC3" t="n">
        <v>-4.5</v>
      </c>
      <c r="ID3" t="n">
        <v>-2.538</v>
      </c>
      <c r="IE3" t="n">
        <v>5.475</v>
      </c>
      <c r="IF3" t="n">
        <v>1.587</v>
      </c>
      <c r="IG3" t="n">
        <v>2.615</v>
      </c>
      <c r="IH3" t="n">
        <v>20.5</v>
      </c>
      <c r="II3" t="n">
        <v>23.115</v>
      </c>
      <c r="IJ3" t="n">
        <v>2.577</v>
      </c>
      <c r="IK3" t="n">
        <v>-0.192</v>
      </c>
      <c r="IL3" t="n">
        <v>-1.115</v>
      </c>
      <c r="IM3" t="n">
        <v>-0.077</v>
      </c>
      <c r="IN3" t="n">
        <v>-0.115</v>
      </c>
      <c r="IO3" t="n">
        <v>5</v>
      </c>
      <c r="IP3" t="n">
        <v>1.769</v>
      </c>
      <c r="IQ3" t="n">
        <v>0.6919999999999999</v>
      </c>
      <c r="IR3" t="n">
        <v>1.462</v>
      </c>
      <c r="IS3" t="n">
        <v>14.115</v>
      </c>
      <c r="IT3" t="n">
        <v>-0.654</v>
      </c>
      <c r="IU3" t="n">
        <v>-2</v>
      </c>
      <c r="IV3" t="n">
        <v>-2.654</v>
      </c>
      <c r="IW3" t="n">
        <v>-2.385</v>
      </c>
      <c r="IX3" t="n">
        <v>7.115</v>
      </c>
      <c r="IY3" t="n">
        <v>1.962</v>
      </c>
      <c r="IZ3" t="n">
        <v>4.808</v>
      </c>
      <c r="JA3" t="n">
        <v>2.462</v>
      </c>
      <c r="JB3" t="n">
        <v>0.308</v>
      </c>
      <c r="JC3" t="n">
        <v>2.423</v>
      </c>
      <c r="JD3" t="n">
        <v>-0.038</v>
      </c>
      <c r="JE3" t="n">
        <v>14.5</v>
      </c>
      <c r="JF3" t="n">
        <v>2.308</v>
      </c>
      <c r="JG3" t="n">
        <v>1.654</v>
      </c>
      <c r="JH3" t="n">
        <v>9.568</v>
      </c>
      <c r="JI3" t="n">
        <v>4.893</v>
      </c>
      <c r="JJ3" t="n">
        <v>0.08699999999999999</v>
      </c>
      <c r="JK3" t="n">
        <v>1.115</v>
      </c>
      <c r="JL3" t="n">
        <v>3</v>
      </c>
      <c r="JM3" t="n">
        <v>10.385</v>
      </c>
      <c r="JN3" t="n">
        <v>5.923</v>
      </c>
      <c r="JO3" t="n">
        <v>4.577</v>
      </c>
      <c r="JP3" t="n">
        <v>4</v>
      </c>
      <c r="JQ3" t="n">
        <v>-4.346</v>
      </c>
      <c r="JR3" t="n">
        <v>-0.769</v>
      </c>
      <c r="JS3" t="n">
        <v>-16.231</v>
      </c>
      <c r="JT3" t="n">
        <v>0.308</v>
      </c>
      <c r="JU3" t="n">
        <v>-0.6919999999999999</v>
      </c>
      <c r="JV3" t="n">
        <v>3.538</v>
      </c>
      <c r="JW3" t="n">
        <v>0.577</v>
      </c>
      <c r="JX3" t="n">
        <v>-1.115</v>
      </c>
      <c r="JY3" t="n">
        <v>0.962</v>
      </c>
      <c r="JZ3" t="n">
        <v>0.077</v>
      </c>
      <c r="KA3" t="n">
        <v>0.462</v>
      </c>
    </row>
    <row r="4">
      <c r="A4" t="inlineStr">
        <is>
          <t>Greater Western Sydney</t>
        </is>
      </c>
      <c r="B4" t="inlineStr">
        <is>
          <t>GWS</t>
        </is>
      </c>
      <c r="C4" t="n">
        <v>24</v>
      </c>
      <c r="D4" t="n">
        <v>36</v>
      </c>
      <c r="E4" t="n">
        <v>25.509</v>
      </c>
      <c r="F4" t="n">
        <v>101.475</v>
      </c>
      <c r="G4" t="n">
        <v>214.683</v>
      </c>
      <c r="H4" t="n">
        <v>1712.5</v>
      </c>
      <c r="I4" t="n">
        <v>1532.542</v>
      </c>
      <c r="J4" t="n">
        <v>17.167</v>
      </c>
      <c r="K4" t="n">
        <v>47.726</v>
      </c>
      <c r="L4" t="n">
        <v>41.75</v>
      </c>
      <c r="M4" t="n">
        <v>209.917</v>
      </c>
      <c r="N4" t="n">
        <v>152.917</v>
      </c>
      <c r="O4" t="n">
        <v>362.833</v>
      </c>
      <c r="P4" t="n">
        <v>73.53</v>
      </c>
      <c r="Q4" t="n">
        <v>68.241</v>
      </c>
      <c r="R4" t="n">
        <v>80.79000000000001</v>
      </c>
      <c r="S4" t="n">
        <v>57.855</v>
      </c>
      <c r="T4" t="n">
        <v>6.851</v>
      </c>
      <c r="U4" t="n">
        <v>51.625</v>
      </c>
      <c r="V4" t="n">
        <v>43.542</v>
      </c>
      <c r="W4" t="n">
        <v>78.102</v>
      </c>
      <c r="X4" t="n">
        <v>6146.875</v>
      </c>
      <c r="Y4" t="n">
        <v>16.941</v>
      </c>
      <c r="Z4" t="n">
        <v>5573.436</v>
      </c>
      <c r="AA4" t="n">
        <v>26.742</v>
      </c>
      <c r="AB4" t="n">
        <v>315.063</v>
      </c>
      <c r="AC4" t="n">
        <v>2.065</v>
      </c>
      <c r="AD4" t="n">
        <v>59.333</v>
      </c>
      <c r="AE4" t="n">
        <v>6.115</v>
      </c>
      <c r="AF4" t="n">
        <v>63.833</v>
      </c>
      <c r="AG4" t="n">
        <v>5.684</v>
      </c>
      <c r="AH4" t="n">
        <v>70.73099999999999</v>
      </c>
      <c r="AI4" t="n">
        <v>48.743</v>
      </c>
      <c r="AJ4" t="n">
        <v>22.981</v>
      </c>
      <c r="AK4" t="n">
        <v>2.175</v>
      </c>
      <c r="AL4" t="n">
        <v>58.007</v>
      </c>
      <c r="AM4" t="n">
        <v>0.852</v>
      </c>
      <c r="AN4" t="n">
        <v>130.583</v>
      </c>
      <c r="AO4" t="n">
        <v>221.417</v>
      </c>
      <c r="AP4" t="n">
        <v>352</v>
      </c>
      <c r="AQ4" t="n">
        <v>37.098</v>
      </c>
      <c r="AR4" t="n">
        <v>64</v>
      </c>
      <c r="AS4" t="n">
        <v>88.083</v>
      </c>
      <c r="AT4" t="n">
        <v>16.125</v>
      </c>
      <c r="AU4" t="n">
        <v>21.083</v>
      </c>
      <c r="AV4" t="n">
        <v>67</v>
      </c>
      <c r="AW4" t="n">
        <v>81.792</v>
      </c>
      <c r="AX4" t="n">
        <v>58.375</v>
      </c>
      <c r="AY4" t="n">
        <v>9.625</v>
      </c>
      <c r="AZ4" t="n">
        <v>22</v>
      </c>
      <c r="BA4" t="n">
        <v>120.333</v>
      </c>
      <c r="BB4" t="n">
        <v>11.792</v>
      </c>
      <c r="BC4" t="n">
        <v>25.042</v>
      </c>
      <c r="BD4" t="n">
        <v>36.833</v>
      </c>
      <c r="BE4" t="n">
        <v>39.75</v>
      </c>
      <c r="BF4" t="n">
        <v>75.786</v>
      </c>
      <c r="BG4" t="n">
        <v>91.417</v>
      </c>
      <c r="BH4" t="n">
        <v>10.083</v>
      </c>
      <c r="BI4" t="n">
        <v>11.5</v>
      </c>
      <c r="BJ4" t="n">
        <v>22.276</v>
      </c>
      <c r="BK4" t="n">
        <v>14.667</v>
      </c>
      <c r="BL4" t="n">
        <v>8.625</v>
      </c>
      <c r="BM4" t="n">
        <v>28</v>
      </c>
      <c r="BN4" t="n">
        <v>7.583</v>
      </c>
      <c r="BO4" t="n">
        <v>13.542</v>
      </c>
      <c r="BP4" t="n">
        <v>10.5</v>
      </c>
      <c r="BQ4" t="n">
        <v>91.75</v>
      </c>
      <c r="BR4" t="n">
        <v>2.083</v>
      </c>
      <c r="BS4" t="n">
        <v>26.375</v>
      </c>
      <c r="BT4" t="n">
        <v>9.5</v>
      </c>
      <c r="BU4" t="n">
        <v>51.343</v>
      </c>
      <c r="BV4" t="n">
        <v>26.231</v>
      </c>
      <c r="BW4" t="n">
        <v>46.57</v>
      </c>
      <c r="BX4" t="n">
        <v>51.09</v>
      </c>
      <c r="BY4" t="n">
        <v>10.667</v>
      </c>
      <c r="BZ4" t="n">
        <v>28.516</v>
      </c>
      <c r="CA4" t="n">
        <v>12.457</v>
      </c>
      <c r="CB4" t="n">
        <v>3.543</v>
      </c>
      <c r="CC4" t="n">
        <v>85.654</v>
      </c>
      <c r="CD4" t="n">
        <v>4.013</v>
      </c>
      <c r="CE4" t="n">
        <v>3.248</v>
      </c>
      <c r="CF4" t="n">
        <v>0.152</v>
      </c>
      <c r="CG4" t="n">
        <v>3.528</v>
      </c>
      <c r="CH4" t="n">
        <v>0.123</v>
      </c>
      <c r="CI4" t="n">
        <v>2.95</v>
      </c>
      <c r="CJ4" t="n">
        <v>0.184</v>
      </c>
      <c r="CK4" t="n">
        <v>5.917</v>
      </c>
      <c r="CL4" t="n">
        <v>36.542</v>
      </c>
      <c r="CM4" t="n">
        <v>49.292</v>
      </c>
      <c r="CN4" t="n">
        <v>39.292</v>
      </c>
      <c r="CO4" t="n">
        <v>39.708</v>
      </c>
      <c r="CP4" t="n">
        <v>12.75</v>
      </c>
      <c r="CQ4" t="n">
        <v>21.369</v>
      </c>
      <c r="CR4" t="n">
        <v>24.687</v>
      </c>
      <c r="CS4" t="n">
        <v>11.39</v>
      </c>
      <c r="CT4" t="n">
        <v>32.094</v>
      </c>
      <c r="CU4" t="n">
        <v>13.994</v>
      </c>
      <c r="CV4" t="n">
        <v>13.625</v>
      </c>
      <c r="CW4" t="n">
        <v>25.076</v>
      </c>
      <c r="CX4" t="n">
        <v>60.083</v>
      </c>
      <c r="CY4" t="n">
        <v>10.583</v>
      </c>
      <c r="CZ4" t="n">
        <v>261.542</v>
      </c>
      <c r="DA4" t="n">
        <v>130.833</v>
      </c>
      <c r="DB4" t="n">
        <v>32.833</v>
      </c>
      <c r="DC4" t="n">
        <v>94.833</v>
      </c>
      <c r="DD4" t="n">
        <v>35.833</v>
      </c>
      <c r="DE4" t="n">
        <v>37.786</v>
      </c>
      <c r="DF4" t="n">
        <v>10.375</v>
      </c>
      <c r="DG4" t="n">
        <v>28.953</v>
      </c>
      <c r="DH4" t="n">
        <v>2.625</v>
      </c>
      <c r="DI4" t="n">
        <v>45.93</v>
      </c>
      <c r="DJ4" t="n">
        <v>41.279</v>
      </c>
      <c r="DK4" t="n">
        <v>17.75</v>
      </c>
      <c r="DL4" t="n">
        <v>20.292</v>
      </c>
      <c r="DM4" t="n">
        <v>-2.542</v>
      </c>
      <c r="DN4" t="n">
        <v>12.042</v>
      </c>
      <c r="DO4" t="n">
        <v>93.426</v>
      </c>
      <c r="DP4" t="n">
        <v>10.083</v>
      </c>
      <c r="DQ4" t="n">
        <v>43.958</v>
      </c>
      <c r="DR4" t="n">
        <v>69.208</v>
      </c>
      <c r="DS4" t="n">
        <v>202.808</v>
      </c>
      <c r="DT4" t="n">
        <v>1587.875</v>
      </c>
      <c r="DU4" t="n">
        <v>1422.292</v>
      </c>
      <c r="DV4" t="n">
        <v>12.833</v>
      </c>
      <c r="DW4" t="n">
        <v>40.667</v>
      </c>
      <c r="DX4" t="n">
        <v>200.833</v>
      </c>
      <c r="DY4" t="n">
        <v>142.667</v>
      </c>
      <c r="DZ4" t="n">
        <v>343.5</v>
      </c>
      <c r="EA4" t="n">
        <v>71.56699999999999</v>
      </c>
      <c r="EB4" t="n">
        <v>63.983</v>
      </c>
      <c r="EC4" t="n">
        <v>82.24299999999999</v>
      </c>
      <c r="ED4" t="n">
        <v>5.717</v>
      </c>
      <c r="EE4" t="n">
        <v>55.75</v>
      </c>
      <c r="EF4" t="n">
        <v>37.292</v>
      </c>
      <c r="EG4" t="n">
        <v>72.236</v>
      </c>
      <c r="EH4" t="n">
        <v>5979.542</v>
      </c>
      <c r="EI4" t="n">
        <v>17.408</v>
      </c>
      <c r="EJ4" t="n">
        <v>5630.61</v>
      </c>
      <c r="EK4" t="n">
        <v>28.206</v>
      </c>
      <c r="EL4" t="n">
        <v>124.152</v>
      </c>
      <c r="EM4" t="n">
        <v>0.874</v>
      </c>
      <c r="EN4" t="n">
        <v>53.083</v>
      </c>
      <c r="EO4" t="n">
        <v>6.471</v>
      </c>
      <c r="EP4" t="n">
        <v>63.958</v>
      </c>
      <c r="EQ4" t="n">
        <v>5.371</v>
      </c>
      <c r="ER4" t="n">
        <v>68.422</v>
      </c>
      <c r="ES4" t="n">
        <v>44.715</v>
      </c>
      <c r="ET4" t="n">
        <v>23.827</v>
      </c>
      <c r="EU4" t="n">
        <v>-0.373</v>
      </c>
      <c r="EV4" t="n">
        <v>54.639</v>
      </c>
      <c r="EW4" t="n">
        <v>-0.304</v>
      </c>
      <c r="EX4" t="n">
        <v>133.042</v>
      </c>
      <c r="EY4" t="n">
        <v>202.833</v>
      </c>
      <c r="EZ4" t="n">
        <v>335.875</v>
      </c>
      <c r="FA4" t="n">
        <v>39.61</v>
      </c>
      <c r="FB4" t="n">
        <v>64.042</v>
      </c>
      <c r="FC4" t="n">
        <v>88.417</v>
      </c>
      <c r="FD4" t="n">
        <v>16.417</v>
      </c>
      <c r="FE4" t="n">
        <v>20.917</v>
      </c>
      <c r="FF4" t="n">
        <v>67.458</v>
      </c>
      <c r="FG4" t="n">
        <v>81.375</v>
      </c>
      <c r="FH4" t="n">
        <v>57.083</v>
      </c>
      <c r="FI4" t="n">
        <v>9.708</v>
      </c>
      <c r="FJ4" t="n">
        <v>20.167</v>
      </c>
      <c r="FK4" t="n">
        <v>114.083</v>
      </c>
      <c r="FL4" t="n">
        <v>13.25</v>
      </c>
      <c r="FM4" t="n">
        <v>25.667</v>
      </c>
      <c r="FN4" t="n">
        <v>38.917</v>
      </c>
      <c r="FO4" t="n">
        <v>43.125</v>
      </c>
      <c r="FP4" t="n">
        <v>75.652</v>
      </c>
      <c r="FQ4" t="n">
        <v>79.417</v>
      </c>
      <c r="FR4" t="n">
        <v>9.292</v>
      </c>
      <c r="FS4" t="n">
        <v>10.75</v>
      </c>
      <c r="FT4" t="n">
        <v>19.283</v>
      </c>
      <c r="FU4" t="n">
        <v>14.708</v>
      </c>
      <c r="FV4" t="n">
        <v>7.75</v>
      </c>
      <c r="FW4" t="n">
        <v>11.458</v>
      </c>
      <c r="FX4" t="n">
        <v>12.125</v>
      </c>
      <c r="FY4" t="n">
        <v>80.875</v>
      </c>
      <c r="FZ4" t="n">
        <v>1.917</v>
      </c>
      <c r="GA4" t="n">
        <v>25.958</v>
      </c>
      <c r="GB4" t="n">
        <v>7.917</v>
      </c>
      <c r="GC4" t="n">
        <v>44.141</v>
      </c>
      <c r="GD4" t="n">
        <v>20.553</v>
      </c>
      <c r="GE4" t="n">
        <v>42.302</v>
      </c>
      <c r="GF4" t="n">
        <v>46.562</v>
      </c>
      <c r="GG4" t="n">
        <v>82.76600000000001</v>
      </c>
      <c r="GH4" t="n">
        <v>-3.808</v>
      </c>
      <c r="GI4" t="n">
        <v>3.188</v>
      </c>
      <c r="GJ4" t="n">
        <v>-0.147</v>
      </c>
      <c r="GK4" t="n">
        <v>3.433</v>
      </c>
      <c r="GL4" t="n">
        <v>-0.195</v>
      </c>
      <c r="GM4" t="n">
        <v>2.91</v>
      </c>
      <c r="GN4" t="n">
        <v>-0.092</v>
      </c>
      <c r="GO4" t="n">
        <v>2.375</v>
      </c>
      <c r="GP4" t="n">
        <v>33.75</v>
      </c>
      <c r="GQ4" t="n">
        <v>44.75</v>
      </c>
      <c r="GR4" t="n">
        <v>24.5</v>
      </c>
      <c r="GS4" t="n">
        <v>41.792</v>
      </c>
      <c r="GT4" t="n">
        <v>14.583</v>
      </c>
      <c r="GU4" t="n">
        <v>21.055</v>
      </c>
      <c r="GV4" t="n">
        <v>22.782</v>
      </c>
      <c r="GW4" t="n">
        <v>8.215</v>
      </c>
      <c r="GX4" t="n">
        <v>32.686</v>
      </c>
      <c r="GY4" t="n">
        <v>11.521</v>
      </c>
      <c r="GZ4" t="n">
        <v>52.958</v>
      </c>
      <c r="HA4" t="n">
        <v>11.25</v>
      </c>
      <c r="HB4" t="n">
        <v>265.917</v>
      </c>
      <c r="HC4" t="n">
        <v>113.75</v>
      </c>
      <c r="HD4" t="n">
        <v>29.792</v>
      </c>
      <c r="HE4" t="n">
        <v>38.375</v>
      </c>
      <c r="HF4" t="n">
        <v>40.537</v>
      </c>
      <c r="HG4" t="n">
        <v>10.75</v>
      </c>
      <c r="HH4" t="n">
        <v>28.013</v>
      </c>
      <c r="HI4" t="n">
        <v>3.208</v>
      </c>
      <c r="HJ4" t="n">
        <v>47.34</v>
      </c>
      <c r="HK4" t="n">
        <v>42.562</v>
      </c>
      <c r="HL4" t="n">
        <v>10.333</v>
      </c>
      <c r="HM4" t="n">
        <v>93.548</v>
      </c>
      <c r="HN4" t="n">
        <v>6.792</v>
      </c>
      <c r="HO4" t="n">
        <v>40.583</v>
      </c>
      <c r="HP4" t="n">
        <v>71.333</v>
      </c>
      <c r="HQ4" t="n">
        <v>11.875</v>
      </c>
      <c r="HR4" t="n">
        <v>124.625</v>
      </c>
      <c r="HS4" t="n">
        <v>110.25</v>
      </c>
      <c r="HT4" t="n">
        <v>4.333</v>
      </c>
      <c r="HU4" t="n">
        <v>1.083</v>
      </c>
      <c r="HV4" t="n">
        <v>9.083</v>
      </c>
      <c r="HW4" t="n">
        <v>10.25</v>
      </c>
      <c r="HX4" t="n">
        <v>19.333</v>
      </c>
      <c r="HY4" t="n">
        <v>-4.125</v>
      </c>
      <c r="HZ4" t="n">
        <v>167.333</v>
      </c>
      <c r="IA4" t="n">
        <v>-57.174</v>
      </c>
      <c r="IB4" t="n">
        <v>190.911</v>
      </c>
      <c r="IC4" t="n">
        <v>6.25</v>
      </c>
      <c r="ID4" t="n">
        <v>-0.125</v>
      </c>
      <c r="IE4" t="n">
        <v>2.549</v>
      </c>
      <c r="IF4" t="n">
        <v>1.156</v>
      </c>
      <c r="IG4" t="n">
        <v>-2.458</v>
      </c>
      <c r="IH4" t="n">
        <v>18.583</v>
      </c>
      <c r="II4" t="n">
        <v>16.125</v>
      </c>
      <c r="IJ4" t="n">
        <v>-0.042</v>
      </c>
      <c r="IK4" t="n">
        <v>-0.333</v>
      </c>
      <c r="IL4" t="n">
        <v>-0.292</v>
      </c>
      <c r="IM4" t="n">
        <v>0.167</v>
      </c>
      <c r="IN4" t="n">
        <v>-0.458</v>
      </c>
      <c r="IO4" t="n">
        <v>0.417</v>
      </c>
      <c r="IP4" t="n">
        <v>1.292</v>
      </c>
      <c r="IQ4" t="n">
        <v>-0.083</v>
      </c>
      <c r="IR4" t="n">
        <v>1.833</v>
      </c>
      <c r="IS4" t="n">
        <v>6.25</v>
      </c>
      <c r="IT4" t="n">
        <v>-1.458</v>
      </c>
      <c r="IU4" t="n">
        <v>-0.625</v>
      </c>
      <c r="IV4" t="n">
        <v>-2.083</v>
      </c>
      <c r="IW4" t="n">
        <v>-3.375</v>
      </c>
      <c r="IX4" t="n">
        <v>12</v>
      </c>
      <c r="IY4" t="n">
        <v>0.792</v>
      </c>
      <c r="IZ4" t="n">
        <v>0.75</v>
      </c>
      <c r="JA4" t="n">
        <v>-0.042</v>
      </c>
      <c r="JB4" t="n">
        <v>0.875</v>
      </c>
      <c r="JC4" t="n">
        <v>2.083</v>
      </c>
      <c r="JD4" t="n">
        <v>-1.625</v>
      </c>
      <c r="JE4" t="n">
        <v>10.875</v>
      </c>
      <c r="JF4" t="n">
        <v>0.417</v>
      </c>
      <c r="JG4" t="n">
        <v>1.583</v>
      </c>
      <c r="JH4" t="n">
        <v>2.888</v>
      </c>
      <c r="JI4" t="n">
        <v>7.82</v>
      </c>
      <c r="JJ4" t="n">
        <v>0.059</v>
      </c>
      <c r="JK4" t="n">
        <v>3.542</v>
      </c>
      <c r="JL4" t="n">
        <v>2.792</v>
      </c>
      <c r="JM4" t="n">
        <v>4.542</v>
      </c>
      <c r="JN4" t="n">
        <v>14.792</v>
      </c>
      <c r="JO4" t="n">
        <v>-2.083</v>
      </c>
      <c r="JP4" t="n">
        <v>-1.833</v>
      </c>
      <c r="JQ4" t="n">
        <v>7.125</v>
      </c>
      <c r="JR4" t="n">
        <v>-0.667</v>
      </c>
      <c r="JS4" t="n">
        <v>-4.375</v>
      </c>
      <c r="JT4" t="n">
        <v>17.083</v>
      </c>
      <c r="JU4" t="n">
        <v>3.042</v>
      </c>
      <c r="JV4" t="n">
        <v>-2.542</v>
      </c>
      <c r="JW4" t="n">
        <v>-0.375</v>
      </c>
      <c r="JX4" t="n">
        <v>-0.583</v>
      </c>
      <c r="JY4" t="n">
        <v>3.292</v>
      </c>
      <c r="JZ4" t="n">
        <v>3.375</v>
      </c>
      <c r="KA4" t="n">
        <v>-2.125</v>
      </c>
    </row>
    <row r="5">
      <c r="A5" t="inlineStr">
        <is>
          <t>Collingwood</t>
        </is>
      </c>
      <c r="B5" t="inlineStr">
        <is>
          <t>Coll</t>
        </is>
      </c>
      <c r="C5" t="n">
        <v>25</v>
      </c>
      <c r="D5" t="n">
        <v>35</v>
      </c>
      <c r="E5" t="n">
        <v>28.712</v>
      </c>
      <c r="F5" t="n">
        <v>157.157</v>
      </c>
      <c r="G5" t="n">
        <v>209.4</v>
      </c>
      <c r="H5" t="n">
        <v>1684.72</v>
      </c>
      <c r="I5" t="n">
        <v>1512.12</v>
      </c>
      <c r="J5" t="n">
        <v>18.72</v>
      </c>
      <c r="K5" t="n">
        <v>53.498</v>
      </c>
      <c r="L5" t="n">
        <v>42.72</v>
      </c>
      <c r="M5" t="n">
        <v>205.04</v>
      </c>
      <c r="N5" t="n">
        <v>145.04</v>
      </c>
      <c r="O5" t="n">
        <v>350.08</v>
      </c>
      <c r="P5" t="n">
        <v>71.709</v>
      </c>
      <c r="Q5" t="n">
        <v>66.621</v>
      </c>
      <c r="R5" t="n">
        <v>78.902</v>
      </c>
      <c r="S5" t="n">
        <v>58.569</v>
      </c>
      <c r="T5" t="n">
        <v>6.61</v>
      </c>
      <c r="U5" t="n">
        <v>53.12</v>
      </c>
      <c r="V5" t="n">
        <v>37.24</v>
      </c>
      <c r="W5" t="n">
        <v>77.006</v>
      </c>
      <c r="X5" t="n">
        <v>5989.68</v>
      </c>
      <c r="Y5" t="n">
        <v>17.109</v>
      </c>
      <c r="Z5" t="n">
        <v>5591.848</v>
      </c>
      <c r="AA5" t="n">
        <v>27.427</v>
      </c>
      <c r="AB5" t="n">
        <v>282.035</v>
      </c>
      <c r="AC5" t="n">
        <v>1.95</v>
      </c>
      <c r="AD5" t="n">
        <v>57.68</v>
      </c>
      <c r="AE5" t="n">
        <v>6.069</v>
      </c>
      <c r="AF5" t="n">
        <v>62.28</v>
      </c>
      <c r="AG5" t="n">
        <v>5.621</v>
      </c>
      <c r="AH5" t="n">
        <v>68.569</v>
      </c>
      <c r="AI5" t="n">
        <v>48.501</v>
      </c>
      <c r="AJ5" t="n">
        <v>24.524</v>
      </c>
      <c r="AK5" t="n">
        <v>-0.004</v>
      </c>
      <c r="AL5" t="n">
        <v>55.552</v>
      </c>
      <c r="AM5" t="n">
        <v>1.556</v>
      </c>
      <c r="AN5" t="n">
        <v>127.2</v>
      </c>
      <c r="AO5" t="n">
        <v>213.24</v>
      </c>
      <c r="AP5" t="n">
        <v>340.44</v>
      </c>
      <c r="AQ5" t="n">
        <v>37.363</v>
      </c>
      <c r="AR5" t="n">
        <v>67.95999999999999</v>
      </c>
      <c r="AS5" t="n">
        <v>82.16</v>
      </c>
      <c r="AT5" t="n">
        <v>14.88</v>
      </c>
      <c r="AU5" t="n">
        <v>18.96</v>
      </c>
      <c r="AV5" t="n">
        <v>63.2</v>
      </c>
      <c r="AW5" t="n">
        <v>77.92</v>
      </c>
      <c r="AX5" t="n">
        <v>53.36</v>
      </c>
      <c r="AY5" t="n">
        <v>9</v>
      </c>
      <c r="AZ5" t="n">
        <v>21.16</v>
      </c>
      <c r="BA5" t="n">
        <v>110.48</v>
      </c>
      <c r="BB5" t="n">
        <v>11.6</v>
      </c>
      <c r="BC5" t="n">
        <v>24.4</v>
      </c>
      <c r="BD5" t="n">
        <v>36</v>
      </c>
      <c r="BE5" t="n">
        <v>41.4</v>
      </c>
      <c r="BF5" t="n">
        <v>72.271</v>
      </c>
      <c r="BG5" t="n">
        <v>88.04000000000001</v>
      </c>
      <c r="BH5" t="n">
        <v>9.48</v>
      </c>
      <c r="BI5" t="n">
        <v>13.32</v>
      </c>
      <c r="BJ5" t="n">
        <v>25.075</v>
      </c>
      <c r="BK5" t="n">
        <v>17.48</v>
      </c>
      <c r="BL5" t="n">
        <v>9.279999999999999</v>
      </c>
      <c r="BM5" t="n">
        <v>26</v>
      </c>
      <c r="BN5" t="n">
        <v>8</v>
      </c>
      <c r="BO5" t="n">
        <v>12.32</v>
      </c>
      <c r="BP5" t="n">
        <v>11.72</v>
      </c>
      <c r="BQ5" t="n">
        <v>85.64</v>
      </c>
      <c r="BR5" t="n">
        <v>2.28</v>
      </c>
      <c r="BS5" t="n">
        <v>26.28</v>
      </c>
      <c r="BT5" t="n">
        <v>9.16</v>
      </c>
      <c r="BU5" t="n">
        <v>46.88</v>
      </c>
      <c r="BV5" t="n">
        <v>23.193</v>
      </c>
      <c r="BW5" t="n">
        <v>45.256</v>
      </c>
      <c r="BX5" t="n">
        <v>49.473</v>
      </c>
      <c r="BY5" t="n">
        <v>9.52</v>
      </c>
      <c r="BZ5" t="n">
        <v>24.37</v>
      </c>
      <c r="CA5" t="n">
        <v>17.267</v>
      </c>
      <c r="CB5" t="n">
        <v>-0.267</v>
      </c>
      <c r="CC5" t="n">
        <v>83.04900000000001</v>
      </c>
      <c r="CD5" t="n">
        <v>0.311</v>
      </c>
      <c r="CE5" t="n">
        <v>3.16</v>
      </c>
      <c r="CF5" t="n">
        <v>0.012</v>
      </c>
      <c r="CG5" t="n">
        <v>3.362</v>
      </c>
      <c r="CH5" t="n">
        <v>-0.039</v>
      </c>
      <c r="CI5" t="n">
        <v>2.908</v>
      </c>
      <c r="CJ5" t="n">
        <v>0.075</v>
      </c>
      <c r="CK5" t="n">
        <v>2.68</v>
      </c>
      <c r="CL5" t="n">
        <v>31.6</v>
      </c>
      <c r="CM5" t="n">
        <v>51.36</v>
      </c>
      <c r="CN5" t="n">
        <v>29.72</v>
      </c>
      <c r="CO5" t="n">
        <v>45.24</v>
      </c>
      <c r="CP5" t="n">
        <v>10.68</v>
      </c>
      <c r="CQ5" t="n">
        <v>21.47</v>
      </c>
      <c r="CR5" t="n">
        <v>22.354</v>
      </c>
      <c r="CS5" t="n">
        <v>7.991</v>
      </c>
      <c r="CT5" t="n">
        <v>30.685</v>
      </c>
      <c r="CU5" t="n">
        <v>12.745</v>
      </c>
      <c r="CV5" t="n">
        <v>10.32</v>
      </c>
      <c r="CW5" t="n">
        <v>24.031</v>
      </c>
      <c r="CX5" t="n">
        <v>65.40000000000001</v>
      </c>
      <c r="CY5" t="n">
        <v>13</v>
      </c>
      <c r="CZ5" t="n">
        <v>274.68</v>
      </c>
      <c r="DA5" t="n">
        <v>126.32</v>
      </c>
      <c r="DB5" t="n">
        <v>29.48</v>
      </c>
      <c r="DC5" t="n">
        <v>96.16</v>
      </c>
      <c r="DD5" t="n">
        <v>36.4</v>
      </c>
      <c r="DE5" t="n">
        <v>37.854</v>
      </c>
      <c r="DF5" t="n">
        <v>10.12</v>
      </c>
      <c r="DG5" t="n">
        <v>27.802</v>
      </c>
      <c r="DH5" t="n">
        <v>3.4</v>
      </c>
      <c r="DI5" t="n">
        <v>45.275</v>
      </c>
      <c r="DJ5" t="n">
        <v>37.692</v>
      </c>
      <c r="DK5" t="n">
        <v>18.92</v>
      </c>
      <c r="DL5" t="n">
        <v>19.16</v>
      </c>
      <c r="DM5" t="n">
        <v>-0.24</v>
      </c>
      <c r="DN5" t="n">
        <v>8.880000000000001</v>
      </c>
      <c r="DO5" t="n">
        <v>92.79300000000001</v>
      </c>
      <c r="DP5" t="n">
        <v>5.08</v>
      </c>
      <c r="DQ5" t="n">
        <v>44.56</v>
      </c>
      <c r="DR5" t="n">
        <v>68.84</v>
      </c>
      <c r="DS5" t="n">
        <v>194.308</v>
      </c>
      <c r="DT5" t="n">
        <v>1615.56</v>
      </c>
      <c r="DU5" t="n">
        <v>1469.68</v>
      </c>
      <c r="DV5" t="n">
        <v>11.28</v>
      </c>
      <c r="DW5" t="n">
        <v>39.72</v>
      </c>
      <c r="DX5" t="n">
        <v>209.36</v>
      </c>
      <c r="DY5" t="n">
        <v>146.48</v>
      </c>
      <c r="DZ5" t="n">
        <v>355.84</v>
      </c>
      <c r="EA5" t="n">
        <v>71.628</v>
      </c>
      <c r="EB5" t="n">
        <v>64.32899999999999</v>
      </c>
      <c r="EC5" t="n">
        <v>82.059</v>
      </c>
      <c r="ED5" t="n">
        <v>5.441</v>
      </c>
      <c r="EE5" t="n">
        <v>48.36</v>
      </c>
      <c r="EF5" t="n">
        <v>39.84</v>
      </c>
      <c r="EG5" t="n">
        <v>75</v>
      </c>
      <c r="EH5" t="n">
        <v>5761.24</v>
      </c>
      <c r="EI5" t="n">
        <v>16.191</v>
      </c>
      <c r="EJ5" t="n">
        <v>5495.55</v>
      </c>
      <c r="EK5" t="n">
        <v>26.406</v>
      </c>
      <c r="EL5" t="n">
        <v>156.448</v>
      </c>
      <c r="EM5" t="n">
        <v>1.072</v>
      </c>
      <c r="EN5" t="n">
        <v>59.72</v>
      </c>
      <c r="EO5" t="n">
        <v>5.958</v>
      </c>
      <c r="EP5" t="n">
        <v>67.76000000000001</v>
      </c>
      <c r="EQ5" t="n">
        <v>5.251</v>
      </c>
      <c r="ER5" t="n">
        <v>69.303</v>
      </c>
      <c r="ES5" t="n">
        <v>43.75</v>
      </c>
      <c r="ET5" t="n">
        <v>22.484</v>
      </c>
      <c r="EU5" t="n">
        <v>-0.001</v>
      </c>
      <c r="EV5" t="n">
        <v>56.759</v>
      </c>
      <c r="EW5" t="n">
        <v>-0.905</v>
      </c>
      <c r="EX5" t="n">
        <v>131.12</v>
      </c>
      <c r="EY5" t="n">
        <v>215.32</v>
      </c>
      <c r="EZ5" t="n">
        <v>346.44</v>
      </c>
      <c r="FA5" t="n">
        <v>37.848</v>
      </c>
      <c r="FB5" t="n">
        <v>62.2</v>
      </c>
      <c r="FC5" t="n">
        <v>88.31999999999999</v>
      </c>
      <c r="FD5" t="n">
        <v>12.96</v>
      </c>
      <c r="FE5" t="n">
        <v>20.24</v>
      </c>
      <c r="FF5" t="n">
        <v>68.04000000000001</v>
      </c>
      <c r="FG5" t="n">
        <v>79.40000000000001</v>
      </c>
      <c r="FH5" t="n">
        <v>55.84</v>
      </c>
      <c r="FI5" t="n">
        <v>9.44</v>
      </c>
      <c r="FJ5" t="n">
        <v>21.48</v>
      </c>
      <c r="FK5" t="n">
        <v>117.4</v>
      </c>
      <c r="FL5" t="n">
        <v>11.32</v>
      </c>
      <c r="FM5" t="n">
        <v>26.84</v>
      </c>
      <c r="FN5" t="n">
        <v>38.16</v>
      </c>
      <c r="FO5" t="n">
        <v>40.68</v>
      </c>
      <c r="FP5" t="n">
        <v>74.631</v>
      </c>
      <c r="FQ5" t="n">
        <v>88.76000000000001</v>
      </c>
      <c r="FR5" t="n">
        <v>9.720000000000001</v>
      </c>
      <c r="FS5" t="n">
        <v>9.880000000000001</v>
      </c>
      <c r="FT5" t="n">
        <v>20.43</v>
      </c>
      <c r="FU5" t="n">
        <v>14.36</v>
      </c>
      <c r="FV5" t="n">
        <v>5.32</v>
      </c>
      <c r="FW5" t="n">
        <v>10.36</v>
      </c>
      <c r="FX5" t="n">
        <v>9.119999999999999</v>
      </c>
      <c r="FY5" t="n">
        <v>71.28</v>
      </c>
      <c r="FZ5" t="n">
        <v>2</v>
      </c>
      <c r="GA5" t="n">
        <v>21.88</v>
      </c>
      <c r="GB5" t="n">
        <v>7.2</v>
      </c>
      <c r="GC5" t="n">
        <v>47.349</v>
      </c>
      <c r="GD5" t="n">
        <v>21.423</v>
      </c>
      <c r="GE5" t="n">
        <v>40.281</v>
      </c>
      <c r="GF5" t="n">
        <v>45.244</v>
      </c>
      <c r="GG5" t="n">
        <v>70.593</v>
      </c>
      <c r="GH5" t="n">
        <v>-1.313</v>
      </c>
      <c r="GI5" t="n">
        <v>3.226</v>
      </c>
      <c r="GJ5" t="n">
        <v>-0.06</v>
      </c>
      <c r="GK5" t="n">
        <v>3.518</v>
      </c>
      <c r="GL5" t="n">
        <v>-0.161</v>
      </c>
      <c r="GM5" t="n">
        <v>2.866</v>
      </c>
      <c r="GN5" t="n">
        <v>0.064</v>
      </c>
      <c r="GO5" t="n">
        <v>4.08</v>
      </c>
      <c r="GP5" t="n">
        <v>32.36</v>
      </c>
      <c r="GQ5" t="n">
        <v>34.84</v>
      </c>
      <c r="GR5" t="n">
        <v>30.48</v>
      </c>
      <c r="GS5" t="n">
        <v>31.44</v>
      </c>
      <c r="GT5" t="n">
        <v>9.359999999999999</v>
      </c>
      <c r="GU5" t="n">
        <v>17.36</v>
      </c>
      <c r="GV5" t="n">
        <v>22.687</v>
      </c>
      <c r="GW5" t="n">
        <v>9.481</v>
      </c>
      <c r="GX5" t="n">
        <v>30.415</v>
      </c>
      <c r="GY5" t="n">
        <v>11.958</v>
      </c>
      <c r="GZ5" t="n">
        <v>52.96</v>
      </c>
      <c r="HA5" t="n">
        <v>8.08</v>
      </c>
      <c r="HB5" t="n">
        <v>261.32</v>
      </c>
      <c r="HC5" t="n">
        <v>132.6</v>
      </c>
      <c r="HD5" t="n">
        <v>32.8</v>
      </c>
      <c r="HE5" t="n">
        <v>38.84</v>
      </c>
      <c r="HF5" t="n">
        <v>40.475</v>
      </c>
      <c r="HG5" t="n">
        <v>10.44</v>
      </c>
      <c r="HH5" t="n">
        <v>26.88</v>
      </c>
      <c r="HI5" t="n">
        <v>3.12</v>
      </c>
      <c r="HJ5" t="n">
        <v>44.078</v>
      </c>
      <c r="HK5" t="n">
        <v>40.577</v>
      </c>
      <c r="HL5" t="n">
        <v>11.48</v>
      </c>
      <c r="HM5" t="n">
        <v>89.547</v>
      </c>
      <c r="HN5" t="n">
        <v>5.28</v>
      </c>
      <c r="HO5" t="n">
        <v>44.36</v>
      </c>
      <c r="HP5" t="n">
        <v>69.28</v>
      </c>
      <c r="HQ5" t="n">
        <v>15.092</v>
      </c>
      <c r="HR5" t="n">
        <v>69.16</v>
      </c>
      <c r="HS5" t="n">
        <v>42.44</v>
      </c>
      <c r="HT5" t="n">
        <v>7.44</v>
      </c>
      <c r="HU5" t="n">
        <v>3</v>
      </c>
      <c r="HV5" t="n">
        <v>-4.32</v>
      </c>
      <c r="HW5" t="n">
        <v>-1.44</v>
      </c>
      <c r="HX5" t="n">
        <v>-5.76</v>
      </c>
      <c r="HY5" t="n">
        <v>4.76</v>
      </c>
      <c r="HZ5" t="n">
        <v>228.44</v>
      </c>
      <c r="IA5" t="n">
        <v>96.298</v>
      </c>
      <c r="IB5" t="n">
        <v>125.587</v>
      </c>
      <c r="IC5" t="n">
        <v>-2.04</v>
      </c>
      <c r="ID5" t="n">
        <v>-5.48</v>
      </c>
      <c r="IE5" t="n">
        <v>-0.002</v>
      </c>
      <c r="IF5" t="n">
        <v>2.461</v>
      </c>
      <c r="IG5" t="n">
        <v>-3.92</v>
      </c>
      <c r="IH5" t="n">
        <v>-2.08</v>
      </c>
      <c r="II5" t="n">
        <v>-6</v>
      </c>
      <c r="IJ5" t="n">
        <v>5.76</v>
      </c>
      <c r="IK5" t="n">
        <v>-6.16</v>
      </c>
      <c r="IL5" t="n">
        <v>1.92</v>
      </c>
      <c r="IM5" t="n">
        <v>-1.28</v>
      </c>
      <c r="IN5" t="n">
        <v>-4.84</v>
      </c>
      <c r="IO5" t="n">
        <v>-1.48</v>
      </c>
      <c r="IP5" t="n">
        <v>-2.48</v>
      </c>
      <c r="IQ5" t="n">
        <v>-0.44</v>
      </c>
      <c r="IR5" t="n">
        <v>-0.32</v>
      </c>
      <c r="IS5" t="n">
        <v>-6.92</v>
      </c>
      <c r="IT5" t="n">
        <v>0.28</v>
      </c>
      <c r="IU5" t="n">
        <v>-2.44</v>
      </c>
      <c r="IV5" t="n">
        <v>-2.16</v>
      </c>
      <c r="IW5" t="n">
        <v>0.72</v>
      </c>
      <c r="IX5" t="n">
        <v>-0.72</v>
      </c>
      <c r="IY5" t="n">
        <v>-0.24</v>
      </c>
      <c r="IZ5" t="n">
        <v>3.44</v>
      </c>
      <c r="JA5" t="n">
        <v>3.12</v>
      </c>
      <c r="JB5" t="n">
        <v>3.96</v>
      </c>
      <c r="JC5" t="n">
        <v>1.96</v>
      </c>
      <c r="JD5" t="n">
        <v>2.6</v>
      </c>
      <c r="JE5" t="n">
        <v>14.36</v>
      </c>
      <c r="JF5" t="n">
        <v>4.4</v>
      </c>
      <c r="JG5" t="n">
        <v>1.96</v>
      </c>
      <c r="JH5" t="n">
        <v>12.456</v>
      </c>
      <c r="JI5" t="n">
        <v>1.624</v>
      </c>
      <c r="JJ5" t="n">
        <v>-0.066</v>
      </c>
      <c r="JK5" t="n">
        <v>-1.4</v>
      </c>
      <c r="JL5" t="n">
        <v>-0.76</v>
      </c>
      <c r="JM5" t="n">
        <v>16.52</v>
      </c>
      <c r="JN5" t="n">
        <v>-0.76</v>
      </c>
      <c r="JO5" t="n">
        <v>13.8</v>
      </c>
      <c r="JP5" t="n">
        <v>1.32</v>
      </c>
      <c r="JQ5" t="n">
        <v>12.44</v>
      </c>
      <c r="JR5" t="n">
        <v>4.92</v>
      </c>
      <c r="JS5" t="n">
        <v>13.36</v>
      </c>
      <c r="JT5" t="n">
        <v>-6.28</v>
      </c>
      <c r="JU5" t="n">
        <v>-3.32</v>
      </c>
      <c r="JV5" t="n">
        <v>-2.44</v>
      </c>
      <c r="JW5" t="n">
        <v>-0.32</v>
      </c>
      <c r="JX5" t="n">
        <v>0.28</v>
      </c>
      <c r="JY5" t="n">
        <v>-0.2</v>
      </c>
      <c r="JZ5" t="n">
        <v>0.2</v>
      </c>
      <c r="KA5" t="n">
        <v>-0.44</v>
      </c>
    </row>
    <row r="6">
      <c r="A6" t="inlineStr">
        <is>
          <t>Richmond</t>
        </is>
      </c>
      <c r="B6" t="inlineStr">
        <is>
          <t>Rich</t>
        </is>
      </c>
      <c r="C6" t="n">
        <v>23</v>
      </c>
      <c r="D6" t="n">
        <v>40</v>
      </c>
      <c r="E6" t="n">
        <v>24.991</v>
      </c>
      <c r="F6" t="n">
        <v>84.94499999999999</v>
      </c>
      <c r="G6" t="n">
        <v>177.048</v>
      </c>
      <c r="H6" t="n">
        <v>1504.826</v>
      </c>
      <c r="I6" t="n">
        <v>1403.957</v>
      </c>
      <c r="J6" t="n">
        <v>7.783</v>
      </c>
      <c r="K6" t="n">
        <v>46.465</v>
      </c>
      <c r="L6" t="n">
        <v>39</v>
      </c>
      <c r="M6" t="n">
        <v>194.739</v>
      </c>
      <c r="N6" t="n">
        <v>143.957</v>
      </c>
      <c r="O6" t="n">
        <v>338.696</v>
      </c>
      <c r="P6" t="n">
        <v>72.32299999999999</v>
      </c>
      <c r="Q6" t="n">
        <v>66.622</v>
      </c>
      <c r="R6" t="n">
        <v>80.036</v>
      </c>
      <c r="S6" t="n">
        <v>57.497</v>
      </c>
      <c r="T6" t="n">
        <v>5.436</v>
      </c>
      <c r="U6" t="n">
        <v>44.217</v>
      </c>
      <c r="V6" t="n">
        <v>41.391</v>
      </c>
      <c r="W6" t="n">
        <v>74.31699999999999</v>
      </c>
      <c r="X6" t="n">
        <v>5547.261</v>
      </c>
      <c r="Y6" t="n">
        <v>16.378</v>
      </c>
      <c r="Z6" t="n">
        <v>5318.22</v>
      </c>
      <c r="AA6" t="n">
        <v>27.45</v>
      </c>
      <c r="AB6" t="n">
        <v>142.863</v>
      </c>
      <c r="AC6" t="n">
        <v>0.997</v>
      </c>
      <c r="AD6" t="n">
        <v>54.826</v>
      </c>
      <c r="AE6" t="n">
        <v>6.178</v>
      </c>
      <c r="AF6" t="n">
        <v>62.913</v>
      </c>
      <c r="AG6" t="n">
        <v>5.384</v>
      </c>
      <c r="AH6" t="n">
        <v>68.88800000000001</v>
      </c>
      <c r="AI6" t="n">
        <v>42.344</v>
      </c>
      <c r="AJ6" t="n">
        <v>22.008</v>
      </c>
      <c r="AK6" t="n">
        <v>-0.634</v>
      </c>
      <c r="AL6" t="n">
        <v>56.5</v>
      </c>
      <c r="AM6" t="n">
        <v>0.489</v>
      </c>
      <c r="AN6" t="n">
        <v>121.652</v>
      </c>
      <c r="AO6" t="n">
        <v>208.826</v>
      </c>
      <c r="AP6" t="n">
        <v>330.478</v>
      </c>
      <c r="AQ6" t="n">
        <v>36.811</v>
      </c>
      <c r="AR6" t="n">
        <v>59.565</v>
      </c>
      <c r="AS6" t="n">
        <v>82.04300000000001</v>
      </c>
      <c r="AT6" t="n">
        <v>10.261</v>
      </c>
      <c r="AU6" t="n">
        <v>21.217</v>
      </c>
      <c r="AV6" t="n">
        <v>60.826</v>
      </c>
      <c r="AW6" t="n">
        <v>72.696</v>
      </c>
      <c r="AX6" t="n">
        <v>51.435</v>
      </c>
      <c r="AY6" t="n">
        <v>9.130000000000001</v>
      </c>
      <c r="AZ6" t="n">
        <v>19.957</v>
      </c>
      <c r="BA6" t="n">
        <v>111.696</v>
      </c>
      <c r="BB6" t="n">
        <v>9.522</v>
      </c>
      <c r="BC6" t="n">
        <v>23.696</v>
      </c>
      <c r="BD6" t="n">
        <v>33.217</v>
      </c>
      <c r="BE6" t="n">
        <v>39.565</v>
      </c>
      <c r="BF6" t="n">
        <v>69.34099999999999</v>
      </c>
      <c r="BG6" t="n">
        <v>88</v>
      </c>
      <c r="BH6" t="n">
        <v>9.348000000000001</v>
      </c>
      <c r="BI6" t="n">
        <v>9.304</v>
      </c>
      <c r="BJ6" t="n">
        <v>21.042</v>
      </c>
      <c r="BK6" t="n">
        <v>16.174</v>
      </c>
      <c r="BL6" t="n">
        <v>6</v>
      </c>
      <c r="BM6" t="n">
        <v>29</v>
      </c>
      <c r="BN6" t="n">
        <v>6.348</v>
      </c>
      <c r="BO6" t="n">
        <v>8.869999999999999</v>
      </c>
      <c r="BP6" t="n">
        <v>9.782999999999999</v>
      </c>
      <c r="BQ6" t="n">
        <v>63</v>
      </c>
      <c r="BR6" t="n">
        <v>2</v>
      </c>
      <c r="BS6" t="n">
        <v>20.174</v>
      </c>
      <c r="BT6" t="n">
        <v>5.913</v>
      </c>
      <c r="BU6" t="n">
        <v>43.966</v>
      </c>
      <c r="BV6" t="n">
        <v>20.059</v>
      </c>
      <c r="BW6" t="n">
        <v>42.183</v>
      </c>
      <c r="BX6" t="n">
        <v>45.624</v>
      </c>
      <c r="BY6" t="n">
        <v>9.826000000000001</v>
      </c>
      <c r="BZ6" t="n">
        <v>28.319</v>
      </c>
      <c r="CA6" t="n">
        <v>4.822</v>
      </c>
      <c r="CB6" t="n">
        <v>0.178</v>
      </c>
      <c r="CC6" t="n">
        <v>62.357</v>
      </c>
      <c r="CD6" t="n">
        <v>-1.357</v>
      </c>
      <c r="CE6" t="n">
        <v>3.091</v>
      </c>
      <c r="CF6" t="n">
        <v>-0.067</v>
      </c>
      <c r="CG6" t="n">
        <v>3.254</v>
      </c>
      <c r="CH6" t="n">
        <v>-0.115</v>
      </c>
      <c r="CI6" t="n">
        <v>2.871</v>
      </c>
      <c r="CJ6" t="n">
        <v>-0.003</v>
      </c>
      <c r="CK6" t="n">
        <v>4.348</v>
      </c>
      <c r="CL6" t="n">
        <v>24.043</v>
      </c>
      <c r="CM6" t="n">
        <v>34.609</v>
      </c>
      <c r="CN6" t="n">
        <v>26.217</v>
      </c>
      <c r="CO6" t="n">
        <v>29.565</v>
      </c>
      <c r="CP6" t="n">
        <v>7.217</v>
      </c>
      <c r="CQ6" t="n">
        <v>17.746</v>
      </c>
      <c r="CR6" t="n">
        <v>21.02</v>
      </c>
      <c r="CS6" t="n">
        <v>8.021000000000001</v>
      </c>
      <c r="CT6" t="n">
        <v>28.828</v>
      </c>
      <c r="CU6" t="n">
        <v>11.09</v>
      </c>
      <c r="CV6" t="n">
        <v>12.435</v>
      </c>
      <c r="CW6" t="n">
        <v>27.972</v>
      </c>
      <c r="CX6" t="n">
        <v>51.957</v>
      </c>
      <c r="CY6" t="n">
        <v>7.739</v>
      </c>
      <c r="CZ6" t="n">
        <v>268.087</v>
      </c>
      <c r="DA6" t="n">
        <v>130.261</v>
      </c>
      <c r="DB6" t="n">
        <v>30.435</v>
      </c>
      <c r="DC6" t="n">
        <v>95.565</v>
      </c>
      <c r="DD6" t="n">
        <v>37</v>
      </c>
      <c r="DE6" t="n">
        <v>38.717</v>
      </c>
      <c r="DF6" t="n">
        <v>9.696</v>
      </c>
      <c r="DG6" t="n">
        <v>26.204</v>
      </c>
      <c r="DH6" t="n">
        <v>3.13</v>
      </c>
      <c r="DI6" t="n">
        <v>44.183</v>
      </c>
      <c r="DJ6" t="n">
        <v>37.25</v>
      </c>
      <c r="DK6" t="n">
        <v>17.174</v>
      </c>
      <c r="DL6" t="n">
        <v>18.435</v>
      </c>
      <c r="DM6" t="n">
        <v>-1.261</v>
      </c>
      <c r="DN6" t="n">
        <v>12.391</v>
      </c>
      <c r="DO6" t="n">
        <v>86.667</v>
      </c>
      <c r="DP6" t="n">
        <v>5.217</v>
      </c>
      <c r="DQ6" t="n">
        <v>40.565</v>
      </c>
      <c r="DR6" t="n">
        <v>70.39100000000001</v>
      </c>
      <c r="DS6" t="n">
        <v>217.057</v>
      </c>
      <c r="DT6" t="n">
        <v>1793.391</v>
      </c>
      <c r="DU6" t="n">
        <v>1670.565</v>
      </c>
      <c r="DV6" t="n">
        <v>22.217</v>
      </c>
      <c r="DW6" t="n">
        <v>43.348</v>
      </c>
      <c r="DX6" t="n">
        <v>224.348</v>
      </c>
      <c r="DY6" t="n">
        <v>165.783</v>
      </c>
      <c r="DZ6" t="n">
        <v>390.13</v>
      </c>
      <c r="EA6" t="n">
        <v>75.28100000000001</v>
      </c>
      <c r="EB6" t="n">
        <v>68.411</v>
      </c>
      <c r="EC6" t="n">
        <v>84.57899999999999</v>
      </c>
      <c r="ED6" t="n">
        <v>7.509</v>
      </c>
      <c r="EE6" t="n">
        <v>55.696</v>
      </c>
      <c r="EF6" t="n">
        <v>34.696</v>
      </c>
      <c r="EG6" t="n">
        <v>78.46599999999999</v>
      </c>
      <c r="EH6" t="n">
        <v>6079.174</v>
      </c>
      <c r="EI6" t="n">
        <v>15.582</v>
      </c>
      <c r="EJ6" t="n">
        <v>5647.423</v>
      </c>
      <c r="EK6" t="n">
        <v>25.354</v>
      </c>
      <c r="EL6" t="n">
        <v>186.838</v>
      </c>
      <c r="EM6" t="n">
        <v>1.129</v>
      </c>
      <c r="EN6" t="n">
        <v>53.043</v>
      </c>
      <c r="EO6" t="n">
        <v>7.355</v>
      </c>
      <c r="EP6" t="n">
        <v>59.304</v>
      </c>
      <c r="EQ6" t="n">
        <v>6.578</v>
      </c>
      <c r="ER6" t="n">
        <v>73.559</v>
      </c>
      <c r="ES6" t="n">
        <v>46.84</v>
      </c>
      <c r="ET6" t="n">
        <v>23.957</v>
      </c>
      <c r="EU6" t="n">
        <v>2.824</v>
      </c>
      <c r="EV6" t="n">
        <v>59.141</v>
      </c>
      <c r="EW6" t="n">
        <v>2.954</v>
      </c>
      <c r="EX6" t="n">
        <v>129.043</v>
      </c>
      <c r="EY6" t="n">
        <v>254</v>
      </c>
      <c r="EZ6" t="n">
        <v>383.043</v>
      </c>
      <c r="FA6" t="n">
        <v>33.689</v>
      </c>
      <c r="FB6" t="n">
        <v>63.087</v>
      </c>
      <c r="FC6" t="n">
        <v>86.95699999999999</v>
      </c>
      <c r="FD6" t="n">
        <v>15.652</v>
      </c>
      <c r="FE6" t="n">
        <v>21.174</v>
      </c>
      <c r="FF6" t="n">
        <v>65.783</v>
      </c>
      <c r="FG6" t="n">
        <v>78.04300000000001</v>
      </c>
      <c r="FH6" t="n">
        <v>55.261</v>
      </c>
      <c r="FI6" t="n">
        <v>10.087</v>
      </c>
      <c r="FJ6" t="n">
        <v>21.13</v>
      </c>
      <c r="FK6" t="n">
        <v>137.174</v>
      </c>
      <c r="FL6" t="n">
        <v>11.087</v>
      </c>
      <c r="FM6" t="n">
        <v>26.696</v>
      </c>
      <c r="FN6" t="n">
        <v>37.783</v>
      </c>
      <c r="FO6" t="n">
        <v>39.957</v>
      </c>
      <c r="FP6" t="n">
        <v>75.19</v>
      </c>
      <c r="FQ6" t="n">
        <v>105.609</v>
      </c>
      <c r="FR6" t="n">
        <v>9.304</v>
      </c>
      <c r="FS6" t="n">
        <v>14.435</v>
      </c>
      <c r="FT6" t="n">
        <v>25.917</v>
      </c>
      <c r="FU6" t="n">
        <v>14.957</v>
      </c>
      <c r="FV6" t="n">
        <v>7.696</v>
      </c>
      <c r="FW6" t="n">
        <v>13.826</v>
      </c>
      <c r="FX6" t="n">
        <v>12.565</v>
      </c>
      <c r="FY6" t="n">
        <v>95.52200000000001</v>
      </c>
      <c r="FZ6" t="n">
        <v>2.783</v>
      </c>
      <c r="GA6" t="n">
        <v>27.478</v>
      </c>
      <c r="GB6" t="n">
        <v>10.565</v>
      </c>
      <c r="GC6" t="n">
        <v>50.316</v>
      </c>
      <c r="GD6" t="n">
        <v>24.824</v>
      </c>
      <c r="GE6" t="n">
        <v>47.385</v>
      </c>
      <c r="GF6" t="n">
        <v>49.336</v>
      </c>
      <c r="GG6" t="n">
        <v>89.36799999999999</v>
      </c>
      <c r="GH6" t="n">
        <v>3.371</v>
      </c>
      <c r="GI6" t="n">
        <v>3.252</v>
      </c>
      <c r="GJ6" t="n">
        <v>0.123</v>
      </c>
      <c r="GK6" t="n">
        <v>3.486</v>
      </c>
      <c r="GL6" t="n">
        <v>0.08799999999999999</v>
      </c>
      <c r="GM6" t="n">
        <v>2.946</v>
      </c>
      <c r="GN6" t="n">
        <v>0.168</v>
      </c>
      <c r="GO6" t="n">
        <v>4.652</v>
      </c>
      <c r="GP6" t="n">
        <v>37</v>
      </c>
      <c r="GQ6" t="n">
        <v>53.87</v>
      </c>
      <c r="GR6" t="n">
        <v>36.217</v>
      </c>
      <c r="GS6" t="n">
        <v>48</v>
      </c>
      <c r="GT6" t="n">
        <v>11.304</v>
      </c>
      <c r="GU6" t="n">
        <v>24.103</v>
      </c>
      <c r="GV6" t="n">
        <v>27.468</v>
      </c>
      <c r="GW6" t="n">
        <v>12.405</v>
      </c>
      <c r="GX6" t="n">
        <v>37.953</v>
      </c>
      <c r="GY6" t="n">
        <v>15.889</v>
      </c>
      <c r="GZ6" t="n">
        <v>62.304</v>
      </c>
      <c r="HA6" t="n">
        <v>11.13</v>
      </c>
      <c r="HB6" t="n">
        <v>252.13</v>
      </c>
      <c r="HC6" t="n">
        <v>110.739</v>
      </c>
      <c r="HD6" t="n">
        <v>28</v>
      </c>
      <c r="HE6" t="n">
        <v>40.261</v>
      </c>
      <c r="HF6" t="n">
        <v>41.938</v>
      </c>
      <c r="HG6" t="n">
        <v>11</v>
      </c>
      <c r="HH6" t="n">
        <v>27.322</v>
      </c>
      <c r="HI6" t="n">
        <v>3.391</v>
      </c>
      <c r="HJ6" t="n">
        <v>42.549</v>
      </c>
      <c r="HK6" t="n">
        <v>41.361</v>
      </c>
      <c r="HL6" t="n">
        <v>9.565</v>
      </c>
      <c r="HM6" t="n">
        <v>89.545</v>
      </c>
      <c r="HN6" t="n">
        <v>10.13</v>
      </c>
      <c r="HO6" t="n">
        <v>38.043</v>
      </c>
      <c r="HP6" t="n">
        <v>69.348</v>
      </c>
      <c r="HQ6" t="n">
        <v>-40.009</v>
      </c>
      <c r="HR6" t="n">
        <v>-288.565</v>
      </c>
      <c r="HS6" t="n">
        <v>-266.609</v>
      </c>
      <c r="HT6" t="n">
        <v>-14.435</v>
      </c>
      <c r="HU6" t="n">
        <v>-4.348</v>
      </c>
      <c r="HV6" t="n">
        <v>-29.609</v>
      </c>
      <c r="HW6" t="n">
        <v>-21.826</v>
      </c>
      <c r="HX6" t="n">
        <v>-51.435</v>
      </c>
      <c r="HY6" t="n">
        <v>-11.478</v>
      </c>
      <c r="HZ6" t="n">
        <v>-531.913</v>
      </c>
      <c r="IA6" t="n">
        <v>-329.203</v>
      </c>
      <c r="IB6" t="n">
        <v>-43.975</v>
      </c>
      <c r="IC6" t="n">
        <v>1.783</v>
      </c>
      <c r="ID6" t="n">
        <v>3.609</v>
      </c>
      <c r="IE6" t="n">
        <v>-3.458</v>
      </c>
      <c r="IF6" t="n">
        <v>-2.466</v>
      </c>
      <c r="IG6" t="n">
        <v>-7.391</v>
      </c>
      <c r="IH6" t="n">
        <v>-45.174</v>
      </c>
      <c r="II6" t="n">
        <v>-52.565</v>
      </c>
      <c r="IJ6" t="n">
        <v>-3.522</v>
      </c>
      <c r="IK6" t="n">
        <v>-4.913</v>
      </c>
      <c r="IL6" t="n">
        <v>-5.391</v>
      </c>
      <c r="IM6" t="n">
        <v>0.043</v>
      </c>
      <c r="IN6" t="n">
        <v>-4.957</v>
      </c>
      <c r="IO6" t="n">
        <v>-5.348</v>
      </c>
      <c r="IP6" t="n">
        <v>-3.826</v>
      </c>
      <c r="IQ6" t="n">
        <v>-0.957</v>
      </c>
      <c r="IR6" t="n">
        <v>-1.174</v>
      </c>
      <c r="IS6" t="n">
        <v>-25.478</v>
      </c>
      <c r="IT6" t="n">
        <v>-1.565</v>
      </c>
      <c r="IU6" t="n">
        <v>-3</v>
      </c>
      <c r="IV6" t="n">
        <v>-4.565</v>
      </c>
      <c r="IW6" t="n">
        <v>-0.391</v>
      </c>
      <c r="IX6" t="n">
        <v>-17.609</v>
      </c>
      <c r="IY6" t="n">
        <v>0.043</v>
      </c>
      <c r="IZ6" t="n">
        <v>-5.13</v>
      </c>
      <c r="JA6" t="n">
        <v>1.217</v>
      </c>
      <c r="JB6" t="n">
        <v>-1.696</v>
      </c>
      <c r="JC6" t="n">
        <v>-4.957</v>
      </c>
      <c r="JD6" t="n">
        <v>-2.783</v>
      </c>
      <c r="JE6" t="n">
        <v>-32.522</v>
      </c>
      <c r="JF6" t="n">
        <v>-7.304</v>
      </c>
      <c r="JG6" t="n">
        <v>-4.652</v>
      </c>
      <c r="JH6" t="n">
        <v>-27.011</v>
      </c>
      <c r="JI6" t="n">
        <v>-4.728</v>
      </c>
      <c r="JJ6" t="n">
        <v>-0.161</v>
      </c>
      <c r="JK6" t="n">
        <v>-0.304</v>
      </c>
      <c r="JL6" t="n">
        <v>-12.957</v>
      </c>
      <c r="JM6" t="n">
        <v>-19.261</v>
      </c>
      <c r="JN6" t="n">
        <v>-10</v>
      </c>
      <c r="JO6" t="n">
        <v>-18.435</v>
      </c>
      <c r="JP6" t="n">
        <v>-4.087</v>
      </c>
      <c r="JQ6" t="n">
        <v>-10.348</v>
      </c>
      <c r="JR6" t="n">
        <v>-3.391</v>
      </c>
      <c r="JS6" t="n">
        <v>15.957</v>
      </c>
      <c r="JT6" t="n">
        <v>19.522</v>
      </c>
      <c r="JU6" t="n">
        <v>2.435</v>
      </c>
      <c r="JV6" t="n">
        <v>-3.261</v>
      </c>
      <c r="JW6" t="n">
        <v>-1.304</v>
      </c>
      <c r="JX6" t="n">
        <v>-0.261</v>
      </c>
      <c r="JY6" t="n">
        <v>-4.913</v>
      </c>
      <c r="JZ6" t="n">
        <v>2.522</v>
      </c>
      <c r="KA6" t="n">
        <v>1.043</v>
      </c>
    </row>
    <row r="7">
      <c r="A7" t="inlineStr">
        <is>
          <t>Carlton</t>
        </is>
      </c>
      <c r="B7" t="inlineStr">
        <is>
          <t>Carl</t>
        </is>
      </c>
      <c r="C7" t="n">
        <v>23</v>
      </c>
      <c r="D7" t="n">
        <v>39</v>
      </c>
      <c r="E7" t="n">
        <v>26.034</v>
      </c>
      <c r="F7" t="n">
        <v>106.374</v>
      </c>
      <c r="G7" t="n">
        <v>199.591</v>
      </c>
      <c r="H7" t="n">
        <v>1652.87</v>
      </c>
      <c r="I7" t="n">
        <v>1525.13</v>
      </c>
      <c r="J7" t="n">
        <v>12.696</v>
      </c>
      <c r="K7" t="n">
        <v>50.931</v>
      </c>
      <c r="L7" t="n">
        <v>40.696</v>
      </c>
      <c r="M7" t="n">
        <v>213.261</v>
      </c>
      <c r="N7" t="n">
        <v>144.652</v>
      </c>
      <c r="O7" t="n">
        <v>357.913</v>
      </c>
      <c r="P7" t="n">
        <v>70.675</v>
      </c>
      <c r="Q7" t="n">
        <v>63.262</v>
      </c>
      <c r="R7" t="n">
        <v>81.605</v>
      </c>
      <c r="S7" t="n">
        <v>59.585</v>
      </c>
      <c r="T7" t="n">
        <v>5.689</v>
      </c>
      <c r="U7" t="n">
        <v>53.609</v>
      </c>
      <c r="V7" t="n">
        <v>36.174</v>
      </c>
      <c r="W7" t="n">
        <v>74.15300000000001</v>
      </c>
      <c r="X7" t="n">
        <v>5802.565</v>
      </c>
      <c r="Y7" t="n">
        <v>16.212</v>
      </c>
      <c r="Z7" t="n">
        <v>5506.751</v>
      </c>
      <c r="AA7" t="n">
        <v>26.002</v>
      </c>
      <c r="AB7" t="n">
        <v>160.469</v>
      </c>
      <c r="AC7" t="n">
        <v>1.112</v>
      </c>
      <c r="AD7" t="n">
        <v>57.783</v>
      </c>
      <c r="AE7" t="n">
        <v>6.194</v>
      </c>
      <c r="AF7" t="n">
        <v>64.82599999999999</v>
      </c>
      <c r="AG7" t="n">
        <v>5.521</v>
      </c>
      <c r="AH7" t="n">
        <v>68.964</v>
      </c>
      <c r="AI7" t="n">
        <v>46.472</v>
      </c>
      <c r="AJ7" t="n">
        <v>24.12</v>
      </c>
      <c r="AK7" t="n">
        <v>-0.947</v>
      </c>
      <c r="AL7" t="n">
        <v>56.096</v>
      </c>
      <c r="AM7" t="n">
        <v>0.672</v>
      </c>
      <c r="AN7" t="n">
        <v>137.696</v>
      </c>
      <c r="AO7" t="n">
        <v>214.652</v>
      </c>
      <c r="AP7" t="n">
        <v>352.348</v>
      </c>
      <c r="AQ7" t="n">
        <v>39.079</v>
      </c>
      <c r="AR7" t="n">
        <v>65.261</v>
      </c>
      <c r="AS7" t="n">
        <v>89.087</v>
      </c>
      <c r="AT7" t="n">
        <v>15.565</v>
      </c>
      <c r="AU7" t="n">
        <v>21</v>
      </c>
      <c r="AV7" t="n">
        <v>68.087</v>
      </c>
      <c r="AW7" t="n">
        <v>82.39100000000001</v>
      </c>
      <c r="AX7" t="n">
        <v>57.043</v>
      </c>
      <c r="AY7" t="n">
        <v>9.826000000000001</v>
      </c>
      <c r="AZ7" t="n">
        <v>23.696</v>
      </c>
      <c r="BA7" t="n">
        <v>114.652</v>
      </c>
      <c r="BB7" t="n">
        <v>12.609</v>
      </c>
      <c r="BC7" t="n">
        <v>26.652</v>
      </c>
      <c r="BD7" t="n">
        <v>39.261</v>
      </c>
      <c r="BE7" t="n">
        <v>45.739</v>
      </c>
      <c r="BF7" t="n">
        <v>73.099</v>
      </c>
      <c r="BG7" t="n">
        <v>90.087</v>
      </c>
      <c r="BH7" t="n">
        <v>10.565</v>
      </c>
      <c r="BI7" t="n">
        <v>12.043</v>
      </c>
      <c r="BJ7" t="n">
        <v>22.466</v>
      </c>
      <c r="BK7" t="n">
        <v>15.435</v>
      </c>
      <c r="BL7" t="n">
        <v>8.435</v>
      </c>
      <c r="BM7" t="n">
        <v>34</v>
      </c>
      <c r="BN7" t="n">
        <v>7.174</v>
      </c>
      <c r="BO7" t="n">
        <v>11.261</v>
      </c>
      <c r="BP7" t="n">
        <v>10.652</v>
      </c>
      <c r="BQ7" t="n">
        <v>78.217</v>
      </c>
      <c r="BR7" t="n">
        <v>2.043</v>
      </c>
      <c r="BS7" t="n">
        <v>24</v>
      </c>
      <c r="BT7" t="n">
        <v>8.304</v>
      </c>
      <c r="BU7" t="n">
        <v>46.92</v>
      </c>
      <c r="BV7" t="n">
        <v>21.006</v>
      </c>
      <c r="BW7" t="n">
        <v>40.876</v>
      </c>
      <c r="BX7" t="n">
        <v>44.769</v>
      </c>
      <c r="BY7" t="n">
        <v>12.522</v>
      </c>
      <c r="BZ7" t="n">
        <v>29.514</v>
      </c>
      <c r="CA7" t="n">
        <v>10.991</v>
      </c>
      <c r="CB7" t="n">
        <v>-1.991</v>
      </c>
      <c r="CC7" t="n">
        <v>77.869</v>
      </c>
      <c r="CD7" t="n">
        <v>-1.695</v>
      </c>
      <c r="CE7" t="n">
        <v>3.245</v>
      </c>
      <c r="CF7" t="n">
        <v>-0.07099999999999999</v>
      </c>
      <c r="CG7" t="n">
        <v>3.532</v>
      </c>
      <c r="CH7" t="n">
        <v>0.034</v>
      </c>
      <c r="CI7" t="n">
        <v>2.884</v>
      </c>
      <c r="CJ7" t="n">
        <v>-0.202</v>
      </c>
      <c r="CK7" t="n">
        <v>3.217</v>
      </c>
      <c r="CL7" t="n">
        <v>32.304</v>
      </c>
      <c r="CM7" t="n">
        <v>42.696</v>
      </c>
      <c r="CN7" t="n">
        <v>27.913</v>
      </c>
      <c r="CO7" t="n">
        <v>39.13</v>
      </c>
      <c r="CP7" t="n">
        <v>11.174</v>
      </c>
      <c r="CQ7" t="n">
        <v>19.429</v>
      </c>
      <c r="CR7" t="n">
        <v>25.799</v>
      </c>
      <c r="CS7" t="n">
        <v>9.112</v>
      </c>
      <c r="CT7" t="n">
        <v>32.529</v>
      </c>
      <c r="CU7" t="n">
        <v>11.887</v>
      </c>
      <c r="CV7" t="n">
        <v>9.130000000000001</v>
      </c>
      <c r="CW7" t="n">
        <v>22.857</v>
      </c>
      <c r="CX7" t="n">
        <v>63.13</v>
      </c>
      <c r="CY7" t="n">
        <v>11.652</v>
      </c>
      <c r="CZ7" t="n">
        <v>272.217</v>
      </c>
      <c r="DA7" t="n">
        <v>127.565</v>
      </c>
      <c r="DB7" t="n">
        <v>31.696</v>
      </c>
      <c r="DC7" t="n">
        <v>98.13</v>
      </c>
      <c r="DD7" t="n">
        <v>34.696</v>
      </c>
      <c r="DE7" t="n">
        <v>35.357</v>
      </c>
      <c r="DF7" t="n">
        <v>10.609</v>
      </c>
      <c r="DG7" t="n">
        <v>30.576</v>
      </c>
      <c r="DH7" t="n">
        <v>5.696</v>
      </c>
      <c r="DI7" t="n">
        <v>48.246</v>
      </c>
      <c r="DJ7" t="n">
        <v>42.231</v>
      </c>
      <c r="DK7" t="n">
        <v>21.739</v>
      </c>
      <c r="DL7" t="n">
        <v>19.826</v>
      </c>
      <c r="DM7" t="n">
        <v>1.913</v>
      </c>
      <c r="DN7" t="n">
        <v>9.304</v>
      </c>
      <c r="DO7" t="n">
        <v>77.10299999999999</v>
      </c>
      <c r="DP7" t="n">
        <v>5.087</v>
      </c>
      <c r="DQ7" t="n">
        <v>43.217</v>
      </c>
      <c r="DR7" t="n">
        <v>70.17400000000001</v>
      </c>
      <c r="DS7" t="n">
        <v>201.722</v>
      </c>
      <c r="DT7" t="n">
        <v>1647.304</v>
      </c>
      <c r="DU7" t="n">
        <v>1496.565</v>
      </c>
      <c r="DV7" t="n">
        <v>17.304</v>
      </c>
      <c r="DW7" t="n">
        <v>41.087</v>
      </c>
      <c r="DX7" t="n">
        <v>203.652</v>
      </c>
      <c r="DY7" t="n">
        <v>149.696</v>
      </c>
      <c r="DZ7" t="n">
        <v>353.348</v>
      </c>
      <c r="EA7" t="n">
        <v>73.04000000000001</v>
      </c>
      <c r="EB7" t="n">
        <v>66.994</v>
      </c>
      <c r="EC7" t="n">
        <v>81.26600000000001</v>
      </c>
      <c r="ED7" t="n">
        <v>5.597</v>
      </c>
      <c r="EE7" t="n">
        <v>48.783</v>
      </c>
      <c r="EF7" t="n">
        <v>41.826</v>
      </c>
      <c r="EG7" t="n">
        <v>78.021</v>
      </c>
      <c r="EH7" t="n">
        <v>5830.435</v>
      </c>
      <c r="EI7" t="n">
        <v>16.501</v>
      </c>
      <c r="EJ7" t="n">
        <v>5487.805</v>
      </c>
      <c r="EK7" t="n">
        <v>27.103</v>
      </c>
      <c r="EL7" t="n">
        <v>240.031</v>
      </c>
      <c r="EM7" t="n">
        <v>1.608</v>
      </c>
      <c r="EN7" t="n">
        <v>59.13</v>
      </c>
      <c r="EO7" t="n">
        <v>5.976</v>
      </c>
      <c r="EP7" t="n">
        <v>64.95699999999999</v>
      </c>
      <c r="EQ7" t="n">
        <v>5.44</v>
      </c>
      <c r="ER7" t="n">
        <v>70.041</v>
      </c>
      <c r="ES7" t="n">
        <v>47.164</v>
      </c>
      <c r="ET7" t="n">
        <v>22.965</v>
      </c>
      <c r="EU7" t="n">
        <v>-0.171</v>
      </c>
      <c r="EV7" t="n">
        <v>56.15</v>
      </c>
      <c r="EW7" t="n">
        <v>-0.091</v>
      </c>
      <c r="EX7" t="n">
        <v>128.739</v>
      </c>
      <c r="EY7" t="n">
        <v>216.13</v>
      </c>
      <c r="EZ7" t="n">
        <v>344.87</v>
      </c>
      <c r="FA7" t="n">
        <v>37.33</v>
      </c>
      <c r="FB7" t="n">
        <v>64.913</v>
      </c>
      <c r="FC7" t="n">
        <v>86.17400000000001</v>
      </c>
      <c r="FD7" t="n">
        <v>13.043</v>
      </c>
      <c r="FE7" t="n">
        <v>20.304</v>
      </c>
      <c r="FF7" t="n">
        <v>65.87</v>
      </c>
      <c r="FG7" t="n">
        <v>79.783</v>
      </c>
      <c r="FH7" t="n">
        <v>55.435</v>
      </c>
      <c r="FI7" t="n">
        <v>8.478</v>
      </c>
      <c r="FJ7" t="n">
        <v>22.174</v>
      </c>
      <c r="FK7" t="n">
        <v>118.217</v>
      </c>
      <c r="FL7" t="n">
        <v>9.869999999999999</v>
      </c>
      <c r="FM7" t="n">
        <v>25.783</v>
      </c>
      <c r="FN7" t="n">
        <v>35.652</v>
      </c>
      <c r="FO7" t="n">
        <v>38.522</v>
      </c>
      <c r="FP7" t="n">
        <v>74.605</v>
      </c>
      <c r="FQ7" t="n">
        <v>87.13</v>
      </c>
      <c r="FR7" t="n">
        <v>9.304</v>
      </c>
      <c r="FS7" t="n">
        <v>11.348</v>
      </c>
      <c r="FT7" t="n">
        <v>23.262</v>
      </c>
      <c r="FU7" t="n">
        <v>15.87</v>
      </c>
      <c r="FV7" t="n">
        <v>5.913</v>
      </c>
      <c r="FW7" t="n">
        <v>11.913</v>
      </c>
      <c r="FX7" t="n">
        <v>9.435</v>
      </c>
      <c r="FY7" t="n">
        <v>80.913</v>
      </c>
      <c r="FZ7" t="n">
        <v>1.391</v>
      </c>
      <c r="GA7" t="n">
        <v>23.609</v>
      </c>
      <c r="GB7" t="n">
        <v>8.565</v>
      </c>
      <c r="GC7" t="n">
        <v>50.46</v>
      </c>
      <c r="GD7" t="n">
        <v>24.421</v>
      </c>
      <c r="GE7" t="n">
        <v>43.761</v>
      </c>
      <c r="GF7" t="n">
        <v>48.396</v>
      </c>
      <c r="GG7" t="n">
        <v>76.426</v>
      </c>
      <c r="GH7" t="n">
        <v>3.096</v>
      </c>
      <c r="GI7" t="n">
        <v>3.237</v>
      </c>
      <c r="GJ7" t="n">
        <v>0.131</v>
      </c>
      <c r="GK7" t="n">
        <v>3.461</v>
      </c>
      <c r="GL7" t="n">
        <v>0.092</v>
      </c>
      <c r="GM7" t="n">
        <v>2.933</v>
      </c>
      <c r="GN7" t="n">
        <v>0.184</v>
      </c>
      <c r="GO7" t="n">
        <v>4.783</v>
      </c>
      <c r="GP7" t="n">
        <v>32.043</v>
      </c>
      <c r="GQ7" t="n">
        <v>44.087</v>
      </c>
      <c r="GR7" t="n">
        <v>30.957</v>
      </c>
      <c r="GS7" t="n">
        <v>38.435</v>
      </c>
      <c r="GT7" t="n">
        <v>11.522</v>
      </c>
      <c r="GU7" t="n">
        <v>19.364</v>
      </c>
      <c r="GV7" t="n">
        <v>22.106</v>
      </c>
      <c r="GW7" t="n">
        <v>8.558999999999999</v>
      </c>
      <c r="GX7" t="n">
        <v>29.195</v>
      </c>
      <c r="GY7" t="n">
        <v>11.063</v>
      </c>
      <c r="GZ7" t="n">
        <v>62.913</v>
      </c>
      <c r="HA7" t="n">
        <v>10.043</v>
      </c>
      <c r="HB7" t="n">
        <v>273.739</v>
      </c>
      <c r="HC7" t="n">
        <v>137.609</v>
      </c>
      <c r="HD7" t="n">
        <v>32.391</v>
      </c>
      <c r="HE7" t="n">
        <v>38.652</v>
      </c>
      <c r="HF7" t="n">
        <v>39.354</v>
      </c>
      <c r="HG7" t="n">
        <v>9.435</v>
      </c>
      <c r="HH7" t="n">
        <v>24.409</v>
      </c>
      <c r="HI7" t="n">
        <v>2.696</v>
      </c>
      <c r="HJ7" t="n">
        <v>42.97</v>
      </c>
      <c r="HK7" t="n">
        <v>37.795</v>
      </c>
      <c r="HL7" t="n">
        <v>10.652</v>
      </c>
      <c r="HM7" t="n">
        <v>95.91800000000001</v>
      </c>
      <c r="HN7" t="n">
        <v>5.609</v>
      </c>
      <c r="HO7" t="n">
        <v>46.304</v>
      </c>
      <c r="HP7" t="n">
        <v>70.17400000000001</v>
      </c>
      <c r="HQ7" t="n">
        <v>-2.13</v>
      </c>
      <c r="HR7" t="n">
        <v>5.565</v>
      </c>
      <c r="HS7" t="n">
        <v>28.565</v>
      </c>
      <c r="HT7" t="n">
        <v>-4.609</v>
      </c>
      <c r="HU7" t="n">
        <v>-0.391</v>
      </c>
      <c r="HV7" t="n">
        <v>9.609</v>
      </c>
      <c r="HW7" t="n">
        <v>-5.043</v>
      </c>
      <c r="HX7" t="n">
        <v>4.565</v>
      </c>
      <c r="HY7" t="n">
        <v>4.826</v>
      </c>
      <c r="HZ7" t="n">
        <v>-27.87</v>
      </c>
      <c r="IA7" t="n">
        <v>18.946</v>
      </c>
      <c r="IB7" t="n">
        <v>-79.562</v>
      </c>
      <c r="IC7" t="n">
        <v>-1.348</v>
      </c>
      <c r="ID7" t="n">
        <v>-0.13</v>
      </c>
      <c r="IE7" t="n">
        <v>-0.775</v>
      </c>
      <c r="IF7" t="n">
        <v>0.763</v>
      </c>
      <c r="IG7" t="n">
        <v>8.957000000000001</v>
      </c>
      <c r="IH7" t="n">
        <v>-1.478</v>
      </c>
      <c r="II7" t="n">
        <v>7.478</v>
      </c>
      <c r="IJ7" t="n">
        <v>0.348</v>
      </c>
      <c r="IK7" t="n">
        <v>2.913</v>
      </c>
      <c r="IL7" t="n">
        <v>2.522</v>
      </c>
      <c r="IM7" t="n">
        <v>0.696</v>
      </c>
      <c r="IN7" t="n">
        <v>2.217</v>
      </c>
      <c r="IO7" t="n">
        <v>2.609</v>
      </c>
      <c r="IP7" t="n">
        <v>1.609</v>
      </c>
      <c r="IQ7" t="n">
        <v>1.348</v>
      </c>
      <c r="IR7" t="n">
        <v>1.522</v>
      </c>
      <c r="IS7" t="n">
        <v>-3.565</v>
      </c>
      <c r="IT7" t="n">
        <v>2.739</v>
      </c>
      <c r="IU7" t="n">
        <v>0.87</v>
      </c>
      <c r="IV7" t="n">
        <v>3.609</v>
      </c>
      <c r="IW7" t="n">
        <v>7.217</v>
      </c>
      <c r="IX7" t="n">
        <v>2.957</v>
      </c>
      <c r="IY7" t="n">
        <v>1.261</v>
      </c>
      <c r="IZ7" t="n">
        <v>0.696</v>
      </c>
      <c r="JA7" t="n">
        <v>-0.435</v>
      </c>
      <c r="JB7" t="n">
        <v>2.522</v>
      </c>
      <c r="JC7" t="n">
        <v>-0.652</v>
      </c>
      <c r="JD7" t="n">
        <v>1.217</v>
      </c>
      <c r="JE7" t="n">
        <v>-2.696</v>
      </c>
      <c r="JF7" t="n">
        <v>0.391</v>
      </c>
      <c r="JG7" t="n">
        <v>-0.261</v>
      </c>
      <c r="JH7" t="n">
        <v>1.443</v>
      </c>
      <c r="JI7" t="n">
        <v>-4.791</v>
      </c>
      <c r="JJ7" t="n">
        <v>0.007</v>
      </c>
      <c r="JK7" t="n">
        <v>-1.565</v>
      </c>
      <c r="JL7" t="n">
        <v>0.261</v>
      </c>
      <c r="JM7" t="n">
        <v>-1.391</v>
      </c>
      <c r="JN7" t="n">
        <v>-3.043</v>
      </c>
      <c r="JO7" t="n">
        <v>0.696</v>
      </c>
      <c r="JP7" t="n">
        <v>-0.348</v>
      </c>
      <c r="JQ7" t="n">
        <v>0.217</v>
      </c>
      <c r="JR7" t="n">
        <v>1.609</v>
      </c>
      <c r="JS7" t="n">
        <v>-1.522</v>
      </c>
      <c r="JT7" t="n">
        <v>-10.043</v>
      </c>
      <c r="JU7" t="n">
        <v>-0.696</v>
      </c>
      <c r="JV7" t="n">
        <v>-3.957</v>
      </c>
      <c r="JW7" t="n">
        <v>1.174</v>
      </c>
      <c r="JX7" t="n">
        <v>3</v>
      </c>
      <c r="JY7" t="n">
        <v>-0.522</v>
      </c>
      <c r="JZ7" t="n">
        <v>-3.087</v>
      </c>
      <c r="KA7" t="n">
        <v>0</v>
      </c>
    </row>
    <row r="8">
      <c r="A8" t="inlineStr">
        <is>
          <t>Essendon</t>
        </is>
      </c>
      <c r="B8" t="inlineStr">
        <is>
          <t>Ess</t>
        </is>
      </c>
      <c r="C8" t="n">
        <v>23</v>
      </c>
      <c r="D8" t="n">
        <v>44</v>
      </c>
      <c r="E8" t="n">
        <v>24.806</v>
      </c>
      <c r="F8" t="n">
        <v>88.652</v>
      </c>
      <c r="G8" t="n">
        <v>184.339</v>
      </c>
      <c r="H8" t="n">
        <v>1568.783</v>
      </c>
      <c r="I8" t="n">
        <v>1501.304</v>
      </c>
      <c r="J8" t="n">
        <v>9.826000000000001</v>
      </c>
      <c r="K8" t="n">
        <v>47.028</v>
      </c>
      <c r="L8" t="n">
        <v>39.609</v>
      </c>
      <c r="M8" t="n">
        <v>203.435</v>
      </c>
      <c r="N8" t="n">
        <v>164.913</v>
      </c>
      <c r="O8" t="n">
        <v>368.348</v>
      </c>
      <c r="P8" t="n">
        <v>73.79600000000001</v>
      </c>
      <c r="Q8" t="n">
        <v>65.59099999999999</v>
      </c>
      <c r="R8" t="n">
        <v>83.91800000000001</v>
      </c>
      <c r="S8" t="n">
        <v>55.229</v>
      </c>
      <c r="T8" t="n">
        <v>6.86</v>
      </c>
      <c r="U8" t="n">
        <v>46.783</v>
      </c>
      <c r="V8" t="n">
        <v>39.609</v>
      </c>
      <c r="W8" t="n">
        <v>72.59</v>
      </c>
      <c r="X8" t="n">
        <v>5510.13</v>
      </c>
      <c r="Y8" t="n">
        <v>14.959</v>
      </c>
      <c r="Z8" t="n">
        <v>5152.941</v>
      </c>
      <c r="AA8" t="n">
        <v>25.532</v>
      </c>
      <c r="AB8" t="n">
        <v>105.671</v>
      </c>
      <c r="AC8" t="n">
        <v>0.643</v>
      </c>
      <c r="AD8" t="n">
        <v>58.391</v>
      </c>
      <c r="AE8" t="n">
        <v>6.308</v>
      </c>
      <c r="AF8" t="n">
        <v>65.348</v>
      </c>
      <c r="AG8" t="n">
        <v>5.637</v>
      </c>
      <c r="AH8" t="n">
        <v>71.574</v>
      </c>
      <c r="AI8" t="n">
        <v>45.464</v>
      </c>
      <c r="AJ8" t="n">
        <v>22.335</v>
      </c>
      <c r="AK8" t="n">
        <v>-2.285</v>
      </c>
      <c r="AL8" t="n">
        <v>57.486</v>
      </c>
      <c r="AM8" t="n">
        <v>0.172</v>
      </c>
      <c r="AN8" t="n">
        <v>125.826</v>
      </c>
      <c r="AO8" t="n">
        <v>232.304</v>
      </c>
      <c r="AP8" t="n">
        <v>358.13</v>
      </c>
      <c r="AQ8" t="n">
        <v>35.134</v>
      </c>
      <c r="AR8" t="n">
        <v>62.739</v>
      </c>
      <c r="AS8" t="n">
        <v>84.60899999999999</v>
      </c>
      <c r="AT8" t="n">
        <v>13</v>
      </c>
      <c r="AU8" t="n">
        <v>17.957</v>
      </c>
      <c r="AV8" t="n">
        <v>66.652</v>
      </c>
      <c r="AW8" t="n">
        <v>80.304</v>
      </c>
      <c r="AX8" t="n">
        <v>56.826</v>
      </c>
      <c r="AY8" t="n">
        <v>9.348000000000001</v>
      </c>
      <c r="AZ8" t="n">
        <v>20.261</v>
      </c>
      <c r="BA8" t="n">
        <v>135.043</v>
      </c>
      <c r="BB8" t="n">
        <v>10.478</v>
      </c>
      <c r="BC8" t="n">
        <v>23.609</v>
      </c>
      <c r="BD8" t="n">
        <v>34.087</v>
      </c>
      <c r="BE8" t="n">
        <v>37.348</v>
      </c>
      <c r="BF8" t="n">
        <v>74.505</v>
      </c>
      <c r="BG8" t="n">
        <v>87.52200000000001</v>
      </c>
      <c r="BH8" t="n">
        <v>8.522</v>
      </c>
      <c r="BI8" t="n">
        <v>9.957000000000001</v>
      </c>
      <c r="BJ8" t="n">
        <v>21.283</v>
      </c>
      <c r="BK8" t="n">
        <v>13.304</v>
      </c>
      <c r="BL8" t="n">
        <v>7.478</v>
      </c>
      <c r="BM8" t="n">
        <v>32</v>
      </c>
      <c r="BN8" t="n">
        <v>6.609</v>
      </c>
      <c r="BO8" t="n">
        <v>9.565</v>
      </c>
      <c r="BP8" t="n">
        <v>9.348000000000001</v>
      </c>
      <c r="BQ8" t="n">
        <v>66.739</v>
      </c>
      <c r="BR8" t="n">
        <v>2.217</v>
      </c>
      <c r="BS8" t="n">
        <v>20.652</v>
      </c>
      <c r="BT8" t="n">
        <v>6.609</v>
      </c>
      <c r="BU8" t="n">
        <v>46.316</v>
      </c>
      <c r="BV8" t="n">
        <v>20.446</v>
      </c>
      <c r="BW8" t="n">
        <v>40.428</v>
      </c>
      <c r="BX8" t="n">
        <v>44.145</v>
      </c>
      <c r="BY8" t="n">
        <v>10.609</v>
      </c>
      <c r="BZ8" t="n">
        <v>24.18</v>
      </c>
      <c r="CA8" t="n">
        <v>5.98</v>
      </c>
      <c r="CB8" t="n">
        <v>0.02</v>
      </c>
      <c r="CC8" t="n">
        <v>66.098</v>
      </c>
      <c r="CD8" t="n">
        <v>-1.576</v>
      </c>
      <c r="CE8" t="n">
        <v>3.201</v>
      </c>
      <c r="CF8" t="n">
        <v>-0.076</v>
      </c>
      <c r="CG8" t="n">
        <v>3.463</v>
      </c>
      <c r="CH8" t="n">
        <v>-0.129</v>
      </c>
      <c r="CI8" t="n">
        <v>2.883</v>
      </c>
      <c r="CJ8" t="n">
        <v>-0.013</v>
      </c>
      <c r="CK8" t="n">
        <v>2.957</v>
      </c>
      <c r="CL8" t="n">
        <v>26.826</v>
      </c>
      <c r="CM8" t="n">
        <v>36.957</v>
      </c>
      <c r="CN8" t="n">
        <v>26.087</v>
      </c>
      <c r="CO8" t="n">
        <v>31.522</v>
      </c>
      <c r="CP8" t="n">
        <v>9.130000000000001</v>
      </c>
      <c r="CQ8" t="n">
        <v>17.543</v>
      </c>
      <c r="CR8" t="n">
        <v>20.255</v>
      </c>
      <c r="CS8" t="n">
        <v>7.635</v>
      </c>
      <c r="CT8" t="n">
        <v>28.05</v>
      </c>
      <c r="CU8" t="n">
        <v>10.385</v>
      </c>
      <c r="CV8" t="n">
        <v>11.609</v>
      </c>
      <c r="CW8" t="n">
        <v>26.592</v>
      </c>
      <c r="CX8" t="n">
        <v>57.478</v>
      </c>
      <c r="CY8" t="n">
        <v>8.782999999999999</v>
      </c>
      <c r="CZ8" t="n">
        <v>272.478</v>
      </c>
      <c r="DA8" t="n">
        <v>131.435</v>
      </c>
      <c r="DB8" t="n">
        <v>27.652</v>
      </c>
      <c r="DC8" t="n">
        <v>90.739</v>
      </c>
      <c r="DD8" t="n">
        <v>37.652</v>
      </c>
      <c r="DE8" t="n">
        <v>41.495</v>
      </c>
      <c r="DF8" t="n">
        <v>10.304</v>
      </c>
      <c r="DG8" t="n">
        <v>27.367</v>
      </c>
      <c r="DH8" t="n">
        <v>1.609</v>
      </c>
      <c r="DI8" t="n">
        <v>46.651</v>
      </c>
      <c r="DJ8" t="n">
        <v>40.531</v>
      </c>
      <c r="DK8" t="n">
        <v>20.13</v>
      </c>
      <c r="DL8" t="n">
        <v>17.913</v>
      </c>
      <c r="DM8" t="n">
        <v>2.217</v>
      </c>
      <c r="DN8" t="n">
        <v>11.174</v>
      </c>
      <c r="DO8" t="n">
        <v>90.27200000000001</v>
      </c>
      <c r="DP8" t="n">
        <v>8.391</v>
      </c>
      <c r="DQ8" t="n">
        <v>37.565</v>
      </c>
      <c r="DR8" t="n">
        <v>68.17400000000001</v>
      </c>
      <c r="DS8" t="n">
        <v>213.435</v>
      </c>
      <c r="DT8" t="n">
        <v>1731.348</v>
      </c>
      <c r="DU8" t="n">
        <v>1598.391</v>
      </c>
      <c r="DV8" t="n">
        <v>20.174</v>
      </c>
      <c r="DW8" t="n">
        <v>43.652</v>
      </c>
      <c r="DX8" t="n">
        <v>222.217</v>
      </c>
      <c r="DY8" t="n">
        <v>154.391</v>
      </c>
      <c r="DZ8" t="n">
        <v>376.609</v>
      </c>
      <c r="EA8" t="n">
        <v>74.821</v>
      </c>
      <c r="EB8" t="n">
        <v>69.556</v>
      </c>
      <c r="EC8" t="n">
        <v>82.399</v>
      </c>
      <c r="ED8" t="n">
        <v>6.552</v>
      </c>
      <c r="EE8" t="n">
        <v>54.565</v>
      </c>
      <c r="EF8" t="n">
        <v>36.783</v>
      </c>
      <c r="EG8" t="n">
        <v>78.625</v>
      </c>
      <c r="EH8" t="n">
        <v>5985.261</v>
      </c>
      <c r="EI8" t="n">
        <v>15.893</v>
      </c>
      <c r="EJ8" t="n">
        <v>5693.145</v>
      </c>
      <c r="EK8" t="n">
        <v>25.71</v>
      </c>
      <c r="EL8" t="n">
        <v>159.98</v>
      </c>
      <c r="EM8" t="n">
        <v>1.039</v>
      </c>
      <c r="EN8" t="n">
        <v>58.043</v>
      </c>
      <c r="EO8" t="n">
        <v>6.488</v>
      </c>
      <c r="EP8" t="n">
        <v>62.565</v>
      </c>
      <c r="EQ8" t="n">
        <v>6.019</v>
      </c>
      <c r="ER8" t="n">
        <v>72.495</v>
      </c>
      <c r="ES8" t="n">
        <v>51.152</v>
      </c>
      <c r="ET8" t="n">
        <v>23.847</v>
      </c>
      <c r="EU8" t="n">
        <v>3.284</v>
      </c>
      <c r="EV8" t="n">
        <v>59.041</v>
      </c>
      <c r="EW8" t="n">
        <v>4.572</v>
      </c>
      <c r="EX8" t="n">
        <v>127.478</v>
      </c>
      <c r="EY8" t="n">
        <v>242.913</v>
      </c>
      <c r="EZ8" t="n">
        <v>370.391</v>
      </c>
      <c r="FA8" t="n">
        <v>34.417</v>
      </c>
      <c r="FB8" t="n">
        <v>65.435</v>
      </c>
      <c r="FC8" t="n">
        <v>83.04300000000001</v>
      </c>
      <c r="FD8" t="n">
        <v>14.652</v>
      </c>
      <c r="FE8" t="n">
        <v>18.565</v>
      </c>
      <c r="FF8" t="n">
        <v>64.47799999999999</v>
      </c>
      <c r="FG8" t="n">
        <v>79.783</v>
      </c>
      <c r="FH8" t="n">
        <v>55.435</v>
      </c>
      <c r="FI8" t="n">
        <v>10.652</v>
      </c>
      <c r="FJ8" t="n">
        <v>21.522</v>
      </c>
      <c r="FK8" t="n">
        <v>123.913</v>
      </c>
      <c r="FL8" t="n">
        <v>12</v>
      </c>
      <c r="FM8" t="n">
        <v>23.261</v>
      </c>
      <c r="FN8" t="n">
        <v>35.261</v>
      </c>
      <c r="FO8" t="n">
        <v>40.304</v>
      </c>
      <c r="FP8" t="n">
        <v>73.46299999999999</v>
      </c>
      <c r="FQ8" t="n">
        <v>106.609</v>
      </c>
      <c r="FR8" t="n">
        <v>10.565</v>
      </c>
      <c r="FS8" t="n">
        <v>14.652</v>
      </c>
      <c r="FT8" t="n">
        <v>26.853</v>
      </c>
      <c r="FU8" t="n">
        <v>16.87</v>
      </c>
      <c r="FV8" t="n">
        <v>10.609</v>
      </c>
      <c r="FW8" t="n">
        <v>14.087</v>
      </c>
      <c r="FX8" t="n">
        <v>11.522</v>
      </c>
      <c r="FY8" t="n">
        <v>96.04300000000001</v>
      </c>
      <c r="FZ8" t="n">
        <v>1.87</v>
      </c>
      <c r="GA8" t="n">
        <v>28.348</v>
      </c>
      <c r="GB8" t="n">
        <v>11.043</v>
      </c>
      <c r="GC8" t="n">
        <v>49.693</v>
      </c>
      <c r="GD8" t="n">
        <v>25.817</v>
      </c>
      <c r="GE8" t="n">
        <v>46.932</v>
      </c>
      <c r="GF8" t="n">
        <v>51.952</v>
      </c>
      <c r="GG8" t="n">
        <v>89.41</v>
      </c>
      <c r="GH8" t="n">
        <v>4.764</v>
      </c>
      <c r="GI8" t="n">
        <v>3.154</v>
      </c>
      <c r="GJ8" t="n">
        <v>0.168</v>
      </c>
      <c r="GK8" t="n">
        <v>3.36</v>
      </c>
      <c r="GL8" t="n">
        <v>0.214</v>
      </c>
      <c r="GM8" t="n">
        <v>2.891</v>
      </c>
      <c r="GN8" t="n">
        <v>0.109</v>
      </c>
      <c r="GO8" t="n">
        <v>5.043</v>
      </c>
      <c r="GP8" t="n">
        <v>31.652</v>
      </c>
      <c r="GQ8" t="n">
        <v>59.348</v>
      </c>
      <c r="GR8" t="n">
        <v>41.826</v>
      </c>
      <c r="GS8" t="n">
        <v>43.826</v>
      </c>
      <c r="GT8" t="n">
        <v>10.391</v>
      </c>
      <c r="GU8" t="n">
        <v>23.324</v>
      </c>
      <c r="GV8" t="n">
        <v>30.533</v>
      </c>
      <c r="GW8" t="n">
        <v>13.373</v>
      </c>
      <c r="GX8" t="n">
        <v>36.967</v>
      </c>
      <c r="GY8" t="n">
        <v>16.068</v>
      </c>
      <c r="GZ8" t="n">
        <v>53.696</v>
      </c>
      <c r="HA8" t="n">
        <v>10.217</v>
      </c>
      <c r="HB8" t="n">
        <v>269.043</v>
      </c>
      <c r="HC8" t="n">
        <v>120.696</v>
      </c>
      <c r="HD8" t="n">
        <v>29.609</v>
      </c>
      <c r="HE8" t="n">
        <v>36.652</v>
      </c>
      <c r="HF8" t="n">
        <v>40.374</v>
      </c>
      <c r="HG8" t="n">
        <v>11.696</v>
      </c>
      <c r="HH8" t="n">
        <v>31.91</v>
      </c>
      <c r="HI8" t="n">
        <v>3.435</v>
      </c>
      <c r="HJ8" t="n">
        <v>47.924</v>
      </c>
      <c r="HK8" t="n">
        <v>40.214</v>
      </c>
      <c r="HL8" t="n">
        <v>9.217000000000001</v>
      </c>
      <c r="HM8" t="n">
        <v>91.038</v>
      </c>
      <c r="HN8" t="n">
        <v>7.043</v>
      </c>
      <c r="HO8" t="n">
        <v>42.13</v>
      </c>
      <c r="HP8" t="n">
        <v>70.261</v>
      </c>
      <c r="HQ8" t="n">
        <v>-29.096</v>
      </c>
      <c r="HR8" t="n">
        <v>-162.565</v>
      </c>
      <c r="HS8" t="n">
        <v>-97.087</v>
      </c>
      <c r="HT8" t="n">
        <v>-10.348</v>
      </c>
      <c r="HU8" t="n">
        <v>-4.043</v>
      </c>
      <c r="HV8" t="n">
        <v>-18.783</v>
      </c>
      <c r="HW8" t="n">
        <v>10.522</v>
      </c>
      <c r="HX8" t="n">
        <v>-8.260999999999999</v>
      </c>
      <c r="HY8" t="n">
        <v>-7.783</v>
      </c>
      <c r="HZ8" t="n">
        <v>-475.13</v>
      </c>
      <c r="IA8" t="n">
        <v>-540.204</v>
      </c>
      <c r="IB8" t="n">
        <v>-54.309</v>
      </c>
      <c r="IC8" t="n">
        <v>0.348</v>
      </c>
      <c r="ID8" t="n">
        <v>2.783</v>
      </c>
      <c r="IE8" t="n">
        <v>-5.569</v>
      </c>
      <c r="IF8" t="n">
        <v>-4.4</v>
      </c>
      <c r="IG8" t="n">
        <v>-1.652</v>
      </c>
      <c r="IH8" t="n">
        <v>-10.609</v>
      </c>
      <c r="II8" t="n">
        <v>-12.261</v>
      </c>
      <c r="IJ8" t="n">
        <v>-2.696</v>
      </c>
      <c r="IK8" t="n">
        <v>1.565</v>
      </c>
      <c r="IL8" t="n">
        <v>-1.652</v>
      </c>
      <c r="IM8" t="n">
        <v>-0.609</v>
      </c>
      <c r="IN8" t="n">
        <v>2.174</v>
      </c>
      <c r="IO8" t="n">
        <v>0.522</v>
      </c>
      <c r="IP8" t="n">
        <v>1.391</v>
      </c>
      <c r="IQ8" t="n">
        <v>-1.304</v>
      </c>
      <c r="IR8" t="n">
        <v>-1.261</v>
      </c>
      <c r="IS8" t="n">
        <v>11.13</v>
      </c>
      <c r="IT8" t="n">
        <v>-1.522</v>
      </c>
      <c r="IU8" t="n">
        <v>0.348</v>
      </c>
      <c r="IV8" t="n">
        <v>-1.174</v>
      </c>
      <c r="IW8" t="n">
        <v>-2.957</v>
      </c>
      <c r="IX8" t="n">
        <v>-19.087</v>
      </c>
      <c r="IY8" t="n">
        <v>-2.043</v>
      </c>
      <c r="IZ8" t="n">
        <v>-4.696</v>
      </c>
      <c r="JA8" t="n">
        <v>-3.565</v>
      </c>
      <c r="JB8" t="n">
        <v>-3.13</v>
      </c>
      <c r="JC8" t="n">
        <v>-4.522</v>
      </c>
      <c r="JD8" t="n">
        <v>-2.174</v>
      </c>
      <c r="JE8" t="n">
        <v>-29.304</v>
      </c>
      <c r="JF8" t="n">
        <v>-7.696</v>
      </c>
      <c r="JG8" t="n">
        <v>-4.435</v>
      </c>
      <c r="JH8" t="n">
        <v>-23.312</v>
      </c>
      <c r="JI8" t="n">
        <v>-6.34</v>
      </c>
      <c r="JJ8" t="n">
        <v>0.046</v>
      </c>
      <c r="JK8" t="n">
        <v>-2.087</v>
      </c>
      <c r="JL8" t="n">
        <v>-4.826</v>
      </c>
      <c r="JM8" t="n">
        <v>-22.391</v>
      </c>
      <c r="JN8" t="n">
        <v>-15.739</v>
      </c>
      <c r="JO8" t="n">
        <v>-12.304</v>
      </c>
      <c r="JP8" t="n">
        <v>-1.261</v>
      </c>
      <c r="JQ8" t="n">
        <v>3.783</v>
      </c>
      <c r="JR8" t="n">
        <v>-1.435</v>
      </c>
      <c r="JS8" t="n">
        <v>3.435</v>
      </c>
      <c r="JT8" t="n">
        <v>10.739</v>
      </c>
      <c r="JU8" t="n">
        <v>-1.957</v>
      </c>
      <c r="JV8" t="n">
        <v>1</v>
      </c>
      <c r="JW8" t="n">
        <v>-1.391</v>
      </c>
      <c r="JX8" t="n">
        <v>-1.826</v>
      </c>
      <c r="JY8" t="n">
        <v>1.348</v>
      </c>
      <c r="JZ8" t="n">
        <v>-4.565</v>
      </c>
      <c r="KA8" t="n">
        <v>-2.087</v>
      </c>
    </row>
    <row r="9">
      <c r="A9" t="inlineStr">
        <is>
          <t>Fremantle</t>
        </is>
      </c>
      <c r="B9" t="inlineStr">
        <is>
          <t>Frem</t>
        </is>
      </c>
      <c r="C9" t="n">
        <v>24</v>
      </c>
      <c r="D9" t="n">
        <v>34</v>
      </c>
      <c r="E9" t="n">
        <v>24.894</v>
      </c>
      <c r="F9" t="n">
        <v>86.45099999999999</v>
      </c>
      <c r="G9" t="n">
        <v>203.592</v>
      </c>
      <c r="H9" t="n">
        <v>1647.75</v>
      </c>
      <c r="I9" t="n">
        <v>1428.167</v>
      </c>
      <c r="J9" t="n">
        <v>17.708</v>
      </c>
      <c r="K9" t="n">
        <v>49.858</v>
      </c>
      <c r="L9" t="n">
        <v>41.333</v>
      </c>
      <c r="M9" t="n">
        <v>192.875</v>
      </c>
      <c r="N9" t="n">
        <v>147.792</v>
      </c>
      <c r="O9" t="n">
        <v>340.667</v>
      </c>
      <c r="P9" t="n">
        <v>73.04300000000001</v>
      </c>
      <c r="Q9" t="n">
        <v>66.127</v>
      </c>
      <c r="R9" t="n">
        <v>82.069</v>
      </c>
      <c r="S9" t="n">
        <v>56.617</v>
      </c>
      <c r="T9" t="n">
        <v>5.248</v>
      </c>
      <c r="U9" t="n">
        <v>52.542</v>
      </c>
      <c r="V9" t="n">
        <v>36.958</v>
      </c>
      <c r="W9" t="n">
        <v>75.297</v>
      </c>
      <c r="X9" t="n">
        <v>5793.083</v>
      </c>
      <c r="Y9" t="n">
        <v>17.005</v>
      </c>
      <c r="Z9" t="n">
        <v>5538.111</v>
      </c>
      <c r="AA9" t="n">
        <v>28.907</v>
      </c>
      <c r="AB9" t="n">
        <v>172.368</v>
      </c>
      <c r="AC9" t="n">
        <v>1.169</v>
      </c>
      <c r="AD9" t="n">
        <v>54.333</v>
      </c>
      <c r="AE9" t="n">
        <v>6.27</v>
      </c>
      <c r="AF9" t="n">
        <v>63.25</v>
      </c>
      <c r="AG9" t="n">
        <v>5.386</v>
      </c>
      <c r="AH9" t="n">
        <v>69.239</v>
      </c>
      <c r="AI9" t="n">
        <v>45.935</v>
      </c>
      <c r="AJ9" t="n">
        <v>23.372</v>
      </c>
      <c r="AK9" t="n">
        <v>-0.347</v>
      </c>
      <c r="AL9" t="n">
        <v>55.034</v>
      </c>
      <c r="AM9" t="n">
        <v>-1.293</v>
      </c>
      <c r="AN9" t="n">
        <v>132.583</v>
      </c>
      <c r="AO9" t="n">
        <v>202.833</v>
      </c>
      <c r="AP9" t="n">
        <v>335.417</v>
      </c>
      <c r="AQ9" t="n">
        <v>39.528</v>
      </c>
      <c r="AR9" t="n">
        <v>63.25</v>
      </c>
      <c r="AS9" t="n">
        <v>87.375</v>
      </c>
      <c r="AT9" t="n">
        <v>14</v>
      </c>
      <c r="AU9" t="n">
        <v>22.5</v>
      </c>
      <c r="AV9" t="n">
        <v>64.875</v>
      </c>
      <c r="AW9" t="n">
        <v>80.25</v>
      </c>
      <c r="AX9" t="n">
        <v>56.208</v>
      </c>
      <c r="AY9" t="n">
        <v>11.542</v>
      </c>
      <c r="AZ9" t="n">
        <v>20.125</v>
      </c>
      <c r="BA9" t="n">
        <v>117.583</v>
      </c>
      <c r="BB9" t="n">
        <v>12.625</v>
      </c>
      <c r="BC9" t="n">
        <v>25.875</v>
      </c>
      <c r="BD9" t="n">
        <v>38.5</v>
      </c>
      <c r="BE9" t="n">
        <v>41.625</v>
      </c>
      <c r="BF9" t="n">
        <v>75.876</v>
      </c>
      <c r="BG9" t="n">
        <v>76.75</v>
      </c>
      <c r="BH9" t="n">
        <v>9.792</v>
      </c>
      <c r="BI9" t="n">
        <v>10.125</v>
      </c>
      <c r="BJ9" t="n">
        <v>19.27</v>
      </c>
      <c r="BK9" t="n">
        <v>13.917</v>
      </c>
      <c r="BL9" t="n">
        <v>7.292</v>
      </c>
      <c r="BM9" t="n">
        <v>26</v>
      </c>
      <c r="BN9" t="n">
        <v>7.708</v>
      </c>
      <c r="BO9" t="n">
        <v>12.5</v>
      </c>
      <c r="BP9" t="n">
        <v>10.708</v>
      </c>
      <c r="BQ9" t="n">
        <v>85.708</v>
      </c>
      <c r="BR9" t="n">
        <v>2.375</v>
      </c>
      <c r="BS9" t="n">
        <v>25.542</v>
      </c>
      <c r="BT9" t="n">
        <v>9.083</v>
      </c>
      <c r="BU9" t="n">
        <v>48.94</v>
      </c>
      <c r="BV9" t="n">
        <v>23.791</v>
      </c>
      <c r="BW9" t="n">
        <v>44.171</v>
      </c>
      <c r="BX9" t="n">
        <v>48.612</v>
      </c>
      <c r="BY9" t="n">
        <v>11.208</v>
      </c>
      <c r="BZ9" t="n">
        <v>27.881</v>
      </c>
      <c r="CA9" t="n">
        <v>15.483</v>
      </c>
      <c r="CB9" t="n">
        <v>0.517</v>
      </c>
      <c r="CC9" t="n">
        <v>82.867</v>
      </c>
      <c r="CD9" t="n">
        <v>0.466</v>
      </c>
      <c r="CE9" t="n">
        <v>3.244</v>
      </c>
      <c r="CF9" t="n">
        <v>0.018</v>
      </c>
      <c r="CG9" t="n">
        <v>3.561</v>
      </c>
      <c r="CH9" t="n">
        <v>-0.002</v>
      </c>
      <c r="CI9" t="n">
        <v>2.914</v>
      </c>
      <c r="CJ9" t="n">
        <v>0.04</v>
      </c>
      <c r="CK9" t="n">
        <v>4.333</v>
      </c>
      <c r="CL9" t="n">
        <v>33.542</v>
      </c>
      <c r="CM9" t="n">
        <v>47.833</v>
      </c>
      <c r="CN9" t="n">
        <v>35.583</v>
      </c>
      <c r="CO9" t="n">
        <v>38.083</v>
      </c>
      <c r="CP9" t="n">
        <v>12.042</v>
      </c>
      <c r="CQ9" t="n">
        <v>21.141</v>
      </c>
      <c r="CR9" t="n">
        <v>21.319</v>
      </c>
      <c r="CS9" t="n">
        <v>10.121</v>
      </c>
      <c r="CT9" t="n">
        <v>31.445</v>
      </c>
      <c r="CU9" t="n">
        <v>13.674</v>
      </c>
      <c r="CV9" t="n">
        <v>10.458</v>
      </c>
      <c r="CW9" t="n">
        <v>31.076</v>
      </c>
      <c r="CX9" t="n">
        <v>60.667</v>
      </c>
      <c r="CY9" t="n">
        <v>10.292</v>
      </c>
      <c r="CZ9" t="n">
        <v>262.25</v>
      </c>
      <c r="DA9" t="n">
        <v>126.042</v>
      </c>
      <c r="DB9" t="n">
        <v>32.792</v>
      </c>
      <c r="DC9" t="n">
        <v>96.708</v>
      </c>
      <c r="DD9" t="n">
        <v>40.958</v>
      </c>
      <c r="DE9" t="n">
        <v>42.352</v>
      </c>
      <c r="DF9" t="n">
        <v>12</v>
      </c>
      <c r="DG9" t="n">
        <v>29.298</v>
      </c>
      <c r="DH9" t="n">
        <v>2.5</v>
      </c>
      <c r="DI9" t="n">
        <v>48.016</v>
      </c>
      <c r="DJ9" t="n">
        <v>42.828</v>
      </c>
      <c r="DK9" t="n">
        <v>19.625</v>
      </c>
      <c r="DL9" t="n">
        <v>20.958</v>
      </c>
      <c r="DM9" t="n">
        <v>-1.333</v>
      </c>
      <c r="DN9" t="n">
        <v>9.708</v>
      </c>
      <c r="DO9" t="n">
        <v>96.137</v>
      </c>
      <c r="DP9" t="n">
        <v>6.917</v>
      </c>
      <c r="DQ9" t="n">
        <v>45.125</v>
      </c>
      <c r="DR9" t="n">
        <v>69.833</v>
      </c>
      <c r="DS9" t="n">
        <v>195.908</v>
      </c>
      <c r="DT9" t="n">
        <v>1652.125</v>
      </c>
      <c r="DU9" t="n">
        <v>1508.292</v>
      </c>
      <c r="DV9" t="n">
        <v>12.292</v>
      </c>
      <c r="DW9" t="n">
        <v>41.042</v>
      </c>
      <c r="DX9" t="n">
        <v>209.083</v>
      </c>
      <c r="DY9" t="n">
        <v>141.292</v>
      </c>
      <c r="DZ9" t="n">
        <v>350.375</v>
      </c>
      <c r="EA9" t="n">
        <v>71.209</v>
      </c>
      <c r="EB9" t="n">
        <v>65.126</v>
      </c>
      <c r="EC9" t="n">
        <v>80.212</v>
      </c>
      <c r="ED9" t="n">
        <v>5.775</v>
      </c>
      <c r="EE9" t="n">
        <v>49.083</v>
      </c>
      <c r="EF9" t="n">
        <v>39.167</v>
      </c>
      <c r="EG9" t="n">
        <v>74.544</v>
      </c>
      <c r="EH9" t="n">
        <v>5712.958</v>
      </c>
      <c r="EI9" t="n">
        <v>16.305</v>
      </c>
      <c r="EJ9" t="n">
        <v>5413.404</v>
      </c>
      <c r="EK9" t="n">
        <v>26.047</v>
      </c>
      <c r="EL9" t="n">
        <v>158.696</v>
      </c>
      <c r="EM9" t="n">
        <v>1.126</v>
      </c>
      <c r="EN9" t="n">
        <v>57.292</v>
      </c>
      <c r="EO9" t="n">
        <v>6.116</v>
      </c>
      <c r="EP9" t="n">
        <v>62.958</v>
      </c>
      <c r="EQ9" t="n">
        <v>5.565</v>
      </c>
      <c r="ER9" t="n">
        <v>69.577</v>
      </c>
      <c r="ES9" t="n">
        <v>47.401</v>
      </c>
      <c r="ET9" t="n">
        <v>22.639</v>
      </c>
      <c r="EU9" t="n">
        <v>-0.446</v>
      </c>
      <c r="EV9" t="n">
        <v>57.562</v>
      </c>
      <c r="EW9" t="n">
        <v>0.083</v>
      </c>
      <c r="EX9" t="n">
        <v>133.625</v>
      </c>
      <c r="EY9" t="n">
        <v>209.333</v>
      </c>
      <c r="EZ9" t="n">
        <v>342.958</v>
      </c>
      <c r="FA9" t="n">
        <v>38.962</v>
      </c>
      <c r="FB9" t="n">
        <v>63.417</v>
      </c>
      <c r="FC9" t="n">
        <v>89.667</v>
      </c>
      <c r="FD9" t="n">
        <v>15.958</v>
      </c>
      <c r="FE9" t="n">
        <v>23.667</v>
      </c>
      <c r="FF9" t="n">
        <v>66</v>
      </c>
      <c r="FG9" t="n">
        <v>82.083</v>
      </c>
      <c r="FH9" t="n">
        <v>57.5</v>
      </c>
      <c r="FI9" t="n">
        <v>9.583</v>
      </c>
      <c r="FJ9" t="n">
        <v>23.375</v>
      </c>
      <c r="FK9" t="n">
        <v>110.042</v>
      </c>
      <c r="FL9" t="n">
        <v>11.375</v>
      </c>
      <c r="FM9" t="n">
        <v>25.75</v>
      </c>
      <c r="FN9" t="n">
        <v>37.125</v>
      </c>
      <c r="FO9" t="n">
        <v>41.917</v>
      </c>
      <c r="FP9" t="n">
        <v>73.956</v>
      </c>
      <c r="FQ9" t="n">
        <v>87.167</v>
      </c>
      <c r="FR9" t="n">
        <v>8.458</v>
      </c>
      <c r="FS9" t="n">
        <v>10.208</v>
      </c>
      <c r="FT9" t="n">
        <v>20.798</v>
      </c>
      <c r="FU9" t="n">
        <v>13.083</v>
      </c>
      <c r="FV9" t="n">
        <v>8.25</v>
      </c>
      <c r="FW9" t="n">
        <v>11.5</v>
      </c>
      <c r="FX9" t="n">
        <v>9.958</v>
      </c>
      <c r="FY9" t="n">
        <v>78.958</v>
      </c>
      <c r="FZ9" t="n">
        <v>2.083</v>
      </c>
      <c r="GA9" t="n">
        <v>23.417</v>
      </c>
      <c r="GB9" t="n">
        <v>8</v>
      </c>
      <c r="GC9" t="n">
        <v>49.11</v>
      </c>
      <c r="GD9" t="n">
        <v>23.43</v>
      </c>
      <c r="GE9" t="n">
        <v>43.718</v>
      </c>
      <c r="GF9" t="n">
        <v>47.708</v>
      </c>
      <c r="GG9" t="n">
        <v>75.203</v>
      </c>
      <c r="GH9" t="n">
        <v>1.672</v>
      </c>
      <c r="GI9" t="n">
        <v>3.211</v>
      </c>
      <c r="GJ9" t="n">
        <v>0.07099999999999999</v>
      </c>
      <c r="GK9" t="n">
        <v>3.526</v>
      </c>
      <c r="GL9" t="n">
        <v>0.034</v>
      </c>
      <c r="GM9" t="n">
        <v>2.851</v>
      </c>
      <c r="GN9" t="n">
        <v>0.115</v>
      </c>
      <c r="GO9" t="n">
        <v>2.833</v>
      </c>
      <c r="GP9" t="n">
        <v>32.625</v>
      </c>
      <c r="GQ9" t="n">
        <v>43.5</v>
      </c>
      <c r="GR9" t="n">
        <v>28.458</v>
      </c>
      <c r="GS9" t="n">
        <v>39</v>
      </c>
      <c r="GT9" t="n">
        <v>11.5</v>
      </c>
      <c r="GU9" t="n">
        <v>19.512</v>
      </c>
      <c r="GV9" t="n">
        <v>20.725</v>
      </c>
      <c r="GW9" t="n">
        <v>9.016</v>
      </c>
      <c r="GX9" t="n">
        <v>28.39</v>
      </c>
      <c r="GY9" t="n">
        <v>11.33</v>
      </c>
      <c r="GZ9" t="n">
        <v>64.917</v>
      </c>
      <c r="HA9" t="n">
        <v>15.333</v>
      </c>
      <c r="HB9" t="n">
        <v>269.375</v>
      </c>
      <c r="HC9" t="n">
        <v>122.625</v>
      </c>
      <c r="HD9" t="n">
        <v>31.125</v>
      </c>
      <c r="HE9" t="n">
        <v>38.208</v>
      </c>
      <c r="HF9" t="n">
        <v>39.475</v>
      </c>
      <c r="HG9" t="n">
        <v>10.375</v>
      </c>
      <c r="HH9" t="n">
        <v>27.154</v>
      </c>
      <c r="HI9" t="n">
        <v>2.75</v>
      </c>
      <c r="HJ9" t="n">
        <v>46.783</v>
      </c>
      <c r="HK9" t="n">
        <v>39.913</v>
      </c>
      <c r="HL9" t="n">
        <v>10.583</v>
      </c>
      <c r="HM9" t="n">
        <v>88.18899999999999</v>
      </c>
      <c r="HN9" t="n">
        <v>6.875</v>
      </c>
      <c r="HO9" t="n">
        <v>42.833</v>
      </c>
      <c r="HP9" t="n">
        <v>70.292</v>
      </c>
      <c r="HQ9" t="n">
        <v>7.683</v>
      </c>
      <c r="HR9" t="n">
        <v>-4.375</v>
      </c>
      <c r="HS9" t="n">
        <v>-80.125</v>
      </c>
      <c r="HT9" t="n">
        <v>5.417</v>
      </c>
      <c r="HU9" t="n">
        <v>0.292</v>
      </c>
      <c r="HV9" t="n">
        <v>-16.208</v>
      </c>
      <c r="HW9" t="n">
        <v>6.5</v>
      </c>
      <c r="HX9" t="n">
        <v>-9.708</v>
      </c>
      <c r="HY9" t="n">
        <v>3.458</v>
      </c>
      <c r="HZ9" t="n">
        <v>80.125</v>
      </c>
      <c r="IA9" t="n">
        <v>124.707</v>
      </c>
      <c r="IB9" t="n">
        <v>13.672</v>
      </c>
      <c r="IC9" t="n">
        <v>-2.958</v>
      </c>
      <c r="ID9" t="n">
        <v>0.292</v>
      </c>
      <c r="IE9" t="n">
        <v>0.099</v>
      </c>
      <c r="IF9" t="n">
        <v>-1.376</v>
      </c>
      <c r="IG9" t="n">
        <v>-1.042</v>
      </c>
      <c r="IH9" t="n">
        <v>-6.5</v>
      </c>
      <c r="II9" t="n">
        <v>-7.542</v>
      </c>
      <c r="IJ9" t="n">
        <v>-0.167</v>
      </c>
      <c r="IK9" t="n">
        <v>-2.292</v>
      </c>
      <c r="IL9" t="n">
        <v>-1.958</v>
      </c>
      <c r="IM9" t="n">
        <v>-1.167</v>
      </c>
      <c r="IN9" t="n">
        <v>-1.125</v>
      </c>
      <c r="IO9" t="n">
        <v>-1.833</v>
      </c>
      <c r="IP9" t="n">
        <v>-1.292</v>
      </c>
      <c r="IQ9" t="n">
        <v>1.958</v>
      </c>
      <c r="IR9" t="n">
        <v>-3.25</v>
      </c>
      <c r="IS9" t="n">
        <v>7.542</v>
      </c>
      <c r="IT9" t="n">
        <v>1.25</v>
      </c>
      <c r="IU9" t="n">
        <v>0.125</v>
      </c>
      <c r="IV9" t="n">
        <v>1.375</v>
      </c>
      <c r="IW9" t="n">
        <v>-0.292</v>
      </c>
      <c r="IX9" t="n">
        <v>-10.417</v>
      </c>
      <c r="IY9" t="n">
        <v>1.333</v>
      </c>
      <c r="IZ9" t="n">
        <v>-0.083</v>
      </c>
      <c r="JA9" t="n">
        <v>0.833</v>
      </c>
      <c r="JB9" t="n">
        <v>-0.958</v>
      </c>
      <c r="JC9" t="n">
        <v>1</v>
      </c>
      <c r="JD9" t="n">
        <v>0.75</v>
      </c>
      <c r="JE9" t="n">
        <v>6.75</v>
      </c>
      <c r="JF9" t="n">
        <v>2.125</v>
      </c>
      <c r="JG9" t="n">
        <v>1.083</v>
      </c>
      <c r="JH9" t="n">
        <v>7.664</v>
      </c>
      <c r="JI9" t="n">
        <v>-1.206</v>
      </c>
      <c r="JJ9" t="n">
        <v>0.033</v>
      </c>
      <c r="JK9" t="n">
        <v>1.5</v>
      </c>
      <c r="JL9" t="n">
        <v>0.917</v>
      </c>
      <c r="JM9" t="n">
        <v>4.333</v>
      </c>
      <c r="JN9" t="n">
        <v>7.125</v>
      </c>
      <c r="JO9" t="n">
        <v>-0.917</v>
      </c>
      <c r="JP9" t="n">
        <v>0.542</v>
      </c>
      <c r="JQ9" t="n">
        <v>-4.25</v>
      </c>
      <c r="JR9" t="n">
        <v>-5.042</v>
      </c>
      <c r="JS9" t="n">
        <v>-7.125</v>
      </c>
      <c r="JT9" t="n">
        <v>3.417</v>
      </c>
      <c r="JU9" t="n">
        <v>1.667</v>
      </c>
      <c r="JV9" t="n">
        <v>2.75</v>
      </c>
      <c r="JW9" t="n">
        <v>1.625</v>
      </c>
      <c r="JX9" t="n">
        <v>-0.25</v>
      </c>
      <c r="JY9" t="n">
        <v>0.042</v>
      </c>
      <c r="JZ9" t="n">
        <v>2.292</v>
      </c>
      <c r="KA9" t="n">
        <v>-0.458</v>
      </c>
    </row>
    <row r="10">
      <c r="A10" t="inlineStr">
        <is>
          <t>Geelong</t>
        </is>
      </c>
      <c r="B10" t="inlineStr">
        <is>
          <t>Geel</t>
        </is>
      </c>
      <c r="C10" t="n">
        <v>26</v>
      </c>
      <c r="D10" t="n">
        <v>31</v>
      </c>
      <c r="E10" t="n">
        <v>26.922</v>
      </c>
      <c r="F10" t="n">
        <v>120.557</v>
      </c>
      <c r="G10" t="n">
        <v>222.277</v>
      </c>
      <c r="H10" t="n">
        <v>1714.385</v>
      </c>
      <c r="I10" t="n">
        <v>1588.538</v>
      </c>
      <c r="J10" t="n">
        <v>20.385</v>
      </c>
      <c r="K10" t="n">
        <v>53.103</v>
      </c>
      <c r="L10" t="n">
        <v>41.385</v>
      </c>
      <c r="M10" t="n">
        <v>222</v>
      </c>
      <c r="N10" t="n">
        <v>129.731</v>
      </c>
      <c r="O10" t="n">
        <v>351.731</v>
      </c>
      <c r="P10" t="n">
        <v>72.422</v>
      </c>
      <c r="Q10" t="n">
        <v>67.68899999999999</v>
      </c>
      <c r="R10" t="n">
        <v>80.52200000000001</v>
      </c>
      <c r="S10" t="n">
        <v>63.116</v>
      </c>
      <c r="T10" t="n">
        <v>5.635</v>
      </c>
      <c r="U10" t="n">
        <v>56.308</v>
      </c>
      <c r="V10" t="n">
        <v>37.885</v>
      </c>
      <c r="W10" t="n">
        <v>76.47499999999999</v>
      </c>
      <c r="X10" t="n">
        <v>6183.923</v>
      </c>
      <c r="Y10" t="n">
        <v>17.581</v>
      </c>
      <c r="Z10" t="n">
        <v>5727.137</v>
      </c>
      <c r="AA10" t="n">
        <v>25.946</v>
      </c>
      <c r="AB10" t="n">
        <v>217.976</v>
      </c>
      <c r="AC10" t="n">
        <v>1.684</v>
      </c>
      <c r="AD10" t="n">
        <v>55.231</v>
      </c>
      <c r="AE10" t="n">
        <v>6.368</v>
      </c>
      <c r="AF10" t="n">
        <v>59.423</v>
      </c>
      <c r="AG10" t="n">
        <v>5.919</v>
      </c>
      <c r="AH10" t="n">
        <v>70.176</v>
      </c>
      <c r="AI10" t="n">
        <v>52.636</v>
      </c>
      <c r="AJ10" t="n">
        <v>23.837</v>
      </c>
      <c r="AK10" t="n">
        <v>4.798</v>
      </c>
      <c r="AL10" t="n">
        <v>57.38</v>
      </c>
      <c r="AM10" t="n">
        <v>3.063</v>
      </c>
      <c r="AN10" t="n">
        <v>133.308</v>
      </c>
      <c r="AO10" t="n">
        <v>210.385</v>
      </c>
      <c r="AP10" t="n">
        <v>343.692</v>
      </c>
      <c r="AQ10" t="n">
        <v>38.787</v>
      </c>
      <c r="AR10" t="n">
        <v>64.654</v>
      </c>
      <c r="AS10" t="n">
        <v>91.038</v>
      </c>
      <c r="AT10" t="n">
        <v>16.462</v>
      </c>
      <c r="AU10" t="n">
        <v>25.077</v>
      </c>
      <c r="AV10" t="n">
        <v>66</v>
      </c>
      <c r="AW10" t="n">
        <v>81.577</v>
      </c>
      <c r="AX10" t="n">
        <v>55.538</v>
      </c>
      <c r="AY10" t="n">
        <v>7.769</v>
      </c>
      <c r="AZ10" t="n">
        <v>20.231</v>
      </c>
      <c r="BA10" t="n">
        <v>101.962</v>
      </c>
      <c r="BB10" t="n">
        <v>13</v>
      </c>
      <c r="BC10" t="n">
        <v>24.885</v>
      </c>
      <c r="BD10" t="n">
        <v>37.885</v>
      </c>
      <c r="BE10" t="n">
        <v>40.346</v>
      </c>
      <c r="BF10" t="n">
        <v>73.02200000000001</v>
      </c>
      <c r="BG10" t="n">
        <v>98.577</v>
      </c>
      <c r="BH10" t="n">
        <v>10.962</v>
      </c>
      <c r="BI10" t="n">
        <v>15.731</v>
      </c>
      <c r="BJ10" t="n">
        <v>27.937</v>
      </c>
      <c r="BK10" t="n">
        <v>16.808</v>
      </c>
      <c r="BL10" t="n">
        <v>8.038</v>
      </c>
      <c r="BM10" t="n">
        <v>28</v>
      </c>
      <c r="BN10" t="n">
        <v>8.808</v>
      </c>
      <c r="BO10" t="n">
        <v>15.385</v>
      </c>
      <c r="BP10" t="n">
        <v>12.577</v>
      </c>
      <c r="BQ10" t="n">
        <v>104.885</v>
      </c>
      <c r="BR10" t="n">
        <v>2.423</v>
      </c>
      <c r="BS10" t="n">
        <v>30.115</v>
      </c>
      <c r="BT10" t="n">
        <v>12.038</v>
      </c>
      <c r="BU10" t="n">
        <v>51.086</v>
      </c>
      <c r="BV10" t="n">
        <v>27.322</v>
      </c>
      <c r="BW10" t="n">
        <v>49.658</v>
      </c>
      <c r="BX10" t="n">
        <v>53.484</v>
      </c>
      <c r="BY10" t="n">
        <v>11.962</v>
      </c>
      <c r="BZ10" t="n">
        <v>31.833</v>
      </c>
      <c r="CA10" t="n">
        <v>19.294</v>
      </c>
      <c r="CB10" t="n">
        <v>-0.294</v>
      </c>
      <c r="CC10" t="n">
        <v>100.152</v>
      </c>
      <c r="CD10" t="n">
        <v>2.31</v>
      </c>
      <c r="CE10" t="n">
        <v>3.326</v>
      </c>
      <c r="CF10" t="n">
        <v>0.077</v>
      </c>
      <c r="CG10" t="n">
        <v>3.599</v>
      </c>
      <c r="CH10" t="n">
        <v>-0.006</v>
      </c>
      <c r="CI10" t="n">
        <v>2.966</v>
      </c>
      <c r="CJ10" t="n">
        <v>0.185</v>
      </c>
      <c r="CK10" t="n">
        <v>4.731</v>
      </c>
      <c r="CL10" t="n">
        <v>40.962</v>
      </c>
      <c r="CM10" t="n">
        <v>59.192</v>
      </c>
      <c r="CN10" t="n">
        <v>39.462</v>
      </c>
      <c r="CO10" t="n">
        <v>52.038</v>
      </c>
      <c r="CP10" t="n">
        <v>13.385</v>
      </c>
      <c r="CQ10" t="n">
        <v>25.096</v>
      </c>
      <c r="CR10" t="n">
        <v>28.87</v>
      </c>
      <c r="CS10" t="n">
        <v>12.88</v>
      </c>
      <c r="CT10" t="n">
        <v>34.28</v>
      </c>
      <c r="CU10" t="n">
        <v>15.832</v>
      </c>
      <c r="CV10" t="n">
        <v>10.538</v>
      </c>
      <c r="CW10" t="n">
        <v>24.818</v>
      </c>
      <c r="CX10" t="n">
        <v>64.80800000000001</v>
      </c>
      <c r="CY10" t="n">
        <v>14.077</v>
      </c>
      <c r="CZ10" t="n">
        <v>278.615</v>
      </c>
      <c r="DA10" t="n">
        <v>127.077</v>
      </c>
      <c r="DB10" t="n">
        <v>27.615</v>
      </c>
      <c r="DC10" t="n">
        <v>101.846</v>
      </c>
      <c r="DD10" t="n">
        <v>38.962</v>
      </c>
      <c r="DE10" t="n">
        <v>38.255</v>
      </c>
      <c r="DF10" t="n">
        <v>8.538</v>
      </c>
      <c r="DG10" t="n">
        <v>21.915</v>
      </c>
      <c r="DH10" t="n">
        <v>1.885</v>
      </c>
      <c r="DI10" t="n">
        <v>39.882</v>
      </c>
      <c r="DJ10" t="n">
        <v>38.105</v>
      </c>
      <c r="DK10" t="n">
        <v>19.423</v>
      </c>
      <c r="DL10" t="n">
        <v>17.615</v>
      </c>
      <c r="DM10" t="n">
        <v>1.808</v>
      </c>
      <c r="DN10" t="n">
        <v>9.5</v>
      </c>
      <c r="DO10" t="n">
        <v>79.352</v>
      </c>
      <c r="DP10" t="n">
        <v>7.769</v>
      </c>
      <c r="DQ10" t="n">
        <v>39.385</v>
      </c>
      <c r="DR10" t="n">
        <v>70.30800000000001</v>
      </c>
      <c r="DS10" t="n">
        <v>191.75</v>
      </c>
      <c r="DT10" t="n">
        <v>1585.538</v>
      </c>
      <c r="DU10" t="n">
        <v>1514.038</v>
      </c>
      <c r="DV10" t="n">
        <v>10.192</v>
      </c>
      <c r="DW10" t="n">
        <v>39.385</v>
      </c>
      <c r="DX10" t="n">
        <v>206.385</v>
      </c>
      <c r="DY10" t="n">
        <v>149.692</v>
      </c>
      <c r="DZ10" t="n">
        <v>356.077</v>
      </c>
      <c r="EA10" t="n">
        <v>71.916</v>
      </c>
      <c r="EB10" t="n">
        <v>65.20699999999999</v>
      </c>
      <c r="EC10" t="n">
        <v>81.166</v>
      </c>
      <c r="ED10" t="n">
        <v>5.494</v>
      </c>
      <c r="EE10" t="n">
        <v>49.538</v>
      </c>
      <c r="EF10" t="n">
        <v>39.962</v>
      </c>
      <c r="EG10" t="n">
        <v>70.97</v>
      </c>
      <c r="EH10" t="n">
        <v>5757.538</v>
      </c>
      <c r="EI10" t="n">
        <v>16.169</v>
      </c>
      <c r="EJ10" t="n">
        <v>5361.137</v>
      </c>
      <c r="EK10" t="n">
        <v>26.181</v>
      </c>
      <c r="EL10" t="n">
        <v>209.531</v>
      </c>
      <c r="EM10" t="n">
        <v>1.406</v>
      </c>
      <c r="EN10" t="n">
        <v>61.154</v>
      </c>
      <c r="EO10" t="n">
        <v>5.823</v>
      </c>
      <c r="EP10" t="n">
        <v>64.577</v>
      </c>
      <c r="EQ10" t="n">
        <v>5.514</v>
      </c>
      <c r="ER10" t="n">
        <v>69.884</v>
      </c>
      <c r="ES10" t="n">
        <v>44.526</v>
      </c>
      <c r="ET10" t="n">
        <v>23.266</v>
      </c>
      <c r="EU10" t="n">
        <v>1.04</v>
      </c>
      <c r="EV10" t="n">
        <v>57.674</v>
      </c>
      <c r="EW10" t="n">
        <v>-0.26</v>
      </c>
      <c r="EX10" t="n">
        <v>128.962</v>
      </c>
      <c r="EY10" t="n">
        <v>218.731</v>
      </c>
      <c r="EZ10" t="n">
        <v>347.692</v>
      </c>
      <c r="FA10" t="n">
        <v>37.091</v>
      </c>
      <c r="FB10" t="n">
        <v>59.769</v>
      </c>
      <c r="FC10" t="n">
        <v>87.346</v>
      </c>
      <c r="FD10" t="n">
        <v>12.5</v>
      </c>
      <c r="FE10" t="n">
        <v>24.192</v>
      </c>
      <c r="FF10" t="n">
        <v>63.192</v>
      </c>
      <c r="FG10" t="n">
        <v>75.88500000000001</v>
      </c>
      <c r="FH10" t="n">
        <v>55.231</v>
      </c>
      <c r="FI10" t="n">
        <v>9.923</v>
      </c>
      <c r="FJ10" t="n">
        <v>22.038</v>
      </c>
      <c r="FK10" t="n">
        <v>117.731</v>
      </c>
      <c r="FL10" t="n">
        <v>11.885</v>
      </c>
      <c r="FM10" t="n">
        <v>25.962</v>
      </c>
      <c r="FN10" t="n">
        <v>37.846</v>
      </c>
      <c r="FO10" t="n">
        <v>44.423</v>
      </c>
      <c r="FP10" t="n">
        <v>70.90900000000001</v>
      </c>
      <c r="FQ10" t="n">
        <v>88.69199999999999</v>
      </c>
      <c r="FR10" t="n">
        <v>8.423</v>
      </c>
      <c r="FS10" t="n">
        <v>10.808</v>
      </c>
      <c r="FT10" t="n">
        <v>21.817</v>
      </c>
      <c r="FU10" t="n">
        <v>14.346</v>
      </c>
      <c r="FV10" t="n">
        <v>5.923</v>
      </c>
      <c r="FW10" t="n">
        <v>11.192</v>
      </c>
      <c r="FX10" t="n">
        <v>9.577</v>
      </c>
      <c r="FY10" t="n">
        <v>76.73099999999999</v>
      </c>
      <c r="FZ10" t="n">
        <v>1.769</v>
      </c>
      <c r="GA10" t="n">
        <v>22.654</v>
      </c>
      <c r="GB10" t="n">
        <v>8.192</v>
      </c>
      <c r="GC10" t="n">
        <v>49.406</v>
      </c>
      <c r="GD10" t="n">
        <v>22.593</v>
      </c>
      <c r="GE10" t="n">
        <v>41.925</v>
      </c>
      <c r="GF10" t="n">
        <v>45.73</v>
      </c>
      <c r="GG10" t="n">
        <v>74.402</v>
      </c>
      <c r="GH10" t="n">
        <v>0.5600000000000001</v>
      </c>
      <c r="GI10" t="n">
        <v>3.284</v>
      </c>
      <c r="GJ10" t="n">
        <v>0.025</v>
      </c>
      <c r="GK10" t="n">
        <v>3.573</v>
      </c>
      <c r="GL10" t="n">
        <v>0.08699999999999999</v>
      </c>
      <c r="GM10" t="n">
        <v>2.934</v>
      </c>
      <c r="GN10" t="n">
        <v>-0.051</v>
      </c>
      <c r="GO10" t="n">
        <v>3.846</v>
      </c>
      <c r="GP10" t="n">
        <v>31.077</v>
      </c>
      <c r="GQ10" t="n">
        <v>41.808</v>
      </c>
      <c r="GR10" t="n">
        <v>35.692</v>
      </c>
      <c r="GS10" t="n">
        <v>31.115</v>
      </c>
      <c r="GT10" t="n">
        <v>9.923</v>
      </c>
      <c r="GU10" t="n">
        <v>19.077</v>
      </c>
      <c r="GV10" t="n">
        <v>22.857</v>
      </c>
      <c r="GW10" t="n">
        <v>8.77</v>
      </c>
      <c r="GX10" t="n">
        <v>30.73</v>
      </c>
      <c r="GY10" t="n">
        <v>12.816</v>
      </c>
      <c r="GZ10" t="n">
        <v>62.423</v>
      </c>
      <c r="HA10" t="n">
        <v>9.577</v>
      </c>
      <c r="HB10" t="n">
        <v>267.615</v>
      </c>
      <c r="HC10" t="n">
        <v>138.962</v>
      </c>
      <c r="HD10" t="n">
        <v>31.077</v>
      </c>
      <c r="HE10" t="n">
        <v>45.423</v>
      </c>
      <c r="HF10" t="n">
        <v>44.667</v>
      </c>
      <c r="HG10" t="n">
        <v>11.115</v>
      </c>
      <c r="HH10" t="n">
        <v>24.471</v>
      </c>
      <c r="HI10" t="n">
        <v>2.923</v>
      </c>
      <c r="HJ10" t="n">
        <v>42.809</v>
      </c>
      <c r="HK10" t="n">
        <v>38.409</v>
      </c>
      <c r="HL10" t="n">
        <v>12.308</v>
      </c>
      <c r="HM10" t="n">
        <v>89.062</v>
      </c>
      <c r="HN10" t="n">
        <v>6.423</v>
      </c>
      <c r="HO10" t="n">
        <v>42.654</v>
      </c>
      <c r="HP10" t="n">
        <v>70.5</v>
      </c>
      <c r="HQ10" t="n">
        <v>30.527</v>
      </c>
      <c r="HR10" t="n">
        <v>128.846</v>
      </c>
      <c r="HS10" t="n">
        <v>74.5</v>
      </c>
      <c r="HT10" t="n">
        <v>10.192</v>
      </c>
      <c r="HU10" t="n">
        <v>2</v>
      </c>
      <c r="HV10" t="n">
        <v>15.615</v>
      </c>
      <c r="HW10" t="n">
        <v>-19.962</v>
      </c>
      <c r="HX10" t="n">
        <v>-4.346</v>
      </c>
      <c r="HY10" t="n">
        <v>6.769</v>
      </c>
      <c r="HZ10" t="n">
        <v>426.385</v>
      </c>
      <c r="IA10" t="n">
        <v>366</v>
      </c>
      <c r="IB10" t="n">
        <v>8.445</v>
      </c>
      <c r="IC10" t="n">
        <v>-5.923</v>
      </c>
      <c r="ID10" t="n">
        <v>-5.154</v>
      </c>
      <c r="IE10" t="n">
        <v>3.758</v>
      </c>
      <c r="IF10" t="n">
        <v>3.323</v>
      </c>
      <c r="IG10" t="n">
        <v>4.346</v>
      </c>
      <c r="IH10" t="n">
        <v>-8.346</v>
      </c>
      <c r="II10" t="n">
        <v>-4</v>
      </c>
      <c r="IJ10" t="n">
        <v>4.885</v>
      </c>
      <c r="IK10" t="n">
        <v>3.692</v>
      </c>
      <c r="IL10" t="n">
        <v>3.962</v>
      </c>
      <c r="IM10" t="n">
        <v>0.885</v>
      </c>
      <c r="IN10" t="n">
        <v>2.808</v>
      </c>
      <c r="IO10" t="n">
        <v>5.692</v>
      </c>
      <c r="IP10" t="n">
        <v>0.308</v>
      </c>
      <c r="IQ10" t="n">
        <v>-2.154</v>
      </c>
      <c r="IR10" t="n">
        <v>-1.808</v>
      </c>
      <c r="IS10" t="n">
        <v>-15.769</v>
      </c>
      <c r="IT10" t="n">
        <v>1.115</v>
      </c>
      <c r="IU10" t="n">
        <v>-1.077</v>
      </c>
      <c r="IV10" t="n">
        <v>0.038</v>
      </c>
      <c r="IW10" t="n">
        <v>-4.077</v>
      </c>
      <c r="IX10" t="n">
        <v>9.885</v>
      </c>
      <c r="IY10" t="n">
        <v>2.538</v>
      </c>
      <c r="IZ10" t="n">
        <v>4.923</v>
      </c>
      <c r="JA10" t="n">
        <v>2.462</v>
      </c>
      <c r="JB10" t="n">
        <v>2.115</v>
      </c>
      <c r="JC10" t="n">
        <v>4.192</v>
      </c>
      <c r="JD10" t="n">
        <v>3</v>
      </c>
      <c r="JE10" t="n">
        <v>28.154</v>
      </c>
      <c r="JF10" t="n">
        <v>7.462</v>
      </c>
      <c r="JG10" t="n">
        <v>3.846</v>
      </c>
      <c r="JH10" t="n">
        <v>25.75</v>
      </c>
      <c r="JI10" t="n">
        <v>1.75</v>
      </c>
      <c r="JJ10" t="n">
        <v>0.041</v>
      </c>
      <c r="JK10" t="n">
        <v>0.885</v>
      </c>
      <c r="JL10" t="n">
        <v>9.885</v>
      </c>
      <c r="JM10" t="n">
        <v>17.385</v>
      </c>
      <c r="JN10" t="n">
        <v>3.769</v>
      </c>
      <c r="JO10" t="n">
        <v>20.923</v>
      </c>
      <c r="JP10" t="n">
        <v>3.462</v>
      </c>
      <c r="JQ10" t="n">
        <v>2.385</v>
      </c>
      <c r="JR10" t="n">
        <v>4.5</v>
      </c>
      <c r="JS10" t="n">
        <v>11</v>
      </c>
      <c r="JT10" t="n">
        <v>-11.885</v>
      </c>
      <c r="JU10" t="n">
        <v>-3.462</v>
      </c>
      <c r="JV10" t="n">
        <v>-6.462</v>
      </c>
      <c r="JW10" t="n">
        <v>-2.577</v>
      </c>
      <c r="JX10" t="n">
        <v>-1.038</v>
      </c>
      <c r="JY10" t="n">
        <v>1.346</v>
      </c>
      <c r="JZ10" t="n">
        <v>-3.269</v>
      </c>
      <c r="KA10" t="n">
        <v>-0.192</v>
      </c>
    </row>
    <row r="11">
      <c r="A11" t="inlineStr">
        <is>
          <t>Brisbane</t>
        </is>
      </c>
      <c r="B11" t="inlineStr">
        <is>
          <t>Bris</t>
        </is>
      </c>
      <c r="C11" t="n">
        <v>27</v>
      </c>
      <c r="D11" t="n">
        <v>36</v>
      </c>
      <c r="E11" t="n">
        <v>26.534</v>
      </c>
      <c r="F11" t="n">
        <v>132.95</v>
      </c>
      <c r="G11" t="n">
        <v>210.041</v>
      </c>
      <c r="H11" t="n">
        <v>1731.148</v>
      </c>
      <c r="I11" t="n">
        <v>1614.333</v>
      </c>
      <c r="J11" t="n">
        <v>21.852</v>
      </c>
      <c r="K11" t="n">
        <v>51.111</v>
      </c>
      <c r="L11" t="n">
        <v>42.519</v>
      </c>
      <c r="M11" t="n">
        <v>232.074</v>
      </c>
      <c r="N11" t="n">
        <v>139.519</v>
      </c>
      <c r="O11" t="n">
        <v>371.593</v>
      </c>
      <c r="P11" t="n">
        <v>72.351</v>
      </c>
      <c r="Q11" t="n">
        <v>65.608</v>
      </c>
      <c r="R11" t="n">
        <v>83.568</v>
      </c>
      <c r="S11" t="n">
        <v>62.454</v>
      </c>
      <c r="T11" t="n">
        <v>6.636</v>
      </c>
      <c r="U11" t="n">
        <v>56.778</v>
      </c>
      <c r="V11" t="n">
        <v>38.074</v>
      </c>
      <c r="W11" t="n">
        <v>75.867</v>
      </c>
      <c r="X11" t="n">
        <v>6060.37</v>
      </c>
      <c r="Y11" t="n">
        <v>16.309</v>
      </c>
      <c r="Z11" t="n">
        <v>5776.01</v>
      </c>
      <c r="AA11" t="n">
        <v>25.032</v>
      </c>
      <c r="AB11" t="n">
        <v>136.614</v>
      </c>
      <c r="AC11" t="n">
        <v>0.981</v>
      </c>
      <c r="AD11" t="n">
        <v>55.037</v>
      </c>
      <c r="AE11" t="n">
        <v>6.752</v>
      </c>
      <c r="AF11" t="n">
        <v>63.296</v>
      </c>
      <c r="AG11" t="n">
        <v>5.871</v>
      </c>
      <c r="AH11" t="n">
        <v>70.691</v>
      </c>
      <c r="AI11" t="n">
        <v>44.094</v>
      </c>
      <c r="AJ11" t="n">
        <v>23.028</v>
      </c>
      <c r="AK11" t="n">
        <v>1.716</v>
      </c>
      <c r="AL11" t="n">
        <v>58.941</v>
      </c>
      <c r="AM11" t="n">
        <v>1.299</v>
      </c>
      <c r="AN11" t="n">
        <v>132.593</v>
      </c>
      <c r="AO11" t="n">
        <v>231.519</v>
      </c>
      <c r="AP11" t="n">
        <v>364.111</v>
      </c>
      <c r="AQ11" t="n">
        <v>36.415</v>
      </c>
      <c r="AR11" t="n">
        <v>65.074</v>
      </c>
      <c r="AS11" t="n">
        <v>91.444</v>
      </c>
      <c r="AT11" t="n">
        <v>16.667</v>
      </c>
      <c r="AU11" t="n">
        <v>21.963</v>
      </c>
      <c r="AV11" t="n">
        <v>69.48099999999999</v>
      </c>
      <c r="AW11" t="n">
        <v>78.96299999999999</v>
      </c>
      <c r="AX11" t="n">
        <v>56.037</v>
      </c>
      <c r="AY11" t="n">
        <v>9.074</v>
      </c>
      <c r="AZ11" t="n">
        <v>21.593</v>
      </c>
      <c r="BA11" t="n">
        <v>112.963</v>
      </c>
      <c r="BB11" t="n">
        <v>12.148</v>
      </c>
      <c r="BC11" t="n">
        <v>28.815</v>
      </c>
      <c r="BD11" t="n">
        <v>40.963</v>
      </c>
      <c r="BE11" t="n">
        <v>43.556</v>
      </c>
      <c r="BF11" t="n">
        <v>76.70099999999999</v>
      </c>
      <c r="BG11" t="n">
        <v>104.407</v>
      </c>
      <c r="BH11" t="n">
        <v>8.222</v>
      </c>
      <c r="BI11" t="n">
        <v>11.889</v>
      </c>
      <c r="BJ11" t="n">
        <v>20.939</v>
      </c>
      <c r="BK11" t="n">
        <v>16.296</v>
      </c>
      <c r="BL11" t="n">
        <v>8.148</v>
      </c>
      <c r="BM11" t="n">
        <v>29</v>
      </c>
      <c r="BN11" t="n">
        <v>8</v>
      </c>
      <c r="BO11" t="n">
        <v>13.148</v>
      </c>
      <c r="BP11" t="n">
        <v>12.111</v>
      </c>
      <c r="BQ11" t="n">
        <v>91</v>
      </c>
      <c r="BR11" t="n">
        <v>2</v>
      </c>
      <c r="BS11" t="n">
        <v>28.222</v>
      </c>
      <c r="BT11" t="n">
        <v>9.148</v>
      </c>
      <c r="BU11" t="n">
        <v>46.588</v>
      </c>
      <c r="BV11" t="n">
        <v>23.157</v>
      </c>
      <c r="BW11" t="n">
        <v>44.488</v>
      </c>
      <c r="BX11" t="n">
        <v>49.706</v>
      </c>
      <c r="BY11" t="n">
        <v>10.444</v>
      </c>
      <c r="BZ11" t="n">
        <v>21.277</v>
      </c>
      <c r="CA11" t="n">
        <v>18.856</v>
      </c>
      <c r="CB11" t="n">
        <v>0.144</v>
      </c>
      <c r="CC11" t="n">
        <v>91.154</v>
      </c>
      <c r="CD11" t="n">
        <v>-2.154</v>
      </c>
      <c r="CE11" t="n">
        <v>3.23</v>
      </c>
      <c r="CF11" t="n">
        <v>-0.076</v>
      </c>
      <c r="CG11" t="n">
        <v>3.505</v>
      </c>
      <c r="CH11" t="n">
        <v>-0.152</v>
      </c>
      <c r="CI11" t="n">
        <v>2.917</v>
      </c>
      <c r="CJ11" t="n">
        <v>0.01</v>
      </c>
      <c r="CK11" t="n">
        <v>3.593</v>
      </c>
      <c r="CL11" t="n">
        <v>35.296</v>
      </c>
      <c r="CM11" t="n">
        <v>52.111</v>
      </c>
      <c r="CN11" t="n">
        <v>36.704</v>
      </c>
      <c r="CO11" t="n">
        <v>45.963</v>
      </c>
      <c r="CP11" t="n">
        <v>8.333</v>
      </c>
      <c r="CQ11" t="n">
        <v>22.226</v>
      </c>
      <c r="CR11" t="n">
        <v>26.151</v>
      </c>
      <c r="CS11" t="n">
        <v>11.69</v>
      </c>
      <c r="CT11" t="n">
        <v>35.154</v>
      </c>
      <c r="CU11" t="n">
        <v>14.906</v>
      </c>
      <c r="CV11" t="n">
        <v>10.963</v>
      </c>
      <c r="CW11" t="n">
        <v>26.014</v>
      </c>
      <c r="CX11" t="n">
        <v>57.778</v>
      </c>
      <c r="CY11" t="n">
        <v>11.704</v>
      </c>
      <c r="CZ11" t="n">
        <v>265.407</v>
      </c>
      <c r="DA11" t="n">
        <v>120.111</v>
      </c>
      <c r="DB11" t="n">
        <v>32.778</v>
      </c>
      <c r="DC11" t="n">
        <v>99.48099999999999</v>
      </c>
      <c r="DD11" t="n">
        <v>40.37</v>
      </c>
      <c r="DE11" t="n">
        <v>40.581</v>
      </c>
      <c r="DF11" t="n">
        <v>9.852</v>
      </c>
      <c r="DG11" t="n">
        <v>24.404</v>
      </c>
      <c r="DH11" t="n">
        <v>1.926</v>
      </c>
      <c r="DI11" t="n">
        <v>43.486</v>
      </c>
      <c r="DJ11" t="n">
        <v>40.826</v>
      </c>
      <c r="DK11" t="n">
        <v>19.481</v>
      </c>
      <c r="DL11" t="n">
        <v>18.037</v>
      </c>
      <c r="DM11" t="n">
        <v>1.444</v>
      </c>
      <c r="DN11" t="n">
        <v>9.704000000000001</v>
      </c>
      <c r="DO11" t="n">
        <v>89.313</v>
      </c>
      <c r="DP11" t="n">
        <v>4.444</v>
      </c>
      <c r="DQ11" t="n">
        <v>46.407</v>
      </c>
      <c r="DR11" t="n">
        <v>69.667</v>
      </c>
      <c r="DS11" t="n">
        <v>198.152</v>
      </c>
      <c r="DT11" t="n">
        <v>1569</v>
      </c>
      <c r="DU11" t="n">
        <v>1425.148</v>
      </c>
      <c r="DV11" t="n">
        <v>8.704000000000001</v>
      </c>
      <c r="DW11" t="n">
        <v>38.704</v>
      </c>
      <c r="DX11" t="n">
        <v>198.741</v>
      </c>
      <c r="DY11" t="n">
        <v>143.407</v>
      </c>
      <c r="DZ11" t="n">
        <v>342.148</v>
      </c>
      <c r="EA11" t="n">
        <v>71.444</v>
      </c>
      <c r="EB11" t="n">
        <v>64.387</v>
      </c>
      <c r="EC11" t="n">
        <v>81.224</v>
      </c>
      <c r="ED11" t="n">
        <v>5.922</v>
      </c>
      <c r="EE11" t="n">
        <v>50.185</v>
      </c>
      <c r="EF11" t="n">
        <v>42.704</v>
      </c>
      <c r="EG11" t="n">
        <v>75.212</v>
      </c>
      <c r="EH11" t="n">
        <v>5889.778</v>
      </c>
      <c r="EI11" t="n">
        <v>17.214</v>
      </c>
      <c r="EJ11" t="n">
        <v>5457.75</v>
      </c>
      <c r="EK11" t="n">
        <v>27.621</v>
      </c>
      <c r="EL11" t="n">
        <v>241.912</v>
      </c>
      <c r="EM11" t="n">
        <v>1.69</v>
      </c>
      <c r="EN11" t="n">
        <v>59.407</v>
      </c>
      <c r="EO11" t="n">
        <v>5.759</v>
      </c>
      <c r="EP11" t="n">
        <v>64.96299999999999</v>
      </c>
      <c r="EQ11" t="n">
        <v>5.267</v>
      </c>
      <c r="ER11" t="n">
        <v>68.675</v>
      </c>
      <c r="ES11" t="n">
        <v>46.69</v>
      </c>
      <c r="ET11" t="n">
        <v>22.802</v>
      </c>
      <c r="EU11" t="n">
        <v>0.401</v>
      </c>
      <c r="EV11" t="n">
        <v>54.428</v>
      </c>
      <c r="EW11" t="n">
        <v>0.469</v>
      </c>
      <c r="EX11" t="n">
        <v>129.556</v>
      </c>
      <c r="EY11" t="n">
        <v>203.741</v>
      </c>
      <c r="EZ11" t="n">
        <v>333.296</v>
      </c>
      <c r="FA11" t="n">
        <v>38.871</v>
      </c>
      <c r="FB11" t="n">
        <v>63.37</v>
      </c>
      <c r="FC11" t="n">
        <v>87.889</v>
      </c>
      <c r="FD11" t="n">
        <v>12.926</v>
      </c>
      <c r="FE11" t="n">
        <v>20.778</v>
      </c>
      <c r="FF11" t="n">
        <v>67.111</v>
      </c>
      <c r="FG11" t="n">
        <v>79.77800000000001</v>
      </c>
      <c r="FH11" t="n">
        <v>55.593</v>
      </c>
      <c r="FI11" t="n">
        <v>9.295999999999999</v>
      </c>
      <c r="FJ11" t="n">
        <v>21.778</v>
      </c>
      <c r="FK11" t="n">
        <v>112.926</v>
      </c>
      <c r="FL11" t="n">
        <v>11.963</v>
      </c>
      <c r="FM11" t="n">
        <v>23.741</v>
      </c>
      <c r="FN11" t="n">
        <v>35.704</v>
      </c>
      <c r="FO11" t="n">
        <v>40.815</v>
      </c>
      <c r="FP11" t="n">
        <v>72.595</v>
      </c>
      <c r="FQ11" t="n">
        <v>79.852</v>
      </c>
      <c r="FR11" t="n">
        <v>9.369999999999999</v>
      </c>
      <c r="FS11" t="n">
        <v>12.148</v>
      </c>
      <c r="FT11" t="n">
        <v>24.207</v>
      </c>
      <c r="FU11" t="n">
        <v>14.111</v>
      </c>
      <c r="FV11" t="n">
        <v>7.444</v>
      </c>
      <c r="FW11" t="n">
        <v>11.37</v>
      </c>
      <c r="FX11" t="n">
        <v>9.888999999999999</v>
      </c>
      <c r="FY11" t="n">
        <v>78.111</v>
      </c>
      <c r="FZ11" t="n">
        <v>1.926</v>
      </c>
      <c r="GA11" t="n">
        <v>23.667</v>
      </c>
      <c r="GB11" t="n">
        <v>8.519</v>
      </c>
      <c r="GC11" t="n">
        <v>48.044</v>
      </c>
      <c r="GD11" t="n">
        <v>22.657</v>
      </c>
      <c r="GE11" t="n">
        <v>42.362</v>
      </c>
      <c r="GF11" t="n">
        <v>47.159</v>
      </c>
      <c r="GG11" t="n">
        <v>76.45399999999999</v>
      </c>
      <c r="GH11" t="n">
        <v>-0.269</v>
      </c>
      <c r="GI11" t="n">
        <v>3.23</v>
      </c>
      <c r="GJ11" t="n">
        <v>-0.011</v>
      </c>
      <c r="GK11" t="n">
        <v>3.47</v>
      </c>
      <c r="GL11" t="n">
        <v>0.033</v>
      </c>
      <c r="GM11" t="n">
        <v>2.922</v>
      </c>
      <c r="GN11" t="n">
        <v>-0.06900000000000001</v>
      </c>
      <c r="GO11" t="n">
        <v>4.111</v>
      </c>
      <c r="GP11" t="n">
        <v>33.185</v>
      </c>
      <c r="GQ11" t="n">
        <v>40.815</v>
      </c>
      <c r="GR11" t="n">
        <v>32.815</v>
      </c>
      <c r="GS11" t="n">
        <v>34.37</v>
      </c>
      <c r="GT11" t="n">
        <v>10.926</v>
      </c>
      <c r="GU11" t="n">
        <v>19.489</v>
      </c>
      <c r="GV11" t="n">
        <v>24.527</v>
      </c>
      <c r="GW11" t="n">
        <v>9.122</v>
      </c>
      <c r="GX11" t="n">
        <v>30.505</v>
      </c>
      <c r="GY11" t="n">
        <v>12.151</v>
      </c>
      <c r="GZ11" t="n">
        <v>56</v>
      </c>
      <c r="HA11" t="n">
        <v>9</v>
      </c>
      <c r="HB11" t="n">
        <v>265.852</v>
      </c>
      <c r="HC11" t="n">
        <v>134.704</v>
      </c>
      <c r="HD11" t="n">
        <v>32.963</v>
      </c>
      <c r="HE11" t="n">
        <v>42.778</v>
      </c>
      <c r="HF11" t="n">
        <v>43.097</v>
      </c>
      <c r="HG11" t="n">
        <v>10.222</v>
      </c>
      <c r="HH11" t="n">
        <v>23.896</v>
      </c>
      <c r="HI11" t="n">
        <v>2.37</v>
      </c>
      <c r="HJ11" t="n">
        <v>40.693</v>
      </c>
      <c r="HK11" t="n">
        <v>36.364</v>
      </c>
      <c r="HL11" t="n">
        <v>11.963</v>
      </c>
      <c r="HM11" t="n">
        <v>93.498</v>
      </c>
      <c r="HN11" t="n">
        <v>7</v>
      </c>
      <c r="HO11" t="n">
        <v>45.963</v>
      </c>
      <c r="HP11" t="n">
        <v>70.111</v>
      </c>
      <c r="HQ11" t="n">
        <v>11.889</v>
      </c>
      <c r="HR11" t="n">
        <v>162.148</v>
      </c>
      <c r="HS11" t="n">
        <v>189.185</v>
      </c>
      <c r="HT11" t="n">
        <v>13.148</v>
      </c>
      <c r="HU11" t="n">
        <v>3.815</v>
      </c>
      <c r="HV11" t="n">
        <v>33.333</v>
      </c>
      <c r="HW11" t="n">
        <v>-3.889</v>
      </c>
      <c r="HX11" t="n">
        <v>29.444</v>
      </c>
      <c r="HY11" t="n">
        <v>6.593</v>
      </c>
      <c r="HZ11" t="n">
        <v>170.593</v>
      </c>
      <c r="IA11" t="n">
        <v>318.26</v>
      </c>
      <c r="IB11" t="n">
        <v>-105.298</v>
      </c>
      <c r="IC11" t="n">
        <v>-4.37</v>
      </c>
      <c r="ID11" t="n">
        <v>-1.667</v>
      </c>
      <c r="IE11" t="n">
        <v>1.316</v>
      </c>
      <c r="IF11" t="n">
        <v>0.83</v>
      </c>
      <c r="IG11" t="n">
        <v>3.037</v>
      </c>
      <c r="IH11" t="n">
        <v>27.778</v>
      </c>
      <c r="II11" t="n">
        <v>30.815</v>
      </c>
      <c r="IJ11" t="n">
        <v>1.704</v>
      </c>
      <c r="IK11" t="n">
        <v>3.556</v>
      </c>
      <c r="IL11" t="n">
        <v>3.741</v>
      </c>
      <c r="IM11" t="n">
        <v>1.185</v>
      </c>
      <c r="IN11" t="n">
        <v>2.37</v>
      </c>
      <c r="IO11" t="n">
        <v>-0.8149999999999999</v>
      </c>
      <c r="IP11" t="n">
        <v>0.444</v>
      </c>
      <c r="IQ11" t="n">
        <v>-0.222</v>
      </c>
      <c r="IR11" t="n">
        <v>-0.185</v>
      </c>
      <c r="IS11" t="n">
        <v>0.037</v>
      </c>
      <c r="IT11" t="n">
        <v>0.185</v>
      </c>
      <c r="IU11" t="n">
        <v>5.074</v>
      </c>
      <c r="IV11" t="n">
        <v>5.259</v>
      </c>
      <c r="IW11" t="n">
        <v>2.741</v>
      </c>
      <c r="IX11" t="n">
        <v>24.556</v>
      </c>
      <c r="IY11" t="n">
        <v>-1.148</v>
      </c>
      <c r="IZ11" t="n">
        <v>-0.259</v>
      </c>
      <c r="JA11" t="n">
        <v>2.185</v>
      </c>
      <c r="JB11" t="n">
        <v>0.704</v>
      </c>
      <c r="JC11" t="n">
        <v>1.778</v>
      </c>
      <c r="JD11" t="n">
        <v>2.222</v>
      </c>
      <c r="JE11" t="n">
        <v>12.889</v>
      </c>
      <c r="JF11" t="n">
        <v>4.556</v>
      </c>
      <c r="JG11" t="n">
        <v>0.63</v>
      </c>
      <c r="JH11" t="n">
        <v>14.699</v>
      </c>
      <c r="JI11" t="n">
        <v>-1.885</v>
      </c>
      <c r="JJ11" t="n">
        <v>-0.001</v>
      </c>
      <c r="JK11" t="n">
        <v>-0.519</v>
      </c>
      <c r="JL11" t="n">
        <v>2.111</v>
      </c>
      <c r="JM11" t="n">
        <v>11.296</v>
      </c>
      <c r="JN11" t="n">
        <v>3.889</v>
      </c>
      <c r="JO11" t="n">
        <v>11.593</v>
      </c>
      <c r="JP11" t="n">
        <v>-2.593</v>
      </c>
      <c r="JQ11" t="n">
        <v>1.778</v>
      </c>
      <c r="JR11" t="n">
        <v>2.704</v>
      </c>
      <c r="JS11" t="n">
        <v>-0.444</v>
      </c>
      <c r="JT11" t="n">
        <v>-14.593</v>
      </c>
      <c r="JU11" t="n">
        <v>-0.185</v>
      </c>
      <c r="JV11" t="n">
        <v>-2.407</v>
      </c>
      <c r="JW11" t="n">
        <v>-0.37</v>
      </c>
      <c r="JX11" t="n">
        <v>-0.444</v>
      </c>
      <c r="JY11" t="n">
        <v>-2.556</v>
      </c>
      <c r="JZ11" t="n">
        <v>0.444</v>
      </c>
      <c r="KA11" t="n">
        <v>-0.444</v>
      </c>
    </row>
    <row r="12">
      <c r="A12" t="inlineStr">
        <is>
          <t>North Melbourne</t>
        </is>
      </c>
      <c r="B12" t="inlineStr">
        <is>
          <t>NM</t>
        </is>
      </c>
      <c r="C12" t="n">
        <v>23</v>
      </c>
      <c r="D12" t="n">
        <v>39</v>
      </c>
      <c r="E12" t="n">
        <v>24.8</v>
      </c>
      <c r="F12" t="n">
        <v>93.911</v>
      </c>
      <c r="G12" t="n">
        <v>189.022</v>
      </c>
      <c r="H12" t="n">
        <v>1605.783</v>
      </c>
      <c r="I12" t="n">
        <v>1475.609</v>
      </c>
      <c r="J12" t="n">
        <v>9.957000000000001</v>
      </c>
      <c r="K12" t="n">
        <v>45.29</v>
      </c>
      <c r="L12" t="n">
        <v>39.696</v>
      </c>
      <c r="M12" t="n">
        <v>201.696</v>
      </c>
      <c r="N12" t="n">
        <v>156.13</v>
      </c>
      <c r="O12" t="n">
        <v>357.826</v>
      </c>
      <c r="P12" t="n">
        <v>74.083</v>
      </c>
      <c r="Q12" t="n">
        <v>66.67400000000001</v>
      </c>
      <c r="R12" t="n">
        <v>83.654</v>
      </c>
      <c r="S12" t="n">
        <v>56.367</v>
      </c>
      <c r="T12" t="n">
        <v>5.454</v>
      </c>
      <c r="U12" t="n">
        <v>46.087</v>
      </c>
      <c r="V12" t="n">
        <v>39.826</v>
      </c>
      <c r="W12" t="n">
        <v>71.45099999999999</v>
      </c>
      <c r="X12" t="n">
        <v>5477.87</v>
      </c>
      <c r="Y12" t="n">
        <v>15.309</v>
      </c>
      <c r="Z12" t="n">
        <v>5206.3</v>
      </c>
      <c r="AA12" t="n">
        <v>26.015</v>
      </c>
      <c r="AB12" t="n">
        <v>90.511</v>
      </c>
      <c r="AC12" t="n">
        <v>0.581</v>
      </c>
      <c r="AD12" t="n">
        <v>56.957</v>
      </c>
      <c r="AE12" t="n">
        <v>6.282</v>
      </c>
      <c r="AF12" t="n">
        <v>61.043</v>
      </c>
      <c r="AG12" t="n">
        <v>5.862</v>
      </c>
      <c r="AH12" t="n">
        <v>71.30200000000001</v>
      </c>
      <c r="AI12" t="n">
        <v>47.433</v>
      </c>
      <c r="AJ12" t="n">
        <v>22.457</v>
      </c>
      <c r="AK12" t="n">
        <v>-0.573</v>
      </c>
      <c r="AL12" t="n">
        <v>57.855</v>
      </c>
      <c r="AM12" t="n">
        <v>-0.756</v>
      </c>
      <c r="AN12" t="n">
        <v>129</v>
      </c>
      <c r="AO12" t="n">
        <v>220.696</v>
      </c>
      <c r="AP12" t="n">
        <v>349.696</v>
      </c>
      <c r="AQ12" t="n">
        <v>36.889</v>
      </c>
      <c r="AR12" t="n">
        <v>55.609</v>
      </c>
      <c r="AS12" t="n">
        <v>85.261</v>
      </c>
      <c r="AT12" t="n">
        <v>13.348</v>
      </c>
      <c r="AU12" t="n">
        <v>22.13</v>
      </c>
      <c r="AV12" t="n">
        <v>63.13</v>
      </c>
      <c r="AW12" t="n">
        <v>74.82599999999999</v>
      </c>
      <c r="AX12" t="n">
        <v>51.826</v>
      </c>
      <c r="AY12" t="n">
        <v>9.522</v>
      </c>
      <c r="AZ12" t="n">
        <v>20.609</v>
      </c>
      <c r="BA12" t="n">
        <v>127.783</v>
      </c>
      <c r="BB12" t="n">
        <v>12.87</v>
      </c>
      <c r="BC12" t="n">
        <v>27.565</v>
      </c>
      <c r="BD12" t="n">
        <v>40.435</v>
      </c>
      <c r="BE12" t="n">
        <v>45.13</v>
      </c>
      <c r="BF12" t="n">
        <v>76.108</v>
      </c>
      <c r="BG12" t="n">
        <v>83.82599999999999</v>
      </c>
      <c r="BH12" t="n">
        <v>8.651999999999999</v>
      </c>
      <c r="BI12" t="n">
        <v>10.348</v>
      </c>
      <c r="BJ12" t="n">
        <v>22.453</v>
      </c>
      <c r="BK12" t="n">
        <v>12.478</v>
      </c>
      <c r="BL12" t="n">
        <v>6.304</v>
      </c>
      <c r="BM12" t="n">
        <v>27</v>
      </c>
      <c r="BN12" t="n">
        <v>7.304</v>
      </c>
      <c r="BO12" t="n">
        <v>11.609</v>
      </c>
      <c r="BP12" t="n">
        <v>8.826000000000001</v>
      </c>
      <c r="BQ12" t="n">
        <v>78.47799999999999</v>
      </c>
      <c r="BR12" t="n">
        <v>1.783</v>
      </c>
      <c r="BS12" t="n">
        <v>22.565</v>
      </c>
      <c r="BT12" t="n">
        <v>8.478</v>
      </c>
      <c r="BU12" t="n">
        <v>51.445</v>
      </c>
      <c r="BV12" t="n">
        <v>25.189</v>
      </c>
      <c r="BW12" t="n">
        <v>44.34</v>
      </c>
      <c r="BX12" t="n">
        <v>48.962</v>
      </c>
      <c r="BY12" t="n">
        <v>10.435</v>
      </c>
      <c r="BZ12" t="n">
        <v>30.833</v>
      </c>
      <c r="CA12" t="n">
        <v>7.027</v>
      </c>
      <c r="CB12" t="n">
        <v>-2.027</v>
      </c>
      <c r="CC12" t="n">
        <v>76.59399999999999</v>
      </c>
      <c r="CD12" t="n">
        <v>0.102</v>
      </c>
      <c r="CE12" t="n">
        <v>3.394</v>
      </c>
      <c r="CF12" t="n">
        <v>0.005</v>
      </c>
      <c r="CG12" t="n">
        <v>3.67</v>
      </c>
      <c r="CH12" t="n">
        <v>0.125</v>
      </c>
      <c r="CI12" t="n">
        <v>3.007</v>
      </c>
      <c r="CJ12" t="n">
        <v>-0.165</v>
      </c>
      <c r="CK12" t="n">
        <v>4.957</v>
      </c>
      <c r="CL12" t="n">
        <v>37.783</v>
      </c>
      <c r="CM12" t="n">
        <v>35.739</v>
      </c>
      <c r="CN12" t="n">
        <v>28</v>
      </c>
      <c r="CO12" t="n">
        <v>35.826</v>
      </c>
      <c r="CP12" t="n">
        <v>14.652</v>
      </c>
      <c r="CQ12" t="n">
        <v>18.814</v>
      </c>
      <c r="CR12" t="n">
        <v>20.368</v>
      </c>
      <c r="CS12" t="n">
        <v>8.894</v>
      </c>
      <c r="CT12" t="n">
        <v>27.314</v>
      </c>
      <c r="CU12" t="n">
        <v>10.379</v>
      </c>
      <c r="CV12" t="n">
        <v>10.391</v>
      </c>
      <c r="CW12" t="n">
        <v>33.473</v>
      </c>
      <c r="CX12" t="n">
        <v>59.739</v>
      </c>
      <c r="CY12" t="n">
        <v>10.652</v>
      </c>
      <c r="CZ12" t="n">
        <v>261.087</v>
      </c>
      <c r="DA12" t="n">
        <v>133.913</v>
      </c>
      <c r="DB12" t="n">
        <v>29.522</v>
      </c>
      <c r="DC12" t="n">
        <v>103</v>
      </c>
      <c r="DD12" t="n">
        <v>36.391</v>
      </c>
      <c r="DE12" t="n">
        <v>35.331</v>
      </c>
      <c r="DF12" t="n">
        <v>10.304</v>
      </c>
      <c r="DG12" t="n">
        <v>28.315</v>
      </c>
      <c r="DH12" t="n">
        <v>5.739</v>
      </c>
      <c r="DI12" t="n">
        <v>45.998</v>
      </c>
      <c r="DJ12" t="n">
        <v>41.338</v>
      </c>
      <c r="DK12" t="n">
        <v>18.652</v>
      </c>
      <c r="DL12" t="n">
        <v>21.348</v>
      </c>
      <c r="DM12" t="n">
        <v>-2.696</v>
      </c>
      <c r="DN12" t="n">
        <v>12.174</v>
      </c>
      <c r="DO12" t="n">
        <v>89.643</v>
      </c>
      <c r="DP12" t="n">
        <v>7.913</v>
      </c>
      <c r="DQ12" t="n">
        <v>39.957</v>
      </c>
      <c r="DR12" t="n">
        <v>70.739</v>
      </c>
      <c r="DS12" t="n">
        <v>212.109</v>
      </c>
      <c r="DT12" t="n">
        <v>1691.957</v>
      </c>
      <c r="DU12" t="n">
        <v>1526.87</v>
      </c>
      <c r="DV12" t="n">
        <v>20.043</v>
      </c>
      <c r="DW12" t="n">
        <v>41.783</v>
      </c>
      <c r="DX12" t="n">
        <v>201.391</v>
      </c>
      <c r="DY12" t="n">
        <v>147</v>
      </c>
      <c r="DZ12" t="n">
        <v>348.391</v>
      </c>
      <c r="EA12" t="n">
        <v>73.80500000000001</v>
      </c>
      <c r="EB12" t="n">
        <v>67.98399999999999</v>
      </c>
      <c r="EC12" t="n">
        <v>81.78100000000001</v>
      </c>
      <c r="ED12" t="n">
        <v>5.832</v>
      </c>
      <c r="EE12" t="n">
        <v>55.739</v>
      </c>
      <c r="EF12" t="n">
        <v>33.609</v>
      </c>
      <c r="EG12" t="n">
        <v>72.925</v>
      </c>
      <c r="EH12" t="n">
        <v>5776.174</v>
      </c>
      <c r="EI12" t="n">
        <v>16.58</v>
      </c>
      <c r="EJ12" t="n">
        <v>5500.263</v>
      </c>
      <c r="EK12" t="n">
        <v>27.465</v>
      </c>
      <c r="EL12" t="n">
        <v>164.652</v>
      </c>
      <c r="EM12" t="n">
        <v>1.123</v>
      </c>
      <c r="EN12" t="n">
        <v>53.13</v>
      </c>
      <c r="EO12" t="n">
        <v>6.557</v>
      </c>
      <c r="EP12" t="n">
        <v>55.435</v>
      </c>
      <c r="EQ12" t="n">
        <v>6.285</v>
      </c>
      <c r="ER12" t="n">
        <v>71.80500000000001</v>
      </c>
      <c r="ES12" t="n">
        <v>50.797</v>
      </c>
      <c r="ET12" t="n">
        <v>24.499</v>
      </c>
      <c r="EU12" t="n">
        <v>4.266</v>
      </c>
      <c r="EV12" t="n">
        <v>56.029</v>
      </c>
      <c r="EW12" t="n">
        <v>4.103</v>
      </c>
      <c r="EX12" t="n">
        <v>130.391</v>
      </c>
      <c r="EY12" t="n">
        <v>213.348</v>
      </c>
      <c r="EZ12" t="n">
        <v>343.739</v>
      </c>
      <c r="FA12" t="n">
        <v>37.933</v>
      </c>
      <c r="FB12" t="n">
        <v>61.174</v>
      </c>
      <c r="FC12" t="n">
        <v>84.60899999999999</v>
      </c>
      <c r="FD12" t="n">
        <v>14.783</v>
      </c>
      <c r="FE12" t="n">
        <v>21</v>
      </c>
      <c r="FF12" t="n">
        <v>63.609</v>
      </c>
      <c r="FG12" t="n">
        <v>79.82599999999999</v>
      </c>
      <c r="FH12" t="n">
        <v>53.957</v>
      </c>
      <c r="FI12" t="n">
        <v>9.173999999999999</v>
      </c>
      <c r="FJ12" t="n">
        <v>21.174</v>
      </c>
      <c r="FK12" t="n">
        <v>117</v>
      </c>
      <c r="FL12" t="n">
        <v>12.304</v>
      </c>
      <c r="FM12" t="n">
        <v>25.522</v>
      </c>
      <c r="FN12" t="n">
        <v>37.826</v>
      </c>
      <c r="FO12" t="n">
        <v>40.696</v>
      </c>
      <c r="FP12" t="n">
        <v>76.709</v>
      </c>
      <c r="FQ12" t="n">
        <v>86.783</v>
      </c>
      <c r="FR12" t="n">
        <v>10.565</v>
      </c>
      <c r="FS12" t="n">
        <v>14.435</v>
      </c>
      <c r="FT12" t="n">
        <v>25.897</v>
      </c>
      <c r="FU12" t="n">
        <v>14.826</v>
      </c>
      <c r="FV12" t="n">
        <v>6.609</v>
      </c>
      <c r="FW12" t="n">
        <v>15.087</v>
      </c>
      <c r="FX12" t="n">
        <v>12.304</v>
      </c>
      <c r="FY12" t="n">
        <v>102.826</v>
      </c>
      <c r="FZ12" t="n">
        <v>2.13</v>
      </c>
      <c r="GA12" t="n">
        <v>29.696</v>
      </c>
      <c r="GB12" t="n">
        <v>11.13</v>
      </c>
      <c r="GC12" t="n">
        <v>50.805</v>
      </c>
      <c r="GD12" t="n">
        <v>27.067</v>
      </c>
      <c r="GE12" t="n">
        <v>49.142</v>
      </c>
      <c r="GF12" t="n">
        <v>53.276</v>
      </c>
      <c r="GG12" t="n">
        <v>96.44799999999999</v>
      </c>
      <c r="GH12" t="n">
        <v>4.248</v>
      </c>
      <c r="GI12" t="n">
        <v>3.253</v>
      </c>
      <c r="GJ12" t="n">
        <v>0.143</v>
      </c>
      <c r="GK12" t="n">
        <v>3.562</v>
      </c>
      <c r="GL12" t="n">
        <v>0.136</v>
      </c>
      <c r="GM12" t="n">
        <v>2.861</v>
      </c>
      <c r="GN12" t="n">
        <v>0.153</v>
      </c>
      <c r="GO12" t="n">
        <v>4.609</v>
      </c>
      <c r="GP12" t="n">
        <v>42.348</v>
      </c>
      <c r="GQ12" t="n">
        <v>55.87</v>
      </c>
      <c r="GR12" t="n">
        <v>37.739</v>
      </c>
      <c r="GS12" t="n">
        <v>51</v>
      </c>
      <c r="GT12" t="n">
        <v>14.087</v>
      </c>
      <c r="GU12" t="n">
        <v>25.485</v>
      </c>
      <c r="GV12" t="n">
        <v>27.481</v>
      </c>
      <c r="GW12" t="n">
        <v>12.341</v>
      </c>
      <c r="GX12" t="n">
        <v>36.877</v>
      </c>
      <c r="GY12" t="n">
        <v>16.373</v>
      </c>
      <c r="GZ12" t="n">
        <v>65.60899999999999</v>
      </c>
      <c r="HA12" t="n">
        <v>13.043</v>
      </c>
      <c r="HB12" t="n">
        <v>272.696</v>
      </c>
      <c r="HC12" t="n">
        <v>117.826</v>
      </c>
      <c r="HD12" t="n">
        <v>29.783</v>
      </c>
      <c r="HE12" t="n">
        <v>39.826</v>
      </c>
      <c r="HF12" t="n">
        <v>38.666</v>
      </c>
      <c r="HG12" t="n">
        <v>10.174</v>
      </c>
      <c r="HH12" t="n">
        <v>25.546</v>
      </c>
      <c r="HI12" t="n">
        <v>2.913</v>
      </c>
      <c r="HJ12" t="n">
        <v>43.886</v>
      </c>
      <c r="HK12" t="n">
        <v>38.537</v>
      </c>
      <c r="HL12" t="n">
        <v>8.435</v>
      </c>
      <c r="HM12" t="n">
        <v>92.78400000000001</v>
      </c>
      <c r="HN12" t="n">
        <v>6.783</v>
      </c>
      <c r="HO12" t="n">
        <v>41.609</v>
      </c>
      <c r="HP12" t="n">
        <v>71.87</v>
      </c>
      <c r="HQ12" t="n">
        <v>-23.087</v>
      </c>
      <c r="HR12" t="n">
        <v>-86.17400000000001</v>
      </c>
      <c r="HS12" t="n">
        <v>-51.261</v>
      </c>
      <c r="HT12" t="n">
        <v>-10.087</v>
      </c>
      <c r="HU12" t="n">
        <v>-2.087</v>
      </c>
      <c r="HV12" t="n">
        <v>0.304</v>
      </c>
      <c r="HW12" t="n">
        <v>9.130000000000001</v>
      </c>
      <c r="HX12" t="n">
        <v>9.435</v>
      </c>
      <c r="HY12" t="n">
        <v>-9.651999999999999</v>
      </c>
      <c r="HZ12" t="n">
        <v>-298.304</v>
      </c>
      <c r="IA12" t="n">
        <v>-293.963</v>
      </c>
      <c r="IB12" t="n">
        <v>-74.14</v>
      </c>
      <c r="IC12" t="n">
        <v>3.826</v>
      </c>
      <c r="ID12" t="n">
        <v>5.609</v>
      </c>
      <c r="IE12" t="n">
        <v>-4.839</v>
      </c>
      <c r="IF12" t="n">
        <v>-4.86</v>
      </c>
      <c r="IG12" t="n">
        <v>-1.391</v>
      </c>
      <c r="IH12" t="n">
        <v>7.348</v>
      </c>
      <c r="II12" t="n">
        <v>5.957</v>
      </c>
      <c r="IJ12" t="n">
        <v>-5.565</v>
      </c>
      <c r="IK12" t="n">
        <v>0.652</v>
      </c>
      <c r="IL12" t="n">
        <v>-1.435</v>
      </c>
      <c r="IM12" t="n">
        <v>1.13</v>
      </c>
      <c r="IN12" t="n">
        <v>-0.478</v>
      </c>
      <c r="IO12" t="n">
        <v>-5</v>
      </c>
      <c r="IP12" t="n">
        <v>-2.13</v>
      </c>
      <c r="IQ12" t="n">
        <v>0.348</v>
      </c>
      <c r="IR12" t="n">
        <v>-0.5649999999999999</v>
      </c>
      <c r="IS12" t="n">
        <v>10.783</v>
      </c>
      <c r="IT12" t="n">
        <v>0.5649999999999999</v>
      </c>
      <c r="IU12" t="n">
        <v>2.043</v>
      </c>
      <c r="IV12" t="n">
        <v>2.609</v>
      </c>
      <c r="IW12" t="n">
        <v>4.435</v>
      </c>
      <c r="IX12" t="n">
        <v>-2.957</v>
      </c>
      <c r="IY12" t="n">
        <v>-1.913</v>
      </c>
      <c r="IZ12" t="n">
        <v>-4.087</v>
      </c>
      <c r="JA12" t="n">
        <v>-2.348</v>
      </c>
      <c r="JB12" t="n">
        <v>-0.304</v>
      </c>
      <c r="JC12" t="n">
        <v>-3.478</v>
      </c>
      <c r="JD12" t="n">
        <v>-3.478</v>
      </c>
      <c r="JE12" t="n">
        <v>-24.348</v>
      </c>
      <c r="JF12" t="n">
        <v>-7.13</v>
      </c>
      <c r="JG12" t="n">
        <v>-2.652</v>
      </c>
      <c r="JH12" t="n">
        <v>-19.854</v>
      </c>
      <c r="JI12" t="n">
        <v>-4.146</v>
      </c>
      <c r="JJ12" t="n">
        <v>0.142</v>
      </c>
      <c r="JK12" t="n">
        <v>0.348</v>
      </c>
      <c r="JL12" t="n">
        <v>-4.565</v>
      </c>
      <c r="JM12" t="n">
        <v>-20.13</v>
      </c>
      <c r="JN12" t="n">
        <v>-9.739000000000001</v>
      </c>
      <c r="JO12" t="n">
        <v>-15.174</v>
      </c>
      <c r="JP12" t="n">
        <v>0.5649999999999999</v>
      </c>
      <c r="JQ12" t="n">
        <v>-5.87</v>
      </c>
      <c r="JR12" t="n">
        <v>-2.391</v>
      </c>
      <c r="JS12" t="n">
        <v>-11.609</v>
      </c>
      <c r="JT12" t="n">
        <v>16.087</v>
      </c>
      <c r="JU12" t="n">
        <v>-0.261</v>
      </c>
      <c r="JV12" t="n">
        <v>-3.435</v>
      </c>
      <c r="JW12" t="n">
        <v>0.13</v>
      </c>
      <c r="JX12" t="n">
        <v>2.826</v>
      </c>
      <c r="JY12" t="n">
        <v>1.13</v>
      </c>
      <c r="JZ12" t="n">
        <v>-1.652</v>
      </c>
      <c r="KA12" t="n">
        <v>-1.13</v>
      </c>
    </row>
    <row r="13">
      <c r="A13" t="inlineStr">
        <is>
          <t>Western Bulldogs</t>
        </is>
      </c>
      <c r="B13" t="inlineStr">
        <is>
          <t>WB</t>
        </is>
      </c>
      <c r="C13" t="n">
        <v>23</v>
      </c>
      <c r="D13" t="n">
        <v>36</v>
      </c>
      <c r="E13" t="n">
        <v>26.022</v>
      </c>
      <c r="F13" t="n">
        <v>102.236</v>
      </c>
      <c r="G13" t="n">
        <v>230.413</v>
      </c>
      <c r="H13" t="n">
        <v>1708.217</v>
      </c>
      <c r="I13" t="n">
        <v>1578.304</v>
      </c>
      <c r="J13" t="n">
        <v>20.087</v>
      </c>
      <c r="K13" t="n">
        <v>53.813</v>
      </c>
      <c r="L13" t="n">
        <v>42</v>
      </c>
      <c r="M13" t="n">
        <v>215.087</v>
      </c>
      <c r="N13" t="n">
        <v>160.826</v>
      </c>
      <c r="O13" t="n">
        <v>375.913</v>
      </c>
      <c r="P13" t="n">
        <v>74.601</v>
      </c>
      <c r="Q13" t="n">
        <v>67.657</v>
      </c>
      <c r="R13" t="n">
        <v>83.88800000000001</v>
      </c>
      <c r="S13" t="n">
        <v>57.217</v>
      </c>
      <c r="T13" t="n">
        <v>5.95</v>
      </c>
      <c r="U13" t="n">
        <v>56.435</v>
      </c>
      <c r="V13" t="n">
        <v>35.435</v>
      </c>
      <c r="W13" t="n">
        <v>74.497</v>
      </c>
      <c r="X13" t="n">
        <v>6074.696</v>
      </c>
      <c r="Y13" t="n">
        <v>16.16</v>
      </c>
      <c r="Z13" t="n">
        <v>5707.854</v>
      </c>
      <c r="AA13" t="n">
        <v>26.678</v>
      </c>
      <c r="AB13" t="n">
        <v>140.66</v>
      </c>
      <c r="AC13" t="n">
        <v>0.877</v>
      </c>
      <c r="AD13" t="n">
        <v>51.739</v>
      </c>
      <c r="AE13" t="n">
        <v>7.266</v>
      </c>
      <c r="AF13" t="n">
        <v>61.043</v>
      </c>
      <c r="AG13" t="n">
        <v>6.158</v>
      </c>
      <c r="AH13" t="n">
        <v>73.036</v>
      </c>
      <c r="AI13" t="n">
        <v>50.413</v>
      </c>
      <c r="AJ13" t="n">
        <v>24.036</v>
      </c>
      <c r="AK13" t="n">
        <v>4.269</v>
      </c>
      <c r="AL13" t="n">
        <v>57.077</v>
      </c>
      <c r="AM13" t="n">
        <v>2.938</v>
      </c>
      <c r="AN13" t="n">
        <v>135.174</v>
      </c>
      <c r="AO13" t="n">
        <v>236.043</v>
      </c>
      <c r="AP13" t="n">
        <v>371.217</v>
      </c>
      <c r="AQ13" t="n">
        <v>36.414</v>
      </c>
      <c r="AR13" t="n">
        <v>61.13</v>
      </c>
      <c r="AS13" t="n">
        <v>91.217</v>
      </c>
      <c r="AT13" t="n">
        <v>18.957</v>
      </c>
      <c r="AU13" t="n">
        <v>25.13</v>
      </c>
      <c r="AV13" t="n">
        <v>66.087</v>
      </c>
      <c r="AW13" t="n">
        <v>81.82599999999999</v>
      </c>
      <c r="AX13" t="n">
        <v>56.13</v>
      </c>
      <c r="AY13" t="n">
        <v>8.435</v>
      </c>
      <c r="AZ13" t="n">
        <v>21.13</v>
      </c>
      <c r="BA13" t="n">
        <v>131.435</v>
      </c>
      <c r="BB13" t="n">
        <v>15</v>
      </c>
      <c r="BC13" t="n">
        <v>26.13</v>
      </c>
      <c r="BD13" t="n">
        <v>41.13</v>
      </c>
      <c r="BE13" t="n">
        <v>42.913</v>
      </c>
      <c r="BF13" t="n">
        <v>78.014</v>
      </c>
      <c r="BG13" t="n">
        <v>93.13</v>
      </c>
      <c r="BH13" t="n">
        <v>11.304</v>
      </c>
      <c r="BI13" t="n">
        <v>14</v>
      </c>
      <c r="BJ13" t="n">
        <v>24.807</v>
      </c>
      <c r="BK13" t="n">
        <v>15.522</v>
      </c>
      <c r="BL13" t="n">
        <v>9</v>
      </c>
      <c r="BM13" t="n">
        <v>30</v>
      </c>
      <c r="BN13" t="n">
        <v>9.087</v>
      </c>
      <c r="BO13" t="n">
        <v>16.043</v>
      </c>
      <c r="BP13" t="n">
        <v>12.13</v>
      </c>
      <c r="BQ13" t="n">
        <v>108.391</v>
      </c>
      <c r="BR13" t="n">
        <v>2.391</v>
      </c>
      <c r="BS13" t="n">
        <v>30.087</v>
      </c>
      <c r="BT13" t="n">
        <v>12.391</v>
      </c>
      <c r="BU13" t="n">
        <v>53.324</v>
      </c>
      <c r="BV13" t="n">
        <v>28.428</v>
      </c>
      <c r="BW13" t="n">
        <v>49.923</v>
      </c>
      <c r="BX13" t="n">
        <v>53.313</v>
      </c>
      <c r="BY13" t="n">
        <v>12.304</v>
      </c>
      <c r="BZ13" t="n">
        <v>26.148</v>
      </c>
      <c r="CA13" t="n">
        <v>13.607</v>
      </c>
      <c r="CB13" t="n">
        <v>0.393</v>
      </c>
      <c r="CC13" t="n">
        <v>101.74</v>
      </c>
      <c r="CD13" t="n">
        <v>4.26</v>
      </c>
      <c r="CE13" t="n">
        <v>3.382</v>
      </c>
      <c r="CF13" t="n">
        <v>0.142</v>
      </c>
      <c r="CG13" t="n">
        <v>3.721</v>
      </c>
      <c r="CH13" t="n">
        <v>0.243</v>
      </c>
      <c r="CI13" t="n">
        <v>3.02</v>
      </c>
      <c r="CJ13" t="n">
        <v>0.033</v>
      </c>
      <c r="CK13" t="n">
        <v>5.087</v>
      </c>
      <c r="CL13" t="n">
        <v>47.565</v>
      </c>
      <c r="CM13" t="n">
        <v>55.739</v>
      </c>
      <c r="CN13" t="n">
        <v>40.13</v>
      </c>
      <c r="CO13" t="n">
        <v>51.087</v>
      </c>
      <c r="CP13" t="n">
        <v>17.174</v>
      </c>
      <c r="CQ13" t="n">
        <v>25.317</v>
      </c>
      <c r="CR13" t="n">
        <v>27.636</v>
      </c>
      <c r="CS13" t="n">
        <v>11.893</v>
      </c>
      <c r="CT13" t="n">
        <v>34.673</v>
      </c>
      <c r="CU13" t="n">
        <v>16.043</v>
      </c>
      <c r="CV13" t="n">
        <v>10.478</v>
      </c>
      <c r="CW13" t="n">
        <v>32.78</v>
      </c>
      <c r="CX13" t="n">
        <v>56.478</v>
      </c>
      <c r="CY13" t="n">
        <v>12.174</v>
      </c>
      <c r="CZ13" t="n">
        <v>266.783</v>
      </c>
      <c r="DA13" t="n">
        <v>116.174</v>
      </c>
      <c r="DB13" t="n">
        <v>28.609</v>
      </c>
      <c r="DC13" t="n">
        <v>97.783</v>
      </c>
      <c r="DD13" t="n">
        <v>35.435</v>
      </c>
      <c r="DE13" t="n">
        <v>36.238</v>
      </c>
      <c r="DF13" t="n">
        <v>9.826000000000001</v>
      </c>
      <c r="DG13" t="n">
        <v>27.73</v>
      </c>
      <c r="DH13" t="n">
        <v>2.13</v>
      </c>
      <c r="DI13" t="n">
        <v>47.117</v>
      </c>
      <c r="DJ13" t="n">
        <v>43.19</v>
      </c>
      <c r="DK13" t="n">
        <v>18.391</v>
      </c>
      <c r="DL13" t="n">
        <v>17.913</v>
      </c>
      <c r="DM13" t="n">
        <v>0.478</v>
      </c>
      <c r="DN13" t="n">
        <v>9.696</v>
      </c>
      <c r="DO13" t="n">
        <v>93.274</v>
      </c>
      <c r="DP13" t="n">
        <v>7</v>
      </c>
      <c r="DQ13" t="n">
        <v>43.87</v>
      </c>
      <c r="DR13" t="n">
        <v>72</v>
      </c>
      <c r="DS13" t="n">
        <v>196.735</v>
      </c>
      <c r="DT13" t="n">
        <v>1591.739</v>
      </c>
      <c r="DU13" t="n">
        <v>1502.565</v>
      </c>
      <c r="DV13" t="n">
        <v>9.913</v>
      </c>
      <c r="DW13" t="n">
        <v>39.957</v>
      </c>
      <c r="DX13" t="n">
        <v>204.435</v>
      </c>
      <c r="DY13" t="n">
        <v>147.13</v>
      </c>
      <c r="DZ13" t="n">
        <v>351.565</v>
      </c>
      <c r="EA13" t="n">
        <v>72.706</v>
      </c>
      <c r="EB13" t="n">
        <v>66.589</v>
      </c>
      <c r="EC13" t="n">
        <v>81.206</v>
      </c>
      <c r="ED13" t="n">
        <v>6.225</v>
      </c>
      <c r="EE13" t="n">
        <v>47.565</v>
      </c>
      <c r="EF13" t="n">
        <v>39.609</v>
      </c>
      <c r="EG13" t="n">
        <v>70.185</v>
      </c>
      <c r="EH13" t="n">
        <v>5662.174</v>
      </c>
      <c r="EI13" t="n">
        <v>16.106</v>
      </c>
      <c r="EJ13" t="n">
        <v>5325.353</v>
      </c>
      <c r="EK13" t="n">
        <v>26.239</v>
      </c>
      <c r="EL13" t="n">
        <v>155.757</v>
      </c>
      <c r="EM13" t="n">
        <v>1.062</v>
      </c>
      <c r="EN13" t="n">
        <v>55.739</v>
      </c>
      <c r="EO13" t="n">
        <v>6.307</v>
      </c>
      <c r="EP13" t="n">
        <v>61.043</v>
      </c>
      <c r="EQ13" t="n">
        <v>5.759</v>
      </c>
      <c r="ER13" t="n">
        <v>70.08799999999999</v>
      </c>
      <c r="ES13" t="n">
        <v>50</v>
      </c>
      <c r="ET13" t="n">
        <v>22.558</v>
      </c>
      <c r="EU13" t="n">
        <v>0.922</v>
      </c>
      <c r="EV13" t="n">
        <v>56.93</v>
      </c>
      <c r="EW13" t="n">
        <v>0.893</v>
      </c>
      <c r="EX13" t="n">
        <v>129.783</v>
      </c>
      <c r="EY13" t="n">
        <v>212.913</v>
      </c>
      <c r="EZ13" t="n">
        <v>342.696</v>
      </c>
      <c r="FA13" t="n">
        <v>37.871</v>
      </c>
      <c r="FB13" t="n">
        <v>61.174</v>
      </c>
      <c r="FC13" t="n">
        <v>84.783</v>
      </c>
      <c r="FD13" t="n">
        <v>14</v>
      </c>
      <c r="FE13" t="n">
        <v>22.957</v>
      </c>
      <c r="FF13" t="n">
        <v>61.826</v>
      </c>
      <c r="FG13" t="n">
        <v>80.217</v>
      </c>
      <c r="FH13" t="n">
        <v>54.696</v>
      </c>
      <c r="FI13" t="n">
        <v>10.217</v>
      </c>
      <c r="FJ13" t="n">
        <v>21.261</v>
      </c>
      <c r="FK13" t="n">
        <v>116.087</v>
      </c>
      <c r="FL13" t="n">
        <v>12</v>
      </c>
      <c r="FM13" t="n">
        <v>23.261</v>
      </c>
      <c r="FN13" t="n">
        <v>35.261</v>
      </c>
      <c r="FO13" t="n">
        <v>40.913</v>
      </c>
      <c r="FP13" t="n">
        <v>72.264</v>
      </c>
      <c r="FQ13" t="n">
        <v>86.04300000000001</v>
      </c>
      <c r="FR13" t="n">
        <v>10.087</v>
      </c>
      <c r="FS13" t="n">
        <v>11.609</v>
      </c>
      <c r="FT13" t="n">
        <v>24.406</v>
      </c>
      <c r="FU13" t="n">
        <v>14.826</v>
      </c>
      <c r="FV13" t="n">
        <v>9.173999999999999</v>
      </c>
      <c r="FW13" t="n">
        <v>11.522</v>
      </c>
      <c r="FX13" t="n">
        <v>10</v>
      </c>
      <c r="FY13" t="n">
        <v>79.13</v>
      </c>
      <c r="FZ13" t="n">
        <v>1.565</v>
      </c>
      <c r="GA13" t="n">
        <v>24.261</v>
      </c>
      <c r="GB13" t="n">
        <v>8.696</v>
      </c>
      <c r="GC13" t="n">
        <v>47.491</v>
      </c>
      <c r="GD13" t="n">
        <v>24.223</v>
      </c>
      <c r="GE13" t="n">
        <v>45.247</v>
      </c>
      <c r="GF13" t="n">
        <v>51.005</v>
      </c>
      <c r="GG13" t="n">
        <v>81.41800000000001</v>
      </c>
      <c r="GH13" t="n">
        <v>-3.853</v>
      </c>
      <c r="GI13" t="n">
        <v>3.356</v>
      </c>
      <c r="GJ13" t="n">
        <v>-0.159</v>
      </c>
      <c r="GK13" t="n">
        <v>3.585</v>
      </c>
      <c r="GL13" t="n">
        <v>-0.25</v>
      </c>
      <c r="GM13" t="n">
        <v>3.074</v>
      </c>
      <c r="GN13" t="n">
        <v>-0.046</v>
      </c>
      <c r="GO13" t="n">
        <v>4.913</v>
      </c>
      <c r="GP13" t="n">
        <v>30.087</v>
      </c>
      <c r="GQ13" t="n">
        <v>44.13</v>
      </c>
      <c r="GR13" t="n">
        <v>34.348</v>
      </c>
      <c r="GS13" t="n">
        <v>33.739</v>
      </c>
      <c r="GT13" t="n">
        <v>11.043</v>
      </c>
      <c r="GU13" t="n">
        <v>19.976</v>
      </c>
      <c r="GV13" t="n">
        <v>21.421</v>
      </c>
      <c r="GW13" t="n">
        <v>9.332000000000001</v>
      </c>
      <c r="GX13" t="n">
        <v>29.37</v>
      </c>
      <c r="GY13" t="n">
        <v>12.995</v>
      </c>
      <c r="GZ13" t="n">
        <v>63.174</v>
      </c>
      <c r="HA13" t="n">
        <v>11.174</v>
      </c>
      <c r="HB13" t="n">
        <v>285.957</v>
      </c>
      <c r="HC13" t="n">
        <v>153.652</v>
      </c>
      <c r="HD13" t="n">
        <v>33.826</v>
      </c>
      <c r="HE13" t="n">
        <v>43.87</v>
      </c>
      <c r="HF13" t="n">
        <v>44.805</v>
      </c>
      <c r="HG13" t="n">
        <v>11.043</v>
      </c>
      <c r="HH13" t="n">
        <v>25.173</v>
      </c>
      <c r="HI13" t="n">
        <v>3.87</v>
      </c>
      <c r="HJ13" t="n">
        <v>40.833</v>
      </c>
      <c r="HK13" t="n">
        <v>33.796</v>
      </c>
      <c r="HL13" t="n">
        <v>11.957</v>
      </c>
      <c r="HM13" t="n">
        <v>94.182</v>
      </c>
      <c r="HN13" t="n">
        <v>7.957</v>
      </c>
      <c r="HO13" t="n">
        <v>45.826</v>
      </c>
      <c r="HP13" t="n">
        <v>71.087</v>
      </c>
      <c r="HQ13" t="n">
        <v>33.678</v>
      </c>
      <c r="HR13" t="n">
        <v>116.478</v>
      </c>
      <c r="HS13" t="n">
        <v>75.739</v>
      </c>
      <c r="HT13" t="n">
        <v>10.174</v>
      </c>
      <c r="HU13" t="n">
        <v>2.043</v>
      </c>
      <c r="HV13" t="n">
        <v>10.652</v>
      </c>
      <c r="HW13" t="n">
        <v>13.696</v>
      </c>
      <c r="HX13" t="n">
        <v>24.348</v>
      </c>
      <c r="HY13" t="n">
        <v>8.869999999999999</v>
      </c>
      <c r="HZ13" t="n">
        <v>412.522</v>
      </c>
      <c r="IA13" t="n">
        <v>382.502</v>
      </c>
      <c r="IB13" t="n">
        <v>-15.098</v>
      </c>
      <c r="IC13" t="n">
        <v>-4</v>
      </c>
      <c r="ID13" t="n">
        <v>0</v>
      </c>
      <c r="IE13" t="n">
        <v>3.347</v>
      </c>
      <c r="IF13" t="n">
        <v>2.045</v>
      </c>
      <c r="IG13" t="n">
        <v>5.391</v>
      </c>
      <c r="IH13" t="n">
        <v>23.13</v>
      </c>
      <c r="II13" t="n">
        <v>28.522</v>
      </c>
      <c r="IJ13" t="n">
        <v>-0.043</v>
      </c>
      <c r="IK13" t="n">
        <v>6.435</v>
      </c>
      <c r="IL13" t="n">
        <v>4.957</v>
      </c>
      <c r="IM13" t="n">
        <v>2.174</v>
      </c>
      <c r="IN13" t="n">
        <v>4.261</v>
      </c>
      <c r="IO13" t="n">
        <v>1.609</v>
      </c>
      <c r="IP13" t="n">
        <v>1.435</v>
      </c>
      <c r="IQ13" t="n">
        <v>-1.783</v>
      </c>
      <c r="IR13" t="n">
        <v>-0.13</v>
      </c>
      <c r="IS13" t="n">
        <v>15.348</v>
      </c>
      <c r="IT13" t="n">
        <v>3</v>
      </c>
      <c r="IU13" t="n">
        <v>2.87</v>
      </c>
      <c r="IV13" t="n">
        <v>5.87</v>
      </c>
      <c r="IW13" t="n">
        <v>2</v>
      </c>
      <c r="IX13" t="n">
        <v>7.087</v>
      </c>
      <c r="IY13" t="n">
        <v>1.217</v>
      </c>
      <c r="IZ13" t="n">
        <v>2.391</v>
      </c>
      <c r="JA13" t="n">
        <v>0.696</v>
      </c>
      <c r="JB13" t="n">
        <v>-0.174</v>
      </c>
      <c r="JC13" t="n">
        <v>4.522</v>
      </c>
      <c r="JD13" t="n">
        <v>2.13</v>
      </c>
      <c r="JE13" t="n">
        <v>29.261</v>
      </c>
      <c r="JF13" t="n">
        <v>5.826</v>
      </c>
      <c r="JG13" t="n">
        <v>3.696</v>
      </c>
      <c r="JH13" t="n">
        <v>20.323</v>
      </c>
      <c r="JI13" t="n">
        <v>8.112</v>
      </c>
      <c r="JJ13" t="n">
        <v>0.026</v>
      </c>
      <c r="JK13" t="n">
        <v>0.174</v>
      </c>
      <c r="JL13" t="n">
        <v>17.478</v>
      </c>
      <c r="JM13" t="n">
        <v>11.609</v>
      </c>
      <c r="JN13" t="n">
        <v>5.783</v>
      </c>
      <c r="JO13" t="n">
        <v>17.348</v>
      </c>
      <c r="JP13" t="n">
        <v>6.13</v>
      </c>
      <c r="JQ13" t="n">
        <v>-6.696</v>
      </c>
      <c r="JR13" t="n">
        <v>1</v>
      </c>
      <c r="JS13" t="n">
        <v>-19.174</v>
      </c>
      <c r="JT13" t="n">
        <v>-37.478</v>
      </c>
      <c r="JU13" t="n">
        <v>-5.217</v>
      </c>
      <c r="JV13" t="n">
        <v>-8.435</v>
      </c>
      <c r="JW13" t="n">
        <v>-1.217</v>
      </c>
      <c r="JX13" t="n">
        <v>-1.739</v>
      </c>
      <c r="JY13" t="n">
        <v>-0.957</v>
      </c>
      <c r="JZ13" t="n">
        <v>-1.957</v>
      </c>
      <c r="KA13" t="n">
        <v>0.913</v>
      </c>
    </row>
    <row r="14">
      <c r="A14" t="inlineStr">
        <is>
          <t>Port Adelaide</t>
        </is>
      </c>
      <c r="B14" t="inlineStr">
        <is>
          <t>Port</t>
        </is>
      </c>
      <c r="C14" t="n">
        <v>23</v>
      </c>
      <c r="D14" t="n">
        <v>40</v>
      </c>
      <c r="E14" t="n">
        <v>25.478</v>
      </c>
      <c r="F14" t="n">
        <v>96.01900000000001</v>
      </c>
      <c r="G14" t="n">
        <v>182.77</v>
      </c>
      <c r="H14" t="n">
        <v>1604.391</v>
      </c>
      <c r="I14" t="n">
        <v>1452.652</v>
      </c>
      <c r="J14" t="n">
        <v>13.043</v>
      </c>
      <c r="K14" t="n">
        <v>48.883</v>
      </c>
      <c r="L14" t="n">
        <v>40.826</v>
      </c>
      <c r="M14" t="n">
        <v>201.696</v>
      </c>
      <c r="N14" t="n">
        <v>143.87</v>
      </c>
      <c r="O14" t="n">
        <v>345.565</v>
      </c>
      <c r="P14" t="n">
        <v>70.068</v>
      </c>
      <c r="Q14" t="n">
        <v>62.104</v>
      </c>
      <c r="R14" t="n">
        <v>81.233</v>
      </c>
      <c r="S14" t="n">
        <v>58.367</v>
      </c>
      <c r="T14" t="n">
        <v>5.793</v>
      </c>
      <c r="U14" t="n">
        <v>48.957</v>
      </c>
      <c r="V14" t="n">
        <v>40.783</v>
      </c>
      <c r="W14" t="n">
        <v>74.092</v>
      </c>
      <c r="X14" t="n">
        <v>5748.957</v>
      </c>
      <c r="Y14" t="n">
        <v>16.636</v>
      </c>
      <c r="Z14" t="n">
        <v>5333.635</v>
      </c>
      <c r="AA14" t="n">
        <v>26.662</v>
      </c>
      <c r="AB14" t="n">
        <v>244.004</v>
      </c>
      <c r="AC14" t="n">
        <v>1.701</v>
      </c>
      <c r="AD14" t="n">
        <v>60.826</v>
      </c>
      <c r="AE14" t="n">
        <v>5.681</v>
      </c>
      <c r="AF14" t="n">
        <v>66.13</v>
      </c>
      <c r="AG14" t="n">
        <v>5.226</v>
      </c>
      <c r="AH14" t="n">
        <v>68.361</v>
      </c>
      <c r="AI14" t="n">
        <v>45.321</v>
      </c>
      <c r="AJ14" t="n">
        <v>23.635</v>
      </c>
      <c r="AK14" t="n">
        <v>-0.413</v>
      </c>
      <c r="AL14" t="n">
        <v>57.025</v>
      </c>
      <c r="AM14" t="n">
        <v>-0.416</v>
      </c>
      <c r="AN14" t="n">
        <v>124.348</v>
      </c>
      <c r="AO14" t="n">
        <v>207.435</v>
      </c>
      <c r="AP14" t="n">
        <v>331.783</v>
      </c>
      <c r="AQ14" t="n">
        <v>37.479</v>
      </c>
      <c r="AR14" t="n">
        <v>62.913</v>
      </c>
      <c r="AS14" t="n">
        <v>84.47799999999999</v>
      </c>
      <c r="AT14" t="n">
        <v>12.739</v>
      </c>
      <c r="AU14" t="n">
        <v>21</v>
      </c>
      <c r="AV14" t="n">
        <v>63.522</v>
      </c>
      <c r="AW14" t="n">
        <v>73.60899999999999</v>
      </c>
      <c r="AX14" t="n">
        <v>52.957</v>
      </c>
      <c r="AY14" t="n">
        <v>9.522</v>
      </c>
      <c r="AZ14" t="n">
        <v>19.783</v>
      </c>
      <c r="BA14" t="n">
        <v>112.87</v>
      </c>
      <c r="BB14" t="n">
        <v>10.435</v>
      </c>
      <c r="BC14" t="n">
        <v>27.391</v>
      </c>
      <c r="BD14" t="n">
        <v>37.826</v>
      </c>
      <c r="BE14" t="n">
        <v>42.217</v>
      </c>
      <c r="BF14" t="n">
        <v>73.944</v>
      </c>
      <c r="BG14" t="n">
        <v>82.95699999999999</v>
      </c>
      <c r="BH14" t="n">
        <v>7.522</v>
      </c>
      <c r="BI14" t="n">
        <v>11.739</v>
      </c>
      <c r="BJ14" t="n">
        <v>23.979</v>
      </c>
      <c r="BK14" t="n">
        <v>15.174</v>
      </c>
      <c r="BL14" t="n">
        <v>7.304</v>
      </c>
      <c r="BM14" t="n">
        <v>33</v>
      </c>
      <c r="BN14" t="n">
        <v>6.652</v>
      </c>
      <c r="BO14" t="n">
        <v>10.609</v>
      </c>
      <c r="BP14" t="n">
        <v>10.478</v>
      </c>
      <c r="BQ14" t="n">
        <v>74.13</v>
      </c>
      <c r="BR14" t="n">
        <v>1.609</v>
      </c>
      <c r="BS14" t="n">
        <v>23.609</v>
      </c>
      <c r="BT14" t="n">
        <v>7.522</v>
      </c>
      <c r="BU14" t="n">
        <v>44.936</v>
      </c>
      <c r="BV14" t="n">
        <v>21.67</v>
      </c>
      <c r="BW14" t="n">
        <v>43.073</v>
      </c>
      <c r="BX14" t="n">
        <v>48.224</v>
      </c>
      <c r="BY14" t="n">
        <v>11.174</v>
      </c>
      <c r="BZ14" t="n">
        <v>22.957</v>
      </c>
      <c r="CA14" t="n">
        <v>7.956</v>
      </c>
      <c r="CB14" t="n">
        <v>1.044</v>
      </c>
      <c r="CC14" t="n">
        <v>75.34699999999999</v>
      </c>
      <c r="CD14" t="n">
        <v>-2.825</v>
      </c>
      <c r="CE14" t="n">
        <v>3.191</v>
      </c>
      <c r="CF14" t="n">
        <v>-0.12</v>
      </c>
      <c r="CG14" t="n">
        <v>3.442</v>
      </c>
      <c r="CH14" t="n">
        <v>-0.048</v>
      </c>
      <c r="CI14" t="n">
        <v>2.845</v>
      </c>
      <c r="CJ14" t="n">
        <v>-0.218</v>
      </c>
      <c r="CK14" t="n">
        <v>3.217</v>
      </c>
      <c r="CL14" t="n">
        <v>32.087</v>
      </c>
      <c r="CM14" t="n">
        <v>38.826</v>
      </c>
      <c r="CN14" t="n">
        <v>27.087</v>
      </c>
      <c r="CO14" t="n">
        <v>35.478</v>
      </c>
      <c r="CP14" t="n">
        <v>11.565</v>
      </c>
      <c r="CQ14" t="n">
        <v>18.841</v>
      </c>
      <c r="CR14" t="n">
        <v>20.378</v>
      </c>
      <c r="CS14" t="n">
        <v>8</v>
      </c>
      <c r="CT14" t="n">
        <v>29.898</v>
      </c>
      <c r="CU14" t="n">
        <v>11.026</v>
      </c>
      <c r="CV14" t="n">
        <v>12.304</v>
      </c>
      <c r="CW14" t="n">
        <v>27.562</v>
      </c>
      <c r="CX14" t="n">
        <v>60.217</v>
      </c>
      <c r="CY14" t="n">
        <v>11.043</v>
      </c>
      <c r="CZ14" t="n">
        <v>274.913</v>
      </c>
      <c r="DA14" t="n">
        <v>140.913</v>
      </c>
      <c r="DB14" t="n">
        <v>30.304</v>
      </c>
      <c r="DC14" t="n">
        <v>98.652</v>
      </c>
      <c r="DD14" t="n">
        <v>41.87</v>
      </c>
      <c r="DE14" t="n">
        <v>42.442</v>
      </c>
      <c r="DF14" t="n">
        <v>10.696</v>
      </c>
      <c r="DG14" t="n">
        <v>25.545</v>
      </c>
      <c r="DH14" t="n">
        <v>2.87</v>
      </c>
      <c r="DI14" t="n">
        <v>42.679</v>
      </c>
      <c r="DJ14" t="n">
        <v>39.356</v>
      </c>
      <c r="DK14" t="n">
        <v>18.826</v>
      </c>
      <c r="DL14" t="n">
        <v>21.043</v>
      </c>
      <c r="DM14" t="n">
        <v>-2.217</v>
      </c>
      <c r="DN14" t="n">
        <v>11.87</v>
      </c>
      <c r="DO14" t="n">
        <v>96.337</v>
      </c>
      <c r="DP14" t="n">
        <v>6.043</v>
      </c>
      <c r="DQ14" t="n">
        <v>41.478</v>
      </c>
      <c r="DR14" t="n">
        <v>68.304</v>
      </c>
      <c r="DS14" t="n">
        <v>203.77</v>
      </c>
      <c r="DT14" t="n">
        <v>1696.391</v>
      </c>
      <c r="DU14" t="n">
        <v>1488.217</v>
      </c>
      <c r="DV14" t="n">
        <v>16.957</v>
      </c>
      <c r="DW14" t="n">
        <v>41.217</v>
      </c>
      <c r="DX14" t="n">
        <v>211.217</v>
      </c>
      <c r="DY14" t="n">
        <v>141.783</v>
      </c>
      <c r="DZ14" t="n">
        <v>353</v>
      </c>
      <c r="EA14" t="n">
        <v>70.77200000000001</v>
      </c>
      <c r="EB14" t="n">
        <v>63.874</v>
      </c>
      <c r="EC14" t="n">
        <v>81.04900000000001</v>
      </c>
      <c r="ED14" t="n">
        <v>5.862</v>
      </c>
      <c r="EE14" t="n">
        <v>55.043</v>
      </c>
      <c r="EF14" t="n">
        <v>37.826</v>
      </c>
      <c r="EG14" t="n">
        <v>77.265</v>
      </c>
      <c r="EH14" t="n">
        <v>6018.087</v>
      </c>
      <c r="EI14" t="n">
        <v>17.048</v>
      </c>
      <c r="EJ14" t="n">
        <v>5713.893</v>
      </c>
      <c r="EK14" t="n">
        <v>27.271</v>
      </c>
      <c r="EL14" t="n">
        <v>137.856</v>
      </c>
      <c r="EM14" t="n">
        <v>0.976</v>
      </c>
      <c r="EN14" t="n">
        <v>56.652</v>
      </c>
      <c r="EO14" t="n">
        <v>6.231</v>
      </c>
      <c r="EP14" t="n">
        <v>62.609</v>
      </c>
      <c r="EQ14" t="n">
        <v>5.638</v>
      </c>
      <c r="ER14" t="n">
        <v>68.667</v>
      </c>
      <c r="ES14" t="n">
        <v>48.081</v>
      </c>
      <c r="ET14" t="n">
        <v>23.536</v>
      </c>
      <c r="EU14" t="n">
        <v>1.317</v>
      </c>
      <c r="EV14" t="n">
        <v>55.437</v>
      </c>
      <c r="EW14" t="n">
        <v>0.247</v>
      </c>
      <c r="EX14" t="n">
        <v>136.957</v>
      </c>
      <c r="EY14" t="n">
        <v>205.565</v>
      </c>
      <c r="EZ14" t="n">
        <v>342.522</v>
      </c>
      <c r="FA14" t="n">
        <v>39.985</v>
      </c>
      <c r="FB14" t="n">
        <v>66.39100000000001</v>
      </c>
      <c r="FC14" t="n">
        <v>93.17400000000001</v>
      </c>
      <c r="FD14" t="n">
        <v>16.783</v>
      </c>
      <c r="FE14" t="n">
        <v>24.652</v>
      </c>
      <c r="FF14" t="n">
        <v>68.52200000000001</v>
      </c>
      <c r="FG14" t="n">
        <v>83.739</v>
      </c>
      <c r="FH14" t="n">
        <v>58.739</v>
      </c>
      <c r="FI14" t="n">
        <v>8.696</v>
      </c>
      <c r="FJ14" t="n">
        <v>21.391</v>
      </c>
      <c r="FK14" t="n">
        <v>112.565</v>
      </c>
      <c r="FL14" t="n">
        <v>13.087</v>
      </c>
      <c r="FM14" t="n">
        <v>27</v>
      </c>
      <c r="FN14" t="n">
        <v>40.087</v>
      </c>
      <c r="FO14" t="n">
        <v>43.391</v>
      </c>
      <c r="FP14" t="n">
        <v>76.35299999999999</v>
      </c>
      <c r="FQ14" t="n">
        <v>80.17400000000001</v>
      </c>
      <c r="FR14" t="n">
        <v>9.435</v>
      </c>
      <c r="FS14" t="n">
        <v>12.522</v>
      </c>
      <c r="FT14" t="n">
        <v>22.749</v>
      </c>
      <c r="FU14" t="n">
        <v>14.87</v>
      </c>
      <c r="FV14" t="n">
        <v>6.87</v>
      </c>
      <c r="FW14" t="n">
        <v>13.478</v>
      </c>
      <c r="FX14" t="n">
        <v>12</v>
      </c>
      <c r="FY14" t="n">
        <v>92.87</v>
      </c>
      <c r="FZ14" t="n">
        <v>2.522</v>
      </c>
      <c r="GA14" t="n">
        <v>27.913</v>
      </c>
      <c r="GB14" t="n">
        <v>9.739000000000001</v>
      </c>
      <c r="GC14" t="n">
        <v>48.287</v>
      </c>
      <c r="GD14" t="n">
        <v>24.487</v>
      </c>
      <c r="GE14" t="n">
        <v>46.288</v>
      </c>
      <c r="GF14" t="n">
        <v>50.711</v>
      </c>
      <c r="GG14" t="n">
        <v>93.59399999999999</v>
      </c>
      <c r="GH14" t="n">
        <v>-3.246</v>
      </c>
      <c r="GI14" t="n">
        <v>3.353</v>
      </c>
      <c r="GJ14" t="n">
        <v>-0.116</v>
      </c>
      <c r="GK14" t="n">
        <v>3.71</v>
      </c>
      <c r="GL14" t="n">
        <v>-0.08799999999999999</v>
      </c>
      <c r="GM14" t="n">
        <v>2.946</v>
      </c>
      <c r="GN14" t="n">
        <v>-0.149</v>
      </c>
      <c r="GO14" t="n">
        <v>2.478</v>
      </c>
      <c r="GP14" t="n">
        <v>38.957</v>
      </c>
      <c r="GQ14" t="n">
        <v>51.435</v>
      </c>
      <c r="GR14" t="n">
        <v>31.087</v>
      </c>
      <c r="GS14" t="n">
        <v>50.043</v>
      </c>
      <c r="GT14" t="n">
        <v>11.739</v>
      </c>
      <c r="GU14" t="n">
        <v>21.991</v>
      </c>
      <c r="GV14" t="n">
        <v>22.147</v>
      </c>
      <c r="GW14" t="n">
        <v>8.606999999999999</v>
      </c>
      <c r="GX14" t="n">
        <v>29.756</v>
      </c>
      <c r="GY14" t="n">
        <v>12.203</v>
      </c>
      <c r="GZ14" t="n">
        <v>59.652</v>
      </c>
      <c r="HA14" t="n">
        <v>11.609</v>
      </c>
      <c r="HB14" t="n">
        <v>266.87</v>
      </c>
      <c r="HC14" t="n">
        <v>126.261</v>
      </c>
      <c r="HD14" t="n">
        <v>28.043</v>
      </c>
      <c r="HE14" t="n">
        <v>36.957</v>
      </c>
      <c r="HF14" t="n">
        <v>37.494</v>
      </c>
      <c r="HG14" t="n">
        <v>9.522</v>
      </c>
      <c r="HH14" t="n">
        <v>25.765</v>
      </c>
      <c r="HI14" t="n">
        <v>2.826</v>
      </c>
      <c r="HJ14" t="n">
        <v>46.235</v>
      </c>
      <c r="HK14" t="n">
        <v>42</v>
      </c>
      <c r="HL14" t="n">
        <v>10.435</v>
      </c>
      <c r="HM14" t="n">
        <v>92.5</v>
      </c>
      <c r="HN14" t="n">
        <v>6.217</v>
      </c>
      <c r="HO14" t="n">
        <v>40.478</v>
      </c>
      <c r="HP14" t="n">
        <v>69.95699999999999</v>
      </c>
      <c r="HQ14" t="n">
        <v>-21</v>
      </c>
      <c r="HR14" t="n">
        <v>-92</v>
      </c>
      <c r="HS14" t="n">
        <v>-35.565</v>
      </c>
      <c r="HT14" t="n">
        <v>-3.913</v>
      </c>
      <c r="HU14" t="n">
        <v>-0.391</v>
      </c>
      <c r="HV14" t="n">
        <v>-9.522</v>
      </c>
      <c r="HW14" t="n">
        <v>2.087</v>
      </c>
      <c r="HX14" t="n">
        <v>-7.435</v>
      </c>
      <c r="HY14" t="n">
        <v>-6.087</v>
      </c>
      <c r="HZ14" t="n">
        <v>-269.13</v>
      </c>
      <c r="IA14" t="n">
        <v>-380.258</v>
      </c>
      <c r="IB14" t="n">
        <v>106.148</v>
      </c>
      <c r="IC14" t="n">
        <v>4.174</v>
      </c>
      <c r="ID14" t="n">
        <v>3.522</v>
      </c>
      <c r="IE14" t="n">
        <v>-1.73</v>
      </c>
      <c r="IF14" t="n">
        <v>-0.663</v>
      </c>
      <c r="IG14" t="n">
        <v>-12.609</v>
      </c>
      <c r="IH14" t="n">
        <v>1.87</v>
      </c>
      <c r="II14" t="n">
        <v>-10.739</v>
      </c>
      <c r="IJ14" t="n">
        <v>-3.478</v>
      </c>
      <c r="IK14" t="n">
        <v>-8.696</v>
      </c>
      <c r="IL14" t="n">
        <v>-4.043</v>
      </c>
      <c r="IM14" t="n">
        <v>-3.652</v>
      </c>
      <c r="IN14" t="n">
        <v>-5</v>
      </c>
      <c r="IO14" t="n">
        <v>-10.13</v>
      </c>
      <c r="IP14" t="n">
        <v>-5.783</v>
      </c>
      <c r="IQ14" t="n">
        <v>0.826</v>
      </c>
      <c r="IR14" t="n">
        <v>-1.609</v>
      </c>
      <c r="IS14" t="n">
        <v>0.304</v>
      </c>
      <c r="IT14" t="n">
        <v>-2.652</v>
      </c>
      <c r="IU14" t="n">
        <v>0.391</v>
      </c>
      <c r="IV14" t="n">
        <v>-2.261</v>
      </c>
      <c r="IW14" t="n">
        <v>-1.174</v>
      </c>
      <c r="IX14" t="n">
        <v>2.783</v>
      </c>
      <c r="IY14" t="n">
        <v>-1.913</v>
      </c>
      <c r="IZ14" t="n">
        <v>-0.783</v>
      </c>
      <c r="JA14" t="n">
        <v>0.304</v>
      </c>
      <c r="JB14" t="n">
        <v>0.435</v>
      </c>
      <c r="JC14" t="n">
        <v>-2.87</v>
      </c>
      <c r="JD14" t="n">
        <v>-1.522</v>
      </c>
      <c r="JE14" t="n">
        <v>-18.739</v>
      </c>
      <c r="JF14" t="n">
        <v>-4.304</v>
      </c>
      <c r="JG14" t="n">
        <v>-2.217</v>
      </c>
      <c r="JH14" t="n">
        <v>-18.247</v>
      </c>
      <c r="JI14" t="n">
        <v>0.421</v>
      </c>
      <c r="JJ14" t="n">
        <v>-0.162</v>
      </c>
      <c r="JK14" t="n">
        <v>0.739</v>
      </c>
      <c r="JL14" t="n">
        <v>-6.87</v>
      </c>
      <c r="JM14" t="n">
        <v>-12.609</v>
      </c>
      <c r="JN14" t="n">
        <v>-4</v>
      </c>
      <c r="JO14" t="n">
        <v>-14.565</v>
      </c>
      <c r="JP14" t="n">
        <v>-0.174</v>
      </c>
      <c r="JQ14" t="n">
        <v>0.5649999999999999</v>
      </c>
      <c r="JR14" t="n">
        <v>-0.5649999999999999</v>
      </c>
      <c r="JS14" t="n">
        <v>8.042999999999999</v>
      </c>
      <c r="JT14" t="n">
        <v>14.652</v>
      </c>
      <c r="JU14" t="n">
        <v>2.261</v>
      </c>
      <c r="JV14" t="n">
        <v>4.913</v>
      </c>
      <c r="JW14" t="n">
        <v>1.174</v>
      </c>
      <c r="JX14" t="n">
        <v>0.043</v>
      </c>
      <c r="JY14" t="n">
        <v>-0.174</v>
      </c>
      <c r="JZ14" t="n">
        <v>1</v>
      </c>
      <c r="KA14" t="n">
        <v>-1.652</v>
      </c>
    </row>
    <row r="15">
      <c r="A15" t="inlineStr">
        <is>
          <t>Adelaide</t>
        </is>
      </c>
      <c r="B15" t="inlineStr">
        <is>
          <t>Adel</t>
        </is>
      </c>
      <c r="C15" t="n">
        <v>25</v>
      </c>
      <c r="D15" t="n">
        <v>37</v>
      </c>
      <c r="E15" t="n">
        <v>25.856</v>
      </c>
      <c r="F15" t="n">
        <v>100.268</v>
      </c>
      <c r="G15" t="n">
        <v>205.732</v>
      </c>
      <c r="H15" t="n">
        <v>1717.96</v>
      </c>
      <c r="I15" t="n">
        <v>1542.24</v>
      </c>
      <c r="J15" t="n">
        <v>18.08</v>
      </c>
      <c r="K15" t="n">
        <v>50.541</v>
      </c>
      <c r="L15" t="n">
        <v>41.12</v>
      </c>
      <c r="M15" t="n">
        <v>220.6</v>
      </c>
      <c r="N15" t="n">
        <v>128.88</v>
      </c>
      <c r="O15" t="n">
        <v>349.48</v>
      </c>
      <c r="P15" t="n">
        <v>70.551</v>
      </c>
      <c r="Q15" t="n">
        <v>64.40600000000001</v>
      </c>
      <c r="R15" t="n">
        <v>81.068</v>
      </c>
      <c r="S15" t="n">
        <v>63.122</v>
      </c>
      <c r="T15" t="n">
        <v>5.794</v>
      </c>
      <c r="U15" t="n">
        <v>53.44</v>
      </c>
      <c r="V15" t="n">
        <v>39.76</v>
      </c>
      <c r="W15" t="n">
        <v>78.083</v>
      </c>
      <c r="X15" t="n">
        <v>6067.68</v>
      </c>
      <c r="Y15" t="n">
        <v>17.362</v>
      </c>
      <c r="Z15" t="n">
        <v>5900.471</v>
      </c>
      <c r="AA15" t="n">
        <v>26.894</v>
      </c>
      <c r="AB15" t="n">
        <v>79.895</v>
      </c>
      <c r="AC15" t="n">
        <v>0.622</v>
      </c>
      <c r="AD15" t="n">
        <v>61.84</v>
      </c>
      <c r="AE15" t="n">
        <v>5.651</v>
      </c>
      <c r="AF15" t="n">
        <v>67.95999999999999</v>
      </c>
      <c r="AG15" t="n">
        <v>5.142</v>
      </c>
      <c r="AH15" t="n">
        <v>68.611</v>
      </c>
      <c r="AI15" t="n">
        <v>48.913</v>
      </c>
      <c r="AJ15" t="n">
        <v>22.697</v>
      </c>
      <c r="AK15" t="n">
        <v>2.136</v>
      </c>
      <c r="AL15" t="n">
        <v>55.289</v>
      </c>
      <c r="AM15" t="n">
        <v>1.137</v>
      </c>
      <c r="AN15" t="n">
        <v>137.52</v>
      </c>
      <c r="AO15" t="n">
        <v>202.16</v>
      </c>
      <c r="AP15" t="n">
        <v>339.68</v>
      </c>
      <c r="AQ15" t="n">
        <v>40.485</v>
      </c>
      <c r="AR15" t="n">
        <v>70.48</v>
      </c>
      <c r="AS15" t="n">
        <v>91.56</v>
      </c>
      <c r="AT15" t="n">
        <v>14.68</v>
      </c>
      <c r="AU15" t="n">
        <v>24.84</v>
      </c>
      <c r="AV15" t="n">
        <v>66.72</v>
      </c>
      <c r="AW15" t="n">
        <v>88.72</v>
      </c>
      <c r="AX15" t="n">
        <v>61.68</v>
      </c>
      <c r="AY15" t="n">
        <v>10.6</v>
      </c>
      <c r="AZ15" t="n">
        <v>22.44</v>
      </c>
      <c r="BA15" t="n">
        <v>101.84</v>
      </c>
      <c r="BB15" t="n">
        <v>11.8</v>
      </c>
      <c r="BC15" t="n">
        <v>26.44</v>
      </c>
      <c r="BD15" t="n">
        <v>38.24</v>
      </c>
      <c r="BE15" t="n">
        <v>40.56</v>
      </c>
      <c r="BF15" t="n">
        <v>76.43000000000001</v>
      </c>
      <c r="BG15" t="n">
        <v>88.72</v>
      </c>
      <c r="BH15" t="n">
        <v>11</v>
      </c>
      <c r="BI15" t="n">
        <v>11.68</v>
      </c>
      <c r="BJ15" t="n">
        <v>21.856</v>
      </c>
      <c r="BK15" t="n">
        <v>16.56</v>
      </c>
      <c r="BL15" t="n">
        <v>6.8</v>
      </c>
      <c r="BM15" t="n">
        <v>25</v>
      </c>
      <c r="BN15" t="n">
        <v>8.08</v>
      </c>
      <c r="BO15" t="n">
        <v>14.28</v>
      </c>
      <c r="BP15" t="n">
        <v>10.32</v>
      </c>
      <c r="BQ15" t="n">
        <v>96</v>
      </c>
      <c r="BR15" t="n">
        <v>2</v>
      </c>
      <c r="BS15" t="n">
        <v>27.2</v>
      </c>
      <c r="BT15" t="n">
        <v>11.16</v>
      </c>
      <c r="BU15" t="n">
        <v>52.5</v>
      </c>
      <c r="BV15" t="n">
        <v>26.722</v>
      </c>
      <c r="BW15" t="n">
        <v>46.033</v>
      </c>
      <c r="BX15" t="n">
        <v>50.898</v>
      </c>
      <c r="BY15" t="n">
        <v>12</v>
      </c>
      <c r="BZ15" t="n">
        <v>30</v>
      </c>
      <c r="CA15" t="n">
        <v>15.106</v>
      </c>
      <c r="CB15" t="n">
        <v>2.894</v>
      </c>
      <c r="CC15" t="n">
        <v>87.59099999999999</v>
      </c>
      <c r="CD15" t="n">
        <v>6.409</v>
      </c>
      <c r="CE15" t="n">
        <v>3.22</v>
      </c>
      <c r="CF15" t="n">
        <v>0.236</v>
      </c>
      <c r="CG15" t="n">
        <v>3.565</v>
      </c>
      <c r="CH15" t="n">
        <v>0.38</v>
      </c>
      <c r="CI15" t="n">
        <v>2.872</v>
      </c>
      <c r="CJ15" t="n">
        <v>0.09</v>
      </c>
      <c r="CK15" t="n">
        <v>4.04</v>
      </c>
      <c r="CL15" t="n">
        <v>34.36</v>
      </c>
      <c r="CM15" t="n">
        <v>57.6</v>
      </c>
      <c r="CN15" t="n">
        <v>39.44</v>
      </c>
      <c r="CO15" t="n">
        <v>45.8</v>
      </c>
      <c r="CP15" t="n">
        <v>10.76</v>
      </c>
      <c r="CQ15" t="n">
        <v>20.703</v>
      </c>
      <c r="CR15" t="n">
        <v>21.298</v>
      </c>
      <c r="CS15" t="n">
        <v>9.146000000000001</v>
      </c>
      <c r="CT15" t="n">
        <v>29.432</v>
      </c>
      <c r="CU15" t="n">
        <v>12.856</v>
      </c>
      <c r="CV15" t="n">
        <v>11.68</v>
      </c>
      <c r="CW15" t="n">
        <v>23.63</v>
      </c>
      <c r="CX15" t="n">
        <v>64.04000000000001</v>
      </c>
      <c r="CY15" t="n">
        <v>9.720000000000001</v>
      </c>
      <c r="CZ15" t="n">
        <v>270.88</v>
      </c>
      <c r="DA15" t="n">
        <v>127.44</v>
      </c>
      <c r="DB15" t="n">
        <v>30.64</v>
      </c>
      <c r="DC15" t="n">
        <v>99.68000000000001</v>
      </c>
      <c r="DD15" t="n">
        <v>46.36</v>
      </c>
      <c r="DE15" t="n">
        <v>46.509</v>
      </c>
      <c r="DF15" t="n">
        <v>11.84</v>
      </c>
      <c r="DG15" t="n">
        <v>25.539</v>
      </c>
      <c r="DH15" t="n">
        <v>1.76</v>
      </c>
      <c r="DI15" t="n">
        <v>43.054</v>
      </c>
      <c r="DJ15" t="n">
        <v>40.466</v>
      </c>
      <c r="DK15" t="n">
        <v>21.68</v>
      </c>
      <c r="DL15" t="n">
        <v>20.56</v>
      </c>
      <c r="DM15" t="n">
        <v>1.12</v>
      </c>
      <c r="DN15" t="n">
        <v>10.28</v>
      </c>
      <c r="DO15" t="n">
        <v>88.71599999999999</v>
      </c>
      <c r="DP15" t="n">
        <v>4.56</v>
      </c>
      <c r="DQ15" t="n">
        <v>43.96</v>
      </c>
      <c r="DR15" t="n">
        <v>71.23999999999999</v>
      </c>
      <c r="DS15" t="n">
        <v>182.144</v>
      </c>
      <c r="DT15" t="n">
        <v>1582</v>
      </c>
      <c r="DU15" t="n">
        <v>1423.2</v>
      </c>
      <c r="DV15" t="n">
        <v>11.92</v>
      </c>
      <c r="DW15" t="n">
        <v>40.24</v>
      </c>
      <c r="DX15" t="n">
        <v>203.04</v>
      </c>
      <c r="DY15" t="n">
        <v>139.6</v>
      </c>
      <c r="DZ15" t="n">
        <v>342.64</v>
      </c>
      <c r="EA15" t="n">
        <v>69.402</v>
      </c>
      <c r="EB15" t="n">
        <v>61.86</v>
      </c>
      <c r="EC15" t="n">
        <v>80.372</v>
      </c>
      <c r="ED15" t="n">
        <v>5.35</v>
      </c>
      <c r="EE15" t="n">
        <v>50.92</v>
      </c>
      <c r="EF15" t="n">
        <v>38.72</v>
      </c>
      <c r="EG15" t="n">
        <v>72.455</v>
      </c>
      <c r="EH15" t="n">
        <v>5828.72</v>
      </c>
      <c r="EI15" t="n">
        <v>17.011</v>
      </c>
      <c r="EJ15" t="n">
        <v>5464.798</v>
      </c>
      <c r="EK15" t="n">
        <v>27.15</v>
      </c>
      <c r="EL15" t="n">
        <v>145.294</v>
      </c>
      <c r="EM15" t="n">
        <v>1.046</v>
      </c>
      <c r="EN15" t="n">
        <v>61.44</v>
      </c>
      <c r="EO15" t="n">
        <v>5.577</v>
      </c>
      <c r="EP15" t="n">
        <v>70.36</v>
      </c>
      <c r="EQ15" t="n">
        <v>4.87</v>
      </c>
      <c r="ER15" t="n">
        <v>66.464</v>
      </c>
      <c r="ES15" t="n">
        <v>43.231</v>
      </c>
      <c r="ET15" t="n">
        <v>23.383</v>
      </c>
      <c r="EU15" t="n">
        <v>-2.965</v>
      </c>
      <c r="EV15" t="n">
        <v>55.745</v>
      </c>
      <c r="EW15" t="n">
        <v>-4.205</v>
      </c>
      <c r="EX15" t="n">
        <v>135</v>
      </c>
      <c r="EY15" t="n">
        <v>199</v>
      </c>
      <c r="EZ15" t="n">
        <v>334</v>
      </c>
      <c r="FA15" t="n">
        <v>40.419</v>
      </c>
      <c r="FB15" t="n">
        <v>68.23999999999999</v>
      </c>
      <c r="FC15" t="n">
        <v>92.52</v>
      </c>
      <c r="FD15" t="n">
        <v>15.4</v>
      </c>
      <c r="FE15" t="n">
        <v>24.28</v>
      </c>
      <c r="FF15" t="n">
        <v>68.28</v>
      </c>
      <c r="FG15" t="n">
        <v>81.84</v>
      </c>
      <c r="FH15" t="n">
        <v>57.88</v>
      </c>
      <c r="FI15" t="n">
        <v>9.119999999999999</v>
      </c>
      <c r="FJ15" t="n">
        <v>22.28</v>
      </c>
      <c r="FK15" t="n">
        <v>108.96</v>
      </c>
      <c r="FL15" t="n">
        <v>11.88</v>
      </c>
      <c r="FM15" t="n">
        <v>28.24</v>
      </c>
      <c r="FN15" t="n">
        <v>40.12</v>
      </c>
      <c r="FO15" t="n">
        <v>44.88</v>
      </c>
      <c r="FP15" t="n">
        <v>75.223</v>
      </c>
      <c r="FQ15" t="n">
        <v>77.28</v>
      </c>
      <c r="FR15" t="n">
        <v>7.76</v>
      </c>
      <c r="FS15" t="n">
        <v>9.08</v>
      </c>
      <c r="FT15" t="n">
        <v>17.832</v>
      </c>
      <c r="FU15" t="n">
        <v>15.4</v>
      </c>
      <c r="FV15" t="n">
        <v>7.04</v>
      </c>
      <c r="FW15" t="n">
        <v>10.36</v>
      </c>
      <c r="FX15" t="n">
        <v>10.44</v>
      </c>
      <c r="FY15" t="n">
        <v>72.59999999999999</v>
      </c>
      <c r="FZ15" t="n">
        <v>2.12</v>
      </c>
      <c r="GA15" t="n">
        <v>23.16</v>
      </c>
      <c r="GB15" t="n">
        <v>7.04</v>
      </c>
      <c r="GC15" t="n">
        <v>44.732</v>
      </c>
      <c r="GD15" t="n">
        <v>20.346</v>
      </c>
      <c r="GE15" t="n">
        <v>40.848</v>
      </c>
      <c r="GF15" t="n">
        <v>45.483</v>
      </c>
      <c r="GG15" t="n">
        <v>74.18899999999999</v>
      </c>
      <c r="GH15" t="n">
        <v>-3.709</v>
      </c>
      <c r="GI15" t="n">
        <v>3.203</v>
      </c>
      <c r="GJ15" t="n">
        <v>-0.16</v>
      </c>
      <c r="GK15" t="n">
        <v>3.475</v>
      </c>
      <c r="GL15" t="n">
        <v>-0.075</v>
      </c>
      <c r="GM15" t="n">
        <v>2.912</v>
      </c>
      <c r="GN15" t="n">
        <v>-0.252</v>
      </c>
      <c r="GO15" t="n">
        <v>3.08</v>
      </c>
      <c r="GP15" t="n">
        <v>28.8</v>
      </c>
      <c r="GQ15" t="n">
        <v>40.72</v>
      </c>
      <c r="GR15" t="n">
        <v>21.48</v>
      </c>
      <c r="GS15" t="n">
        <v>40.68</v>
      </c>
      <c r="GT15" t="n">
        <v>10.44</v>
      </c>
      <c r="GU15" t="n">
        <v>17.787</v>
      </c>
      <c r="GV15" t="n">
        <v>18.718</v>
      </c>
      <c r="GW15" t="n">
        <v>7.039</v>
      </c>
      <c r="GX15" t="n">
        <v>26.316</v>
      </c>
      <c r="GY15" t="n">
        <v>9.49</v>
      </c>
      <c r="GZ15" t="n">
        <v>60.32</v>
      </c>
      <c r="HA15" t="n">
        <v>10.24</v>
      </c>
      <c r="HB15" t="n">
        <v>264.56</v>
      </c>
      <c r="HC15" t="n">
        <v>127.8</v>
      </c>
      <c r="HD15" t="n">
        <v>33.92</v>
      </c>
      <c r="HE15" t="n">
        <v>35.64</v>
      </c>
      <c r="HF15" t="n">
        <v>35.711</v>
      </c>
      <c r="HG15" t="n">
        <v>9.84</v>
      </c>
      <c r="HH15" t="n">
        <v>27.609</v>
      </c>
      <c r="HI15" t="n">
        <v>2.16</v>
      </c>
      <c r="HJ15" t="n">
        <v>47.699</v>
      </c>
      <c r="HK15" t="n">
        <v>42.873</v>
      </c>
      <c r="HL15" t="n">
        <v>10.2</v>
      </c>
      <c r="HM15" t="n">
        <v>90.98</v>
      </c>
      <c r="HN15" t="n">
        <v>6.36</v>
      </c>
      <c r="HO15" t="n">
        <v>46.08</v>
      </c>
      <c r="HP15" t="n">
        <v>70</v>
      </c>
      <c r="HQ15" t="n">
        <v>23.588</v>
      </c>
      <c r="HR15" t="n">
        <v>135.96</v>
      </c>
      <c r="HS15" t="n">
        <v>119.04</v>
      </c>
      <c r="HT15" t="n">
        <v>6.16</v>
      </c>
      <c r="HU15" t="n">
        <v>0.88</v>
      </c>
      <c r="HV15" t="n">
        <v>17.56</v>
      </c>
      <c r="HW15" t="n">
        <v>-10.72</v>
      </c>
      <c r="HX15" t="n">
        <v>6.84</v>
      </c>
      <c r="HY15" t="n">
        <v>2.52</v>
      </c>
      <c r="HZ15" t="n">
        <v>238.96</v>
      </c>
      <c r="IA15" t="n">
        <v>435.673</v>
      </c>
      <c r="IB15" t="n">
        <v>-65.398</v>
      </c>
      <c r="IC15" t="n">
        <v>0.4</v>
      </c>
      <c r="ID15" t="n">
        <v>-2.4</v>
      </c>
      <c r="IE15" t="n">
        <v>5.101</v>
      </c>
      <c r="IF15" t="n">
        <v>5.343</v>
      </c>
      <c r="IG15" t="n">
        <v>2.52</v>
      </c>
      <c r="IH15" t="n">
        <v>3.16</v>
      </c>
      <c r="II15" t="n">
        <v>5.68</v>
      </c>
      <c r="IJ15" t="n">
        <v>2.24</v>
      </c>
      <c r="IK15" t="n">
        <v>-0.96</v>
      </c>
      <c r="IL15" t="n">
        <v>-0.72</v>
      </c>
      <c r="IM15" t="n">
        <v>0.5600000000000001</v>
      </c>
      <c r="IN15" t="n">
        <v>-1.56</v>
      </c>
      <c r="IO15" t="n">
        <v>6.88</v>
      </c>
      <c r="IP15" t="n">
        <v>3.8</v>
      </c>
      <c r="IQ15" t="n">
        <v>1.48</v>
      </c>
      <c r="IR15" t="n">
        <v>0.16</v>
      </c>
      <c r="IS15" t="n">
        <v>-7.12</v>
      </c>
      <c r="IT15" t="n">
        <v>-0.08</v>
      </c>
      <c r="IU15" t="n">
        <v>-1.8</v>
      </c>
      <c r="IV15" t="n">
        <v>-1.88</v>
      </c>
      <c r="IW15" t="n">
        <v>-4.32</v>
      </c>
      <c r="IX15" t="n">
        <v>11.44</v>
      </c>
      <c r="IY15" t="n">
        <v>3.24</v>
      </c>
      <c r="IZ15" t="n">
        <v>2.6</v>
      </c>
      <c r="JA15" t="n">
        <v>1.16</v>
      </c>
      <c r="JB15" t="n">
        <v>-0.24</v>
      </c>
      <c r="JC15" t="n">
        <v>3.92</v>
      </c>
      <c r="JD15" t="n">
        <v>-0.12</v>
      </c>
      <c r="JE15" t="n">
        <v>23.4</v>
      </c>
      <c r="JF15" t="n">
        <v>4.04</v>
      </c>
      <c r="JG15" t="n">
        <v>4.12</v>
      </c>
      <c r="JH15" t="n">
        <v>13.402</v>
      </c>
      <c r="JI15" t="n">
        <v>10.118</v>
      </c>
      <c r="JJ15" t="n">
        <v>0.017</v>
      </c>
      <c r="JK15" t="n">
        <v>0.96</v>
      </c>
      <c r="JL15" t="n">
        <v>5.56</v>
      </c>
      <c r="JM15" t="n">
        <v>16.88</v>
      </c>
      <c r="JN15" t="n">
        <v>17.96</v>
      </c>
      <c r="JO15" t="n">
        <v>5.12</v>
      </c>
      <c r="JP15" t="n">
        <v>0.32</v>
      </c>
      <c r="JQ15" t="n">
        <v>3.72</v>
      </c>
      <c r="JR15" t="n">
        <v>-0.52</v>
      </c>
      <c r="JS15" t="n">
        <v>6.32</v>
      </c>
      <c r="JT15" t="n">
        <v>-0.36</v>
      </c>
      <c r="JU15" t="n">
        <v>-3.28</v>
      </c>
      <c r="JV15" t="n">
        <v>10.72</v>
      </c>
      <c r="JW15" t="n">
        <v>2</v>
      </c>
      <c r="JX15" t="n">
        <v>-0.4</v>
      </c>
      <c r="JY15" t="n">
        <v>-1.8</v>
      </c>
      <c r="JZ15" t="n">
        <v>-2.12</v>
      </c>
      <c r="KA15" t="n">
        <v>1.24</v>
      </c>
    </row>
    <row r="16">
      <c r="A16" t="inlineStr">
        <is>
          <t>St Kilda</t>
        </is>
      </c>
      <c r="B16" t="inlineStr">
        <is>
          <t>St K</t>
        </is>
      </c>
      <c r="C16" t="n">
        <v>23</v>
      </c>
      <c r="D16" t="n">
        <v>39</v>
      </c>
      <c r="E16" t="n">
        <v>25.257</v>
      </c>
      <c r="F16" t="n">
        <v>97.476</v>
      </c>
      <c r="G16" t="n">
        <v>193</v>
      </c>
      <c r="H16" t="n">
        <v>1624.174</v>
      </c>
      <c r="I16" t="n">
        <v>1533.87</v>
      </c>
      <c r="J16" t="n">
        <v>13.13</v>
      </c>
      <c r="K16" t="n">
        <v>47.621</v>
      </c>
      <c r="L16" t="n">
        <v>39.609</v>
      </c>
      <c r="M16" t="n">
        <v>215.304</v>
      </c>
      <c r="N16" t="n">
        <v>143.609</v>
      </c>
      <c r="O16" t="n">
        <v>358.913</v>
      </c>
      <c r="P16" t="n">
        <v>72.574</v>
      </c>
      <c r="Q16" t="n">
        <v>65.953</v>
      </c>
      <c r="R16" t="n">
        <v>82.501</v>
      </c>
      <c r="S16" t="n">
        <v>59.988</v>
      </c>
      <c r="T16" t="n">
        <v>5.733</v>
      </c>
      <c r="U16" t="n">
        <v>48.217</v>
      </c>
      <c r="V16" t="n">
        <v>38.087</v>
      </c>
      <c r="W16" t="n">
        <v>73.55200000000001</v>
      </c>
      <c r="X16" t="n">
        <v>5588.87</v>
      </c>
      <c r="Y16" t="n">
        <v>15.572</v>
      </c>
      <c r="Z16" t="n">
        <v>5299.26</v>
      </c>
      <c r="AA16" t="n">
        <v>24.783</v>
      </c>
      <c r="AB16" t="n">
        <v>120.759</v>
      </c>
      <c r="AC16" t="n">
        <v>0.844</v>
      </c>
      <c r="AD16" t="n">
        <v>57.913</v>
      </c>
      <c r="AE16" t="n">
        <v>6.197</v>
      </c>
      <c r="AF16" t="n">
        <v>60.348</v>
      </c>
      <c r="AG16" t="n">
        <v>5.947</v>
      </c>
      <c r="AH16" t="n">
        <v>71.06999999999999</v>
      </c>
      <c r="AI16" t="n">
        <v>49.512</v>
      </c>
      <c r="AJ16" t="n">
        <v>23.23</v>
      </c>
      <c r="AK16" t="n">
        <v>1.693</v>
      </c>
      <c r="AL16" t="n">
        <v>58.737</v>
      </c>
      <c r="AM16" t="n">
        <v>1.809</v>
      </c>
      <c r="AN16" t="n">
        <v>127.565</v>
      </c>
      <c r="AO16" t="n">
        <v>222.435</v>
      </c>
      <c r="AP16" t="n">
        <v>350</v>
      </c>
      <c r="AQ16" t="n">
        <v>36.447</v>
      </c>
      <c r="AR16" t="n">
        <v>59</v>
      </c>
      <c r="AS16" t="n">
        <v>89.04300000000001</v>
      </c>
      <c r="AT16" t="n">
        <v>14.261</v>
      </c>
      <c r="AU16" t="n">
        <v>21.957</v>
      </c>
      <c r="AV16" t="n">
        <v>67.13</v>
      </c>
      <c r="AW16" t="n">
        <v>75.82599999999999</v>
      </c>
      <c r="AX16" t="n">
        <v>53.739</v>
      </c>
      <c r="AY16" t="n">
        <v>7.174</v>
      </c>
      <c r="AZ16" t="n">
        <v>20.913</v>
      </c>
      <c r="BA16" t="n">
        <v>115.652</v>
      </c>
      <c r="BB16" t="n">
        <v>11.174</v>
      </c>
      <c r="BC16" t="n">
        <v>26.565</v>
      </c>
      <c r="BD16" t="n">
        <v>37.739</v>
      </c>
      <c r="BE16" t="n">
        <v>43</v>
      </c>
      <c r="BF16" t="n">
        <v>74.82299999999999</v>
      </c>
      <c r="BG16" t="n">
        <v>93.435</v>
      </c>
      <c r="BH16" t="n">
        <v>7.739</v>
      </c>
      <c r="BI16" t="n">
        <v>11.565</v>
      </c>
      <c r="BJ16" t="n">
        <v>23.986</v>
      </c>
      <c r="BK16" t="n">
        <v>12.304</v>
      </c>
      <c r="BL16" t="n">
        <v>8.391</v>
      </c>
      <c r="BM16" t="n">
        <v>27</v>
      </c>
      <c r="BN16" t="n">
        <v>7.348</v>
      </c>
      <c r="BO16" t="n">
        <v>11.652</v>
      </c>
      <c r="BP16" t="n">
        <v>10.043</v>
      </c>
      <c r="BQ16" t="n">
        <v>79.95699999999999</v>
      </c>
      <c r="BR16" t="n">
        <v>1.783</v>
      </c>
      <c r="BS16" t="n">
        <v>23.957</v>
      </c>
      <c r="BT16" t="n">
        <v>9.130000000000001</v>
      </c>
      <c r="BU16" t="n">
        <v>48.639</v>
      </c>
      <c r="BV16" t="n">
        <v>24.166</v>
      </c>
      <c r="BW16" t="n">
        <v>44.995</v>
      </c>
      <c r="BX16" t="n">
        <v>49.684</v>
      </c>
      <c r="BY16" t="n">
        <v>11.435</v>
      </c>
      <c r="BZ16" t="n">
        <v>25.856</v>
      </c>
      <c r="CA16" t="n">
        <v>8.585000000000001</v>
      </c>
      <c r="CB16" t="n">
        <v>0.415</v>
      </c>
      <c r="CC16" t="n">
        <v>79.31</v>
      </c>
      <c r="CD16" t="n">
        <v>-1.137</v>
      </c>
      <c r="CE16" t="n">
        <v>3.311</v>
      </c>
      <c r="CF16" t="n">
        <v>-0.047</v>
      </c>
      <c r="CG16" t="n">
        <v>3.557</v>
      </c>
      <c r="CH16" t="n">
        <v>-0.279</v>
      </c>
      <c r="CI16" t="n">
        <v>3.018</v>
      </c>
      <c r="CJ16" t="n">
        <v>0.228</v>
      </c>
      <c r="CK16" t="n">
        <v>2.826</v>
      </c>
      <c r="CL16" t="n">
        <v>31.652</v>
      </c>
      <c r="CM16" t="n">
        <v>45.478</v>
      </c>
      <c r="CN16" t="n">
        <v>34.696</v>
      </c>
      <c r="CO16" t="n">
        <v>35.217</v>
      </c>
      <c r="CP16" t="n">
        <v>10.043</v>
      </c>
      <c r="CQ16" t="n">
        <v>20.279</v>
      </c>
      <c r="CR16" t="n">
        <v>20.847</v>
      </c>
      <c r="CS16" t="n">
        <v>9.782999999999999</v>
      </c>
      <c r="CT16" t="n">
        <v>29.703</v>
      </c>
      <c r="CU16" t="n">
        <v>13.738</v>
      </c>
      <c r="CV16" t="n">
        <v>9.522</v>
      </c>
      <c r="CW16" t="n">
        <v>29.224</v>
      </c>
      <c r="CX16" t="n">
        <v>62.217</v>
      </c>
      <c r="CY16" t="n">
        <v>10.913</v>
      </c>
      <c r="CZ16" t="n">
        <v>257.783</v>
      </c>
      <c r="DA16" t="n">
        <v>128.391</v>
      </c>
      <c r="DB16" t="n">
        <v>29.261</v>
      </c>
      <c r="DC16" t="n">
        <v>100.174</v>
      </c>
      <c r="DD16" t="n">
        <v>32.522</v>
      </c>
      <c r="DE16" t="n">
        <v>32.465</v>
      </c>
      <c r="DF16" t="n">
        <v>8.042999999999999</v>
      </c>
      <c r="DG16" t="n">
        <v>24.733</v>
      </c>
      <c r="DH16" t="n">
        <v>2.522</v>
      </c>
      <c r="DI16" t="n">
        <v>45.794</v>
      </c>
      <c r="DJ16" t="n">
        <v>36.849</v>
      </c>
      <c r="DK16" t="n">
        <v>18.913</v>
      </c>
      <c r="DL16" t="n">
        <v>19.391</v>
      </c>
      <c r="DM16" t="n">
        <v>-0.478</v>
      </c>
      <c r="DN16" t="n">
        <v>11.565</v>
      </c>
      <c r="DO16" t="n">
        <v>97.744</v>
      </c>
      <c r="DP16" t="n">
        <v>8.130000000000001</v>
      </c>
      <c r="DQ16" t="n">
        <v>39.957</v>
      </c>
      <c r="DR16" t="n">
        <v>70.60899999999999</v>
      </c>
      <c r="DS16" t="n">
        <v>200.017</v>
      </c>
      <c r="DT16" t="n">
        <v>1676.391</v>
      </c>
      <c r="DU16" t="n">
        <v>1555.304</v>
      </c>
      <c r="DV16" t="n">
        <v>16.87</v>
      </c>
      <c r="DW16" t="n">
        <v>41.957</v>
      </c>
      <c r="DX16" t="n">
        <v>210.522</v>
      </c>
      <c r="DY16" t="n">
        <v>139.652</v>
      </c>
      <c r="DZ16" t="n">
        <v>350.174</v>
      </c>
      <c r="EA16" t="n">
        <v>74.758</v>
      </c>
      <c r="EB16" t="n">
        <v>70.157</v>
      </c>
      <c r="EC16" t="n">
        <v>81.694</v>
      </c>
      <c r="ED16" t="n">
        <v>5.628</v>
      </c>
      <c r="EE16" t="n">
        <v>51.783</v>
      </c>
      <c r="EF16" t="n">
        <v>35.783</v>
      </c>
      <c r="EG16" t="n">
        <v>74.211</v>
      </c>
      <c r="EH16" t="n">
        <v>5677.217</v>
      </c>
      <c r="EI16" t="n">
        <v>16.213</v>
      </c>
      <c r="EJ16" t="n">
        <v>5431.498</v>
      </c>
      <c r="EK16" t="n">
        <v>25.923</v>
      </c>
      <c r="EL16" t="n">
        <v>133.824</v>
      </c>
      <c r="EM16" t="n">
        <v>0.961</v>
      </c>
      <c r="EN16" t="n">
        <v>51.391</v>
      </c>
      <c r="EO16" t="n">
        <v>6.814</v>
      </c>
      <c r="EP16" t="n">
        <v>58.522</v>
      </c>
      <c r="EQ16" t="n">
        <v>5.984</v>
      </c>
      <c r="ER16" t="n">
        <v>71.054</v>
      </c>
      <c r="ES16" t="n">
        <v>49.746</v>
      </c>
      <c r="ET16" t="n">
        <v>23.47</v>
      </c>
      <c r="EU16" t="n">
        <v>2.88</v>
      </c>
      <c r="EV16" t="n">
        <v>58.651</v>
      </c>
      <c r="EW16" t="n">
        <v>1.986</v>
      </c>
      <c r="EX16" t="n">
        <v>124</v>
      </c>
      <c r="EY16" t="n">
        <v>218.696</v>
      </c>
      <c r="EZ16" t="n">
        <v>342.696</v>
      </c>
      <c r="FA16" t="n">
        <v>36.184</v>
      </c>
      <c r="FB16" t="n">
        <v>60.522</v>
      </c>
      <c r="FC16" t="n">
        <v>77.739</v>
      </c>
      <c r="FD16" t="n">
        <v>15.043</v>
      </c>
      <c r="FE16" t="n">
        <v>20.739</v>
      </c>
      <c r="FF16" t="n">
        <v>57.043</v>
      </c>
      <c r="FG16" t="n">
        <v>74.739</v>
      </c>
      <c r="FH16" t="n">
        <v>50.826</v>
      </c>
      <c r="FI16" t="n">
        <v>10.348</v>
      </c>
      <c r="FJ16" t="n">
        <v>19.522</v>
      </c>
      <c r="FK16" t="n">
        <v>111.217</v>
      </c>
      <c r="FL16" t="n">
        <v>12.348</v>
      </c>
      <c r="FM16" t="n">
        <v>24.391</v>
      </c>
      <c r="FN16" t="n">
        <v>36.739</v>
      </c>
      <c r="FO16" t="n">
        <v>39.609</v>
      </c>
      <c r="FP16" t="n">
        <v>75.30200000000001</v>
      </c>
      <c r="FQ16" t="n">
        <v>99.17400000000001</v>
      </c>
      <c r="FR16" t="n">
        <v>11.13</v>
      </c>
      <c r="FS16" t="n">
        <v>13.783</v>
      </c>
      <c r="FT16" t="n">
        <v>26.616</v>
      </c>
      <c r="FU16" t="n">
        <v>16.826</v>
      </c>
      <c r="FV16" t="n">
        <v>8.913</v>
      </c>
      <c r="FW16" t="n">
        <v>13.087</v>
      </c>
      <c r="FX16" t="n">
        <v>11.783</v>
      </c>
      <c r="FY16" t="n">
        <v>90.304</v>
      </c>
      <c r="FZ16" t="n">
        <v>2.565</v>
      </c>
      <c r="GA16" t="n">
        <v>26.652</v>
      </c>
      <c r="GB16" t="n">
        <v>9.522</v>
      </c>
      <c r="GC16" t="n">
        <v>49.103</v>
      </c>
      <c r="GD16" t="n">
        <v>25.273</v>
      </c>
      <c r="GE16" t="n">
        <v>48.027</v>
      </c>
      <c r="GF16" t="n">
        <v>51.469</v>
      </c>
      <c r="GG16" t="n">
        <v>87.34</v>
      </c>
      <c r="GH16" t="n">
        <v>0.399</v>
      </c>
      <c r="GI16" t="n">
        <v>3.277</v>
      </c>
      <c r="GJ16" t="n">
        <v>0.015</v>
      </c>
      <c r="GK16" t="n">
        <v>3.514</v>
      </c>
      <c r="GL16" t="n">
        <v>0.11</v>
      </c>
      <c r="GM16" t="n">
        <v>2.946</v>
      </c>
      <c r="GN16" t="n">
        <v>-0.118</v>
      </c>
      <c r="GO16" t="n">
        <v>4</v>
      </c>
      <c r="GP16" t="n">
        <v>36.565</v>
      </c>
      <c r="GQ16" t="n">
        <v>49.739</v>
      </c>
      <c r="GR16" t="n">
        <v>35.783</v>
      </c>
      <c r="GS16" t="n">
        <v>42.652</v>
      </c>
      <c r="GT16" t="n">
        <v>11.87</v>
      </c>
      <c r="GU16" t="n">
        <v>23.007</v>
      </c>
      <c r="GV16" t="n">
        <v>21.507</v>
      </c>
      <c r="GW16" t="n">
        <v>9.478</v>
      </c>
      <c r="GX16" t="n">
        <v>30.478</v>
      </c>
      <c r="GY16" t="n">
        <v>14.51</v>
      </c>
      <c r="GZ16" t="n">
        <v>62.609</v>
      </c>
      <c r="HA16" t="n">
        <v>13.174</v>
      </c>
      <c r="HB16" t="n">
        <v>267.391</v>
      </c>
      <c r="HC16" t="n">
        <v>120.304</v>
      </c>
      <c r="HD16" t="n">
        <v>28.13</v>
      </c>
      <c r="HE16" t="n">
        <v>45.826</v>
      </c>
      <c r="HF16" t="n">
        <v>45.727</v>
      </c>
      <c r="HG16" t="n">
        <v>11.435</v>
      </c>
      <c r="HH16" t="n">
        <v>24.953</v>
      </c>
      <c r="HI16" t="n">
        <v>4.435</v>
      </c>
      <c r="HJ16" t="n">
        <v>39.753</v>
      </c>
      <c r="HK16" t="n">
        <v>36.528</v>
      </c>
      <c r="HL16" t="n">
        <v>9.957000000000001</v>
      </c>
      <c r="HM16" t="n">
        <v>88.646</v>
      </c>
      <c r="HN16" t="n">
        <v>7.304</v>
      </c>
      <c r="HO16" t="n">
        <v>38.783</v>
      </c>
      <c r="HP16" t="n">
        <v>70.17400000000001</v>
      </c>
      <c r="HQ16" t="n">
        <v>-7.017</v>
      </c>
      <c r="HR16" t="n">
        <v>-52.217</v>
      </c>
      <c r="HS16" t="n">
        <v>-21.435</v>
      </c>
      <c r="HT16" t="n">
        <v>-3.739</v>
      </c>
      <c r="HU16" t="n">
        <v>-2.348</v>
      </c>
      <c r="HV16" t="n">
        <v>4.783</v>
      </c>
      <c r="HW16" t="n">
        <v>3.957</v>
      </c>
      <c r="HX16" t="n">
        <v>8.739000000000001</v>
      </c>
      <c r="HY16" t="n">
        <v>-3.565</v>
      </c>
      <c r="HZ16" t="n">
        <v>-88.348</v>
      </c>
      <c r="IA16" t="n">
        <v>-132.238</v>
      </c>
      <c r="IB16" t="n">
        <v>-13.066</v>
      </c>
      <c r="IC16" t="n">
        <v>6.522</v>
      </c>
      <c r="ID16" t="n">
        <v>1.826</v>
      </c>
      <c r="IE16" t="n">
        <v>-1.187</v>
      </c>
      <c r="IF16" t="n">
        <v>-0.176</v>
      </c>
      <c r="IG16" t="n">
        <v>3.565</v>
      </c>
      <c r="IH16" t="n">
        <v>3.739</v>
      </c>
      <c r="II16" t="n">
        <v>7.304</v>
      </c>
      <c r="IJ16" t="n">
        <v>-1.522</v>
      </c>
      <c r="IK16" t="n">
        <v>11.304</v>
      </c>
      <c r="IL16" t="n">
        <v>-0.783</v>
      </c>
      <c r="IM16" t="n">
        <v>1.217</v>
      </c>
      <c r="IN16" t="n">
        <v>10.087</v>
      </c>
      <c r="IO16" t="n">
        <v>1.087</v>
      </c>
      <c r="IP16" t="n">
        <v>2.913</v>
      </c>
      <c r="IQ16" t="n">
        <v>-3.174</v>
      </c>
      <c r="IR16" t="n">
        <v>1.391</v>
      </c>
      <c r="IS16" t="n">
        <v>4.435</v>
      </c>
      <c r="IT16" t="n">
        <v>-1.174</v>
      </c>
      <c r="IU16" t="n">
        <v>2.174</v>
      </c>
      <c r="IV16" t="n">
        <v>1</v>
      </c>
      <c r="IW16" t="n">
        <v>3.391</v>
      </c>
      <c r="IX16" t="n">
        <v>-5.739</v>
      </c>
      <c r="IY16" t="n">
        <v>-3.391</v>
      </c>
      <c r="IZ16" t="n">
        <v>-2.217</v>
      </c>
      <c r="JA16" t="n">
        <v>-4.522</v>
      </c>
      <c r="JB16" t="n">
        <v>-0.522</v>
      </c>
      <c r="JC16" t="n">
        <v>-1.435</v>
      </c>
      <c r="JD16" t="n">
        <v>-1.739</v>
      </c>
      <c r="JE16" t="n">
        <v>-10.348</v>
      </c>
      <c r="JF16" t="n">
        <v>-2.696</v>
      </c>
      <c r="JG16" t="n">
        <v>-0.391</v>
      </c>
      <c r="JH16" t="n">
        <v>-8.029</v>
      </c>
      <c r="JI16" t="n">
        <v>-1.536</v>
      </c>
      <c r="JJ16" t="n">
        <v>0.034</v>
      </c>
      <c r="JK16" t="n">
        <v>-1.174</v>
      </c>
      <c r="JL16" t="n">
        <v>-4.913</v>
      </c>
      <c r="JM16" t="n">
        <v>-4.261</v>
      </c>
      <c r="JN16" t="n">
        <v>-1.087</v>
      </c>
      <c r="JO16" t="n">
        <v>-7.435</v>
      </c>
      <c r="JP16" t="n">
        <v>-1.826</v>
      </c>
      <c r="JQ16" t="n">
        <v>-0.391</v>
      </c>
      <c r="JR16" t="n">
        <v>-2.261</v>
      </c>
      <c r="JS16" t="n">
        <v>-9.609</v>
      </c>
      <c r="JT16" t="n">
        <v>8.087</v>
      </c>
      <c r="JU16" t="n">
        <v>1.13</v>
      </c>
      <c r="JV16" t="n">
        <v>-13.304</v>
      </c>
      <c r="JW16" t="n">
        <v>-3.391</v>
      </c>
      <c r="JX16" t="n">
        <v>-1.913</v>
      </c>
      <c r="JY16" t="n">
        <v>0.826</v>
      </c>
      <c r="JZ16" t="n">
        <v>1.174</v>
      </c>
      <c r="KA16" t="n">
        <v>0.435</v>
      </c>
    </row>
    <row r="17">
      <c r="A17" t="inlineStr">
        <is>
          <t>Melbourne</t>
        </is>
      </c>
      <c r="B17" t="inlineStr">
        <is>
          <t>Melb</t>
        </is>
      </c>
      <c r="C17" t="n">
        <v>23</v>
      </c>
      <c r="D17" t="n">
        <v>36</v>
      </c>
      <c r="E17" t="n">
        <v>26.007</v>
      </c>
      <c r="F17" t="n">
        <v>116.921</v>
      </c>
      <c r="G17" t="n">
        <v>198.483</v>
      </c>
      <c r="H17" t="n">
        <v>1646.565</v>
      </c>
      <c r="I17" t="n">
        <v>1541.609</v>
      </c>
      <c r="J17" t="n">
        <v>13.261</v>
      </c>
      <c r="K17" t="n">
        <v>51.418</v>
      </c>
      <c r="L17" t="n">
        <v>40.174</v>
      </c>
      <c r="M17" t="n">
        <v>213</v>
      </c>
      <c r="N17" t="n">
        <v>152.043</v>
      </c>
      <c r="O17" t="n">
        <v>365.043</v>
      </c>
      <c r="P17" t="n">
        <v>73.178</v>
      </c>
      <c r="Q17" t="n">
        <v>67.83</v>
      </c>
      <c r="R17" t="n">
        <v>80.669</v>
      </c>
      <c r="S17" t="n">
        <v>58.349</v>
      </c>
      <c r="T17" t="n">
        <v>6.701</v>
      </c>
      <c r="U17" t="n">
        <v>52.783</v>
      </c>
      <c r="V17" t="n">
        <v>35.348</v>
      </c>
      <c r="W17" t="n">
        <v>72.011</v>
      </c>
      <c r="X17" t="n">
        <v>5865</v>
      </c>
      <c r="Y17" t="n">
        <v>16.067</v>
      </c>
      <c r="Z17" t="n">
        <v>5545.505</v>
      </c>
      <c r="AA17" t="n">
        <v>26.163</v>
      </c>
      <c r="AB17" t="n">
        <v>169.095</v>
      </c>
      <c r="AC17" t="n">
        <v>1.117</v>
      </c>
      <c r="AD17" t="n">
        <v>56.913</v>
      </c>
      <c r="AE17" t="n">
        <v>6.414</v>
      </c>
      <c r="AF17" t="n">
        <v>62.913</v>
      </c>
      <c r="AG17" t="n">
        <v>5.802</v>
      </c>
      <c r="AH17" t="n">
        <v>70.468</v>
      </c>
      <c r="AI17" t="n">
        <v>46.184</v>
      </c>
      <c r="AJ17" t="n">
        <v>22.869</v>
      </c>
      <c r="AK17" t="n">
        <v>1.325</v>
      </c>
      <c r="AL17" t="n">
        <v>57.668</v>
      </c>
      <c r="AM17" t="n">
        <v>1.761</v>
      </c>
      <c r="AN17" t="n">
        <v>135.174</v>
      </c>
      <c r="AO17" t="n">
        <v>224.913</v>
      </c>
      <c r="AP17" t="n">
        <v>360.087</v>
      </c>
      <c r="AQ17" t="n">
        <v>37.539</v>
      </c>
      <c r="AR17" t="n">
        <v>64.783</v>
      </c>
      <c r="AS17" t="n">
        <v>87.348</v>
      </c>
      <c r="AT17" t="n">
        <v>14.913</v>
      </c>
      <c r="AU17" t="n">
        <v>21.478</v>
      </c>
      <c r="AV17" t="n">
        <v>65.783</v>
      </c>
      <c r="AW17" t="n">
        <v>82.652</v>
      </c>
      <c r="AX17" t="n">
        <v>56.739</v>
      </c>
      <c r="AY17" t="n">
        <v>10.13</v>
      </c>
      <c r="AZ17" t="n">
        <v>21.913</v>
      </c>
      <c r="BA17" t="n">
        <v>119.261</v>
      </c>
      <c r="BB17" t="n">
        <v>12.826</v>
      </c>
      <c r="BC17" t="n">
        <v>23.957</v>
      </c>
      <c r="BD17" t="n">
        <v>36.783</v>
      </c>
      <c r="BE17" t="n">
        <v>42.261</v>
      </c>
      <c r="BF17" t="n">
        <v>72.325</v>
      </c>
      <c r="BG17" t="n">
        <v>94.39100000000001</v>
      </c>
      <c r="BH17" t="n">
        <v>10.478</v>
      </c>
      <c r="BI17" t="n">
        <v>10.913</v>
      </c>
      <c r="BJ17" t="n">
        <v>20.675</v>
      </c>
      <c r="BK17" t="n">
        <v>16.348</v>
      </c>
      <c r="BL17" t="n">
        <v>6.957</v>
      </c>
      <c r="BM17" t="n">
        <v>28</v>
      </c>
      <c r="BN17" t="n">
        <v>7.565</v>
      </c>
      <c r="BO17" t="n">
        <v>11.783</v>
      </c>
      <c r="BP17" t="n">
        <v>12</v>
      </c>
      <c r="BQ17" t="n">
        <v>82.696</v>
      </c>
      <c r="BR17" t="n">
        <v>2</v>
      </c>
      <c r="BS17" t="n">
        <v>26.435</v>
      </c>
      <c r="BT17" t="n">
        <v>7.913</v>
      </c>
      <c r="BU17" t="n">
        <v>44.572</v>
      </c>
      <c r="BV17" t="n">
        <v>22.323</v>
      </c>
      <c r="BW17" t="n">
        <v>45.058</v>
      </c>
      <c r="BX17" t="n">
        <v>50.082</v>
      </c>
      <c r="BY17" t="n">
        <v>12.913</v>
      </c>
      <c r="BZ17" t="n">
        <v>27.946</v>
      </c>
      <c r="CA17" t="n">
        <v>11.029</v>
      </c>
      <c r="CB17" t="n">
        <v>-4.029</v>
      </c>
      <c r="CC17" t="n">
        <v>84.587</v>
      </c>
      <c r="CD17" t="n">
        <v>-3.892</v>
      </c>
      <c r="CE17" t="n">
        <v>3.2</v>
      </c>
      <c r="CF17" t="n">
        <v>-0.147</v>
      </c>
      <c r="CG17" t="n">
        <v>3.396</v>
      </c>
      <c r="CH17" t="n">
        <v>-0.049</v>
      </c>
      <c r="CI17" t="n">
        <v>2.986</v>
      </c>
      <c r="CJ17" t="n">
        <v>-0.254</v>
      </c>
      <c r="CK17" t="n">
        <v>4.609</v>
      </c>
      <c r="CL17" t="n">
        <v>32.913</v>
      </c>
      <c r="CM17" t="n">
        <v>45.174</v>
      </c>
      <c r="CN17" t="n">
        <v>29.478</v>
      </c>
      <c r="CO17" t="n">
        <v>40.913</v>
      </c>
      <c r="CP17" t="n">
        <v>12.304</v>
      </c>
      <c r="CQ17" t="n">
        <v>21.468</v>
      </c>
      <c r="CR17" t="n">
        <v>24.439</v>
      </c>
      <c r="CS17" t="n">
        <v>9.680999999999999</v>
      </c>
      <c r="CT17" t="n">
        <v>31.108</v>
      </c>
      <c r="CU17" t="n">
        <v>12.595</v>
      </c>
      <c r="CV17" t="n">
        <v>11.522</v>
      </c>
      <c r="CW17" t="n">
        <v>27.925</v>
      </c>
      <c r="CX17" t="n">
        <v>57.174</v>
      </c>
      <c r="CY17" t="n">
        <v>11.435</v>
      </c>
      <c r="CZ17" t="n">
        <v>261.739</v>
      </c>
      <c r="DA17" t="n">
        <v>118.696</v>
      </c>
      <c r="DB17" t="n">
        <v>28.696</v>
      </c>
      <c r="DC17" t="n">
        <v>92.217</v>
      </c>
      <c r="DD17" t="n">
        <v>41.087</v>
      </c>
      <c r="DE17" t="n">
        <v>44.554</v>
      </c>
      <c r="DF17" t="n">
        <v>11.522</v>
      </c>
      <c r="DG17" t="n">
        <v>28.042</v>
      </c>
      <c r="DH17" t="n">
        <v>5.391</v>
      </c>
      <c r="DI17" t="n">
        <v>44.974</v>
      </c>
      <c r="DJ17" t="n">
        <v>40.529</v>
      </c>
      <c r="DK17" t="n">
        <v>19.652</v>
      </c>
      <c r="DL17" t="n">
        <v>18.304</v>
      </c>
      <c r="DM17" t="n">
        <v>1.348</v>
      </c>
      <c r="DN17" t="n">
        <v>10.13</v>
      </c>
      <c r="DO17" t="n">
        <v>91.845</v>
      </c>
      <c r="DP17" t="n">
        <v>4.739</v>
      </c>
      <c r="DQ17" t="n">
        <v>40.565</v>
      </c>
      <c r="DR17" t="n">
        <v>70.95699999999999</v>
      </c>
      <c r="DS17" t="n">
        <v>203.809</v>
      </c>
      <c r="DT17" t="n">
        <v>1653.652</v>
      </c>
      <c r="DU17" t="n">
        <v>1530.783</v>
      </c>
      <c r="DV17" t="n">
        <v>16.739</v>
      </c>
      <c r="DW17" t="n">
        <v>42.652</v>
      </c>
      <c r="DX17" t="n">
        <v>213.957</v>
      </c>
      <c r="DY17" t="n">
        <v>147.652</v>
      </c>
      <c r="DZ17" t="n">
        <v>361.609</v>
      </c>
      <c r="EA17" t="n">
        <v>74.52200000000001</v>
      </c>
      <c r="EB17" t="n">
        <v>69.315</v>
      </c>
      <c r="EC17" t="n">
        <v>82.06699999999999</v>
      </c>
      <c r="ED17" t="n">
        <v>6.325</v>
      </c>
      <c r="EE17" t="n">
        <v>49.087</v>
      </c>
      <c r="EF17" t="n">
        <v>40.261</v>
      </c>
      <c r="EG17" t="n">
        <v>76.277</v>
      </c>
      <c r="EH17" t="n">
        <v>5925.261</v>
      </c>
      <c r="EI17" t="n">
        <v>16.386</v>
      </c>
      <c r="EJ17" t="n">
        <v>5595.177</v>
      </c>
      <c r="EK17" t="n">
        <v>26.317</v>
      </c>
      <c r="EL17" t="n">
        <v>207.563</v>
      </c>
      <c r="EM17" t="n">
        <v>1.411</v>
      </c>
      <c r="EN17" t="n">
        <v>56.609</v>
      </c>
      <c r="EO17" t="n">
        <v>6.388</v>
      </c>
      <c r="EP17" t="n">
        <v>64.696</v>
      </c>
      <c r="EQ17" t="n">
        <v>5.589</v>
      </c>
      <c r="ER17" t="n">
        <v>71.19799999999999</v>
      </c>
      <c r="ES17" t="n">
        <v>48.604</v>
      </c>
      <c r="ET17" t="n">
        <v>23.445</v>
      </c>
      <c r="EU17" t="n">
        <v>2.46</v>
      </c>
      <c r="EV17" t="n">
        <v>58.119</v>
      </c>
      <c r="EW17" t="n">
        <v>2.571</v>
      </c>
      <c r="EX17" t="n">
        <v>124.261</v>
      </c>
      <c r="EY17" t="n">
        <v>226.957</v>
      </c>
      <c r="EZ17" t="n">
        <v>351.217</v>
      </c>
      <c r="FA17" t="n">
        <v>35.38</v>
      </c>
      <c r="FB17" t="n">
        <v>63.304</v>
      </c>
      <c r="FC17" t="n">
        <v>84.696</v>
      </c>
      <c r="FD17" t="n">
        <v>12.913</v>
      </c>
      <c r="FE17" t="n">
        <v>20.261</v>
      </c>
      <c r="FF17" t="n">
        <v>64.435</v>
      </c>
      <c r="FG17" t="n">
        <v>77.261</v>
      </c>
      <c r="FH17" t="n">
        <v>53.261</v>
      </c>
      <c r="FI17" t="n">
        <v>7.304</v>
      </c>
      <c r="FJ17" t="n">
        <v>20.391</v>
      </c>
      <c r="FK17" t="n">
        <v>118.043</v>
      </c>
      <c r="FL17" t="n">
        <v>11.478</v>
      </c>
      <c r="FM17" t="n">
        <v>24.348</v>
      </c>
      <c r="FN17" t="n">
        <v>35.826</v>
      </c>
      <c r="FO17" t="n">
        <v>37.087</v>
      </c>
      <c r="FP17" t="n">
        <v>75.733</v>
      </c>
      <c r="FQ17" t="n">
        <v>99.60899999999999</v>
      </c>
      <c r="FR17" t="n">
        <v>9.869999999999999</v>
      </c>
      <c r="FS17" t="n">
        <v>13.261</v>
      </c>
      <c r="FT17" t="n">
        <v>27.015</v>
      </c>
      <c r="FU17" t="n">
        <v>15.261</v>
      </c>
      <c r="FV17" t="n">
        <v>9.304</v>
      </c>
      <c r="FW17" t="n">
        <v>13.043</v>
      </c>
      <c r="FX17" t="n">
        <v>10.348</v>
      </c>
      <c r="FY17" t="n">
        <v>88.60899999999999</v>
      </c>
      <c r="FZ17" t="n">
        <v>1.826</v>
      </c>
      <c r="GA17" t="n">
        <v>25.043</v>
      </c>
      <c r="GB17" t="n">
        <v>10.261</v>
      </c>
      <c r="GC17" t="n">
        <v>52.083</v>
      </c>
      <c r="GD17" t="n">
        <v>26.572</v>
      </c>
      <c r="GE17" t="n">
        <v>47.653</v>
      </c>
      <c r="GF17" t="n">
        <v>51.019</v>
      </c>
      <c r="GG17" t="n">
        <v>84.05200000000001</v>
      </c>
      <c r="GH17" t="n">
        <v>2.731</v>
      </c>
      <c r="GI17" t="n">
        <v>3.356</v>
      </c>
      <c r="GJ17" t="n">
        <v>0.109</v>
      </c>
      <c r="GK17" t="n">
        <v>3.604</v>
      </c>
      <c r="GL17" t="n">
        <v>0.103</v>
      </c>
      <c r="GM17" t="n">
        <v>2.978</v>
      </c>
      <c r="GN17" t="n">
        <v>0.119</v>
      </c>
      <c r="GO17" t="n">
        <v>4.957</v>
      </c>
      <c r="GP17" t="n">
        <v>35.391</v>
      </c>
      <c r="GQ17" t="n">
        <v>48.261</v>
      </c>
      <c r="GR17" t="n">
        <v>38.217</v>
      </c>
      <c r="GS17" t="n">
        <v>37</v>
      </c>
      <c r="GT17" t="n">
        <v>13.391</v>
      </c>
      <c r="GU17" t="n">
        <v>21.208</v>
      </c>
      <c r="GV17" t="n">
        <v>24.385</v>
      </c>
      <c r="GW17" t="n">
        <v>10.182</v>
      </c>
      <c r="GX17" t="n">
        <v>31.721</v>
      </c>
      <c r="GY17" t="n">
        <v>13.782</v>
      </c>
      <c r="GZ17" t="n">
        <v>54.478</v>
      </c>
      <c r="HA17" t="n">
        <v>7.087</v>
      </c>
      <c r="HB17" t="n">
        <v>263.739</v>
      </c>
      <c r="HC17" t="n">
        <v>135.435</v>
      </c>
      <c r="HD17" t="n">
        <v>31.478</v>
      </c>
      <c r="HE17" t="n">
        <v>30.739</v>
      </c>
      <c r="HF17" t="n">
        <v>33.365</v>
      </c>
      <c r="HG17" t="n">
        <v>8.391</v>
      </c>
      <c r="HH17" t="n">
        <v>27.298</v>
      </c>
      <c r="HI17" t="n">
        <v>2.043</v>
      </c>
      <c r="HJ17" t="n">
        <v>43.989</v>
      </c>
      <c r="HK17" t="n">
        <v>41.018</v>
      </c>
      <c r="HL17" t="n">
        <v>11.696</v>
      </c>
      <c r="HM17" t="n">
        <v>89.59099999999999</v>
      </c>
      <c r="HN17" t="n">
        <v>6.174</v>
      </c>
      <c r="HO17" t="n">
        <v>43.826</v>
      </c>
      <c r="HP17" t="n">
        <v>70.82599999999999</v>
      </c>
      <c r="HQ17" t="n">
        <v>-5.326</v>
      </c>
      <c r="HR17" t="n">
        <v>-7.087</v>
      </c>
      <c r="HS17" t="n">
        <v>10.826</v>
      </c>
      <c r="HT17" t="n">
        <v>-3.478</v>
      </c>
      <c r="HU17" t="n">
        <v>-2.478</v>
      </c>
      <c r="HV17" t="n">
        <v>-0.957</v>
      </c>
      <c r="HW17" t="n">
        <v>4.391</v>
      </c>
      <c r="HX17" t="n">
        <v>3.435</v>
      </c>
      <c r="HY17" t="n">
        <v>3.696</v>
      </c>
      <c r="HZ17" t="n">
        <v>-60.261</v>
      </c>
      <c r="IA17" t="n">
        <v>-49.672</v>
      </c>
      <c r="IB17" t="n">
        <v>-38.468</v>
      </c>
      <c r="IC17" t="n">
        <v>0.304</v>
      </c>
      <c r="ID17" t="n">
        <v>-1.783</v>
      </c>
      <c r="IE17" t="n">
        <v>-1.135</v>
      </c>
      <c r="IF17" t="n">
        <v>-0.8100000000000001</v>
      </c>
      <c r="IG17" t="n">
        <v>10.913</v>
      </c>
      <c r="IH17" t="n">
        <v>-2.043</v>
      </c>
      <c r="II17" t="n">
        <v>8.869999999999999</v>
      </c>
      <c r="IJ17" t="n">
        <v>1.478</v>
      </c>
      <c r="IK17" t="n">
        <v>2.652</v>
      </c>
      <c r="IL17" t="n">
        <v>2</v>
      </c>
      <c r="IM17" t="n">
        <v>1.217</v>
      </c>
      <c r="IN17" t="n">
        <v>1.348</v>
      </c>
      <c r="IO17" t="n">
        <v>5.391</v>
      </c>
      <c r="IP17" t="n">
        <v>3.478</v>
      </c>
      <c r="IQ17" t="n">
        <v>2.826</v>
      </c>
      <c r="IR17" t="n">
        <v>1.522</v>
      </c>
      <c r="IS17" t="n">
        <v>1.217</v>
      </c>
      <c r="IT17" t="n">
        <v>1.348</v>
      </c>
      <c r="IU17" t="n">
        <v>-0.391</v>
      </c>
      <c r="IV17" t="n">
        <v>0.957</v>
      </c>
      <c r="IW17" t="n">
        <v>5.174</v>
      </c>
      <c r="IX17" t="n">
        <v>-5.217</v>
      </c>
      <c r="IY17" t="n">
        <v>0.609</v>
      </c>
      <c r="IZ17" t="n">
        <v>-2.348</v>
      </c>
      <c r="JA17" t="n">
        <v>1.087</v>
      </c>
      <c r="JB17" t="n">
        <v>-2.348</v>
      </c>
      <c r="JC17" t="n">
        <v>-1.261</v>
      </c>
      <c r="JD17" t="n">
        <v>1.652</v>
      </c>
      <c r="JE17" t="n">
        <v>-5.913</v>
      </c>
      <c r="JF17" t="n">
        <v>1.391</v>
      </c>
      <c r="JG17" t="n">
        <v>-2.348</v>
      </c>
      <c r="JH17" t="n">
        <v>0.536</v>
      </c>
      <c r="JI17" t="n">
        <v>-6.623</v>
      </c>
      <c r="JJ17" t="n">
        <v>-0.156</v>
      </c>
      <c r="JK17" t="n">
        <v>-0.348</v>
      </c>
      <c r="JL17" t="n">
        <v>-2.478</v>
      </c>
      <c r="JM17" t="n">
        <v>-3.087</v>
      </c>
      <c r="JN17" t="n">
        <v>-8.739000000000001</v>
      </c>
      <c r="JO17" t="n">
        <v>3.913</v>
      </c>
      <c r="JP17" t="n">
        <v>-1.087</v>
      </c>
      <c r="JQ17" t="n">
        <v>2.696</v>
      </c>
      <c r="JR17" t="n">
        <v>4.348</v>
      </c>
      <c r="JS17" t="n">
        <v>-2</v>
      </c>
      <c r="JT17" t="n">
        <v>-16.739</v>
      </c>
      <c r="JU17" t="n">
        <v>-2.783</v>
      </c>
      <c r="JV17" t="n">
        <v>10.348</v>
      </c>
      <c r="JW17" t="n">
        <v>3.13</v>
      </c>
      <c r="JX17" t="n">
        <v>3.348</v>
      </c>
      <c r="JY17" t="n">
        <v>-1.435</v>
      </c>
      <c r="JZ17" t="n">
        <v>-3.261</v>
      </c>
      <c r="KA17" t="n">
        <v>0.13</v>
      </c>
    </row>
    <row r="18">
      <c r="A18" t="inlineStr">
        <is>
          <t>Gold Coast</t>
        </is>
      </c>
      <c r="B18" t="inlineStr">
        <is>
          <t>GC</t>
        </is>
      </c>
      <c r="C18" t="n">
        <v>25</v>
      </c>
      <c r="D18" t="n">
        <v>37</v>
      </c>
      <c r="E18" t="n">
        <v>25.49</v>
      </c>
      <c r="F18" t="n">
        <v>97.746</v>
      </c>
      <c r="G18" t="n">
        <v>212.52</v>
      </c>
      <c r="H18" t="n">
        <v>1685.8</v>
      </c>
      <c r="I18" t="n">
        <v>1474.48</v>
      </c>
      <c r="J18" t="n">
        <v>17.68</v>
      </c>
      <c r="K18" t="n">
        <v>53.172</v>
      </c>
      <c r="L18" t="n">
        <v>42.2</v>
      </c>
      <c r="M18" t="n">
        <v>194.56</v>
      </c>
      <c r="N18" t="n">
        <v>157.44</v>
      </c>
      <c r="O18" t="n">
        <v>352</v>
      </c>
      <c r="P18" t="n">
        <v>73.898</v>
      </c>
      <c r="Q18" t="n">
        <v>68.19499999999999</v>
      </c>
      <c r="R18" t="n">
        <v>80.94499999999999</v>
      </c>
      <c r="S18" t="n">
        <v>55.273</v>
      </c>
      <c r="T18" t="n">
        <v>5.395</v>
      </c>
      <c r="U18" t="n">
        <v>56.32</v>
      </c>
      <c r="V18" t="n">
        <v>37.76</v>
      </c>
      <c r="W18" t="n">
        <v>76.31399999999999</v>
      </c>
      <c r="X18" t="n">
        <v>6214.84</v>
      </c>
      <c r="Y18" t="n">
        <v>17.656</v>
      </c>
      <c r="Z18" t="n">
        <v>5696.471</v>
      </c>
      <c r="AA18" t="n">
        <v>29.491</v>
      </c>
      <c r="AB18" t="n">
        <v>286.836</v>
      </c>
      <c r="AC18" t="n">
        <v>1.831</v>
      </c>
      <c r="AD18" t="n">
        <v>56.16</v>
      </c>
      <c r="AE18" t="n">
        <v>6.268</v>
      </c>
      <c r="AF18" t="n">
        <v>63.2</v>
      </c>
      <c r="AG18" t="n">
        <v>5.57</v>
      </c>
      <c r="AH18" t="n">
        <v>70.015</v>
      </c>
      <c r="AI18" t="n">
        <v>48.628</v>
      </c>
      <c r="AJ18" t="n">
        <v>24.255</v>
      </c>
      <c r="AK18" t="n">
        <v>1.796</v>
      </c>
      <c r="AL18" t="n">
        <v>54.348</v>
      </c>
      <c r="AM18" t="n">
        <v>1.076</v>
      </c>
      <c r="AN18" t="n">
        <v>134.48</v>
      </c>
      <c r="AO18" t="n">
        <v>211.4</v>
      </c>
      <c r="AP18" t="n">
        <v>345.88</v>
      </c>
      <c r="AQ18" t="n">
        <v>38.881</v>
      </c>
      <c r="AR18" t="n">
        <v>62.92</v>
      </c>
      <c r="AS18" t="n">
        <v>88.23999999999999</v>
      </c>
      <c r="AT18" t="n">
        <v>15.68</v>
      </c>
      <c r="AU18" t="n">
        <v>22.4</v>
      </c>
      <c r="AV18" t="n">
        <v>65.84</v>
      </c>
      <c r="AW18" t="n">
        <v>81.72</v>
      </c>
      <c r="AX18" t="n">
        <v>56.52</v>
      </c>
      <c r="AY18" t="n">
        <v>11.28</v>
      </c>
      <c r="AZ18" t="n">
        <v>22.04</v>
      </c>
      <c r="BA18" t="n">
        <v>124.24</v>
      </c>
      <c r="BB18" t="n">
        <v>12.28</v>
      </c>
      <c r="BC18" t="n">
        <v>27.28</v>
      </c>
      <c r="BD18" t="n">
        <v>39.56</v>
      </c>
      <c r="BE18" t="n">
        <v>43.96</v>
      </c>
      <c r="BF18" t="n">
        <v>76.797</v>
      </c>
      <c r="BG18" t="n">
        <v>77.8</v>
      </c>
      <c r="BH18" t="n">
        <v>9.56</v>
      </c>
      <c r="BI18" t="n">
        <v>12.24</v>
      </c>
      <c r="BJ18" t="n">
        <v>21.733</v>
      </c>
      <c r="BK18" t="n">
        <v>13.64</v>
      </c>
      <c r="BL18" t="n">
        <v>7.84</v>
      </c>
      <c r="BM18" t="n">
        <v>30</v>
      </c>
      <c r="BN18" t="n">
        <v>8.08</v>
      </c>
      <c r="BO18" t="n">
        <v>13.36</v>
      </c>
      <c r="BP18" t="n">
        <v>11.84</v>
      </c>
      <c r="BQ18" t="n">
        <v>92</v>
      </c>
      <c r="BR18" t="n">
        <v>2.56</v>
      </c>
      <c r="BS18" t="n">
        <v>26.6</v>
      </c>
      <c r="BT18" t="n">
        <v>9.279999999999999</v>
      </c>
      <c r="BU18" t="n">
        <v>50.226</v>
      </c>
      <c r="BV18" t="n">
        <v>23.722</v>
      </c>
      <c r="BW18" t="n">
        <v>44.744</v>
      </c>
      <c r="BX18" t="n">
        <v>47.23</v>
      </c>
      <c r="BY18" t="n">
        <v>11.2</v>
      </c>
      <c r="BZ18" t="n">
        <v>28.929</v>
      </c>
      <c r="CA18" t="n">
        <v>16.196</v>
      </c>
      <c r="CB18" t="n">
        <v>-0.196</v>
      </c>
      <c r="CC18" t="n">
        <v>88.792</v>
      </c>
      <c r="CD18" t="n">
        <v>0.648</v>
      </c>
      <c r="CE18" t="n">
        <v>3.338</v>
      </c>
      <c r="CF18" t="n">
        <v>0.024</v>
      </c>
      <c r="CG18" t="n">
        <v>3.586</v>
      </c>
      <c r="CH18" t="n">
        <v>-0.09</v>
      </c>
      <c r="CI18" t="n">
        <v>3.013</v>
      </c>
      <c r="CJ18" t="n">
        <v>0.174</v>
      </c>
      <c r="CK18" t="n">
        <v>4.12</v>
      </c>
      <c r="CL18" t="n">
        <v>38.92</v>
      </c>
      <c r="CM18" t="n">
        <v>48.96</v>
      </c>
      <c r="CN18" t="n">
        <v>31.76</v>
      </c>
      <c r="CO18" t="n">
        <v>46</v>
      </c>
      <c r="CP18" t="n">
        <v>14.24</v>
      </c>
      <c r="CQ18" t="n">
        <v>22.476</v>
      </c>
      <c r="CR18" t="n">
        <v>24.867</v>
      </c>
      <c r="CS18" t="n">
        <v>9.159000000000001</v>
      </c>
      <c r="CT18" t="n">
        <v>33.641</v>
      </c>
      <c r="CU18" t="n">
        <v>13.218</v>
      </c>
      <c r="CV18" t="n">
        <v>12.12</v>
      </c>
      <c r="CW18" t="n">
        <v>24.422</v>
      </c>
      <c r="CX18" t="n">
        <v>61.36</v>
      </c>
      <c r="CY18" t="n">
        <v>11.24</v>
      </c>
      <c r="CZ18" t="n">
        <v>266.56</v>
      </c>
      <c r="DA18" t="n">
        <v>122.32</v>
      </c>
      <c r="DB18" t="n">
        <v>35.2</v>
      </c>
      <c r="DC18" t="n">
        <v>101.6</v>
      </c>
      <c r="DD18" t="n">
        <v>48.16</v>
      </c>
      <c r="DE18" t="n">
        <v>47.402</v>
      </c>
      <c r="DF18" t="n">
        <v>12.32</v>
      </c>
      <c r="DG18" t="n">
        <v>25.581</v>
      </c>
      <c r="DH18" t="n">
        <v>2.12</v>
      </c>
      <c r="DI18" t="n">
        <v>42.525</v>
      </c>
      <c r="DJ18" t="n">
        <v>38.372</v>
      </c>
      <c r="DK18" t="n">
        <v>20.92</v>
      </c>
      <c r="DL18" t="n">
        <v>20.48</v>
      </c>
      <c r="DM18" t="n">
        <v>0.44</v>
      </c>
      <c r="DN18" t="n">
        <v>9.92</v>
      </c>
      <c r="DO18" t="n">
        <v>94.758</v>
      </c>
      <c r="DP18" t="n">
        <v>7.48</v>
      </c>
      <c r="DQ18" t="n">
        <v>47.52</v>
      </c>
      <c r="DR18" t="n">
        <v>72</v>
      </c>
      <c r="DS18" t="n">
        <v>196.824</v>
      </c>
      <c r="DT18" t="n">
        <v>1614.44</v>
      </c>
      <c r="DU18" t="n">
        <v>1485.2</v>
      </c>
      <c r="DV18" t="n">
        <v>12.32</v>
      </c>
      <c r="DW18" t="n">
        <v>39.36</v>
      </c>
      <c r="DX18" t="n">
        <v>204.32</v>
      </c>
      <c r="DY18" t="n">
        <v>146.72</v>
      </c>
      <c r="DZ18" t="n">
        <v>351.04</v>
      </c>
      <c r="EA18" t="n">
        <v>71.718</v>
      </c>
      <c r="EB18" t="n">
        <v>65.172</v>
      </c>
      <c r="EC18" t="n">
        <v>80.834</v>
      </c>
      <c r="ED18" t="n">
        <v>5.721</v>
      </c>
      <c r="EE18" t="n">
        <v>49.48</v>
      </c>
      <c r="EF18" t="n">
        <v>42.2</v>
      </c>
      <c r="EG18" t="n">
        <v>74.929</v>
      </c>
      <c r="EH18" t="n">
        <v>5956.6</v>
      </c>
      <c r="EI18" t="n">
        <v>16.968</v>
      </c>
      <c r="EJ18" t="n">
        <v>5508.543</v>
      </c>
      <c r="EK18" t="n">
        <v>27.13</v>
      </c>
      <c r="EL18" t="n">
        <v>196.643</v>
      </c>
      <c r="EM18" t="n">
        <v>1.344</v>
      </c>
      <c r="EN18" t="n">
        <v>58.48</v>
      </c>
      <c r="EO18" t="n">
        <v>6.003</v>
      </c>
      <c r="EP18" t="n">
        <v>62.88</v>
      </c>
      <c r="EQ18" t="n">
        <v>5.583</v>
      </c>
      <c r="ER18" t="n">
        <v>69.67400000000001</v>
      </c>
      <c r="ES18" t="n">
        <v>45.686</v>
      </c>
      <c r="ET18" t="n">
        <v>22.088</v>
      </c>
      <c r="EU18" t="n">
        <v>0.229</v>
      </c>
      <c r="EV18" t="n">
        <v>56.186</v>
      </c>
      <c r="EW18" t="n">
        <v>0.382</v>
      </c>
      <c r="EX18" t="n">
        <v>131</v>
      </c>
      <c r="EY18" t="n">
        <v>211.76</v>
      </c>
      <c r="EZ18" t="n">
        <v>342.76</v>
      </c>
      <c r="FA18" t="n">
        <v>38.219</v>
      </c>
      <c r="FB18" t="n">
        <v>63.4</v>
      </c>
      <c r="FC18" t="n">
        <v>89.48</v>
      </c>
      <c r="FD18" t="n">
        <v>14.44</v>
      </c>
      <c r="FE18" t="n">
        <v>22.36</v>
      </c>
      <c r="FF18" t="n">
        <v>67.12</v>
      </c>
      <c r="FG18" t="n">
        <v>81.8</v>
      </c>
      <c r="FH18" t="n">
        <v>58.32</v>
      </c>
      <c r="FI18" t="n">
        <v>9.279999999999999</v>
      </c>
      <c r="FJ18" t="n">
        <v>21.4</v>
      </c>
      <c r="FK18" t="n">
        <v>114.84</v>
      </c>
      <c r="FL18" t="n">
        <v>10.4</v>
      </c>
      <c r="FM18" t="n">
        <v>25.88</v>
      </c>
      <c r="FN18" t="n">
        <v>36.28</v>
      </c>
      <c r="FO18" t="n">
        <v>40.96</v>
      </c>
      <c r="FP18" t="n">
        <v>74.023</v>
      </c>
      <c r="FQ18" t="n">
        <v>82.40000000000001</v>
      </c>
      <c r="FR18" t="n">
        <v>7.72</v>
      </c>
      <c r="FS18" t="n">
        <v>9.4</v>
      </c>
      <c r="FT18" t="n">
        <v>18.998</v>
      </c>
      <c r="FU18" t="n">
        <v>13.28</v>
      </c>
      <c r="FV18" t="n">
        <v>7.76</v>
      </c>
      <c r="FW18" t="n">
        <v>11.12</v>
      </c>
      <c r="FX18" t="n">
        <v>10.04</v>
      </c>
      <c r="FY18" t="n">
        <v>76.76000000000001</v>
      </c>
      <c r="FZ18" t="n">
        <v>2</v>
      </c>
      <c r="GA18" t="n">
        <v>23.4</v>
      </c>
      <c r="GB18" t="n">
        <v>7.88</v>
      </c>
      <c r="GC18" t="n">
        <v>47.521</v>
      </c>
      <c r="GD18" t="n">
        <v>22.474</v>
      </c>
      <c r="GE18" t="n">
        <v>42.765</v>
      </c>
      <c r="GF18" t="n">
        <v>47.292</v>
      </c>
      <c r="GG18" t="n">
        <v>75.114</v>
      </c>
      <c r="GH18" t="n">
        <v>-0.354</v>
      </c>
      <c r="GI18" t="n">
        <v>3.21</v>
      </c>
      <c r="GJ18" t="n">
        <v>-0.015</v>
      </c>
      <c r="GK18" t="n">
        <v>3.46</v>
      </c>
      <c r="GL18" t="n">
        <v>0.184</v>
      </c>
      <c r="GM18" t="n">
        <v>2.924</v>
      </c>
      <c r="GN18" t="n">
        <v>-0.243</v>
      </c>
      <c r="GO18" t="n">
        <v>3.96</v>
      </c>
      <c r="GP18" t="n">
        <v>29.76</v>
      </c>
      <c r="GQ18" t="n">
        <v>43.04</v>
      </c>
      <c r="GR18" t="n">
        <v>30.56</v>
      </c>
      <c r="GS18" t="n">
        <v>38.04</v>
      </c>
      <c r="GT18" t="n">
        <v>8.16</v>
      </c>
      <c r="GU18" t="n">
        <v>19.165</v>
      </c>
      <c r="GV18" t="n">
        <v>23.672</v>
      </c>
      <c r="GW18" t="n">
        <v>9.701000000000001</v>
      </c>
      <c r="GX18" t="n">
        <v>30.029</v>
      </c>
      <c r="GY18" t="n">
        <v>11.624</v>
      </c>
      <c r="GZ18" t="n">
        <v>65.23999999999999</v>
      </c>
      <c r="HA18" t="n">
        <v>12.12</v>
      </c>
      <c r="HB18" t="n">
        <v>268.96</v>
      </c>
      <c r="HC18" t="n">
        <v>131.96</v>
      </c>
      <c r="HD18" t="n">
        <v>29.32</v>
      </c>
      <c r="HE18" t="n">
        <v>38.16</v>
      </c>
      <c r="HF18" t="n">
        <v>37.574</v>
      </c>
      <c r="HG18" t="n">
        <v>9.92</v>
      </c>
      <c r="HH18" t="n">
        <v>25.996</v>
      </c>
      <c r="HI18" t="n">
        <v>1.72</v>
      </c>
      <c r="HJ18" t="n">
        <v>43.501</v>
      </c>
      <c r="HK18" t="n">
        <v>38.26</v>
      </c>
      <c r="HL18" t="n">
        <v>11.6</v>
      </c>
      <c r="HM18" t="n">
        <v>93.10299999999999</v>
      </c>
      <c r="HN18" t="n">
        <v>6.44</v>
      </c>
      <c r="HO18" t="n">
        <v>42.16</v>
      </c>
      <c r="HP18" t="n">
        <v>69.88</v>
      </c>
      <c r="HQ18" t="n">
        <v>15.696</v>
      </c>
      <c r="HR18" t="n">
        <v>71.36</v>
      </c>
      <c r="HS18" t="n">
        <v>-10.72</v>
      </c>
      <c r="HT18" t="n">
        <v>5.36</v>
      </c>
      <c r="HU18" t="n">
        <v>2.84</v>
      </c>
      <c r="HV18" t="n">
        <v>-9.76</v>
      </c>
      <c r="HW18" t="n">
        <v>10.72</v>
      </c>
      <c r="HX18" t="n">
        <v>0.96</v>
      </c>
      <c r="HY18" t="n">
        <v>6.84</v>
      </c>
      <c r="HZ18" t="n">
        <v>258.24</v>
      </c>
      <c r="IA18" t="n">
        <v>187.928</v>
      </c>
      <c r="IB18" t="n">
        <v>90.19199999999999</v>
      </c>
      <c r="IC18" t="n">
        <v>-2.32</v>
      </c>
      <c r="ID18" t="n">
        <v>0.32</v>
      </c>
      <c r="IE18" t="n">
        <v>1.567</v>
      </c>
      <c r="IF18" t="n">
        <v>0.694</v>
      </c>
      <c r="IG18" t="n">
        <v>3.48</v>
      </c>
      <c r="IH18" t="n">
        <v>-0.36</v>
      </c>
      <c r="II18" t="n">
        <v>3.12</v>
      </c>
      <c r="IJ18" t="n">
        <v>-0.48</v>
      </c>
      <c r="IK18" t="n">
        <v>-1.24</v>
      </c>
      <c r="IL18" t="n">
        <v>1.24</v>
      </c>
      <c r="IM18" t="n">
        <v>0.04</v>
      </c>
      <c r="IN18" t="n">
        <v>-1.28</v>
      </c>
      <c r="IO18" t="n">
        <v>-0.08</v>
      </c>
      <c r="IP18" t="n">
        <v>-1.8</v>
      </c>
      <c r="IQ18" t="n">
        <v>2</v>
      </c>
      <c r="IR18" t="n">
        <v>0.64</v>
      </c>
      <c r="IS18" t="n">
        <v>9.4</v>
      </c>
      <c r="IT18" t="n">
        <v>1.88</v>
      </c>
      <c r="IU18" t="n">
        <v>1.4</v>
      </c>
      <c r="IV18" t="n">
        <v>3.28</v>
      </c>
      <c r="IW18" t="n">
        <v>3</v>
      </c>
      <c r="IX18" t="n">
        <v>-4.6</v>
      </c>
      <c r="IY18" t="n">
        <v>1.84</v>
      </c>
      <c r="IZ18" t="n">
        <v>2.84</v>
      </c>
      <c r="JA18" t="n">
        <v>0.36</v>
      </c>
      <c r="JB18" t="n">
        <v>0.08</v>
      </c>
      <c r="JC18" t="n">
        <v>2.24</v>
      </c>
      <c r="JD18" t="n">
        <v>1.8</v>
      </c>
      <c r="JE18" t="n">
        <v>15.24</v>
      </c>
      <c r="JF18" t="n">
        <v>3.2</v>
      </c>
      <c r="JG18" t="n">
        <v>1.4</v>
      </c>
      <c r="JH18" t="n">
        <v>13.679</v>
      </c>
      <c r="JI18" t="n">
        <v>1.001</v>
      </c>
      <c r="JJ18" t="n">
        <v>0.128</v>
      </c>
      <c r="JK18" t="n">
        <v>0.16</v>
      </c>
      <c r="JL18" t="n">
        <v>9.16</v>
      </c>
      <c r="JM18" t="n">
        <v>5.92</v>
      </c>
      <c r="JN18" t="n">
        <v>1.2</v>
      </c>
      <c r="JO18" t="n">
        <v>7.96</v>
      </c>
      <c r="JP18" t="n">
        <v>6.08</v>
      </c>
      <c r="JQ18" t="n">
        <v>-3.88</v>
      </c>
      <c r="JR18" t="n">
        <v>-0.88</v>
      </c>
      <c r="JS18" t="n">
        <v>-2.4</v>
      </c>
      <c r="JT18" t="n">
        <v>-9.640000000000001</v>
      </c>
      <c r="JU18" t="n">
        <v>5.88</v>
      </c>
      <c r="JV18" t="n">
        <v>10</v>
      </c>
      <c r="JW18" t="n">
        <v>2.4</v>
      </c>
      <c r="JX18" t="n">
        <v>0.4</v>
      </c>
      <c r="JY18" t="n">
        <v>1.04</v>
      </c>
      <c r="JZ18" t="n">
        <v>5.36</v>
      </c>
      <c r="KA18" t="n">
        <v>2.12</v>
      </c>
    </row>
    <row r="19">
      <c r="A19" t="inlineStr">
        <is>
          <t>West Coast</t>
        </is>
      </c>
      <c r="B19" t="inlineStr">
        <is>
          <t>WC</t>
        </is>
      </c>
      <c r="C19" t="n">
        <v>23</v>
      </c>
      <c r="D19" t="n">
        <v>39</v>
      </c>
      <c r="E19" t="n">
        <v>24.555</v>
      </c>
      <c r="F19" t="n">
        <v>75.616</v>
      </c>
      <c r="G19" t="n">
        <v>170.113</v>
      </c>
      <c r="H19" t="n">
        <v>1474.13</v>
      </c>
      <c r="I19" t="n">
        <v>1332.739</v>
      </c>
      <c r="J19" t="n">
        <v>3.783</v>
      </c>
      <c r="K19" t="n">
        <v>46.327</v>
      </c>
      <c r="L19" t="n">
        <v>38.087</v>
      </c>
      <c r="M19" t="n">
        <v>184.043</v>
      </c>
      <c r="N19" t="n">
        <v>132.348</v>
      </c>
      <c r="O19" t="n">
        <v>316.391</v>
      </c>
      <c r="P19" t="n">
        <v>70.908</v>
      </c>
      <c r="Q19" t="n">
        <v>63.714</v>
      </c>
      <c r="R19" t="n">
        <v>80.913</v>
      </c>
      <c r="S19" t="n">
        <v>58.17</v>
      </c>
      <c r="T19" t="n">
        <v>5.41</v>
      </c>
      <c r="U19" t="n">
        <v>46.087</v>
      </c>
      <c r="V19" t="n">
        <v>40.826</v>
      </c>
      <c r="W19" t="n">
        <v>71.298</v>
      </c>
      <c r="X19" t="n">
        <v>5484.696</v>
      </c>
      <c r="Y19" t="n">
        <v>17.335</v>
      </c>
      <c r="Z19" t="n">
        <v>5078.096</v>
      </c>
      <c r="AA19" t="n">
        <v>27.789</v>
      </c>
      <c r="AB19" t="n">
        <v>215.037</v>
      </c>
      <c r="AC19" t="n">
        <v>1.631</v>
      </c>
      <c r="AD19" t="n">
        <v>58.217</v>
      </c>
      <c r="AE19" t="n">
        <v>5.435</v>
      </c>
      <c r="AF19" t="n">
        <v>63.609</v>
      </c>
      <c r="AG19" t="n">
        <v>4.974</v>
      </c>
      <c r="AH19" t="n">
        <v>67.535</v>
      </c>
      <c r="AI19" t="n">
        <v>40.447</v>
      </c>
      <c r="AJ19" t="n">
        <v>22.494</v>
      </c>
      <c r="AK19" t="n">
        <v>-1.291</v>
      </c>
      <c r="AL19" t="n">
        <v>56.362</v>
      </c>
      <c r="AM19" t="n">
        <v>-2.907</v>
      </c>
      <c r="AN19" t="n">
        <v>118.522</v>
      </c>
      <c r="AO19" t="n">
        <v>191.087</v>
      </c>
      <c r="AP19" t="n">
        <v>309.609</v>
      </c>
      <c r="AQ19" t="n">
        <v>38.281</v>
      </c>
      <c r="AR19" t="n">
        <v>62.652</v>
      </c>
      <c r="AS19" t="n">
        <v>80</v>
      </c>
      <c r="AT19" t="n">
        <v>11.261</v>
      </c>
      <c r="AU19" t="n">
        <v>19.304</v>
      </c>
      <c r="AV19" t="n">
        <v>60.696</v>
      </c>
      <c r="AW19" t="n">
        <v>74.696</v>
      </c>
      <c r="AX19" t="n">
        <v>52.13</v>
      </c>
      <c r="AY19" t="n">
        <v>7.522</v>
      </c>
      <c r="AZ19" t="n">
        <v>20.478</v>
      </c>
      <c r="BA19" t="n">
        <v>103.696</v>
      </c>
      <c r="BB19" t="n">
        <v>10.217</v>
      </c>
      <c r="BC19" t="n">
        <v>21.174</v>
      </c>
      <c r="BD19" t="n">
        <v>31.391</v>
      </c>
      <c r="BE19" t="n">
        <v>34.261</v>
      </c>
      <c r="BF19" t="n">
        <v>73.223</v>
      </c>
      <c r="BG19" t="n">
        <v>76.913</v>
      </c>
      <c r="BH19" t="n">
        <v>7.913</v>
      </c>
      <c r="BI19" t="n">
        <v>9.782999999999999</v>
      </c>
      <c r="BJ19" t="n">
        <v>21.226</v>
      </c>
      <c r="BK19" t="n">
        <v>13.043</v>
      </c>
      <c r="BL19" t="n">
        <v>7.478</v>
      </c>
      <c r="BM19" t="n">
        <v>29</v>
      </c>
      <c r="BN19" t="n">
        <v>6.435</v>
      </c>
      <c r="BO19" t="n">
        <v>9.087</v>
      </c>
      <c r="BP19" t="n">
        <v>9.217000000000001</v>
      </c>
      <c r="BQ19" t="n">
        <v>63.739</v>
      </c>
      <c r="BR19" t="n">
        <v>1.391</v>
      </c>
      <c r="BS19" t="n">
        <v>20.739</v>
      </c>
      <c r="BT19" t="n">
        <v>6.391</v>
      </c>
      <c r="BU19" t="n">
        <v>43.816</v>
      </c>
      <c r="BV19" t="n">
        <v>19.717</v>
      </c>
      <c r="BW19" t="n">
        <v>39.717</v>
      </c>
      <c r="BX19" t="n">
        <v>45</v>
      </c>
      <c r="BY19" t="n">
        <v>9.609</v>
      </c>
      <c r="BZ19" t="n">
        <v>22.624</v>
      </c>
      <c r="CA19" t="n">
        <v>2.689</v>
      </c>
      <c r="CB19" t="n">
        <v>-1.689</v>
      </c>
      <c r="CC19" t="n">
        <v>66.51900000000001</v>
      </c>
      <c r="CD19" t="n">
        <v>-4.171</v>
      </c>
      <c r="CE19" t="n">
        <v>3.207</v>
      </c>
      <c r="CF19" t="n">
        <v>-0.201</v>
      </c>
      <c r="CG19" t="n">
        <v>3.449</v>
      </c>
      <c r="CH19" t="n">
        <v>-0.026</v>
      </c>
      <c r="CI19" t="n">
        <v>2.905</v>
      </c>
      <c r="CJ19" t="n">
        <v>-0.419</v>
      </c>
      <c r="CK19" t="n">
        <v>3.696</v>
      </c>
      <c r="CL19" t="n">
        <v>21.174</v>
      </c>
      <c r="CM19" t="n">
        <v>38.87</v>
      </c>
      <c r="CN19" t="n">
        <v>26.043</v>
      </c>
      <c r="CO19" t="n">
        <v>31.696</v>
      </c>
      <c r="CP19" t="n">
        <v>6</v>
      </c>
      <c r="CQ19" t="n">
        <v>17.336</v>
      </c>
      <c r="CR19" t="n">
        <v>20.686</v>
      </c>
      <c r="CS19" t="n">
        <v>8.333</v>
      </c>
      <c r="CT19" t="n">
        <v>28.581</v>
      </c>
      <c r="CU19" t="n">
        <v>10.649</v>
      </c>
      <c r="CV19" t="n">
        <v>10.826</v>
      </c>
      <c r="CW19" t="n">
        <v>31.325</v>
      </c>
      <c r="CX19" t="n">
        <v>57.391</v>
      </c>
      <c r="CY19" t="n">
        <v>9.913</v>
      </c>
      <c r="CZ19" t="n">
        <v>269.261</v>
      </c>
      <c r="DA19" t="n">
        <v>134.261</v>
      </c>
      <c r="DB19" t="n">
        <v>31.304</v>
      </c>
      <c r="DC19" t="n">
        <v>94.739</v>
      </c>
      <c r="DD19" t="n">
        <v>34.609</v>
      </c>
      <c r="DE19" t="n">
        <v>36.531</v>
      </c>
      <c r="DF19" t="n">
        <v>8.260999999999999</v>
      </c>
      <c r="DG19" t="n">
        <v>23.869</v>
      </c>
      <c r="DH19" t="n">
        <v>1.609</v>
      </c>
      <c r="DI19" t="n">
        <v>38.442</v>
      </c>
      <c r="DJ19" t="n">
        <v>35.93</v>
      </c>
      <c r="DK19" t="n">
        <v>18.522</v>
      </c>
      <c r="DL19" t="n">
        <v>19.957</v>
      </c>
      <c r="DM19" t="n">
        <v>-1.435</v>
      </c>
      <c r="DN19" t="n">
        <v>12.826</v>
      </c>
      <c r="DO19" t="n">
        <v>93.559</v>
      </c>
      <c r="DP19" t="n">
        <v>8.739000000000001</v>
      </c>
      <c r="DQ19" t="n">
        <v>43.087</v>
      </c>
      <c r="DR19" t="n">
        <v>71.95699999999999</v>
      </c>
      <c r="DS19" t="n">
        <v>220.952</v>
      </c>
      <c r="DT19" t="n">
        <v>1826.174</v>
      </c>
      <c r="DU19" t="n">
        <v>1601.522</v>
      </c>
      <c r="DV19" t="n">
        <v>26.217</v>
      </c>
      <c r="DW19" t="n">
        <v>44.174</v>
      </c>
      <c r="DX19" t="n">
        <v>218.609</v>
      </c>
      <c r="DY19" t="n">
        <v>153.87</v>
      </c>
      <c r="DZ19" t="n">
        <v>372.478</v>
      </c>
      <c r="EA19" t="n">
        <v>72.931</v>
      </c>
      <c r="EB19" t="n">
        <v>66.13</v>
      </c>
      <c r="EC19" t="n">
        <v>82.59399999999999</v>
      </c>
      <c r="ED19" t="n">
        <v>6.49</v>
      </c>
      <c r="EE19" t="n">
        <v>57.261</v>
      </c>
      <c r="EF19" t="n">
        <v>36.435</v>
      </c>
      <c r="EG19" t="n">
        <v>79.057</v>
      </c>
      <c r="EH19" t="n">
        <v>6198.043</v>
      </c>
      <c r="EI19" t="n">
        <v>16.64</v>
      </c>
      <c r="EJ19" t="n">
        <v>5854.848</v>
      </c>
      <c r="EK19" t="n">
        <v>26.954</v>
      </c>
      <c r="EL19" t="n">
        <v>209.078</v>
      </c>
      <c r="EM19" t="n">
        <v>1.363</v>
      </c>
      <c r="EN19" t="n">
        <v>55.913</v>
      </c>
      <c r="EO19" t="n">
        <v>6.662</v>
      </c>
      <c r="EP19" t="n">
        <v>62.609</v>
      </c>
      <c r="EQ19" t="n">
        <v>5.949</v>
      </c>
      <c r="ER19" t="n">
        <v>71.798</v>
      </c>
      <c r="ES19" t="n">
        <v>51.815</v>
      </c>
      <c r="ET19" t="n">
        <v>24.567</v>
      </c>
      <c r="EU19" t="n">
        <v>5.199</v>
      </c>
      <c r="EV19" t="n">
        <v>56.909</v>
      </c>
      <c r="EW19" t="n">
        <v>3.281</v>
      </c>
      <c r="EX19" t="n">
        <v>136.522</v>
      </c>
      <c r="EY19" t="n">
        <v>230.391</v>
      </c>
      <c r="EZ19" t="n">
        <v>366.913</v>
      </c>
      <c r="FA19" t="n">
        <v>37.208</v>
      </c>
      <c r="FB19" t="n">
        <v>63.783</v>
      </c>
      <c r="FC19" t="n">
        <v>88.696</v>
      </c>
      <c r="FD19" t="n">
        <v>15.609</v>
      </c>
      <c r="FE19" t="n">
        <v>23.783</v>
      </c>
      <c r="FF19" t="n">
        <v>64.913</v>
      </c>
      <c r="FG19" t="n">
        <v>80.39100000000001</v>
      </c>
      <c r="FH19" t="n">
        <v>56.087</v>
      </c>
      <c r="FI19" t="n">
        <v>12.478</v>
      </c>
      <c r="FJ19" t="n">
        <v>20.261</v>
      </c>
      <c r="FK19" t="n">
        <v>123.913</v>
      </c>
      <c r="FL19" t="n">
        <v>13.87</v>
      </c>
      <c r="FM19" t="n">
        <v>28.174</v>
      </c>
      <c r="FN19" t="n">
        <v>42.043</v>
      </c>
      <c r="FO19" t="n">
        <v>46.609</v>
      </c>
      <c r="FP19" t="n">
        <v>77.79900000000001</v>
      </c>
      <c r="FQ19" t="n">
        <v>96.913</v>
      </c>
      <c r="FR19" t="n">
        <v>11.043</v>
      </c>
      <c r="FS19" t="n">
        <v>15.261</v>
      </c>
      <c r="FT19" t="n">
        <v>26.651</v>
      </c>
      <c r="FU19" t="n">
        <v>16.957</v>
      </c>
      <c r="FV19" t="n">
        <v>9.348000000000001</v>
      </c>
      <c r="FW19" t="n">
        <v>15.522</v>
      </c>
      <c r="FX19" t="n">
        <v>12.87</v>
      </c>
      <c r="FY19" t="n">
        <v>106</v>
      </c>
      <c r="FZ19" t="n">
        <v>1.87</v>
      </c>
      <c r="GA19" t="n">
        <v>31.435</v>
      </c>
      <c r="GB19" t="n">
        <v>11.783</v>
      </c>
      <c r="GC19" t="n">
        <v>49.378</v>
      </c>
      <c r="GD19" t="n">
        <v>27.107</v>
      </c>
      <c r="GE19" t="n">
        <v>49.582</v>
      </c>
      <c r="GF19" t="n">
        <v>54.897</v>
      </c>
      <c r="GG19" t="n">
        <v>105.078</v>
      </c>
      <c r="GH19" t="n">
        <v>-0.948</v>
      </c>
      <c r="GI19" t="n">
        <v>3.343</v>
      </c>
      <c r="GJ19" t="n">
        <v>-0.03</v>
      </c>
      <c r="GK19" t="n">
        <v>3.592</v>
      </c>
      <c r="GL19" t="n">
        <v>-0.078</v>
      </c>
      <c r="GM19" t="n">
        <v>3.049</v>
      </c>
      <c r="GN19" t="n">
        <v>0.026</v>
      </c>
      <c r="GO19" t="n">
        <v>5.478</v>
      </c>
      <c r="GP19" t="n">
        <v>40.565</v>
      </c>
      <c r="GQ19" t="n">
        <v>59.957</v>
      </c>
      <c r="GR19" t="n">
        <v>41.522</v>
      </c>
      <c r="GS19" t="n">
        <v>50.696</v>
      </c>
      <c r="GT19" t="n">
        <v>13.783</v>
      </c>
      <c r="GU19" t="n">
        <v>24.865</v>
      </c>
      <c r="GV19" t="n">
        <v>26.492</v>
      </c>
      <c r="GW19" t="n">
        <v>12.799</v>
      </c>
      <c r="GX19" t="n">
        <v>33.817</v>
      </c>
      <c r="GY19" t="n">
        <v>16.319</v>
      </c>
      <c r="GZ19" t="n">
        <v>58.478</v>
      </c>
      <c r="HA19" t="n">
        <v>11.87</v>
      </c>
      <c r="HB19" t="n">
        <v>244.217</v>
      </c>
      <c r="HC19" t="n">
        <v>104.913</v>
      </c>
      <c r="HD19" t="n">
        <v>27.739</v>
      </c>
      <c r="HE19" t="n">
        <v>44.783</v>
      </c>
      <c r="HF19" t="n">
        <v>47.356</v>
      </c>
      <c r="HG19" t="n">
        <v>13.652</v>
      </c>
      <c r="HH19" t="n">
        <v>30.485</v>
      </c>
      <c r="HI19" t="n">
        <v>3.348</v>
      </c>
      <c r="HJ19" t="n">
        <v>50.583</v>
      </c>
      <c r="HK19" t="n">
        <v>45.534</v>
      </c>
      <c r="HL19" t="n">
        <v>9.042999999999999</v>
      </c>
      <c r="HM19" t="n">
        <v>90.86499999999999</v>
      </c>
      <c r="HN19" t="n">
        <v>8.609</v>
      </c>
      <c r="HO19" t="n">
        <v>40.087</v>
      </c>
      <c r="HP19" t="n">
        <v>71.13</v>
      </c>
      <c r="HQ19" t="n">
        <v>-50.839</v>
      </c>
      <c r="HR19" t="n">
        <v>-352.043</v>
      </c>
      <c r="HS19" t="n">
        <v>-268.783</v>
      </c>
      <c r="HT19" t="n">
        <v>-22.435</v>
      </c>
      <c r="HU19" t="n">
        <v>-6.087</v>
      </c>
      <c r="HV19" t="n">
        <v>-34.565</v>
      </c>
      <c r="HW19" t="n">
        <v>-21.522</v>
      </c>
      <c r="HX19" t="n">
        <v>-56.087</v>
      </c>
      <c r="HY19" t="n">
        <v>-11.174</v>
      </c>
      <c r="HZ19" t="n">
        <v>-713.348</v>
      </c>
      <c r="IA19" t="n">
        <v>-776.752</v>
      </c>
      <c r="IB19" t="n">
        <v>5.958</v>
      </c>
      <c r="IC19" t="n">
        <v>2.304</v>
      </c>
      <c r="ID19" t="n">
        <v>1</v>
      </c>
      <c r="IE19" t="n">
        <v>-6.49</v>
      </c>
      <c r="IF19" t="n">
        <v>-6.189</v>
      </c>
      <c r="IG19" t="n">
        <v>-18</v>
      </c>
      <c r="IH19" t="n">
        <v>-39.304</v>
      </c>
      <c r="II19" t="n">
        <v>-57.304</v>
      </c>
      <c r="IJ19" t="n">
        <v>-1.13</v>
      </c>
      <c r="IK19" t="n">
        <v>-8.696</v>
      </c>
      <c r="IL19" t="n">
        <v>-4.348</v>
      </c>
      <c r="IM19" t="n">
        <v>-4.478</v>
      </c>
      <c r="IN19" t="n">
        <v>-4.217</v>
      </c>
      <c r="IO19" t="n">
        <v>-5.696</v>
      </c>
      <c r="IP19" t="n">
        <v>-3.957</v>
      </c>
      <c r="IQ19" t="n">
        <v>-4.957</v>
      </c>
      <c r="IR19" t="n">
        <v>0.217</v>
      </c>
      <c r="IS19" t="n">
        <v>-20.217</v>
      </c>
      <c r="IT19" t="n">
        <v>-3.652</v>
      </c>
      <c r="IU19" t="n">
        <v>-7</v>
      </c>
      <c r="IV19" t="n">
        <v>-10.652</v>
      </c>
      <c r="IW19" t="n">
        <v>-12.348</v>
      </c>
      <c r="IX19" t="n">
        <v>-20</v>
      </c>
      <c r="IY19" t="n">
        <v>-3.13</v>
      </c>
      <c r="IZ19" t="n">
        <v>-5.478</v>
      </c>
      <c r="JA19" t="n">
        <v>-3.913</v>
      </c>
      <c r="JB19" t="n">
        <v>-1.87</v>
      </c>
      <c r="JC19" t="n">
        <v>-6.435</v>
      </c>
      <c r="JD19" t="n">
        <v>-3.652</v>
      </c>
      <c r="JE19" t="n">
        <v>-42.261</v>
      </c>
      <c r="JF19" t="n">
        <v>-10.696</v>
      </c>
      <c r="JG19" t="n">
        <v>-5.391</v>
      </c>
      <c r="JH19" t="n">
        <v>-38.56</v>
      </c>
      <c r="JI19" t="n">
        <v>-3.223</v>
      </c>
      <c r="JJ19" t="n">
        <v>-0.135</v>
      </c>
      <c r="JK19" t="n">
        <v>-1.783</v>
      </c>
      <c r="JL19" t="n">
        <v>-19.391</v>
      </c>
      <c r="JM19" t="n">
        <v>-21.087</v>
      </c>
      <c r="JN19" t="n">
        <v>-15.478</v>
      </c>
      <c r="JO19" t="n">
        <v>-19</v>
      </c>
      <c r="JP19" t="n">
        <v>-7.783</v>
      </c>
      <c r="JQ19" t="n">
        <v>-1.087</v>
      </c>
      <c r="JR19" t="n">
        <v>-1.957</v>
      </c>
      <c r="JS19" t="n">
        <v>25.043</v>
      </c>
      <c r="JT19" t="n">
        <v>29.348</v>
      </c>
      <c r="JU19" t="n">
        <v>3.565</v>
      </c>
      <c r="JV19" t="n">
        <v>-10.174</v>
      </c>
      <c r="JW19" t="n">
        <v>-5.391</v>
      </c>
      <c r="JX19" t="n">
        <v>-1.739</v>
      </c>
      <c r="JY19" t="n">
        <v>0.13</v>
      </c>
      <c r="JZ19" t="n">
        <v>3</v>
      </c>
      <c r="KA19" t="n">
        <v>0.826</v>
      </c>
    </row>
    <row r="20">
      <c r="A20" t="inlineStr">
        <is>
          <t>Average</t>
        </is>
      </c>
      <c r="B20" t="inlineStr">
        <is>
          <t>AFL</t>
        </is>
      </c>
      <c r="C20" t="n">
        <v>216</v>
      </c>
      <c r="D20" t="n">
        <v>37.111</v>
      </c>
      <c r="E20" t="n">
        <v>25.808</v>
      </c>
      <c r="F20" t="n">
        <v>105.378</v>
      </c>
      <c r="G20" t="n">
        <v>200.944</v>
      </c>
      <c r="H20" t="n">
        <v>1649.998</v>
      </c>
      <c r="I20" t="n">
        <v>1507.25</v>
      </c>
      <c r="J20" t="n">
        <v>15.035</v>
      </c>
      <c r="K20" t="n">
        <v>50</v>
      </c>
      <c r="L20" t="n">
        <v>40.961</v>
      </c>
      <c r="M20" t="n">
        <v>208.238</v>
      </c>
      <c r="N20" t="n">
        <v>146.588</v>
      </c>
      <c r="O20" t="n">
        <v>354.826</v>
      </c>
      <c r="P20" t="n">
        <v>72.447</v>
      </c>
      <c r="Q20" t="n">
        <v>65.932</v>
      </c>
      <c r="R20" t="n">
        <v>81.70099999999999</v>
      </c>
      <c r="S20" t="n">
        <v>58.687</v>
      </c>
      <c r="T20" t="n">
        <v>5.89</v>
      </c>
      <c r="U20" t="n">
        <v>51.711</v>
      </c>
      <c r="V20" t="n">
        <v>38.729</v>
      </c>
      <c r="W20" t="n">
        <v>74.896</v>
      </c>
      <c r="X20" t="n">
        <v>5868.657</v>
      </c>
      <c r="Y20" t="n">
        <v>16.54</v>
      </c>
      <c r="Z20" t="n">
        <v>5522.434</v>
      </c>
      <c r="AA20" t="n">
        <v>26.693</v>
      </c>
      <c r="AB20" t="n">
        <v>177.393</v>
      </c>
      <c r="AC20" t="n">
        <v>1.214</v>
      </c>
      <c r="AD20" t="n">
        <v>57.188</v>
      </c>
      <c r="AE20" t="n">
        <v>6.205</v>
      </c>
      <c r="AF20" t="n">
        <v>63.373</v>
      </c>
      <c r="AG20" t="n">
        <v>5.599</v>
      </c>
      <c r="AH20" t="n">
        <v>70.001</v>
      </c>
      <c r="AI20" t="n">
        <v>47.158</v>
      </c>
      <c r="AJ20" t="n">
        <v>23.285</v>
      </c>
      <c r="AK20" t="n">
        <v>1.042</v>
      </c>
      <c r="AL20" t="n">
        <v>56.802</v>
      </c>
      <c r="AM20" t="n">
        <v>0.8</v>
      </c>
      <c r="AN20" t="n">
        <v>130.521</v>
      </c>
      <c r="AO20" t="n">
        <v>216.12</v>
      </c>
      <c r="AP20" t="n">
        <v>346.641</v>
      </c>
      <c r="AQ20" t="n">
        <v>37.653</v>
      </c>
      <c r="AR20" t="n">
        <v>63.542</v>
      </c>
      <c r="AS20" t="n">
        <v>87.259</v>
      </c>
      <c r="AT20" t="n">
        <v>14.623</v>
      </c>
      <c r="AU20" t="n">
        <v>21.766</v>
      </c>
      <c r="AV20" t="n">
        <v>65.495</v>
      </c>
      <c r="AW20" t="n">
        <v>79.64400000000001</v>
      </c>
      <c r="AX20" t="n">
        <v>55.745</v>
      </c>
      <c r="AY20" t="n">
        <v>9.494999999999999</v>
      </c>
      <c r="AZ20" t="n">
        <v>21.294</v>
      </c>
      <c r="BA20" t="n">
        <v>116.505</v>
      </c>
      <c r="BB20" t="n">
        <v>11.863</v>
      </c>
      <c r="BC20" t="n">
        <v>25.701</v>
      </c>
      <c r="BD20" t="n">
        <v>37.565</v>
      </c>
      <c r="BE20" t="n">
        <v>41.539</v>
      </c>
      <c r="BF20" t="n">
        <v>74.611</v>
      </c>
      <c r="BG20" t="n">
        <v>88.509</v>
      </c>
      <c r="BH20" t="n">
        <v>9.369999999999999</v>
      </c>
      <c r="BI20" t="n">
        <v>11.799</v>
      </c>
      <c r="BJ20" t="n">
        <v>22.817</v>
      </c>
      <c r="BK20" t="n">
        <v>15.016</v>
      </c>
      <c r="BL20" t="n">
        <v>7.685</v>
      </c>
      <c r="BM20" t="n">
        <v>28.611</v>
      </c>
      <c r="BN20" t="n">
        <v>7.597</v>
      </c>
      <c r="BO20" t="n">
        <v>12.262</v>
      </c>
      <c r="BP20" t="n">
        <v>10.829</v>
      </c>
      <c r="BQ20" t="n">
        <v>84.398</v>
      </c>
      <c r="BR20" t="n">
        <v>2.032</v>
      </c>
      <c r="BS20" t="n">
        <v>25.338</v>
      </c>
      <c r="BT20" t="n">
        <v>8.926</v>
      </c>
      <c r="BU20" t="n">
        <v>48.392</v>
      </c>
      <c r="BV20" t="n">
        <v>23.712</v>
      </c>
      <c r="BW20" t="n">
        <v>44.653</v>
      </c>
      <c r="BX20" t="n">
        <v>49</v>
      </c>
      <c r="BY20" t="n">
        <v>11.062</v>
      </c>
      <c r="BZ20" t="n">
        <v>27.16</v>
      </c>
      <c r="CA20" t="n">
        <v/>
      </c>
      <c r="CB20" t="n">
        <v/>
      </c>
      <c r="CC20" t="n">
        <v>82.286</v>
      </c>
      <c r="CD20" t="n">
        <v>0.08</v>
      </c>
      <c r="CE20" t="n">
        <v>3.248</v>
      </c>
      <c r="CF20" t="n">
        <v>0.003</v>
      </c>
      <c r="CG20" t="n">
        <v>3.514</v>
      </c>
      <c r="CH20" t="n">
        <v>0.006</v>
      </c>
      <c r="CI20" t="n">
        <v>2.926</v>
      </c>
      <c r="CJ20" t="n">
        <v>-0.001</v>
      </c>
      <c r="CK20" t="n">
        <v>4.042</v>
      </c>
      <c r="CL20" t="n">
        <v>33.778</v>
      </c>
      <c r="CM20" t="n">
        <v>46.579</v>
      </c>
      <c r="CN20" t="n">
        <v>32.725</v>
      </c>
      <c r="CO20" t="n">
        <v>40.312</v>
      </c>
      <c r="CP20" t="n">
        <v>11.361</v>
      </c>
      <c r="CQ20" t="n">
        <v>20.802</v>
      </c>
      <c r="CR20" t="n">
        <v>23.299</v>
      </c>
      <c r="CS20" t="n">
        <v>9.682</v>
      </c>
      <c r="CT20" t="n">
        <v>31.248</v>
      </c>
      <c r="CU20" t="n">
        <v>12.901</v>
      </c>
      <c r="CV20" t="n">
        <v>11.062</v>
      </c>
      <c r="CW20" t="n">
        <v>27.16</v>
      </c>
      <c r="CX20" t="n">
        <v>60.238</v>
      </c>
      <c r="CY20" t="n">
        <v>10.958</v>
      </c>
      <c r="CZ20" t="n">
        <v>267.988</v>
      </c>
      <c r="DA20" t="n">
        <v>127.704</v>
      </c>
      <c r="DB20" t="n">
        <v>30.581</v>
      </c>
      <c r="DC20" t="n">
        <v>97.82899999999999</v>
      </c>
      <c r="DD20" t="n">
        <v>39.294</v>
      </c>
      <c r="DE20" t="n">
        <v>40.166</v>
      </c>
      <c r="DF20" t="n">
        <v>10.44</v>
      </c>
      <c r="DG20" t="n">
        <v>26.568</v>
      </c>
      <c r="DH20" t="n">
        <v>2.956</v>
      </c>
      <c r="DI20" t="n">
        <v>44.363</v>
      </c>
      <c r="DJ20" t="n">
        <v>39.615</v>
      </c>
      <c r="DK20" t="n">
        <v>19.419</v>
      </c>
      <c r="DL20" t="n">
        <v>19.419</v>
      </c>
      <c r="DM20" t="n">
        <v>0</v>
      </c>
      <c r="DN20" t="n">
        <v>10.646</v>
      </c>
      <c r="DO20" t="n">
        <v>91.52</v>
      </c>
      <c r="DP20" t="n">
        <v>6.972</v>
      </c>
      <c r="DQ20" t="n">
        <v>42.544</v>
      </c>
      <c r="DR20" t="n">
        <v>70.306</v>
      </c>
      <c r="DS20" t="n">
        <v>200.944</v>
      </c>
      <c r="DT20" t="n">
        <v>1649.998</v>
      </c>
      <c r="DU20" t="n">
        <v>1507.25</v>
      </c>
      <c r="DV20" t="n">
        <v>15.035</v>
      </c>
      <c r="DW20" t="n">
        <v>40.961</v>
      </c>
      <c r="DX20" t="n">
        <v>208.238</v>
      </c>
      <c r="DY20" t="n">
        <v>146.588</v>
      </c>
      <c r="DZ20" t="n">
        <v>354.826</v>
      </c>
      <c r="EA20" t="n">
        <v>72.447</v>
      </c>
      <c r="EB20" t="n">
        <v>65.932</v>
      </c>
      <c r="EC20" t="n">
        <v>81.70099999999999</v>
      </c>
      <c r="ED20" t="n">
        <v>5.89</v>
      </c>
      <c r="EE20" t="n">
        <v>51.711</v>
      </c>
      <c r="EF20" t="n">
        <v>38.729</v>
      </c>
      <c r="EG20" t="n">
        <v>74.896</v>
      </c>
      <c r="EH20" t="n">
        <v>5868.657</v>
      </c>
      <c r="EI20" t="n">
        <v>16.54</v>
      </c>
      <c r="EJ20" t="n">
        <v>5522.434</v>
      </c>
      <c r="EK20" t="n">
        <v>26.693</v>
      </c>
      <c r="EL20" t="n">
        <v>177.393</v>
      </c>
      <c r="EM20" t="n">
        <v>1.214</v>
      </c>
      <c r="EN20" t="n">
        <v>57.188</v>
      </c>
      <c r="EO20" t="n">
        <v>6.205</v>
      </c>
      <c r="EP20" t="n">
        <v>63.373</v>
      </c>
      <c r="EQ20" t="n">
        <v>5.599</v>
      </c>
      <c r="ER20" t="n">
        <v>70.001</v>
      </c>
      <c r="ES20" t="n">
        <v>47.158</v>
      </c>
      <c r="ET20" t="n">
        <v>23.285</v>
      </c>
      <c r="EU20" t="n">
        <v>1.042</v>
      </c>
      <c r="EV20" t="n">
        <v>56.802</v>
      </c>
      <c r="EW20" t="n">
        <v>0.8</v>
      </c>
      <c r="EX20" t="n">
        <v>130.521</v>
      </c>
      <c r="EY20" t="n">
        <v>216.12</v>
      </c>
      <c r="EZ20" t="n">
        <v>346.641</v>
      </c>
      <c r="FA20" t="n">
        <v>37.653</v>
      </c>
      <c r="FB20" t="n">
        <v>63.542</v>
      </c>
      <c r="FC20" t="n">
        <v>87.259</v>
      </c>
      <c r="FD20" t="n">
        <v>14.623</v>
      </c>
      <c r="FE20" t="n">
        <v>21.766</v>
      </c>
      <c r="FF20" t="n">
        <v>65.495</v>
      </c>
      <c r="FG20" t="n">
        <v>79.64400000000001</v>
      </c>
      <c r="FH20" t="n">
        <v>55.745</v>
      </c>
      <c r="FI20" t="n">
        <v>9.494999999999999</v>
      </c>
      <c r="FJ20" t="n">
        <v>21.294</v>
      </c>
      <c r="FK20" t="n">
        <v>116.505</v>
      </c>
      <c r="FL20" t="n">
        <v>11.863</v>
      </c>
      <c r="FM20" t="n">
        <v>25.701</v>
      </c>
      <c r="FN20" t="n">
        <v>37.565</v>
      </c>
      <c r="FO20" t="n">
        <v>41.539</v>
      </c>
      <c r="FP20" t="n">
        <v>74.611</v>
      </c>
      <c r="FQ20" t="n">
        <v>88.509</v>
      </c>
      <c r="FR20" t="n">
        <v>9.369999999999999</v>
      </c>
      <c r="FS20" t="n">
        <v>11.799</v>
      </c>
      <c r="FT20" t="n">
        <v>22.817</v>
      </c>
      <c r="FU20" t="n">
        <v>15.016</v>
      </c>
      <c r="FV20" t="n">
        <v>7.685</v>
      </c>
      <c r="FW20" t="n">
        <v>12.262</v>
      </c>
      <c r="FX20" t="n">
        <v>10.829</v>
      </c>
      <c r="FY20" t="n">
        <v>84.398</v>
      </c>
      <c r="FZ20" t="n">
        <v>2.032</v>
      </c>
      <c r="GA20" t="n">
        <v>25.338</v>
      </c>
      <c r="GB20" t="n">
        <v>8.926</v>
      </c>
      <c r="GC20" t="n">
        <v>48.392</v>
      </c>
      <c r="GD20" t="n">
        <v>23.712</v>
      </c>
      <c r="GE20" t="n">
        <v>44.653</v>
      </c>
      <c r="GF20" t="n">
        <v>49</v>
      </c>
      <c r="GG20" t="n">
        <v>82.286</v>
      </c>
      <c r="GH20" t="n">
        <v>0.08</v>
      </c>
      <c r="GI20" t="n">
        <v>3.248</v>
      </c>
      <c r="GJ20" t="n">
        <v>0.003</v>
      </c>
      <c r="GK20" t="n">
        <v>3.514</v>
      </c>
      <c r="GL20" t="n">
        <v>0.006</v>
      </c>
      <c r="GM20" t="n">
        <v>2.926</v>
      </c>
      <c r="GN20" t="n">
        <v>-0.001</v>
      </c>
      <c r="GO20" t="n">
        <v>4.042</v>
      </c>
      <c r="GP20" t="n">
        <v>33.778</v>
      </c>
      <c r="GQ20" t="n">
        <v>46.579</v>
      </c>
      <c r="GR20" t="n">
        <v>32.725</v>
      </c>
      <c r="GS20" t="n">
        <v>40.312</v>
      </c>
      <c r="GT20" t="n">
        <v>11.361</v>
      </c>
      <c r="GU20" t="n">
        <v>20.802</v>
      </c>
      <c r="GV20" t="n">
        <v>23.299</v>
      </c>
      <c r="GW20" t="n">
        <v>9.682</v>
      </c>
      <c r="GX20" t="n">
        <v>31.248</v>
      </c>
      <c r="GY20" t="n">
        <v>12.901</v>
      </c>
      <c r="GZ20" t="n">
        <v>60.238</v>
      </c>
      <c r="HA20" t="n">
        <v>10.958</v>
      </c>
      <c r="HB20" t="n">
        <v>267.988</v>
      </c>
      <c r="HC20" t="n">
        <v>127.704</v>
      </c>
      <c r="HD20" t="n">
        <v>30.581</v>
      </c>
      <c r="HE20" t="n">
        <v>39.294</v>
      </c>
      <c r="HF20" t="n">
        <v>40.166</v>
      </c>
      <c r="HG20" t="n">
        <v>10.44</v>
      </c>
      <c r="HH20" t="n">
        <v>26.568</v>
      </c>
      <c r="HI20" t="n">
        <v>2.956</v>
      </c>
      <c r="HJ20" t="n">
        <v>44.363</v>
      </c>
      <c r="HK20" t="n">
        <v>39.615</v>
      </c>
      <c r="HL20" t="n">
        <v>10.646</v>
      </c>
      <c r="HM20" t="n">
        <v>91.52</v>
      </c>
      <c r="HN20" t="n">
        <v>6.972</v>
      </c>
      <c r="HO20" t="n">
        <v>42.544</v>
      </c>
      <c r="HP20" t="n">
        <v>70.306</v>
      </c>
      <c r="HQ20" t="n">
        <v>0</v>
      </c>
      <c r="HR20" t="n">
        <v>0</v>
      </c>
      <c r="HS20" t="n">
        <v>0</v>
      </c>
      <c r="HT20" t="n">
        <v>0</v>
      </c>
      <c r="HU20" t="n">
        <v>0</v>
      </c>
      <c r="HV20" t="n">
        <v>0</v>
      </c>
      <c r="HW20" t="n">
        <v>0</v>
      </c>
      <c r="HX20" t="n">
        <v>0</v>
      </c>
      <c r="HY20" t="n">
        <v>0</v>
      </c>
      <c r="HZ20" t="n">
        <v>0</v>
      </c>
      <c r="IA20" t="n">
        <v>0</v>
      </c>
      <c r="IB20" t="n">
        <v>0</v>
      </c>
      <c r="IC20" t="n">
        <v>0</v>
      </c>
      <c r="ID20" t="n">
        <v>0</v>
      </c>
      <c r="IE20" t="n">
        <v>0</v>
      </c>
      <c r="IF20" t="n">
        <v>0</v>
      </c>
      <c r="IG20" t="n">
        <v>0</v>
      </c>
      <c r="IH20" t="n">
        <v>0</v>
      </c>
      <c r="II20" t="n">
        <v>0</v>
      </c>
      <c r="IJ20" t="n">
        <v>0</v>
      </c>
      <c r="IK20" t="n">
        <v>0</v>
      </c>
      <c r="IL20" t="n">
        <v>0</v>
      </c>
      <c r="IM20" t="n">
        <v>0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</v>
      </c>
      <c r="JN20" t="n">
        <v>0</v>
      </c>
      <c r="JO20" t="n">
        <v>0</v>
      </c>
      <c r="JP20" t="n">
        <v>0</v>
      </c>
      <c r="JQ20" t="n">
        <v>0</v>
      </c>
      <c r="JR20" t="n">
        <v>0</v>
      </c>
      <c r="JS20" t="n">
        <v>0</v>
      </c>
      <c r="JT20" t="n">
        <v>0</v>
      </c>
      <c r="JU20" t="n">
        <v>0</v>
      </c>
      <c r="JV20" t="n">
        <v>0</v>
      </c>
      <c r="JW20" t="n">
        <v>0</v>
      </c>
      <c r="JX20" t="n">
        <v>0</v>
      </c>
      <c r="JY20" t="n">
        <v>0</v>
      </c>
      <c r="JZ20" t="n">
        <v>0</v>
      </c>
      <c r="KA20" t="n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A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Abbreviation</t>
        </is>
      </c>
      <c r="C1" t="inlineStr">
        <is>
          <t>Matches</t>
        </is>
      </c>
      <c r="D1" t="inlineStr">
        <is>
          <t>Players</t>
        </is>
      </c>
      <c r="E1" t="inlineStr">
        <is>
          <t>Age</t>
        </is>
      </c>
      <c r="F1" t="inlineStr">
        <is>
          <t>Experience</t>
        </is>
      </c>
      <c r="G1" t="inlineStr">
        <is>
          <t>RatingPoints</t>
        </is>
      </c>
      <c r="H1" t="inlineStr">
        <is>
          <t>Supercoach</t>
        </is>
      </c>
      <c r="I1" t="inlineStr">
        <is>
          <t>DreamTeamPoints</t>
        </is>
      </c>
      <c r="J1" t="inlineStr">
        <is>
          <t>CoachesVotes</t>
        </is>
      </c>
      <c r="K1" t="inlineStr">
        <is>
          <t>ForwardHalf</t>
        </is>
      </c>
      <c r="L1" t="inlineStr">
        <is>
          <t>TimeInPossession</t>
        </is>
      </c>
      <c r="M1" t="inlineStr">
        <is>
          <t>Kicks</t>
        </is>
      </c>
      <c r="N1" t="inlineStr">
        <is>
          <t>Handballs</t>
        </is>
      </c>
      <c r="O1" t="inlineStr">
        <is>
          <t>Disposals</t>
        </is>
      </c>
      <c r="P1" t="inlineStr">
        <is>
          <t>DisposalEfficiency</t>
        </is>
      </c>
      <c r="Q1" t="inlineStr">
        <is>
          <t>KickingEfficiency</t>
        </is>
      </c>
      <c r="R1" t="inlineStr">
        <is>
          <t>HandballEfficiency</t>
        </is>
      </c>
      <c r="S1" t="inlineStr">
        <is>
          <t>KickPercentage</t>
        </is>
      </c>
      <c r="T1" t="inlineStr">
        <is>
          <t>DisposalsPerOppositionTackle</t>
        </is>
      </c>
      <c r="U1" t="inlineStr">
        <is>
          <t>Inside50s</t>
        </is>
      </c>
      <c r="V1" t="inlineStr">
        <is>
          <t>Rebound50s</t>
        </is>
      </c>
      <c r="W1" t="inlineStr">
        <is>
          <t>Rebound50sPerOppositionInside50s</t>
        </is>
      </c>
      <c r="X1" t="inlineStr">
        <is>
          <t>MetresGained</t>
        </is>
      </c>
      <c r="Y1" t="inlineStr">
        <is>
          <t>MetresGainedPerDisposal</t>
        </is>
      </c>
      <c r="Z1" t="inlineStr">
        <is>
          <t>KickMetresGained</t>
        </is>
      </c>
      <c r="AA1" t="inlineStr">
        <is>
          <t>KickMetresGainedPerKick</t>
        </is>
      </c>
      <c r="AB1" t="inlineStr">
        <is>
          <t>HandballMetresGained</t>
        </is>
      </c>
      <c r="AC1" t="inlineStr">
        <is>
          <t>HandballMetresGainedPerHandball</t>
        </is>
      </c>
      <c r="AD1" t="inlineStr">
        <is>
          <t>Clangers</t>
        </is>
      </c>
      <c r="AE1" t="inlineStr">
        <is>
          <t>DisposalsPerClanger</t>
        </is>
      </c>
      <c r="AF1" t="inlineStr">
        <is>
          <t>Turnovers</t>
        </is>
      </c>
      <c r="AG1" t="inlineStr">
        <is>
          <t>DisposalsPerTurnover</t>
        </is>
      </c>
      <c r="AH1" t="inlineStr">
        <is>
          <t>DisposalRetentionPercentage</t>
        </is>
      </c>
      <c r="AI1" t="inlineStr">
        <is>
          <t>KickIntoF50RetentionPercentage</t>
        </is>
      </c>
      <c r="AJ1" t="inlineStr">
        <is>
          <t>xThreatPerKick</t>
        </is>
      </c>
      <c r="AK1" t="inlineStr">
        <is>
          <t>ThreatRating</t>
        </is>
      </c>
      <c r="AL1" t="inlineStr">
        <is>
          <t>xRetainPerKick</t>
        </is>
      </c>
      <c r="AM1" t="inlineStr">
        <is>
          <t>RetentionRating</t>
        </is>
      </c>
      <c r="AN1" t="inlineStr">
        <is>
          <t>ContestedPossessions</t>
        </is>
      </c>
      <c r="AO1" t="inlineStr">
        <is>
          <t>UncontestedPossessions</t>
        </is>
      </c>
      <c r="AP1" t="inlineStr">
        <is>
          <t>TotalPossessions</t>
        </is>
      </c>
      <c r="AQ1" t="inlineStr">
        <is>
          <t>ContestedPossessionRate</t>
        </is>
      </c>
      <c r="AR1" t="inlineStr">
        <is>
          <t>Intercepts</t>
        </is>
      </c>
      <c r="AS1" t="inlineStr">
        <is>
          <t>GroundBallGets</t>
        </is>
      </c>
      <c r="AT1" t="inlineStr">
        <is>
          <t>GroundBallGetsForward50</t>
        </is>
      </c>
      <c r="AU1" t="inlineStr">
        <is>
          <t>HardBallGets</t>
        </is>
      </c>
      <c r="AV1" t="inlineStr">
        <is>
          <t>LooseBallGets</t>
        </is>
      </c>
      <c r="AW1" t="inlineStr">
        <is>
          <t>PostClearanceContestedPossessions</t>
        </is>
      </c>
      <c r="AX1" t="inlineStr">
        <is>
          <t>PostClearanceGroundBallGets</t>
        </is>
      </c>
      <c r="AY1" t="inlineStr">
        <is>
          <t>GathersFromHitout</t>
        </is>
      </c>
      <c r="AZ1" t="inlineStr">
        <is>
          <t>CrumbingPossessions</t>
        </is>
      </c>
      <c r="BA1" t="inlineStr">
        <is>
          <t>HandballReceives</t>
        </is>
      </c>
      <c r="BB1" t="inlineStr">
        <is>
          <t>CentreClearances</t>
        </is>
      </c>
      <c r="BC1" t="inlineStr">
        <is>
          <t>StoppageClearances</t>
        </is>
      </c>
      <c r="BD1" t="inlineStr">
        <is>
          <t>TotalClearances</t>
        </is>
      </c>
      <c r="BE1" t="inlineStr">
        <is>
          <t>FirstPossessions</t>
        </is>
      </c>
      <c r="BF1" t="inlineStr">
        <is>
          <t>FirstPossessionToClearance</t>
        </is>
      </c>
      <c r="BG1" t="inlineStr">
        <is>
          <t>Marks</t>
        </is>
      </c>
      <c r="BH1" t="inlineStr">
        <is>
          <t>ContestedMarks</t>
        </is>
      </c>
      <c r="BI1" t="inlineStr">
        <is>
          <t>MarksInside50</t>
        </is>
      </c>
      <c r="BJ1" t="inlineStr">
        <is>
          <t>MarksInside50PerInside50</t>
        </is>
      </c>
      <c r="BK1" t="inlineStr">
        <is>
          <t>InterceptMarks</t>
        </is>
      </c>
      <c r="BL1" t="inlineStr">
        <is>
          <t>MarksOnLead</t>
        </is>
      </c>
      <c r="BM1" t="inlineStr">
        <is>
          <t>GoalScorers_Total</t>
        </is>
      </c>
      <c r="BN1" t="inlineStr">
        <is>
          <t>GoalScorers</t>
        </is>
      </c>
      <c r="BO1" t="inlineStr">
        <is>
          <t>Goals</t>
        </is>
      </c>
      <c r="BP1" t="inlineStr">
        <is>
          <t>Behinds</t>
        </is>
      </c>
      <c r="BQ1" t="inlineStr">
        <is>
          <t>TotalPoints</t>
        </is>
      </c>
      <c r="BR1" t="inlineStr">
        <is>
          <t>RushedBehinds</t>
        </is>
      </c>
      <c r="BS1" t="inlineStr">
        <is>
          <t>ShotsAtGoal</t>
        </is>
      </c>
      <c r="BT1" t="inlineStr">
        <is>
          <t>GoalAssists</t>
        </is>
      </c>
      <c r="BU1" t="inlineStr">
        <is>
          <t>GoalAccuracy</t>
        </is>
      </c>
      <c r="BV1" t="inlineStr">
        <is>
          <t>GoalsPerInside50</t>
        </is>
      </c>
      <c r="BW1" t="inlineStr">
        <is>
          <t>ScoringShotsPerInside50</t>
        </is>
      </c>
      <c r="BX1" t="inlineStr">
        <is>
          <t>ShotsPerInside50</t>
        </is>
      </c>
      <c r="BY1" t="inlineStr">
        <is>
          <t>ContestOffensiveOneOnOnes</t>
        </is>
      </c>
      <c r="BZ1" t="inlineStr">
        <is>
          <t>ContestOffensiveWinPercentage</t>
        </is>
      </c>
      <c r="CA1" t="inlineStr">
        <is>
          <t>xWins</t>
        </is>
      </c>
      <c r="CB1" t="inlineStr">
        <is>
          <t>WinsAboveXWins</t>
        </is>
      </c>
      <c r="CC1" t="inlineStr">
        <is>
          <t>xScore</t>
        </is>
      </c>
      <c r="CD1" t="inlineStr">
        <is>
          <t>xScoreRating</t>
        </is>
      </c>
      <c r="CE1" t="inlineStr">
        <is>
          <t>xScorePerShot</t>
        </is>
      </c>
      <c r="CF1" t="inlineStr">
        <is>
          <t>xScoreRatingPerShot</t>
        </is>
      </c>
      <c r="CG1" t="inlineStr">
        <is>
          <t>xScorePerShot_Set</t>
        </is>
      </c>
      <c r="CH1" t="inlineStr">
        <is>
          <t>xScoreRatingPerShot_Set</t>
        </is>
      </c>
      <c r="CI1" t="inlineStr">
        <is>
          <t>xScorePerShot_General</t>
        </is>
      </c>
      <c r="CJ1" t="inlineStr">
        <is>
          <t>xScoreRatingPerShot_General</t>
        </is>
      </c>
      <c r="CK1" t="inlineStr">
        <is>
          <t>PointsFromKickIn</t>
        </is>
      </c>
      <c r="CL1" t="inlineStr">
        <is>
          <t>PointsFromStoppage</t>
        </is>
      </c>
      <c r="CM1" t="inlineStr">
        <is>
          <t>PointsFromTurnover</t>
        </is>
      </c>
      <c r="CN1" t="inlineStr">
        <is>
          <t>PointsFromDefensiveHalf</t>
        </is>
      </c>
      <c r="CO1" t="inlineStr">
        <is>
          <t>PointsFromForwardHalf</t>
        </is>
      </c>
      <c r="CP1" t="inlineStr">
        <is>
          <t>PointsFromCentreBounce</t>
        </is>
      </c>
      <c r="CQ1" t="inlineStr">
        <is>
          <t>ChainToScore</t>
        </is>
      </c>
      <c r="CR1" t="inlineStr">
        <is>
          <t>D50ToF50</t>
        </is>
      </c>
      <c r="CS1" t="inlineStr">
        <is>
          <t>D50ToScore</t>
        </is>
      </c>
      <c r="CT1" t="inlineStr">
        <is>
          <t>DefHalfToF50</t>
        </is>
      </c>
      <c r="CU1" t="inlineStr">
        <is>
          <t>DefHalfToScore</t>
        </is>
      </c>
      <c r="CV1" t="inlineStr">
        <is>
          <t>ContestDefensiveOneOnOnes</t>
        </is>
      </c>
      <c r="CW1" t="inlineStr">
        <is>
          <t>ContestDefensiveLossPercentage</t>
        </is>
      </c>
      <c r="CX1" t="inlineStr">
        <is>
          <t>Tackles</t>
        </is>
      </c>
      <c r="CY1" t="inlineStr">
        <is>
          <t>TacklesInside50</t>
        </is>
      </c>
      <c r="CZ1" t="inlineStr">
        <is>
          <t>PressureActs</t>
        </is>
      </c>
      <c r="DA1" t="inlineStr">
        <is>
          <t>PressureActsDefensiveHalf</t>
        </is>
      </c>
      <c r="DB1" t="inlineStr">
        <is>
          <t>Spoils</t>
        </is>
      </c>
      <c r="DC1" t="inlineStr">
        <is>
          <t>RuckContests</t>
        </is>
      </c>
      <c r="DD1" t="inlineStr">
        <is>
          <t>Hitouts</t>
        </is>
      </c>
      <c r="DE1" t="inlineStr">
        <is>
          <t>HitoutsWinPercentage</t>
        </is>
      </c>
      <c r="DF1" t="inlineStr">
        <is>
          <t>HitoutsToAdvantage</t>
        </is>
      </c>
      <c r="DG1" t="inlineStr">
        <is>
          <t>HitoutsToAdvantagePercentage</t>
        </is>
      </c>
      <c r="DH1" t="inlineStr">
        <is>
          <t>RuckHardBallGets</t>
        </is>
      </c>
      <c r="DI1" t="inlineStr">
        <is>
          <t>HitoutToFirstPossession</t>
        </is>
      </c>
      <c r="DJ1" t="inlineStr">
        <is>
          <t>HitoutToClearance</t>
        </is>
      </c>
      <c r="DK1" t="inlineStr">
        <is>
          <t>FreesFor</t>
        </is>
      </c>
      <c r="DL1" t="inlineStr">
        <is>
          <t>FreesAgainst</t>
        </is>
      </c>
      <c r="DM1" t="inlineStr">
        <is>
          <t>FreesDiff</t>
        </is>
      </c>
      <c r="DN1" t="inlineStr">
        <is>
          <t>KickIns</t>
        </is>
      </c>
      <c r="DO1" t="inlineStr">
        <is>
          <t>KickInsPlayOnPercentage</t>
        </is>
      </c>
      <c r="DP1" t="inlineStr">
        <is>
          <t>Bounces</t>
        </is>
      </c>
      <c r="DQ1" t="inlineStr">
        <is>
          <t>OnePercenters</t>
        </is>
      </c>
      <c r="DR1" t="inlineStr">
        <is>
          <t>InterchangeCount</t>
        </is>
      </c>
      <c r="DS1" t="inlineStr">
        <is>
          <t>RatingPoints_Opposition</t>
        </is>
      </c>
      <c r="DT1" t="inlineStr">
        <is>
          <t>Supercoach_Opposition</t>
        </is>
      </c>
      <c r="DU1" t="inlineStr">
        <is>
          <t>DreamTeamPoints_Opposition</t>
        </is>
      </c>
      <c r="DV1" t="inlineStr">
        <is>
          <t>CoachesVotes_Opposition</t>
        </is>
      </c>
      <c r="DW1" t="inlineStr">
        <is>
          <t>TimeInPossession_Opposition</t>
        </is>
      </c>
      <c r="DX1" t="inlineStr">
        <is>
          <t>Kicks_Opposition</t>
        </is>
      </c>
      <c r="DY1" t="inlineStr">
        <is>
          <t>Handballs_Opposition</t>
        </is>
      </c>
      <c r="DZ1" t="inlineStr">
        <is>
          <t>Disposals_Opposition</t>
        </is>
      </c>
      <c r="EA1" t="inlineStr">
        <is>
          <t>DisposalEfficiency_Opposition</t>
        </is>
      </c>
      <c r="EB1" t="inlineStr">
        <is>
          <t>KickingEfficiency_Opposition</t>
        </is>
      </c>
      <c r="EC1" t="inlineStr">
        <is>
          <t>HandballEfficiency_Opposition</t>
        </is>
      </c>
      <c r="ED1" t="inlineStr">
        <is>
          <t>OppositionDisposalsPerTackle</t>
        </is>
      </c>
      <c r="EE1" t="inlineStr">
        <is>
          <t>Inside50s_Opposition</t>
        </is>
      </c>
      <c r="EF1" t="inlineStr">
        <is>
          <t>Rebound50s_Opposition</t>
        </is>
      </c>
      <c r="EG1" t="inlineStr">
        <is>
          <t>OppositionRebound50sPerInside50s</t>
        </is>
      </c>
      <c r="EH1" t="inlineStr">
        <is>
          <t>MetresGained_Opposition</t>
        </is>
      </c>
      <c r="EI1" t="inlineStr">
        <is>
          <t>MetresGainedPerDisposal_Opposition</t>
        </is>
      </c>
      <c r="EJ1" t="inlineStr">
        <is>
          <t>KickMetresGained_Opposition</t>
        </is>
      </c>
      <c r="EK1" t="inlineStr">
        <is>
          <t>KickMetresGainedPerKick_Opposition</t>
        </is>
      </c>
      <c r="EL1" t="inlineStr">
        <is>
          <t>HandballMetresGained_Opposition</t>
        </is>
      </c>
      <c r="EM1" t="inlineStr">
        <is>
          <t>HandballMetresGainedPerHandball_Opposition</t>
        </is>
      </c>
      <c r="EN1" t="inlineStr">
        <is>
          <t>Clangers_Opposition</t>
        </is>
      </c>
      <c r="EO1" t="inlineStr">
        <is>
          <t>DisposalsPerClanger_Opposition</t>
        </is>
      </c>
      <c r="EP1" t="inlineStr">
        <is>
          <t>Turnovers_Opposition</t>
        </is>
      </c>
      <c r="EQ1" t="inlineStr">
        <is>
          <t>DisposalsPerTurnover_Opposition</t>
        </is>
      </c>
      <c r="ER1" t="inlineStr">
        <is>
          <t>DisposalRetentionPercentage_Opposition</t>
        </is>
      </c>
      <c r="ES1" t="inlineStr">
        <is>
          <t>KickIntoF50RetentionPercentage_Opposition</t>
        </is>
      </c>
      <c r="ET1" t="inlineStr">
        <is>
          <t>xThreatPerKick_Opposition</t>
        </is>
      </c>
      <c r="EU1" t="inlineStr">
        <is>
          <t>ThreatRating_Opposition</t>
        </is>
      </c>
      <c r="EV1" t="inlineStr">
        <is>
          <t>xRetainPerKick_Opposition</t>
        </is>
      </c>
      <c r="EW1" t="inlineStr">
        <is>
          <t>RetentionRating_Opposition</t>
        </is>
      </c>
      <c r="EX1" t="inlineStr">
        <is>
          <t>ContestedPossessions_Opposition</t>
        </is>
      </c>
      <c r="EY1" t="inlineStr">
        <is>
          <t>UncontestedPossessions_Opposition</t>
        </is>
      </c>
      <c r="EZ1" t="inlineStr">
        <is>
          <t>TotalPossessions_Opposition</t>
        </is>
      </c>
      <c r="FA1" t="inlineStr">
        <is>
          <t>ContestedPossessionRate_Opposition</t>
        </is>
      </c>
      <c r="FB1" t="inlineStr">
        <is>
          <t>Intercepts_Opposition</t>
        </is>
      </c>
      <c r="FC1" t="inlineStr">
        <is>
          <t>GroundBallGets_Opposition</t>
        </is>
      </c>
      <c r="FD1" t="inlineStr">
        <is>
          <t>GroundBallGetsForward50_Opposition</t>
        </is>
      </c>
      <c r="FE1" t="inlineStr">
        <is>
          <t>HardBallGets_Opposition</t>
        </is>
      </c>
      <c r="FF1" t="inlineStr">
        <is>
          <t>LooseBallGets_Opposition</t>
        </is>
      </c>
      <c r="FG1" t="inlineStr">
        <is>
          <t>PostClearanceContestedPossessions_Opposition</t>
        </is>
      </c>
      <c r="FH1" t="inlineStr">
        <is>
          <t>PostClearanceGroundBallGets_Opposition</t>
        </is>
      </c>
      <c r="FI1" t="inlineStr">
        <is>
          <t>GathersFromHitout_Opposition</t>
        </is>
      </c>
      <c r="FJ1" t="inlineStr">
        <is>
          <t>CrumbingPossessions_Opposition</t>
        </is>
      </c>
      <c r="FK1" t="inlineStr">
        <is>
          <t>HandballReceives_Opposition</t>
        </is>
      </c>
      <c r="FL1" t="inlineStr">
        <is>
          <t>CentreClearances_Opposition</t>
        </is>
      </c>
      <c r="FM1" t="inlineStr">
        <is>
          <t>StoppageClearances_Opposition</t>
        </is>
      </c>
      <c r="FN1" t="inlineStr">
        <is>
          <t>TotalClearances_Opposition</t>
        </is>
      </c>
      <c r="FO1" t="inlineStr">
        <is>
          <t>FirstPossessions_Opposition</t>
        </is>
      </c>
      <c r="FP1" t="inlineStr">
        <is>
          <t>FirstPossessionToClearance_Opposition</t>
        </is>
      </c>
      <c r="FQ1" t="inlineStr">
        <is>
          <t>Marks_Opposition</t>
        </is>
      </c>
      <c r="FR1" t="inlineStr">
        <is>
          <t>ContestedMarks_Opposition</t>
        </is>
      </c>
      <c r="FS1" t="inlineStr">
        <is>
          <t>MarksInside50_Opposition</t>
        </is>
      </c>
      <c r="FT1" t="inlineStr">
        <is>
          <t>MarksInside50PerInside50_Opposition</t>
        </is>
      </c>
      <c r="FU1" t="inlineStr">
        <is>
          <t>InterceptMarks_Opposition</t>
        </is>
      </c>
      <c r="FV1" t="inlineStr">
        <is>
          <t>MarksOnLead_Opposition</t>
        </is>
      </c>
      <c r="FW1" t="inlineStr">
        <is>
          <t>Goals_Opposition</t>
        </is>
      </c>
      <c r="FX1" t="inlineStr">
        <is>
          <t>Behinds_Opposition</t>
        </is>
      </c>
      <c r="FY1" t="inlineStr">
        <is>
          <t>TotalPoints_Opposition</t>
        </is>
      </c>
      <c r="FZ1" t="inlineStr">
        <is>
          <t>RushedBehinds_Opposition</t>
        </is>
      </c>
      <c r="GA1" t="inlineStr">
        <is>
          <t>ShotsAtGoal_Opposition</t>
        </is>
      </c>
      <c r="GB1" t="inlineStr">
        <is>
          <t>GoalAssists_Opposition</t>
        </is>
      </c>
      <c r="GC1" t="inlineStr">
        <is>
          <t>GoalAccuracy_Opposition</t>
        </is>
      </c>
      <c r="GD1" t="inlineStr">
        <is>
          <t>GoalsPerInside50_Opposition</t>
        </is>
      </c>
      <c r="GE1" t="inlineStr">
        <is>
          <t>ScoringShotsPerInside50_Opposition</t>
        </is>
      </c>
      <c r="GF1" t="inlineStr">
        <is>
          <t>ShotsPerInside50_Opposition</t>
        </is>
      </c>
      <c r="GG1" t="inlineStr">
        <is>
          <t>xScore_Opposition</t>
        </is>
      </c>
      <c r="GH1" t="inlineStr">
        <is>
          <t>xScoreRating_Opposition</t>
        </is>
      </c>
      <c r="GI1" t="inlineStr">
        <is>
          <t>xScorePerShot_Opposition</t>
        </is>
      </c>
      <c r="GJ1" t="inlineStr">
        <is>
          <t>xScoreRatingPerShot_Opposition</t>
        </is>
      </c>
      <c r="GK1" t="inlineStr">
        <is>
          <t>xScorePerShot_Set_Opposition</t>
        </is>
      </c>
      <c r="GL1" t="inlineStr">
        <is>
          <t>xScoreRatingPerShot_Set_Opposition</t>
        </is>
      </c>
      <c r="GM1" t="inlineStr">
        <is>
          <t>xScorePerShot_General_Opposition</t>
        </is>
      </c>
      <c r="GN1" t="inlineStr">
        <is>
          <t>xScoreRatingPerShot_General_Opposition</t>
        </is>
      </c>
      <c r="GO1" t="inlineStr">
        <is>
          <t>PointsFromKickIn_Opposition</t>
        </is>
      </c>
      <c r="GP1" t="inlineStr">
        <is>
          <t>PointsFromStoppage_Opposition</t>
        </is>
      </c>
      <c r="GQ1" t="inlineStr">
        <is>
          <t>PointsFromTurnover_Opposition</t>
        </is>
      </c>
      <c r="GR1" t="inlineStr">
        <is>
          <t>PointsFromDefensiveHalf_Opposition</t>
        </is>
      </c>
      <c r="GS1" t="inlineStr">
        <is>
          <t>PointsFromForwardHalf_Opposition</t>
        </is>
      </c>
      <c r="GT1" t="inlineStr">
        <is>
          <t>PointsFromCentreBounce_Opposition</t>
        </is>
      </c>
      <c r="GU1" t="inlineStr">
        <is>
          <t>ChainToScore_Opposition</t>
        </is>
      </c>
      <c r="GV1" t="inlineStr">
        <is>
          <t>D50ToF50_Opposition</t>
        </is>
      </c>
      <c r="GW1" t="inlineStr">
        <is>
          <t>D50ToScore_Opposition</t>
        </is>
      </c>
      <c r="GX1" t="inlineStr">
        <is>
          <t>DefHalfToF50_Opposition</t>
        </is>
      </c>
      <c r="GY1" t="inlineStr">
        <is>
          <t>DefHalfToScore_Opposition</t>
        </is>
      </c>
      <c r="GZ1" t="inlineStr">
        <is>
          <t>Tackles_Opposition</t>
        </is>
      </c>
      <c r="HA1" t="inlineStr">
        <is>
          <t>TacklesInside50_Opposition</t>
        </is>
      </c>
      <c r="HB1" t="inlineStr">
        <is>
          <t>PressureActs_Opposition</t>
        </is>
      </c>
      <c r="HC1" t="inlineStr">
        <is>
          <t>PressureActsDefensiveHalf_Opposition</t>
        </is>
      </c>
      <c r="HD1" t="inlineStr">
        <is>
          <t>Spoils_Opposition</t>
        </is>
      </c>
      <c r="HE1" t="inlineStr">
        <is>
          <t>Hitouts_Opposition</t>
        </is>
      </c>
      <c r="HF1" t="inlineStr">
        <is>
          <t>HitoutsWinPercentage_Opposition</t>
        </is>
      </c>
      <c r="HG1" t="inlineStr">
        <is>
          <t>HitoutsToAdvantage_Opposition</t>
        </is>
      </c>
      <c r="HH1" t="inlineStr">
        <is>
          <t>HitoutsToAdvantagePercentage_Opposition</t>
        </is>
      </c>
      <c r="HI1" t="inlineStr">
        <is>
          <t>RuckHardBallGets_Opposition</t>
        </is>
      </c>
      <c r="HJ1" t="inlineStr">
        <is>
          <t>HitoutToFirstPossession_Opposition</t>
        </is>
      </c>
      <c r="HK1" t="inlineStr">
        <is>
          <t>HitoutToClearance_Opposition</t>
        </is>
      </c>
      <c r="HL1" t="inlineStr">
        <is>
          <t>KickIns_Opposition</t>
        </is>
      </c>
      <c r="HM1" t="inlineStr">
        <is>
          <t>KickInsPlayOnPercentage_Opposition</t>
        </is>
      </c>
      <c r="HN1" t="inlineStr">
        <is>
          <t>Bounces_Opposition</t>
        </is>
      </c>
      <c r="HO1" t="inlineStr">
        <is>
          <t>OnePercenters_Opposition</t>
        </is>
      </c>
      <c r="HP1" t="inlineStr">
        <is>
          <t>InterchangeCount_Opposition</t>
        </is>
      </c>
      <c r="HQ1" t="inlineStr">
        <is>
          <t>RatingPoints_Diff</t>
        </is>
      </c>
      <c r="HR1" t="inlineStr">
        <is>
          <t>Supercoach_Diff</t>
        </is>
      </c>
      <c r="HS1" t="inlineStr">
        <is>
          <t>DreamTeamPoints_Diff</t>
        </is>
      </c>
      <c r="HT1" t="inlineStr">
        <is>
          <t>CoachesVotes_Diff</t>
        </is>
      </c>
      <c r="HU1" t="inlineStr">
        <is>
          <t>TimeInPossession_Diff</t>
        </is>
      </c>
      <c r="HV1" t="inlineStr">
        <is>
          <t>Kicks_Diff</t>
        </is>
      </c>
      <c r="HW1" t="inlineStr">
        <is>
          <t>Handballs_Diff</t>
        </is>
      </c>
      <c r="HX1" t="inlineStr">
        <is>
          <t>Disposals_Diff</t>
        </is>
      </c>
      <c r="HY1" t="inlineStr">
        <is>
          <t>Inside50s_Diff</t>
        </is>
      </c>
      <c r="HZ1" t="inlineStr">
        <is>
          <t>MetresGained_Diff</t>
        </is>
      </c>
      <c r="IA1" t="inlineStr">
        <is>
          <t>KickMetresGained_Diff</t>
        </is>
      </c>
      <c r="IB1" t="inlineStr">
        <is>
          <t>HandballMetresGained_Diff</t>
        </is>
      </c>
      <c r="IC1" t="inlineStr">
        <is>
          <t>Clangers_Diff</t>
        </is>
      </c>
      <c r="ID1" t="inlineStr">
        <is>
          <t>Turnovers_Diff</t>
        </is>
      </c>
      <c r="IE1" t="inlineStr">
        <is>
          <t>ThreatRating_Diff</t>
        </is>
      </c>
      <c r="IF1" t="inlineStr">
        <is>
          <t>RetentionRating_Diff</t>
        </is>
      </c>
      <c r="IG1" t="inlineStr">
        <is>
          <t>ContestedPossessions_Diff</t>
        </is>
      </c>
      <c r="IH1" t="inlineStr">
        <is>
          <t>UncontestedPossessions_Diff</t>
        </is>
      </c>
      <c r="II1" t="inlineStr">
        <is>
          <t>TotalPossessions_Diff</t>
        </is>
      </c>
      <c r="IJ1" t="inlineStr">
        <is>
          <t>Intercepts_Diff</t>
        </is>
      </c>
      <c r="IK1" t="inlineStr">
        <is>
          <t>GroundBallGets_Diff</t>
        </is>
      </c>
      <c r="IL1" t="inlineStr">
        <is>
          <t>GroundBallGetsForward50_Diff</t>
        </is>
      </c>
      <c r="IM1" t="inlineStr">
        <is>
          <t>HardBallGets_Diff</t>
        </is>
      </c>
      <c r="IN1" t="inlineStr">
        <is>
          <t>LooseBallGets_Diff</t>
        </is>
      </c>
      <c r="IO1" t="inlineStr">
        <is>
          <t>PostClearanceContestedPossessions_Diff</t>
        </is>
      </c>
      <c r="IP1" t="inlineStr">
        <is>
          <t>PostClearanceGroundBallGets_Diff</t>
        </is>
      </c>
      <c r="IQ1" t="inlineStr">
        <is>
          <t>GathersFromHitout_Diff</t>
        </is>
      </c>
      <c r="IR1" t="inlineStr">
        <is>
          <t>CrumbingPossessions_Diff</t>
        </is>
      </c>
      <c r="IS1" t="inlineStr">
        <is>
          <t>HandballReceives_Diff</t>
        </is>
      </c>
      <c r="IT1" t="inlineStr">
        <is>
          <t>CentreClearances_Diff</t>
        </is>
      </c>
      <c r="IU1" t="inlineStr">
        <is>
          <t>StoppageClearances_Diff</t>
        </is>
      </c>
      <c r="IV1" t="inlineStr">
        <is>
          <t>TotalClearances_Diff</t>
        </is>
      </c>
      <c r="IW1" t="inlineStr">
        <is>
          <t>FirstPossessions_Diff</t>
        </is>
      </c>
      <c r="IX1" t="inlineStr">
        <is>
          <t>Marks_Diff</t>
        </is>
      </c>
      <c r="IY1" t="inlineStr">
        <is>
          <t>ContestedMarks_Diff</t>
        </is>
      </c>
      <c r="IZ1" t="inlineStr">
        <is>
          <t>MarksInside50_Diff</t>
        </is>
      </c>
      <c r="JA1" t="inlineStr">
        <is>
          <t>InterceptMarks_Diff</t>
        </is>
      </c>
      <c r="JB1" t="inlineStr">
        <is>
          <t>MarksOnLead_Diff</t>
        </is>
      </c>
      <c r="JC1" t="inlineStr">
        <is>
          <t>Goals_Diff</t>
        </is>
      </c>
      <c r="JD1" t="inlineStr">
        <is>
          <t>Behinds_Diff</t>
        </is>
      </c>
      <c r="JE1" t="inlineStr">
        <is>
          <t>TotalPoints_Diff</t>
        </is>
      </c>
      <c r="JF1" t="inlineStr">
        <is>
          <t>ShotsAtGoal_Diff</t>
        </is>
      </c>
      <c r="JG1" t="inlineStr">
        <is>
          <t>GoalAssists_Diff</t>
        </is>
      </c>
      <c r="JH1" t="inlineStr">
        <is>
          <t>xScore_Diff</t>
        </is>
      </c>
      <c r="JI1" t="inlineStr">
        <is>
          <t>xScoreRating_Diff</t>
        </is>
      </c>
      <c r="JJ1" t="inlineStr">
        <is>
          <t>xScorePerShot_Diff</t>
        </is>
      </c>
      <c r="JK1" t="inlineStr">
        <is>
          <t>PointsFromKickIn_Diff</t>
        </is>
      </c>
      <c r="JL1" t="inlineStr">
        <is>
          <t>PointsFromStoppage_Diff</t>
        </is>
      </c>
      <c r="JM1" t="inlineStr">
        <is>
          <t>PointsFromTurnover_Diff</t>
        </is>
      </c>
      <c r="JN1" t="inlineStr">
        <is>
          <t>PointsFromDefensiveHalf_Diff</t>
        </is>
      </c>
      <c r="JO1" t="inlineStr">
        <is>
          <t>PointsFromForwardHalf_Diff</t>
        </is>
      </c>
      <c r="JP1" t="inlineStr">
        <is>
          <t>PointsFromCentreBounce_Diff</t>
        </is>
      </c>
      <c r="JQ1" t="inlineStr">
        <is>
          <t>Tackles_Diff</t>
        </is>
      </c>
      <c r="JR1" t="inlineStr">
        <is>
          <t>TacklesInside50_Diff</t>
        </is>
      </c>
      <c r="JS1" t="inlineStr">
        <is>
          <t>PressureActs_Diff</t>
        </is>
      </c>
      <c r="JT1" t="inlineStr">
        <is>
          <t>PressureActsDefensiveHalf_Diff</t>
        </is>
      </c>
      <c r="JU1" t="inlineStr">
        <is>
          <t>Spoils_Diff</t>
        </is>
      </c>
      <c r="JV1" t="inlineStr">
        <is>
          <t>Hitouts_Diff</t>
        </is>
      </c>
      <c r="JW1" t="inlineStr">
        <is>
          <t>HitoutsToAdvantage_Diff</t>
        </is>
      </c>
      <c r="JX1" t="inlineStr">
        <is>
          <t>RuckHardBallGets_Diff</t>
        </is>
      </c>
      <c r="JY1" t="inlineStr">
        <is>
          <t>Bounces_Diff</t>
        </is>
      </c>
      <c r="JZ1" t="inlineStr">
        <is>
          <t>OnePercenters_Diff</t>
        </is>
      </c>
      <c r="KA1" t="inlineStr">
        <is>
          <t>InterchangeCount_Diff</t>
        </is>
      </c>
    </row>
    <row r="2">
      <c r="A2" t="inlineStr">
        <is>
          <t>Melbourne</t>
        </is>
      </c>
      <c r="B2" t="inlineStr">
        <is>
          <t>Melb</t>
        </is>
      </c>
      <c r="C2" t="n">
        <v>10</v>
      </c>
      <c r="D2" t="n">
        <v>30</v>
      </c>
      <c r="E2" t="n">
        <v>26.129</v>
      </c>
      <c r="F2" t="n">
        <v>124.043</v>
      </c>
      <c r="G2" t="n">
        <v>200.27</v>
      </c>
      <c r="H2" t="n">
        <v>1652.1</v>
      </c>
      <c r="I2" t="n">
        <v>1548.7</v>
      </c>
      <c r="J2" t="n">
        <v>13</v>
      </c>
      <c r="K2" t="n">
        <v>50.207</v>
      </c>
      <c r="L2" t="n">
        <v>40.4</v>
      </c>
      <c r="M2" t="n">
        <v>213.5</v>
      </c>
      <c r="N2" t="n">
        <v>153.6</v>
      </c>
      <c r="O2" t="n">
        <v>367.1</v>
      </c>
      <c r="P2" t="n">
        <v>73.631</v>
      </c>
      <c r="Q2" t="n">
        <v>68.337</v>
      </c>
      <c r="R2" t="n">
        <v>80.98999999999999</v>
      </c>
      <c r="S2" t="n">
        <v>58.159</v>
      </c>
      <c r="T2" t="n">
        <v>6.748</v>
      </c>
      <c r="U2" t="n">
        <v>51.9</v>
      </c>
      <c r="V2" t="n">
        <v>36.5</v>
      </c>
      <c r="W2" t="n">
        <v>73</v>
      </c>
      <c r="X2" t="n">
        <v>5835.4</v>
      </c>
      <c r="Y2" t="n">
        <v>15.896</v>
      </c>
      <c r="Z2" t="n">
        <v>5464.704</v>
      </c>
      <c r="AA2" t="n">
        <v>25.74</v>
      </c>
      <c r="AB2" t="n">
        <v>161.911</v>
      </c>
      <c r="AC2" t="n">
        <v>1.058</v>
      </c>
      <c r="AD2" t="n">
        <v>58.2</v>
      </c>
      <c r="AE2" t="n">
        <v>6.308</v>
      </c>
      <c r="AF2" t="n">
        <v>62.1</v>
      </c>
      <c r="AG2" t="n">
        <v>5.911</v>
      </c>
      <c r="AH2" t="n">
        <v>71.136</v>
      </c>
      <c r="AI2" t="n">
        <v>50.228</v>
      </c>
      <c r="AJ2" t="n">
        <v>22.749</v>
      </c>
      <c r="AK2" t="n">
        <v>3.392</v>
      </c>
      <c r="AL2" t="n">
        <v>57.77</v>
      </c>
      <c r="AM2" t="n">
        <v>1.948</v>
      </c>
      <c r="AN2" t="n">
        <v>136</v>
      </c>
      <c r="AO2" t="n">
        <v>225.1</v>
      </c>
      <c r="AP2" t="n">
        <v>361.1</v>
      </c>
      <c r="AQ2" t="n">
        <v>37.663</v>
      </c>
      <c r="AR2" t="n">
        <v>64</v>
      </c>
      <c r="AS2" t="n">
        <v>88.7</v>
      </c>
      <c r="AT2" t="n">
        <v>14.3</v>
      </c>
      <c r="AU2" t="n">
        <v>21.7</v>
      </c>
      <c r="AV2" t="n">
        <v>67</v>
      </c>
      <c r="AW2" t="n">
        <v>84.8</v>
      </c>
      <c r="AX2" t="n">
        <v>58.1</v>
      </c>
      <c r="AY2" t="n">
        <v>10.2</v>
      </c>
      <c r="AZ2" t="n">
        <v>22.9</v>
      </c>
      <c r="BA2" t="n">
        <v>121</v>
      </c>
      <c r="BB2" t="n">
        <v>12.2</v>
      </c>
      <c r="BC2" t="n">
        <v>23.6</v>
      </c>
      <c r="BD2" t="n">
        <v>35.8</v>
      </c>
      <c r="BE2" t="n">
        <v>41.4</v>
      </c>
      <c r="BF2" t="n">
        <v>71.014</v>
      </c>
      <c r="BG2" t="n">
        <v>94.7</v>
      </c>
      <c r="BH2" t="n">
        <v>11.8</v>
      </c>
      <c r="BI2" t="n">
        <v>11.8</v>
      </c>
      <c r="BJ2" t="n">
        <v>22.736</v>
      </c>
      <c r="BK2" t="n">
        <v>16.9</v>
      </c>
      <c r="BL2" t="n">
        <v>7.2</v>
      </c>
      <c r="BM2" t="n">
        <v>20</v>
      </c>
      <c r="BN2" t="n">
        <v>7.7</v>
      </c>
      <c r="BO2" t="n">
        <v>12.8</v>
      </c>
      <c r="BP2" t="n">
        <v>11.1</v>
      </c>
      <c r="BQ2" t="n">
        <v>87.90000000000001</v>
      </c>
      <c r="BR2" t="n">
        <v>2.1</v>
      </c>
      <c r="BS2" t="n">
        <v>26.6</v>
      </c>
      <c r="BT2" t="n">
        <v>9.199999999999999</v>
      </c>
      <c r="BU2" t="n">
        <v>48.12</v>
      </c>
      <c r="BV2" t="n">
        <v>24.663</v>
      </c>
      <c r="BW2" t="n">
        <v>46.05</v>
      </c>
      <c r="BX2" t="n">
        <v>51.252</v>
      </c>
      <c r="BY2" t="n">
        <v>10.5</v>
      </c>
      <c r="BZ2" t="n">
        <v>32.381</v>
      </c>
      <c r="CA2" t="n">
        <v>4.227</v>
      </c>
      <c r="CB2" t="n">
        <v>-2.227</v>
      </c>
      <c r="CC2" t="n">
        <v>85.361</v>
      </c>
      <c r="CD2" t="n">
        <v>0.439</v>
      </c>
      <c r="CE2" t="n">
        <v>3.209</v>
      </c>
      <c r="CF2" t="n">
        <v>0.017</v>
      </c>
      <c r="CG2" t="n">
        <v>3.305</v>
      </c>
      <c r="CH2" t="n">
        <v>0.374</v>
      </c>
      <c r="CI2" t="n">
        <v>3.098</v>
      </c>
      <c r="CJ2" t="n">
        <v>-0.399</v>
      </c>
      <c r="CK2" t="n">
        <v>5.7</v>
      </c>
      <c r="CL2" t="n">
        <v>35.9</v>
      </c>
      <c r="CM2" t="n">
        <v>46.3</v>
      </c>
      <c r="CN2" t="n">
        <v>34.2</v>
      </c>
      <c r="CO2" t="n">
        <v>42</v>
      </c>
      <c r="CP2" t="n">
        <v>11.7</v>
      </c>
      <c r="CQ2" t="n">
        <v>21.723</v>
      </c>
      <c r="CR2" t="n">
        <v>22.539</v>
      </c>
      <c r="CS2" t="n">
        <v>10.104</v>
      </c>
      <c r="CT2" t="n">
        <v>29.771</v>
      </c>
      <c r="CU2" t="n">
        <v>13.282</v>
      </c>
      <c r="CV2" t="n">
        <v>11.8</v>
      </c>
      <c r="CW2" t="n">
        <v>25.424</v>
      </c>
      <c r="CX2" t="n">
        <v>56.3</v>
      </c>
      <c r="CY2" t="n">
        <v>10</v>
      </c>
      <c r="CZ2" t="n">
        <v>255.4</v>
      </c>
      <c r="DA2" t="n">
        <v>114.5</v>
      </c>
      <c r="DB2" t="n">
        <v>26.4</v>
      </c>
      <c r="DC2" t="n">
        <v>91.3</v>
      </c>
      <c r="DD2" t="n">
        <v>39.4</v>
      </c>
      <c r="DE2" t="n">
        <v>43.154</v>
      </c>
      <c r="DF2" t="n">
        <v>11.4</v>
      </c>
      <c r="DG2" t="n">
        <v>28.934</v>
      </c>
      <c r="DH2" t="n">
        <v>4.3</v>
      </c>
      <c r="DI2" t="n">
        <v>45.178</v>
      </c>
      <c r="DJ2" t="n">
        <v>40.102</v>
      </c>
      <c r="DK2" t="n">
        <v>18.7</v>
      </c>
      <c r="DL2" t="n">
        <v>17.5</v>
      </c>
      <c r="DM2" t="n">
        <v>1.2</v>
      </c>
      <c r="DN2" t="n">
        <v>10.8</v>
      </c>
      <c r="DO2" t="n">
        <v>95.37</v>
      </c>
      <c r="DP2" t="n">
        <v>4.2</v>
      </c>
      <c r="DQ2" t="n">
        <v>39.4</v>
      </c>
      <c r="DR2" t="n">
        <v>70.09999999999999</v>
      </c>
      <c r="DS2" t="n">
        <v>200.36</v>
      </c>
      <c r="DT2" t="n">
        <v>1648.2</v>
      </c>
      <c r="DU2" t="n">
        <v>1501.5</v>
      </c>
      <c r="DV2" t="n">
        <v>17</v>
      </c>
      <c r="DW2" t="n">
        <v>42.5</v>
      </c>
      <c r="DX2" t="n">
        <v>210.1</v>
      </c>
      <c r="DY2" t="n">
        <v>138.6</v>
      </c>
      <c r="DZ2" t="n">
        <v>348.7</v>
      </c>
      <c r="EA2" t="n">
        <v>73.67400000000001</v>
      </c>
      <c r="EB2" t="n">
        <v>68.396</v>
      </c>
      <c r="EC2" t="n">
        <v>81.67400000000001</v>
      </c>
      <c r="ED2" t="n">
        <v>6.194</v>
      </c>
      <c r="EE2" t="n">
        <v>50</v>
      </c>
      <c r="EF2" t="n">
        <v>38.4</v>
      </c>
      <c r="EG2" t="n">
        <v>73.988</v>
      </c>
      <c r="EH2" t="n">
        <v>5782.8</v>
      </c>
      <c r="EI2" t="n">
        <v>16.584</v>
      </c>
      <c r="EJ2" t="n">
        <v>5556.389</v>
      </c>
      <c r="EK2" t="n">
        <v>26.649</v>
      </c>
      <c r="EL2" t="n">
        <v>148.163</v>
      </c>
      <c r="EM2" t="n">
        <v>1.072</v>
      </c>
      <c r="EN2" t="n">
        <v>54.4</v>
      </c>
      <c r="EO2" t="n">
        <v>6.41</v>
      </c>
      <c r="EP2" t="n">
        <v>64</v>
      </c>
      <c r="EQ2" t="n">
        <v>5.448</v>
      </c>
      <c r="ER2" t="n">
        <v>70.54900000000001</v>
      </c>
      <c r="ES2" t="n">
        <v>50.114</v>
      </c>
      <c r="ET2" t="n">
        <v>24</v>
      </c>
      <c r="EU2" t="n">
        <v>3.246</v>
      </c>
      <c r="EV2" t="n">
        <v>57.531</v>
      </c>
      <c r="EW2" t="n">
        <v>3.512</v>
      </c>
      <c r="EX2" t="n">
        <v>121.8</v>
      </c>
      <c r="EY2" t="n">
        <v>217.6</v>
      </c>
      <c r="EZ2" t="n">
        <v>339.4</v>
      </c>
      <c r="FA2" t="n">
        <v>35.887</v>
      </c>
      <c r="FB2" t="n">
        <v>62.6</v>
      </c>
      <c r="FC2" t="n">
        <v>83.3</v>
      </c>
      <c r="FD2" t="n">
        <v>13.6</v>
      </c>
      <c r="FE2" t="n">
        <v>19.2</v>
      </c>
      <c r="FF2" t="n">
        <v>64.09999999999999</v>
      </c>
      <c r="FG2" t="n">
        <v>75.3</v>
      </c>
      <c r="FH2" t="n">
        <v>51.4</v>
      </c>
      <c r="FI2" t="n">
        <v>6.8</v>
      </c>
      <c r="FJ2" t="n">
        <v>20.8</v>
      </c>
      <c r="FK2" t="n">
        <v>109.6</v>
      </c>
      <c r="FL2" t="n">
        <v>12.4</v>
      </c>
      <c r="FM2" t="n">
        <v>23.3</v>
      </c>
      <c r="FN2" t="n">
        <v>35.7</v>
      </c>
      <c r="FO2" t="n">
        <v>36.3</v>
      </c>
      <c r="FP2" t="n">
        <v>76.033</v>
      </c>
      <c r="FQ2" t="n">
        <v>98.8</v>
      </c>
      <c r="FR2" t="n">
        <v>9.5</v>
      </c>
      <c r="FS2" t="n">
        <v>15.4</v>
      </c>
      <c r="FT2" t="n">
        <v>30.8</v>
      </c>
      <c r="FU2" t="n">
        <v>15.2</v>
      </c>
      <c r="FV2" t="n">
        <v>11.6</v>
      </c>
      <c r="FW2" t="n">
        <v>12.8</v>
      </c>
      <c r="FX2" t="n">
        <v>11.1</v>
      </c>
      <c r="FY2" t="n">
        <v>87.90000000000001</v>
      </c>
      <c r="FZ2" t="n">
        <v>2</v>
      </c>
      <c r="GA2" t="n">
        <v>25.3</v>
      </c>
      <c r="GB2" t="n">
        <v>10.5</v>
      </c>
      <c r="GC2" t="n">
        <v>50.593</v>
      </c>
      <c r="GD2" t="n">
        <v>25.6</v>
      </c>
      <c r="GE2" t="n">
        <v>47.8</v>
      </c>
      <c r="GF2" t="n">
        <v>50.6</v>
      </c>
      <c r="GG2" t="n">
        <v>85.242</v>
      </c>
      <c r="GH2" t="n">
        <v>0.658</v>
      </c>
      <c r="GI2" t="n">
        <v>3.369</v>
      </c>
      <c r="GJ2" t="n">
        <v>0.026</v>
      </c>
      <c r="GK2" t="n">
        <v>3.531</v>
      </c>
      <c r="GL2" t="n">
        <v>0.116</v>
      </c>
      <c r="GM2" t="n">
        <v>3.055</v>
      </c>
      <c r="GN2" t="n">
        <v>-0.148</v>
      </c>
      <c r="GO2" t="n">
        <v>4.9</v>
      </c>
      <c r="GP2" t="n">
        <v>35.5</v>
      </c>
      <c r="GQ2" t="n">
        <v>47.5</v>
      </c>
      <c r="GR2" t="n">
        <v>34.1</v>
      </c>
      <c r="GS2" t="n">
        <v>39.9</v>
      </c>
      <c r="GT2" t="n">
        <v>13.9</v>
      </c>
      <c r="GU2" t="n">
        <v>21.972</v>
      </c>
      <c r="GV2" t="n">
        <v>26.702</v>
      </c>
      <c r="GW2" t="n">
        <v>10.789</v>
      </c>
      <c r="GX2" t="n">
        <v>34.161</v>
      </c>
      <c r="GY2" t="n">
        <v>14.174</v>
      </c>
      <c r="GZ2" t="n">
        <v>54.4</v>
      </c>
      <c r="HA2" t="n">
        <v>7.2</v>
      </c>
      <c r="HB2" t="n">
        <v>268.4</v>
      </c>
      <c r="HC2" t="n">
        <v>132.7</v>
      </c>
      <c r="HD2" t="n">
        <v>32</v>
      </c>
      <c r="HE2" t="n">
        <v>32.7</v>
      </c>
      <c r="HF2" t="n">
        <v>35.855</v>
      </c>
      <c r="HG2" t="n">
        <v>7.7</v>
      </c>
      <c r="HH2" t="n">
        <v>23.547</v>
      </c>
      <c r="HI2" t="n">
        <v>2.1</v>
      </c>
      <c r="HJ2" t="n">
        <v>40.979</v>
      </c>
      <c r="HK2" t="n">
        <v>38.226</v>
      </c>
      <c r="HL2" t="n">
        <v>10.8</v>
      </c>
      <c r="HM2" t="n">
        <v>88.889</v>
      </c>
      <c r="HN2" t="n">
        <v>5.2</v>
      </c>
      <c r="HO2" t="n">
        <v>46</v>
      </c>
      <c r="HP2" t="n">
        <v>70.90000000000001</v>
      </c>
      <c r="HQ2" t="n">
        <v>-0.09</v>
      </c>
      <c r="HR2" t="n">
        <v>3.9</v>
      </c>
      <c r="HS2" t="n">
        <v>47.2</v>
      </c>
      <c r="HT2" t="n">
        <v>-4</v>
      </c>
      <c r="HU2" t="n">
        <v>-2.1</v>
      </c>
      <c r="HV2" t="n">
        <v>3.4</v>
      </c>
      <c r="HW2" t="n">
        <v>15</v>
      </c>
      <c r="HX2" t="n">
        <v>18.4</v>
      </c>
      <c r="HY2" t="n">
        <v>1.9</v>
      </c>
      <c r="HZ2" t="n">
        <v>52.6</v>
      </c>
      <c r="IA2" t="n">
        <v>-91.685</v>
      </c>
      <c r="IB2" t="n">
        <v>13.748</v>
      </c>
      <c r="IC2" t="n">
        <v>3.8</v>
      </c>
      <c r="ID2" t="n">
        <v>-1.9</v>
      </c>
      <c r="IE2" t="n">
        <v>0.146</v>
      </c>
      <c r="IF2" t="n">
        <v>-1.564</v>
      </c>
      <c r="IG2" t="n">
        <v>14.2</v>
      </c>
      <c r="IH2" t="n">
        <v>7.5</v>
      </c>
      <c r="II2" t="n">
        <v>21.7</v>
      </c>
      <c r="IJ2" t="n">
        <v>1.4</v>
      </c>
      <c r="IK2" t="n">
        <v>5.4</v>
      </c>
      <c r="IL2" t="n">
        <v>0.7</v>
      </c>
      <c r="IM2" t="n">
        <v>2.5</v>
      </c>
      <c r="IN2" t="n">
        <v>2.9</v>
      </c>
      <c r="IO2" t="n">
        <v>9.5</v>
      </c>
      <c r="IP2" t="n">
        <v>6.7</v>
      </c>
      <c r="IQ2" t="n">
        <v>3.4</v>
      </c>
      <c r="IR2" t="n">
        <v>2.1</v>
      </c>
      <c r="IS2" t="n">
        <v>11.4</v>
      </c>
      <c r="IT2" t="n">
        <v>-0.2</v>
      </c>
      <c r="IU2" t="n">
        <v>0.3</v>
      </c>
      <c r="IV2" t="n">
        <v>0.1</v>
      </c>
      <c r="IW2" t="n">
        <v>5.1</v>
      </c>
      <c r="IX2" t="n">
        <v>-4.1</v>
      </c>
      <c r="IY2" t="n">
        <v>2.3</v>
      </c>
      <c r="IZ2" t="n">
        <v>-3.6</v>
      </c>
      <c r="JA2" t="n">
        <v>1.7</v>
      </c>
      <c r="JB2" t="n">
        <v>-4.4</v>
      </c>
      <c r="JC2" t="n">
        <v>0</v>
      </c>
      <c r="JD2" t="n">
        <v>0</v>
      </c>
      <c r="JE2" t="n">
        <v>0</v>
      </c>
      <c r="JF2" t="n">
        <v>1.3</v>
      </c>
      <c r="JG2" t="n">
        <v>-1.3</v>
      </c>
      <c r="JH2" t="n">
        <v>0.119</v>
      </c>
      <c r="JI2" t="n">
        <v>-0.219</v>
      </c>
      <c r="JJ2" t="n">
        <v>-0.16</v>
      </c>
      <c r="JK2" t="n">
        <v>0.8</v>
      </c>
      <c r="JL2" t="n">
        <v>0.4</v>
      </c>
      <c r="JM2" t="n">
        <v>-1.2</v>
      </c>
      <c r="JN2" t="n">
        <v>0.1</v>
      </c>
      <c r="JO2" t="n">
        <v>2.1</v>
      </c>
      <c r="JP2" t="n">
        <v>-2.2</v>
      </c>
      <c r="JQ2" t="n">
        <v>1.9</v>
      </c>
      <c r="JR2" t="n">
        <v>2.8</v>
      </c>
      <c r="JS2" t="n">
        <v>-13</v>
      </c>
      <c r="JT2" t="n">
        <v>-18.2</v>
      </c>
      <c r="JU2" t="n">
        <v>-5.6</v>
      </c>
      <c r="JV2" t="n">
        <v>6.7</v>
      </c>
      <c r="JW2" t="n">
        <v>3.7</v>
      </c>
      <c r="JX2" t="n">
        <v>2.2</v>
      </c>
      <c r="JY2" t="n">
        <v>-1</v>
      </c>
      <c r="JZ2" t="n">
        <v>-6.6</v>
      </c>
      <c r="KA2" t="n">
        <v>-0.8</v>
      </c>
    </row>
    <row r="3">
      <c r="A3" t="inlineStr">
        <is>
          <t>West Coast</t>
        </is>
      </c>
      <c r="B3" t="inlineStr">
        <is>
          <t>WC</t>
        </is>
      </c>
      <c r="C3" t="n">
        <v>10</v>
      </c>
      <c r="D3" t="n">
        <v>37</v>
      </c>
      <c r="E3" t="n">
        <v>24.231</v>
      </c>
      <c r="F3" t="n">
        <v>70.765</v>
      </c>
      <c r="G3" t="n">
        <v>162.98</v>
      </c>
      <c r="H3" t="n">
        <v>1488.2</v>
      </c>
      <c r="I3" t="n">
        <v>1372.8</v>
      </c>
      <c r="J3" t="n">
        <v>3.1</v>
      </c>
      <c r="K3" t="n">
        <v>46.353</v>
      </c>
      <c r="L3" t="n">
        <v>39.3</v>
      </c>
      <c r="M3" t="n">
        <v>189.1</v>
      </c>
      <c r="N3" t="n">
        <v>134.9</v>
      </c>
      <c r="O3" t="n">
        <v>324</v>
      </c>
      <c r="P3" t="n">
        <v>71.667</v>
      </c>
      <c r="Q3" t="n">
        <v>64.51600000000001</v>
      </c>
      <c r="R3" t="n">
        <v>81.69</v>
      </c>
      <c r="S3" t="n">
        <v>58.364</v>
      </c>
      <c r="T3" t="n">
        <v>5.557</v>
      </c>
      <c r="U3" t="n">
        <v>44.1</v>
      </c>
      <c r="V3" t="n">
        <v>39.4</v>
      </c>
      <c r="W3" t="n">
        <v>70.232</v>
      </c>
      <c r="X3" t="n">
        <v>5274.3</v>
      </c>
      <c r="Y3" t="n">
        <v>16.279</v>
      </c>
      <c r="Z3" t="n">
        <v>4916.029</v>
      </c>
      <c r="AA3" t="n">
        <v>26.219</v>
      </c>
      <c r="AB3" t="n">
        <v>181.114</v>
      </c>
      <c r="AC3" t="n">
        <v>1.347</v>
      </c>
      <c r="AD3" t="n">
        <v>56.7</v>
      </c>
      <c r="AE3" t="n">
        <v>5.714</v>
      </c>
      <c r="AF3" t="n">
        <v>64.5</v>
      </c>
      <c r="AG3" t="n">
        <v>5.023</v>
      </c>
      <c r="AH3" t="n">
        <v>68.03</v>
      </c>
      <c r="AI3" t="n">
        <v>36.99</v>
      </c>
      <c r="AJ3" t="n">
        <v>22.939</v>
      </c>
      <c r="AK3" t="n">
        <v>-3.135</v>
      </c>
      <c r="AL3" t="n">
        <v>57.813</v>
      </c>
      <c r="AM3" t="n">
        <v>-3.245</v>
      </c>
      <c r="AN3" t="n">
        <v>116.8</v>
      </c>
      <c r="AO3" t="n">
        <v>200.5</v>
      </c>
      <c r="AP3" t="n">
        <v>317.3</v>
      </c>
      <c r="AQ3" t="n">
        <v>36.811</v>
      </c>
      <c r="AR3" t="n">
        <v>62</v>
      </c>
      <c r="AS3" t="n">
        <v>76.5</v>
      </c>
      <c r="AT3" t="n">
        <v>9.300000000000001</v>
      </c>
      <c r="AU3" t="n">
        <v>16.9</v>
      </c>
      <c r="AV3" t="n">
        <v>59.6</v>
      </c>
      <c r="AW3" t="n">
        <v>72.40000000000001</v>
      </c>
      <c r="AX3" t="n">
        <v>50</v>
      </c>
      <c r="AY3" t="n">
        <v>8.699999999999999</v>
      </c>
      <c r="AZ3" t="n">
        <v>19.6</v>
      </c>
      <c r="BA3" t="n">
        <v>106.4</v>
      </c>
      <c r="BB3" t="n">
        <v>10.2</v>
      </c>
      <c r="BC3" t="n">
        <v>22.1</v>
      </c>
      <c r="BD3" t="n">
        <v>32.3</v>
      </c>
      <c r="BE3" t="n">
        <v>35.5</v>
      </c>
      <c r="BF3" t="n">
        <v>74.366</v>
      </c>
      <c r="BG3" t="n">
        <v>84.8</v>
      </c>
      <c r="BH3" t="n">
        <v>7.9</v>
      </c>
      <c r="BI3" t="n">
        <v>9.6</v>
      </c>
      <c r="BJ3" t="n">
        <v>21.769</v>
      </c>
      <c r="BK3" t="n">
        <v>13.9</v>
      </c>
      <c r="BL3" t="n">
        <v>8.699999999999999</v>
      </c>
      <c r="BM3" t="n">
        <v>23</v>
      </c>
      <c r="BN3" t="n">
        <v>6.5</v>
      </c>
      <c r="BO3" t="n">
        <v>8.300000000000001</v>
      </c>
      <c r="BP3" t="n">
        <v>7.6</v>
      </c>
      <c r="BQ3" t="n">
        <v>57.4</v>
      </c>
      <c r="BR3" t="n">
        <v>1.3</v>
      </c>
      <c r="BS3" t="n">
        <v>18.3</v>
      </c>
      <c r="BT3" t="n">
        <v>6.1</v>
      </c>
      <c r="BU3" t="n">
        <v>45.355</v>
      </c>
      <c r="BV3" t="n">
        <v>18.821</v>
      </c>
      <c r="BW3" t="n">
        <v>36.054</v>
      </c>
      <c r="BX3" t="n">
        <v>41.497</v>
      </c>
      <c r="BY3" t="n">
        <v>8.9</v>
      </c>
      <c r="BZ3" t="n">
        <v>21.348</v>
      </c>
      <c r="CA3" t="n">
        <v>0.504</v>
      </c>
      <c r="CB3" t="n">
        <v>-0.504</v>
      </c>
      <c r="CC3" t="n">
        <v>61.703</v>
      </c>
      <c r="CD3" t="n">
        <v>-5.603</v>
      </c>
      <c r="CE3" t="n">
        <v>3.372</v>
      </c>
      <c r="CF3" t="n">
        <v>-0.306</v>
      </c>
      <c r="CG3" t="n">
        <v>3.652</v>
      </c>
      <c r="CH3" t="n">
        <v>-0.17</v>
      </c>
      <c r="CI3" t="n">
        <v>2.909</v>
      </c>
      <c r="CJ3" t="n">
        <v>-0.532</v>
      </c>
      <c r="CK3" t="n">
        <v>3.1</v>
      </c>
      <c r="CL3" t="n">
        <v>17.4</v>
      </c>
      <c r="CM3" t="n">
        <v>36.9</v>
      </c>
      <c r="CN3" t="n">
        <v>24.8</v>
      </c>
      <c r="CO3" t="n">
        <v>28.1</v>
      </c>
      <c r="CP3" t="n">
        <v>4.5</v>
      </c>
      <c r="CQ3" t="n">
        <v>15.186</v>
      </c>
      <c r="CR3" t="n">
        <v>21.602</v>
      </c>
      <c r="CS3" t="n">
        <v>7.073</v>
      </c>
      <c r="CT3" t="n">
        <v>29.897</v>
      </c>
      <c r="CU3" t="n">
        <v>10.059</v>
      </c>
      <c r="CV3" t="n">
        <v>8.9</v>
      </c>
      <c r="CW3" t="n">
        <v>37.079</v>
      </c>
      <c r="CX3" t="n">
        <v>56.4</v>
      </c>
      <c r="CY3" t="n">
        <v>10.3</v>
      </c>
      <c r="CZ3" t="n">
        <v>261.8</v>
      </c>
      <c r="DA3" t="n">
        <v>129.4</v>
      </c>
      <c r="DB3" t="n">
        <v>31.8</v>
      </c>
      <c r="DC3" t="n">
        <v>94.7</v>
      </c>
      <c r="DD3" t="n">
        <v>36.5</v>
      </c>
      <c r="DE3" t="n">
        <v>38.543</v>
      </c>
      <c r="DF3" t="n">
        <v>9.5</v>
      </c>
      <c r="DG3" t="n">
        <v>26.027</v>
      </c>
      <c r="DH3" t="n">
        <v>1.8</v>
      </c>
      <c r="DI3" t="n">
        <v>40.548</v>
      </c>
      <c r="DJ3" t="n">
        <v>36.712</v>
      </c>
      <c r="DK3" t="n">
        <v>19.2</v>
      </c>
      <c r="DL3" t="n">
        <v>18.7</v>
      </c>
      <c r="DM3" t="n">
        <v>0.5</v>
      </c>
      <c r="DN3" t="n">
        <v>12.5</v>
      </c>
      <c r="DO3" t="n">
        <v>91.2</v>
      </c>
      <c r="DP3" t="n">
        <v>7.7</v>
      </c>
      <c r="DQ3" t="n">
        <v>43.5</v>
      </c>
      <c r="DR3" t="n">
        <v>71.8</v>
      </c>
      <c r="DS3" t="n">
        <v>219.52</v>
      </c>
      <c r="DT3" t="n">
        <v>1811.8</v>
      </c>
      <c r="DU3" t="n">
        <v>1584.4</v>
      </c>
      <c r="DV3" t="n">
        <v>26.9</v>
      </c>
      <c r="DW3" t="n">
        <v>43.2</v>
      </c>
      <c r="DX3" t="n">
        <v>216.9</v>
      </c>
      <c r="DY3" t="n">
        <v>152.4</v>
      </c>
      <c r="DZ3" t="n">
        <v>369.3</v>
      </c>
      <c r="EA3" t="n">
        <v>73.111</v>
      </c>
      <c r="EB3" t="n">
        <v>65.422</v>
      </c>
      <c r="EC3" t="n">
        <v>84.05500000000001</v>
      </c>
      <c r="ED3" t="n">
        <v>6.548</v>
      </c>
      <c r="EE3" t="n">
        <v>56.1</v>
      </c>
      <c r="EF3" t="n">
        <v>35.1</v>
      </c>
      <c r="EG3" t="n">
        <v>79.592</v>
      </c>
      <c r="EH3" t="n">
        <v>6089.2</v>
      </c>
      <c r="EI3" t="n">
        <v>16.488</v>
      </c>
      <c r="EJ3" t="n">
        <v>5796.495</v>
      </c>
      <c r="EK3" t="n">
        <v>26.848</v>
      </c>
      <c r="EL3" t="n">
        <v>174.274</v>
      </c>
      <c r="EM3" t="n">
        <v>1.146</v>
      </c>
      <c r="EN3" t="n">
        <v>56.9</v>
      </c>
      <c r="EO3" t="n">
        <v>6.49</v>
      </c>
      <c r="EP3" t="n">
        <v>62</v>
      </c>
      <c r="EQ3" t="n">
        <v>5.956</v>
      </c>
      <c r="ER3" t="n">
        <v>72.06100000000001</v>
      </c>
      <c r="ES3" t="n">
        <v>52.484</v>
      </c>
      <c r="ET3" t="n">
        <v>24.14</v>
      </c>
      <c r="EU3" t="n">
        <v>5.133</v>
      </c>
      <c r="EV3" t="n">
        <v>56.828</v>
      </c>
      <c r="EW3" t="n">
        <v>2.978</v>
      </c>
      <c r="EX3" t="n">
        <v>136.2</v>
      </c>
      <c r="EY3" t="n">
        <v>228.6</v>
      </c>
      <c r="EZ3" t="n">
        <v>364.8</v>
      </c>
      <c r="FA3" t="n">
        <v>37.336</v>
      </c>
      <c r="FB3" t="n">
        <v>64.8</v>
      </c>
      <c r="FC3" t="n">
        <v>87.90000000000001</v>
      </c>
      <c r="FD3" t="n">
        <v>16.8</v>
      </c>
      <c r="FE3" t="n">
        <v>22.8</v>
      </c>
      <c r="FF3" t="n">
        <v>65.09999999999999</v>
      </c>
      <c r="FG3" t="n">
        <v>81.90000000000001</v>
      </c>
      <c r="FH3" t="n">
        <v>56.8</v>
      </c>
      <c r="FI3" t="n">
        <v>12.8</v>
      </c>
      <c r="FJ3" t="n">
        <v>23.1</v>
      </c>
      <c r="FK3" t="n">
        <v>124.8</v>
      </c>
      <c r="FL3" t="n">
        <v>13.4</v>
      </c>
      <c r="FM3" t="n">
        <v>28</v>
      </c>
      <c r="FN3" t="n">
        <v>41.4</v>
      </c>
      <c r="FO3" t="n">
        <v>45.7</v>
      </c>
      <c r="FP3" t="n">
        <v>79.212</v>
      </c>
      <c r="FQ3" t="n">
        <v>94.90000000000001</v>
      </c>
      <c r="FR3" t="n">
        <v>11.7</v>
      </c>
      <c r="FS3" t="n">
        <v>14</v>
      </c>
      <c r="FT3" t="n">
        <v>24.955</v>
      </c>
      <c r="FU3" t="n">
        <v>18.3</v>
      </c>
      <c r="FV3" t="n">
        <v>9</v>
      </c>
      <c r="FW3" t="n">
        <v>15.8</v>
      </c>
      <c r="FX3" t="n">
        <v>12.5</v>
      </c>
      <c r="FY3" t="n">
        <v>107.3</v>
      </c>
      <c r="FZ3" t="n">
        <v>1.3</v>
      </c>
      <c r="GA3" t="n">
        <v>32</v>
      </c>
      <c r="GB3" t="n">
        <v>11.8</v>
      </c>
      <c r="GC3" t="n">
        <v>49.375</v>
      </c>
      <c r="GD3" t="n">
        <v>28.164</v>
      </c>
      <c r="GE3" t="n">
        <v>50.446</v>
      </c>
      <c r="GF3" t="n">
        <v>57.041</v>
      </c>
      <c r="GG3" t="n">
        <v>103.246</v>
      </c>
      <c r="GH3" t="n">
        <v>2.754</v>
      </c>
      <c r="GI3" t="n">
        <v>3.226</v>
      </c>
      <c r="GJ3" t="n">
        <v>0.08599999999999999</v>
      </c>
      <c r="GK3" t="n">
        <v>3.507</v>
      </c>
      <c r="GL3" t="n">
        <v>0.133</v>
      </c>
      <c r="GM3" t="n">
        <v>2.931</v>
      </c>
      <c r="GN3" t="n">
        <v>0.037</v>
      </c>
      <c r="GO3" t="n">
        <v>5.3</v>
      </c>
      <c r="GP3" t="n">
        <v>44.1</v>
      </c>
      <c r="GQ3" t="n">
        <v>57.9</v>
      </c>
      <c r="GR3" t="n">
        <v>40.8</v>
      </c>
      <c r="GS3" t="n">
        <v>51.8</v>
      </c>
      <c r="GT3" t="n">
        <v>14.7</v>
      </c>
      <c r="GU3" t="n">
        <v>25.224</v>
      </c>
      <c r="GV3" t="n">
        <v>26.184</v>
      </c>
      <c r="GW3" t="n">
        <v>13.37</v>
      </c>
      <c r="GX3" t="n">
        <v>33.493</v>
      </c>
      <c r="GY3" t="n">
        <v>15.705</v>
      </c>
      <c r="GZ3" t="n">
        <v>58.3</v>
      </c>
      <c r="HA3" t="n">
        <v>11.1</v>
      </c>
      <c r="HB3" t="n">
        <v>244</v>
      </c>
      <c r="HC3" t="n">
        <v>104</v>
      </c>
      <c r="HD3" t="n">
        <v>30.3</v>
      </c>
      <c r="HE3" t="n">
        <v>43.9</v>
      </c>
      <c r="HF3" t="n">
        <v>46.406</v>
      </c>
      <c r="HG3" t="n">
        <v>14.2</v>
      </c>
      <c r="HH3" t="n">
        <v>32.346</v>
      </c>
      <c r="HI3" t="n">
        <v>3.1</v>
      </c>
      <c r="HJ3" t="n">
        <v>50.114</v>
      </c>
      <c r="HK3" t="n">
        <v>43.736</v>
      </c>
      <c r="HL3" t="n">
        <v>7.5</v>
      </c>
      <c r="HM3" t="n">
        <v>92</v>
      </c>
      <c r="HN3" t="n">
        <v>10</v>
      </c>
      <c r="HO3" t="n">
        <v>43.1</v>
      </c>
      <c r="HP3" t="n">
        <v>71.40000000000001</v>
      </c>
      <c r="HQ3" t="n">
        <v>-56.54</v>
      </c>
      <c r="HR3" t="n">
        <v>-323.6</v>
      </c>
      <c r="HS3" t="n">
        <v>-211.6</v>
      </c>
      <c r="HT3" t="n">
        <v>-23.8</v>
      </c>
      <c r="HU3" t="n">
        <v>-3.9</v>
      </c>
      <c r="HV3" t="n">
        <v>-27.8</v>
      </c>
      <c r="HW3" t="n">
        <v>-17.5</v>
      </c>
      <c r="HX3" t="n">
        <v>-45.3</v>
      </c>
      <c r="HY3" t="n">
        <v>-12</v>
      </c>
      <c r="HZ3" t="n">
        <v>-814.9</v>
      </c>
      <c r="IA3" t="n">
        <v>-880.466</v>
      </c>
      <c r="IB3" t="n">
        <v>6.84</v>
      </c>
      <c r="IC3" t="n">
        <v>-0.2</v>
      </c>
      <c r="ID3" t="n">
        <v>2.5</v>
      </c>
      <c r="IE3" t="n">
        <v>-8.269</v>
      </c>
      <c r="IF3" t="n">
        <v>-6.223</v>
      </c>
      <c r="IG3" t="n">
        <v>-19.4</v>
      </c>
      <c r="IH3" t="n">
        <v>-28.1</v>
      </c>
      <c r="II3" t="n">
        <v>-47.5</v>
      </c>
      <c r="IJ3" t="n">
        <v>-2.8</v>
      </c>
      <c r="IK3" t="n">
        <v>-11.4</v>
      </c>
      <c r="IL3" t="n">
        <v>-7.5</v>
      </c>
      <c r="IM3" t="n">
        <v>-5.9</v>
      </c>
      <c r="IN3" t="n">
        <v>-5.5</v>
      </c>
      <c r="IO3" t="n">
        <v>-9.5</v>
      </c>
      <c r="IP3" t="n">
        <v>-6.8</v>
      </c>
      <c r="IQ3" t="n">
        <v>-4.1</v>
      </c>
      <c r="IR3" t="n">
        <v>-3.5</v>
      </c>
      <c r="IS3" t="n">
        <v>-18.4</v>
      </c>
      <c r="IT3" t="n">
        <v>-3.2</v>
      </c>
      <c r="IU3" t="n">
        <v>-5.9</v>
      </c>
      <c r="IV3" t="n">
        <v>-9.1</v>
      </c>
      <c r="IW3" t="n">
        <v>-10.2</v>
      </c>
      <c r="IX3" t="n">
        <v>-10.1</v>
      </c>
      <c r="IY3" t="n">
        <v>-3.8</v>
      </c>
      <c r="IZ3" t="n">
        <v>-4.4</v>
      </c>
      <c r="JA3" t="n">
        <v>-4.4</v>
      </c>
      <c r="JB3" t="n">
        <v>-0.3</v>
      </c>
      <c r="JC3" t="n">
        <v>-7.5</v>
      </c>
      <c r="JD3" t="n">
        <v>-4.9</v>
      </c>
      <c r="JE3" t="n">
        <v>-49.9</v>
      </c>
      <c r="JF3" t="n">
        <v>-13.7</v>
      </c>
      <c r="JG3" t="n">
        <v>-5.7</v>
      </c>
      <c r="JH3" t="n">
        <v>-41.543</v>
      </c>
      <c r="JI3" t="n">
        <v>-8.356999999999999</v>
      </c>
      <c r="JJ3" t="n">
        <v>0.145</v>
      </c>
      <c r="JK3" t="n">
        <v>-2.2</v>
      </c>
      <c r="JL3" t="n">
        <v>-26.7</v>
      </c>
      <c r="JM3" t="n">
        <v>-21</v>
      </c>
      <c r="JN3" t="n">
        <v>-16</v>
      </c>
      <c r="JO3" t="n">
        <v>-23.7</v>
      </c>
      <c r="JP3" t="n">
        <v>-10.2</v>
      </c>
      <c r="JQ3" t="n">
        <v>-1.9</v>
      </c>
      <c r="JR3" t="n">
        <v>-0.8</v>
      </c>
      <c r="JS3" t="n">
        <v>17.8</v>
      </c>
      <c r="JT3" t="n">
        <v>25.4</v>
      </c>
      <c r="JU3" t="n">
        <v>1.5</v>
      </c>
      <c r="JV3" t="n">
        <v>-7.4</v>
      </c>
      <c r="JW3" t="n">
        <v>-4.7</v>
      </c>
      <c r="JX3" t="n">
        <v>-1.3</v>
      </c>
      <c r="JY3" t="n">
        <v>-2.3</v>
      </c>
      <c r="JZ3" t="n">
        <v>0.4</v>
      </c>
      <c r="KA3" t="n">
        <v>0.4</v>
      </c>
    </row>
    <row r="4">
      <c r="A4" t="inlineStr">
        <is>
          <t>Essendon</t>
        </is>
      </c>
      <c r="B4" t="inlineStr">
        <is>
          <t>Ess</t>
        </is>
      </c>
      <c r="C4" t="n">
        <v>10</v>
      </c>
      <c r="D4" t="n">
        <v>36</v>
      </c>
      <c r="E4" t="n">
        <v>24.731</v>
      </c>
      <c r="F4" t="n">
        <v>88.55200000000001</v>
      </c>
      <c r="G4" t="n">
        <v>173.74</v>
      </c>
      <c r="H4" t="n">
        <v>1502.9</v>
      </c>
      <c r="I4" t="n">
        <v>1402.4</v>
      </c>
      <c r="J4" t="n">
        <v>5.2</v>
      </c>
      <c r="K4" t="n">
        <v>46.664</v>
      </c>
      <c r="L4" t="n">
        <v>38.5</v>
      </c>
      <c r="M4" t="n">
        <v>192.3</v>
      </c>
      <c r="N4" t="n">
        <v>149.9</v>
      </c>
      <c r="O4" t="n">
        <v>342.2</v>
      </c>
      <c r="P4" t="n">
        <v>73.78700000000001</v>
      </c>
      <c r="Q4" t="n">
        <v>66.199</v>
      </c>
      <c r="R4" t="n">
        <v>83.52200000000001</v>
      </c>
      <c r="S4" t="n">
        <v>56.195</v>
      </c>
      <c r="T4" t="n">
        <v>6.593</v>
      </c>
      <c r="U4" t="n">
        <v>46.9</v>
      </c>
      <c r="V4" t="n">
        <v>38.7</v>
      </c>
      <c r="W4" t="n">
        <v>70.879</v>
      </c>
      <c r="X4" t="n">
        <v>5409.8</v>
      </c>
      <c r="Y4" t="n">
        <v>15.809</v>
      </c>
      <c r="Z4" t="n">
        <v>5095.726</v>
      </c>
      <c r="AA4" t="n">
        <v>26.721</v>
      </c>
      <c r="AB4" t="n">
        <v>94.822</v>
      </c>
      <c r="AC4" t="n">
        <v>0.636</v>
      </c>
      <c r="AD4" t="n">
        <v>55.1</v>
      </c>
      <c r="AE4" t="n">
        <v>6.211</v>
      </c>
      <c r="AF4" t="n">
        <v>62.7</v>
      </c>
      <c r="AG4" t="n">
        <v>5.458</v>
      </c>
      <c r="AH4" t="n">
        <v>70.30200000000001</v>
      </c>
      <c r="AI4" t="n">
        <v>43.237</v>
      </c>
      <c r="AJ4" t="n">
        <v>21.913</v>
      </c>
      <c r="AK4" t="n">
        <v>-2.752</v>
      </c>
      <c r="AL4" t="n">
        <v>56.644</v>
      </c>
      <c r="AM4" t="n">
        <v>-1.047</v>
      </c>
      <c r="AN4" t="n">
        <v>121.6</v>
      </c>
      <c r="AO4" t="n">
        <v>210.8</v>
      </c>
      <c r="AP4" t="n">
        <v>332.4</v>
      </c>
      <c r="AQ4" t="n">
        <v>36.582</v>
      </c>
      <c r="AR4" t="n">
        <v>61.9</v>
      </c>
      <c r="AS4" t="n">
        <v>82.3</v>
      </c>
      <c r="AT4" t="n">
        <v>12.8</v>
      </c>
      <c r="AU4" t="n">
        <v>18.4</v>
      </c>
      <c r="AV4" t="n">
        <v>63.9</v>
      </c>
      <c r="AW4" t="n">
        <v>78.8</v>
      </c>
      <c r="AX4" t="n">
        <v>55.1</v>
      </c>
      <c r="AY4" t="n">
        <v>8.199999999999999</v>
      </c>
      <c r="AZ4" t="n">
        <v>20.1</v>
      </c>
      <c r="BA4" t="n">
        <v>122.5</v>
      </c>
      <c r="BB4" t="n">
        <v>10.2</v>
      </c>
      <c r="BC4" t="n">
        <v>20.6</v>
      </c>
      <c r="BD4" t="n">
        <v>30.8</v>
      </c>
      <c r="BE4" t="n">
        <v>35.2</v>
      </c>
      <c r="BF4" t="n">
        <v>74.432</v>
      </c>
      <c r="BG4" t="n">
        <v>82</v>
      </c>
      <c r="BH4" t="n">
        <v>8.1</v>
      </c>
      <c r="BI4" t="n">
        <v>9.800000000000001</v>
      </c>
      <c r="BJ4" t="n">
        <v>20.896</v>
      </c>
      <c r="BK4" t="n">
        <v>14.3</v>
      </c>
      <c r="BL4" t="n">
        <v>8</v>
      </c>
      <c r="BM4" t="n">
        <v>22</v>
      </c>
      <c r="BN4" t="n">
        <v>5.9</v>
      </c>
      <c r="BO4" t="n">
        <v>8.199999999999999</v>
      </c>
      <c r="BP4" t="n">
        <v>9.6</v>
      </c>
      <c r="BQ4" t="n">
        <v>58.8</v>
      </c>
      <c r="BR4" t="n">
        <v>2.5</v>
      </c>
      <c r="BS4" t="n">
        <v>19</v>
      </c>
      <c r="BT4" t="n">
        <v>5.1</v>
      </c>
      <c r="BU4" t="n">
        <v>43.158</v>
      </c>
      <c r="BV4" t="n">
        <v>17.484</v>
      </c>
      <c r="BW4" t="n">
        <v>37.953</v>
      </c>
      <c r="BX4" t="n">
        <v>40.512</v>
      </c>
      <c r="BY4" t="n">
        <v>10.1</v>
      </c>
      <c r="BZ4" t="n">
        <v>25.743</v>
      </c>
      <c r="CA4" t="n">
        <v>1.385</v>
      </c>
      <c r="CB4" t="n">
        <v>-1.385</v>
      </c>
      <c r="CC4" t="n">
        <v>61.406</v>
      </c>
      <c r="CD4" t="n">
        <v>-5.106</v>
      </c>
      <c r="CE4" t="n">
        <v>3.232</v>
      </c>
      <c r="CF4" t="n">
        <v>-0.269</v>
      </c>
      <c r="CG4" t="n">
        <v>3.383</v>
      </c>
      <c r="CH4" t="n">
        <v>-0.349</v>
      </c>
      <c r="CI4" t="n">
        <v>2.973</v>
      </c>
      <c r="CJ4" t="n">
        <v>-0.13</v>
      </c>
      <c r="CK4" t="n">
        <v>4.2</v>
      </c>
      <c r="CL4" t="n">
        <v>21.1</v>
      </c>
      <c r="CM4" t="n">
        <v>33.5</v>
      </c>
      <c r="CN4" t="n">
        <v>20.5</v>
      </c>
      <c r="CO4" t="n">
        <v>31.5</v>
      </c>
      <c r="CP4" t="n">
        <v>6.8</v>
      </c>
      <c r="CQ4" t="n">
        <v>17.191</v>
      </c>
      <c r="CR4" t="n">
        <v>21.446</v>
      </c>
      <c r="CS4" t="n">
        <v>8.228999999999999</v>
      </c>
      <c r="CT4" t="n">
        <v>27.543</v>
      </c>
      <c r="CU4" t="n">
        <v>9.247999999999999</v>
      </c>
      <c r="CV4" t="n">
        <v>9.699999999999999</v>
      </c>
      <c r="CW4" t="n">
        <v>32.99</v>
      </c>
      <c r="CX4" t="n">
        <v>55.5</v>
      </c>
      <c r="CY4" t="n">
        <v>10.3</v>
      </c>
      <c r="CZ4" t="n">
        <v>276.3</v>
      </c>
      <c r="DA4" t="n">
        <v>133.3</v>
      </c>
      <c r="DB4" t="n">
        <v>26.5</v>
      </c>
      <c r="DC4" t="n">
        <v>87.7</v>
      </c>
      <c r="DD4" t="n">
        <v>34.1</v>
      </c>
      <c r="DE4" t="n">
        <v>38.883</v>
      </c>
      <c r="DF4" t="n">
        <v>8.699999999999999</v>
      </c>
      <c r="DG4" t="n">
        <v>25.513</v>
      </c>
      <c r="DH4" t="n">
        <v>1.2</v>
      </c>
      <c r="DI4" t="n">
        <v>44.282</v>
      </c>
      <c r="DJ4" t="n">
        <v>36.657</v>
      </c>
      <c r="DK4" t="n">
        <v>21</v>
      </c>
      <c r="DL4" t="n">
        <v>18</v>
      </c>
      <c r="DM4" t="n">
        <v>3</v>
      </c>
      <c r="DN4" t="n">
        <v>11.1</v>
      </c>
      <c r="DO4" t="n">
        <v>93.694</v>
      </c>
      <c r="DP4" t="n">
        <v>7.8</v>
      </c>
      <c r="DQ4" t="n">
        <v>34.5</v>
      </c>
      <c r="DR4" t="n">
        <v>67.8</v>
      </c>
      <c r="DS4" t="n">
        <v>218.84</v>
      </c>
      <c r="DT4" t="n">
        <v>1798.3</v>
      </c>
      <c r="DU4" t="n">
        <v>1603</v>
      </c>
      <c r="DV4" t="n">
        <v>24.8</v>
      </c>
      <c r="DW4" t="n">
        <v>45.3</v>
      </c>
      <c r="DX4" t="n">
        <v>220.9</v>
      </c>
      <c r="DY4" t="n">
        <v>160.9</v>
      </c>
      <c r="DZ4" t="n">
        <v>381.8</v>
      </c>
      <c r="EA4" t="n">
        <v>75.825</v>
      </c>
      <c r="EB4" t="n">
        <v>69.896</v>
      </c>
      <c r="EC4" t="n">
        <v>83.965</v>
      </c>
      <c r="ED4" t="n">
        <v>6.879</v>
      </c>
      <c r="EE4" t="n">
        <v>54.6</v>
      </c>
      <c r="EF4" t="n">
        <v>37.9</v>
      </c>
      <c r="EG4" t="n">
        <v>80.81</v>
      </c>
      <c r="EH4" t="n">
        <v>6086.5</v>
      </c>
      <c r="EI4" t="n">
        <v>15.942</v>
      </c>
      <c r="EJ4" t="n">
        <v>5776.566</v>
      </c>
      <c r="EK4" t="n">
        <v>26.245</v>
      </c>
      <c r="EL4" t="n">
        <v>184.411</v>
      </c>
      <c r="EM4" t="n">
        <v>1.148</v>
      </c>
      <c r="EN4" t="n">
        <v>58</v>
      </c>
      <c r="EO4" t="n">
        <v>6.583</v>
      </c>
      <c r="EP4" t="n">
        <v>61.7</v>
      </c>
      <c r="EQ4" t="n">
        <v>6.188</v>
      </c>
      <c r="ER4" t="n">
        <v>73.643</v>
      </c>
      <c r="ES4" t="n">
        <v>50.881</v>
      </c>
      <c r="ET4" t="n">
        <v>24.087</v>
      </c>
      <c r="EU4" t="n">
        <v>4.172</v>
      </c>
      <c r="EV4" t="n">
        <v>58.86</v>
      </c>
      <c r="EW4" t="n">
        <v>5.598</v>
      </c>
      <c r="EX4" t="n">
        <v>128.6</v>
      </c>
      <c r="EY4" t="n">
        <v>247.9</v>
      </c>
      <c r="EZ4" t="n">
        <v>376.5</v>
      </c>
      <c r="FA4" t="n">
        <v>34.157</v>
      </c>
      <c r="FB4" t="n">
        <v>62.8</v>
      </c>
      <c r="FC4" t="n">
        <v>80.5</v>
      </c>
      <c r="FD4" t="n">
        <v>14.5</v>
      </c>
      <c r="FE4" t="n">
        <v>19.5</v>
      </c>
      <c r="FF4" t="n">
        <v>61</v>
      </c>
      <c r="FG4" t="n">
        <v>79.90000000000001</v>
      </c>
      <c r="FH4" t="n">
        <v>53.4</v>
      </c>
      <c r="FI4" t="n">
        <v>12.1</v>
      </c>
      <c r="FJ4" t="n">
        <v>22</v>
      </c>
      <c r="FK4" t="n">
        <v>131.9</v>
      </c>
      <c r="FL4" t="n">
        <v>12.5</v>
      </c>
      <c r="FM4" t="n">
        <v>24.7</v>
      </c>
      <c r="FN4" t="n">
        <v>37.2</v>
      </c>
      <c r="FO4" t="n">
        <v>40.7</v>
      </c>
      <c r="FP4" t="n">
        <v>77.396</v>
      </c>
      <c r="FQ4" t="n">
        <v>106.4</v>
      </c>
      <c r="FR4" t="n">
        <v>12.3</v>
      </c>
      <c r="FS4" t="n">
        <v>15.5</v>
      </c>
      <c r="FT4" t="n">
        <v>28.388</v>
      </c>
      <c r="FU4" t="n">
        <v>16.1</v>
      </c>
      <c r="FV4" t="n">
        <v>10.9</v>
      </c>
      <c r="FW4" t="n">
        <v>14.9</v>
      </c>
      <c r="FX4" t="n">
        <v>11.5</v>
      </c>
      <c r="FY4" t="n">
        <v>100.9</v>
      </c>
      <c r="FZ4" t="n">
        <v>1.8</v>
      </c>
      <c r="GA4" t="n">
        <v>29.2</v>
      </c>
      <c r="GB4" t="n">
        <v>11.6</v>
      </c>
      <c r="GC4" t="n">
        <v>51.027</v>
      </c>
      <c r="GD4" t="n">
        <v>27.289</v>
      </c>
      <c r="GE4" t="n">
        <v>48.352</v>
      </c>
      <c r="GF4" t="n">
        <v>53.48</v>
      </c>
      <c r="GG4" t="n">
        <v>93.623</v>
      </c>
      <c r="GH4" t="n">
        <v>5.477</v>
      </c>
      <c r="GI4" t="n">
        <v>3.206</v>
      </c>
      <c r="GJ4" t="n">
        <v>0.188</v>
      </c>
      <c r="GK4" t="n">
        <v>3.479</v>
      </c>
      <c r="GL4" t="n">
        <v>0.21</v>
      </c>
      <c r="GM4" t="n">
        <v>2.803</v>
      </c>
      <c r="GN4" t="n">
        <v>0.154</v>
      </c>
      <c r="GO4" t="n">
        <v>4.2</v>
      </c>
      <c r="GP4" t="n">
        <v>34.9</v>
      </c>
      <c r="GQ4" t="n">
        <v>61.8</v>
      </c>
      <c r="GR4" t="n">
        <v>44.3</v>
      </c>
      <c r="GS4" t="n">
        <v>44.8</v>
      </c>
      <c r="GT4" t="n">
        <v>11.8</v>
      </c>
      <c r="GU4" t="n">
        <v>24.004</v>
      </c>
      <c r="GV4" t="n">
        <v>31.414</v>
      </c>
      <c r="GW4" t="n">
        <v>13.089</v>
      </c>
      <c r="GX4" t="n">
        <v>38.594</v>
      </c>
      <c r="GY4" t="n">
        <v>16.928</v>
      </c>
      <c r="GZ4" t="n">
        <v>51.9</v>
      </c>
      <c r="HA4" t="n">
        <v>10.2</v>
      </c>
      <c r="HB4" t="n">
        <v>256.7</v>
      </c>
      <c r="HC4" t="n">
        <v>112.2</v>
      </c>
      <c r="HD4" t="n">
        <v>30.2</v>
      </c>
      <c r="HE4" t="n">
        <v>37.6</v>
      </c>
      <c r="HF4" t="n">
        <v>42.825</v>
      </c>
      <c r="HG4" t="n">
        <v>12.7</v>
      </c>
      <c r="HH4" t="n">
        <v>33.777</v>
      </c>
      <c r="HI4" t="n">
        <v>3.1</v>
      </c>
      <c r="HJ4" t="n">
        <v>50.266</v>
      </c>
      <c r="HK4" t="n">
        <v>43.351</v>
      </c>
      <c r="HL4" t="n">
        <v>9.4</v>
      </c>
      <c r="HM4" t="n">
        <v>88.298</v>
      </c>
      <c r="HN4" t="n">
        <v>6.6</v>
      </c>
      <c r="HO4" t="n">
        <v>40.7</v>
      </c>
      <c r="HP4" t="n">
        <v>70.8</v>
      </c>
      <c r="HQ4" t="n">
        <v>-45.1</v>
      </c>
      <c r="HR4" t="n">
        <v>-295.4</v>
      </c>
      <c r="HS4" t="n">
        <v>-200.6</v>
      </c>
      <c r="HT4" t="n">
        <v>-19.6</v>
      </c>
      <c r="HU4" t="n">
        <v>-6.8</v>
      </c>
      <c r="HV4" t="n">
        <v>-28.6</v>
      </c>
      <c r="HW4" t="n">
        <v>-11</v>
      </c>
      <c r="HX4" t="n">
        <v>-39.6</v>
      </c>
      <c r="HY4" t="n">
        <v>-7.7</v>
      </c>
      <c r="HZ4" t="n">
        <v>-676.7</v>
      </c>
      <c r="IA4" t="n">
        <v>-680.84</v>
      </c>
      <c r="IB4" t="n">
        <v>-89.589</v>
      </c>
      <c r="IC4" t="n">
        <v>-2.9</v>
      </c>
      <c r="ID4" t="n">
        <v>1</v>
      </c>
      <c r="IE4" t="n">
        <v>-6.924</v>
      </c>
      <c r="IF4" t="n">
        <v>-6.645</v>
      </c>
      <c r="IG4" t="n">
        <v>-7</v>
      </c>
      <c r="IH4" t="n">
        <v>-37.1</v>
      </c>
      <c r="II4" t="n">
        <v>-44.1</v>
      </c>
      <c r="IJ4" t="n">
        <v>-0.9</v>
      </c>
      <c r="IK4" t="n">
        <v>1.8</v>
      </c>
      <c r="IL4" t="n">
        <v>-1.7</v>
      </c>
      <c r="IM4" t="n">
        <v>-1.1</v>
      </c>
      <c r="IN4" t="n">
        <v>2.9</v>
      </c>
      <c r="IO4" t="n">
        <v>-1.1</v>
      </c>
      <c r="IP4" t="n">
        <v>1.7</v>
      </c>
      <c r="IQ4" t="n">
        <v>-3.9</v>
      </c>
      <c r="IR4" t="n">
        <v>-1.9</v>
      </c>
      <c r="IS4" t="n">
        <v>-9.4</v>
      </c>
      <c r="IT4" t="n">
        <v>-2.3</v>
      </c>
      <c r="IU4" t="n">
        <v>-4.1</v>
      </c>
      <c r="IV4" t="n">
        <v>-6.4</v>
      </c>
      <c r="IW4" t="n">
        <v>-5.5</v>
      </c>
      <c r="IX4" t="n">
        <v>-24.4</v>
      </c>
      <c r="IY4" t="n">
        <v>-4.2</v>
      </c>
      <c r="IZ4" t="n">
        <v>-5.7</v>
      </c>
      <c r="JA4" t="n">
        <v>-1.8</v>
      </c>
      <c r="JB4" t="n">
        <v>-2.9</v>
      </c>
      <c r="JC4" t="n">
        <v>-6.7</v>
      </c>
      <c r="JD4" t="n">
        <v>-1.9</v>
      </c>
      <c r="JE4" t="n">
        <v>-42.1</v>
      </c>
      <c r="JF4" t="n">
        <v>-10.2</v>
      </c>
      <c r="JG4" t="n">
        <v>-6.5</v>
      </c>
      <c r="JH4" t="n">
        <v>-32.216</v>
      </c>
      <c r="JI4" t="n">
        <v>-10.584</v>
      </c>
      <c r="JJ4" t="n">
        <v>0.026</v>
      </c>
      <c r="JK4" t="n">
        <v>0</v>
      </c>
      <c r="JL4" t="n">
        <v>-13.8</v>
      </c>
      <c r="JM4" t="n">
        <v>-28.3</v>
      </c>
      <c r="JN4" t="n">
        <v>-23.8</v>
      </c>
      <c r="JO4" t="n">
        <v>-13.3</v>
      </c>
      <c r="JP4" t="n">
        <v>-5</v>
      </c>
      <c r="JQ4" t="n">
        <v>3.6</v>
      </c>
      <c r="JR4" t="n">
        <v>0.1</v>
      </c>
      <c r="JS4" t="n">
        <v>19.6</v>
      </c>
      <c r="JT4" t="n">
        <v>21.1</v>
      </c>
      <c r="JU4" t="n">
        <v>-3.7</v>
      </c>
      <c r="JV4" t="n">
        <v>-3.5</v>
      </c>
      <c r="JW4" t="n">
        <v>-4</v>
      </c>
      <c r="JX4" t="n">
        <v>-1.9</v>
      </c>
      <c r="JY4" t="n">
        <v>1.2</v>
      </c>
      <c r="JZ4" t="n">
        <v>-6.2</v>
      </c>
      <c r="KA4" t="n">
        <v>-3</v>
      </c>
    </row>
    <row r="5">
      <c r="A5" t="inlineStr">
        <is>
          <t>North Melbourne</t>
        </is>
      </c>
      <c r="B5" t="inlineStr">
        <is>
          <t>NM</t>
        </is>
      </c>
      <c r="C5" t="n">
        <v>10</v>
      </c>
      <c r="D5" t="n">
        <v>36</v>
      </c>
      <c r="E5" t="n">
        <v>24.366</v>
      </c>
      <c r="F5" t="n">
        <v>86.20399999999999</v>
      </c>
      <c r="G5" t="n">
        <v>184.8</v>
      </c>
      <c r="H5" t="n">
        <v>1580</v>
      </c>
      <c r="I5" t="n">
        <v>1469.6</v>
      </c>
      <c r="J5" t="n">
        <v>9.6</v>
      </c>
      <c r="K5" t="n">
        <v>45.06</v>
      </c>
      <c r="L5" t="n">
        <v>39.2</v>
      </c>
      <c r="M5" t="n">
        <v>197.7</v>
      </c>
      <c r="N5" t="n">
        <v>154</v>
      </c>
      <c r="O5" t="n">
        <v>351.7</v>
      </c>
      <c r="P5" t="n">
        <v>74.95</v>
      </c>
      <c r="Q5" t="n">
        <v>67.577</v>
      </c>
      <c r="R5" t="n">
        <v>84.416</v>
      </c>
      <c r="S5" t="n">
        <v>56.213</v>
      </c>
      <c r="T5" t="n">
        <v>5.654</v>
      </c>
      <c r="U5" t="n">
        <v>44.9</v>
      </c>
      <c r="V5" t="n">
        <v>38.9</v>
      </c>
      <c r="W5" t="n">
        <v>69.09399999999999</v>
      </c>
      <c r="X5" t="n">
        <v>5302.6</v>
      </c>
      <c r="Y5" t="n">
        <v>15.077</v>
      </c>
      <c r="Z5" t="n">
        <v>5019.265</v>
      </c>
      <c r="AA5" t="n">
        <v>25.608</v>
      </c>
      <c r="AB5" t="n">
        <v>100.981</v>
      </c>
      <c r="AC5" t="n">
        <v>0.657</v>
      </c>
      <c r="AD5" t="n">
        <v>53.6</v>
      </c>
      <c r="AE5" t="n">
        <v>6.562</v>
      </c>
      <c r="AF5" t="n">
        <v>56.9</v>
      </c>
      <c r="AG5" t="n">
        <v>6.181</v>
      </c>
      <c r="AH5" t="n">
        <v>72.072</v>
      </c>
      <c r="AI5" t="n">
        <v>47.215</v>
      </c>
      <c r="AJ5" t="n">
        <v>22.363</v>
      </c>
      <c r="AK5" t="n">
        <v>1.216</v>
      </c>
      <c r="AL5" t="n">
        <v>58.751</v>
      </c>
      <c r="AM5" t="n">
        <v>0.5600000000000001</v>
      </c>
      <c r="AN5" t="n">
        <v>121.1</v>
      </c>
      <c r="AO5" t="n">
        <v>222.1</v>
      </c>
      <c r="AP5" t="n">
        <v>343.2</v>
      </c>
      <c r="AQ5" t="n">
        <v>35.286</v>
      </c>
      <c r="AR5" t="n">
        <v>53.6</v>
      </c>
      <c r="AS5" t="n">
        <v>80.09999999999999</v>
      </c>
      <c r="AT5" t="n">
        <v>11.1</v>
      </c>
      <c r="AU5" t="n">
        <v>19.4</v>
      </c>
      <c r="AV5" t="n">
        <v>60.7</v>
      </c>
      <c r="AW5" t="n">
        <v>70</v>
      </c>
      <c r="AX5" t="n">
        <v>47.4</v>
      </c>
      <c r="AY5" t="n">
        <v>7.4</v>
      </c>
      <c r="AZ5" t="n">
        <v>19.8</v>
      </c>
      <c r="BA5" t="n">
        <v>127.3</v>
      </c>
      <c r="BB5" t="n">
        <v>13.7</v>
      </c>
      <c r="BC5" t="n">
        <v>25.1</v>
      </c>
      <c r="BD5" t="n">
        <v>38.8</v>
      </c>
      <c r="BE5" t="n">
        <v>42.3</v>
      </c>
      <c r="BF5" t="n">
        <v>77.069</v>
      </c>
      <c r="BG5" t="n">
        <v>88.59999999999999</v>
      </c>
      <c r="BH5" t="n">
        <v>9.1</v>
      </c>
      <c r="BI5" t="n">
        <v>10.8</v>
      </c>
      <c r="BJ5" t="n">
        <v>24.053</v>
      </c>
      <c r="BK5" t="n">
        <v>12.5</v>
      </c>
      <c r="BL5" t="n">
        <v>7.5</v>
      </c>
      <c r="BM5" t="n">
        <v>25</v>
      </c>
      <c r="BN5" t="n">
        <v>7.2</v>
      </c>
      <c r="BO5" t="n">
        <v>11.8</v>
      </c>
      <c r="BP5" t="n">
        <v>9.4</v>
      </c>
      <c r="BQ5" t="n">
        <v>80.2</v>
      </c>
      <c r="BR5" t="n">
        <v>1.7</v>
      </c>
      <c r="BS5" t="n">
        <v>23.1</v>
      </c>
      <c r="BT5" t="n">
        <v>9</v>
      </c>
      <c r="BU5" t="n">
        <v>51.082</v>
      </c>
      <c r="BV5" t="n">
        <v>26.281</v>
      </c>
      <c r="BW5" t="n">
        <v>47.216</v>
      </c>
      <c r="BX5" t="n">
        <v>51.448</v>
      </c>
      <c r="BY5" t="n">
        <v>9.1</v>
      </c>
      <c r="BZ5" t="n">
        <v>28.571</v>
      </c>
      <c r="CA5" t="n">
        <v>2.568</v>
      </c>
      <c r="CB5" t="n">
        <v>-0.5679999999999999</v>
      </c>
      <c r="CC5" t="n">
        <v>78.64400000000001</v>
      </c>
      <c r="CD5" t="n">
        <v>-0.144</v>
      </c>
      <c r="CE5" t="n">
        <v>3.404</v>
      </c>
      <c r="CF5" t="n">
        <v>-0.006</v>
      </c>
      <c r="CG5" t="n">
        <v>3.636</v>
      </c>
      <c r="CH5" t="n">
        <v>0.19</v>
      </c>
      <c r="CI5" t="n">
        <v>3.061</v>
      </c>
      <c r="CJ5" t="n">
        <v>-0.297</v>
      </c>
      <c r="CK5" t="n">
        <v>5.9</v>
      </c>
      <c r="CL5" t="n">
        <v>37.2</v>
      </c>
      <c r="CM5" t="n">
        <v>37.1</v>
      </c>
      <c r="CN5" t="n">
        <v>28.8</v>
      </c>
      <c r="CO5" t="n">
        <v>34</v>
      </c>
      <c r="CP5" t="n">
        <v>17.4</v>
      </c>
      <c r="CQ5" t="n">
        <v>20.37</v>
      </c>
      <c r="CR5" t="n">
        <v>21.649</v>
      </c>
      <c r="CS5" t="n">
        <v>9.302</v>
      </c>
      <c r="CT5" t="n">
        <v>28.12</v>
      </c>
      <c r="CU5" t="n">
        <v>11.569</v>
      </c>
      <c r="CV5" t="n">
        <v>10.2</v>
      </c>
      <c r="CW5" t="n">
        <v>36.275</v>
      </c>
      <c r="CX5" t="n">
        <v>58.6</v>
      </c>
      <c r="CY5" t="n">
        <v>10.4</v>
      </c>
      <c r="CZ5" t="n">
        <v>262.7</v>
      </c>
      <c r="DA5" t="n">
        <v>131.6</v>
      </c>
      <c r="DB5" t="n">
        <v>29.7</v>
      </c>
      <c r="DC5" t="n">
        <v>103.2</v>
      </c>
      <c r="DD5" t="n">
        <v>32.1</v>
      </c>
      <c r="DE5" t="n">
        <v>31.105</v>
      </c>
      <c r="DF5" t="n">
        <v>8.300000000000001</v>
      </c>
      <c r="DG5" t="n">
        <v>25.857</v>
      </c>
      <c r="DH5" t="n">
        <v>4.7</v>
      </c>
      <c r="DI5" t="n">
        <v>42.991</v>
      </c>
      <c r="DJ5" t="n">
        <v>40.498</v>
      </c>
      <c r="DK5" t="n">
        <v>18.9</v>
      </c>
      <c r="DL5" t="n">
        <v>20.4</v>
      </c>
      <c r="DM5" t="n">
        <v>-1.5</v>
      </c>
      <c r="DN5" t="n">
        <v>12.3</v>
      </c>
      <c r="DO5" t="n">
        <v>87.80500000000001</v>
      </c>
      <c r="DP5" t="n">
        <v>8.1</v>
      </c>
      <c r="DQ5" t="n">
        <v>39.6</v>
      </c>
      <c r="DR5" t="n">
        <v>71.7</v>
      </c>
      <c r="DS5" t="n">
        <v>214.88</v>
      </c>
      <c r="DT5" t="n">
        <v>1714.9</v>
      </c>
      <c r="DU5" t="n">
        <v>1541.2</v>
      </c>
      <c r="DV5" t="n">
        <v>20.4</v>
      </c>
      <c r="DW5" t="n">
        <v>42.3</v>
      </c>
      <c r="DX5" t="n">
        <v>202.2</v>
      </c>
      <c r="DY5" t="n">
        <v>146.4</v>
      </c>
      <c r="DZ5" t="n">
        <v>348.6</v>
      </c>
      <c r="EA5" t="n">
        <v>75.502</v>
      </c>
      <c r="EB5" t="n">
        <v>71.26600000000001</v>
      </c>
      <c r="EC5" t="n">
        <v>81.352</v>
      </c>
      <c r="ED5" t="n">
        <v>5.949</v>
      </c>
      <c r="EE5" t="n">
        <v>56.3</v>
      </c>
      <c r="EF5" t="n">
        <v>31.9</v>
      </c>
      <c r="EG5" t="n">
        <v>71.047</v>
      </c>
      <c r="EH5" t="n">
        <v>5754.6</v>
      </c>
      <c r="EI5" t="n">
        <v>16.508</v>
      </c>
      <c r="EJ5" t="n">
        <v>5550.368</v>
      </c>
      <c r="EK5" t="n">
        <v>27.586</v>
      </c>
      <c r="EL5" t="n">
        <v>155.287</v>
      </c>
      <c r="EM5" t="n">
        <v>1.064</v>
      </c>
      <c r="EN5" t="n">
        <v>52.3</v>
      </c>
      <c r="EO5" t="n">
        <v>6.665</v>
      </c>
      <c r="EP5" t="n">
        <v>53.3</v>
      </c>
      <c r="EQ5" t="n">
        <v>6.54</v>
      </c>
      <c r="ER5" t="n">
        <v>72.29900000000001</v>
      </c>
      <c r="ES5" t="n">
        <v>53.734</v>
      </c>
      <c r="ET5" t="n">
        <v>24.569</v>
      </c>
      <c r="EU5" t="n">
        <v>6.608</v>
      </c>
      <c r="EV5" t="n">
        <v>56.15</v>
      </c>
      <c r="EW5" t="n">
        <v>6.573</v>
      </c>
      <c r="EX5" t="n">
        <v>128.4</v>
      </c>
      <c r="EY5" t="n">
        <v>214.3</v>
      </c>
      <c r="EZ5" t="n">
        <v>342.7</v>
      </c>
      <c r="FA5" t="n">
        <v>37.467</v>
      </c>
      <c r="FB5" t="n">
        <v>56.9</v>
      </c>
      <c r="FC5" t="n">
        <v>78.2</v>
      </c>
      <c r="FD5" t="n">
        <v>13.3</v>
      </c>
      <c r="FE5" t="n">
        <v>20.1</v>
      </c>
      <c r="FF5" t="n">
        <v>58.1</v>
      </c>
      <c r="FG5" t="n">
        <v>76.40000000000001</v>
      </c>
      <c r="FH5" t="n">
        <v>49.6</v>
      </c>
      <c r="FI5" t="n">
        <v>10.8</v>
      </c>
      <c r="FJ5" t="n">
        <v>20</v>
      </c>
      <c r="FK5" t="n">
        <v>116</v>
      </c>
      <c r="FL5" t="n">
        <v>13.6</v>
      </c>
      <c r="FM5" t="n">
        <v>25.8</v>
      </c>
      <c r="FN5" t="n">
        <v>39.4</v>
      </c>
      <c r="FO5" t="n">
        <v>44.3</v>
      </c>
      <c r="FP5" t="n">
        <v>75.84699999999999</v>
      </c>
      <c r="FQ5" t="n">
        <v>91.8</v>
      </c>
      <c r="FR5" t="n">
        <v>12.8</v>
      </c>
      <c r="FS5" t="n">
        <v>17</v>
      </c>
      <c r="FT5" t="n">
        <v>30.195</v>
      </c>
      <c r="FU5" t="n">
        <v>15.3</v>
      </c>
      <c r="FV5" t="n">
        <v>6.5</v>
      </c>
      <c r="FW5" t="n">
        <v>16.6</v>
      </c>
      <c r="FX5" t="n">
        <v>12.5</v>
      </c>
      <c r="FY5" t="n">
        <v>112.1</v>
      </c>
      <c r="FZ5" t="n">
        <v>1.8</v>
      </c>
      <c r="GA5" t="n">
        <v>31</v>
      </c>
      <c r="GB5" t="n">
        <v>12.8</v>
      </c>
      <c r="GC5" t="n">
        <v>53.548</v>
      </c>
      <c r="GD5" t="n">
        <v>29.485</v>
      </c>
      <c r="GE5" t="n">
        <v>51.687</v>
      </c>
      <c r="GF5" t="n">
        <v>55.062</v>
      </c>
      <c r="GG5" t="n">
        <v>102.479</v>
      </c>
      <c r="GH5" t="n">
        <v>7.821</v>
      </c>
      <c r="GI5" t="n">
        <v>3.306</v>
      </c>
      <c r="GJ5" t="n">
        <v>0.252</v>
      </c>
      <c r="GK5" t="n">
        <v>3.566</v>
      </c>
      <c r="GL5" t="n">
        <v>0.292</v>
      </c>
      <c r="GM5" t="n">
        <v>2.894</v>
      </c>
      <c r="GN5" t="n">
        <v>0.189</v>
      </c>
      <c r="GO5" t="n">
        <v>4</v>
      </c>
      <c r="GP5" t="n">
        <v>45</v>
      </c>
      <c r="GQ5" t="n">
        <v>63.1</v>
      </c>
      <c r="GR5" t="n">
        <v>39.8</v>
      </c>
      <c r="GS5" t="n">
        <v>58</v>
      </c>
      <c r="GT5" t="n">
        <v>14.3</v>
      </c>
      <c r="GU5" t="n">
        <v>27.616</v>
      </c>
      <c r="GV5" t="n">
        <v>28.701</v>
      </c>
      <c r="GW5" t="n">
        <v>12.991</v>
      </c>
      <c r="GX5" t="n">
        <v>37.173</v>
      </c>
      <c r="GY5" t="n">
        <v>17.163</v>
      </c>
      <c r="GZ5" t="n">
        <v>62.2</v>
      </c>
      <c r="HA5" t="n">
        <v>10.9</v>
      </c>
      <c r="HB5" t="n">
        <v>263.3</v>
      </c>
      <c r="HC5" t="n">
        <v>115.2</v>
      </c>
      <c r="HD5" t="n">
        <v>25.1</v>
      </c>
      <c r="HE5" t="n">
        <v>43.6</v>
      </c>
      <c r="HF5" t="n">
        <v>42.248</v>
      </c>
      <c r="HG5" t="n">
        <v>11.6</v>
      </c>
      <c r="HH5" t="n">
        <v>26.606</v>
      </c>
      <c r="HI5" t="n">
        <v>4</v>
      </c>
      <c r="HJ5" t="n">
        <v>45.413</v>
      </c>
      <c r="HK5" t="n">
        <v>38.073</v>
      </c>
      <c r="HL5" t="n">
        <v>8.9</v>
      </c>
      <c r="HM5" t="n">
        <v>93.258</v>
      </c>
      <c r="HN5" t="n">
        <v>6.7</v>
      </c>
      <c r="HO5" t="n">
        <v>36.6</v>
      </c>
      <c r="HP5" t="n">
        <v>73.2</v>
      </c>
      <c r="HQ5" t="n">
        <v>-30.08</v>
      </c>
      <c r="HR5" t="n">
        <v>-134.9</v>
      </c>
      <c r="HS5" t="n">
        <v>-71.59999999999999</v>
      </c>
      <c r="HT5" t="n">
        <v>-10.8</v>
      </c>
      <c r="HU5" t="n">
        <v>-3.1</v>
      </c>
      <c r="HV5" t="n">
        <v>-4.5</v>
      </c>
      <c r="HW5" t="n">
        <v>7.6</v>
      </c>
      <c r="HX5" t="n">
        <v>3.1</v>
      </c>
      <c r="HY5" t="n">
        <v>-11.4</v>
      </c>
      <c r="HZ5" t="n">
        <v>-452</v>
      </c>
      <c r="IA5" t="n">
        <v>-531.103</v>
      </c>
      <c r="IB5" t="n">
        <v>-54.306</v>
      </c>
      <c r="IC5" t="n">
        <v>1.3</v>
      </c>
      <c r="ID5" t="n">
        <v>3.6</v>
      </c>
      <c r="IE5" t="n">
        <v>-5.392</v>
      </c>
      <c r="IF5" t="n">
        <v>-6.013</v>
      </c>
      <c r="IG5" t="n">
        <v>-7.3</v>
      </c>
      <c r="IH5" t="n">
        <v>7.8</v>
      </c>
      <c r="II5" t="n">
        <v>0.5</v>
      </c>
      <c r="IJ5" t="n">
        <v>-3.3</v>
      </c>
      <c r="IK5" t="n">
        <v>1.9</v>
      </c>
      <c r="IL5" t="n">
        <v>-2.2</v>
      </c>
      <c r="IM5" t="n">
        <v>-0.7</v>
      </c>
      <c r="IN5" t="n">
        <v>2.6</v>
      </c>
      <c r="IO5" t="n">
        <v>-6.4</v>
      </c>
      <c r="IP5" t="n">
        <v>-2.2</v>
      </c>
      <c r="IQ5" t="n">
        <v>-3.4</v>
      </c>
      <c r="IR5" t="n">
        <v>-0.2</v>
      </c>
      <c r="IS5" t="n">
        <v>11.3</v>
      </c>
      <c r="IT5" t="n">
        <v>0.1</v>
      </c>
      <c r="IU5" t="n">
        <v>-0.7</v>
      </c>
      <c r="IV5" t="n">
        <v>-0.6</v>
      </c>
      <c r="IW5" t="n">
        <v>-2</v>
      </c>
      <c r="IX5" t="n">
        <v>-3.2</v>
      </c>
      <c r="IY5" t="n">
        <v>-3.7</v>
      </c>
      <c r="IZ5" t="n">
        <v>-6.2</v>
      </c>
      <c r="JA5" t="n">
        <v>-2.8</v>
      </c>
      <c r="JB5" t="n">
        <v>1</v>
      </c>
      <c r="JC5" t="n">
        <v>-4.8</v>
      </c>
      <c r="JD5" t="n">
        <v>-3.1</v>
      </c>
      <c r="JE5" t="n">
        <v>-31.9</v>
      </c>
      <c r="JF5" t="n">
        <v>-7.9</v>
      </c>
      <c r="JG5" t="n">
        <v>-3.8</v>
      </c>
      <c r="JH5" t="n">
        <v>-23.836</v>
      </c>
      <c r="JI5" t="n">
        <v>-7.964</v>
      </c>
      <c r="JJ5" t="n">
        <v>0.099</v>
      </c>
      <c r="JK5" t="n">
        <v>1.9</v>
      </c>
      <c r="JL5" t="n">
        <v>-7.8</v>
      </c>
      <c r="JM5" t="n">
        <v>-26</v>
      </c>
      <c r="JN5" t="n">
        <v>-11</v>
      </c>
      <c r="JO5" t="n">
        <v>-24</v>
      </c>
      <c r="JP5" t="n">
        <v>3.1</v>
      </c>
      <c r="JQ5" t="n">
        <v>-3.6</v>
      </c>
      <c r="JR5" t="n">
        <v>-0.5</v>
      </c>
      <c r="JS5" t="n">
        <v>-0.6</v>
      </c>
      <c r="JT5" t="n">
        <v>16.4</v>
      </c>
      <c r="JU5" t="n">
        <v>4.6</v>
      </c>
      <c r="JV5" t="n">
        <v>-11.5</v>
      </c>
      <c r="JW5" t="n">
        <v>-3.3</v>
      </c>
      <c r="JX5" t="n">
        <v>0.7</v>
      </c>
      <c r="JY5" t="n">
        <v>1.4</v>
      </c>
      <c r="JZ5" t="n">
        <v>3</v>
      </c>
      <c r="KA5" t="n">
        <v>-1.5</v>
      </c>
    </row>
    <row r="6">
      <c r="A6" t="inlineStr">
        <is>
          <t>Carlton</t>
        </is>
      </c>
      <c r="B6" t="inlineStr">
        <is>
          <t>Carl</t>
        </is>
      </c>
      <c r="C6" t="n">
        <v>10</v>
      </c>
      <c r="D6" t="n">
        <v>36</v>
      </c>
      <c r="E6" t="n">
        <v>25.829</v>
      </c>
      <c r="F6" t="n">
        <v>102.987</v>
      </c>
      <c r="G6" t="n">
        <v>191.7</v>
      </c>
      <c r="H6" t="n">
        <v>1597.4</v>
      </c>
      <c r="I6" t="n">
        <v>1450.3</v>
      </c>
      <c r="J6" t="n">
        <v>9.6</v>
      </c>
      <c r="K6" t="n">
        <v>49.709</v>
      </c>
      <c r="L6" t="n">
        <v>39.4</v>
      </c>
      <c r="M6" t="n">
        <v>201.7</v>
      </c>
      <c r="N6" t="n">
        <v>145.1</v>
      </c>
      <c r="O6" t="n">
        <v>346.8</v>
      </c>
      <c r="P6" t="n">
        <v>71.857</v>
      </c>
      <c r="Q6" t="n">
        <v>63.262</v>
      </c>
      <c r="R6" t="n">
        <v>83.804</v>
      </c>
      <c r="S6" t="n">
        <v>58.16</v>
      </c>
      <c r="T6" t="n">
        <v>5.742</v>
      </c>
      <c r="U6" t="n">
        <v>50.3</v>
      </c>
      <c r="V6" t="n">
        <v>35.7</v>
      </c>
      <c r="W6" t="n">
        <v>71.976</v>
      </c>
      <c r="X6" t="n">
        <v>5599</v>
      </c>
      <c r="Y6" t="n">
        <v>16.145</v>
      </c>
      <c r="Z6" t="n">
        <v>5273.141</v>
      </c>
      <c r="AA6" t="n">
        <v>26.274</v>
      </c>
      <c r="AB6" t="n">
        <v>169.399</v>
      </c>
      <c r="AC6" t="n">
        <v>1.171</v>
      </c>
      <c r="AD6" t="n">
        <v>57.6</v>
      </c>
      <c r="AE6" t="n">
        <v>6.021</v>
      </c>
      <c r="AF6" t="n">
        <v>64.90000000000001</v>
      </c>
      <c r="AG6" t="n">
        <v>5.344</v>
      </c>
      <c r="AH6" t="n">
        <v>69.526</v>
      </c>
      <c r="AI6" t="n">
        <v>44.573</v>
      </c>
      <c r="AJ6" t="n">
        <v>24.289</v>
      </c>
      <c r="AK6" t="n">
        <v>-2.173</v>
      </c>
      <c r="AL6" t="n">
        <v>55.432</v>
      </c>
      <c r="AM6" t="n">
        <v>0.513</v>
      </c>
      <c r="AN6" t="n">
        <v>131</v>
      </c>
      <c r="AO6" t="n">
        <v>211.5</v>
      </c>
      <c r="AP6" t="n">
        <v>342.5</v>
      </c>
      <c r="AQ6" t="n">
        <v>38.248</v>
      </c>
      <c r="AR6" t="n">
        <v>61.8</v>
      </c>
      <c r="AS6" t="n">
        <v>85.59999999999999</v>
      </c>
      <c r="AT6" t="n">
        <v>14.6</v>
      </c>
      <c r="AU6" t="n">
        <v>20.7</v>
      </c>
      <c r="AV6" t="n">
        <v>64.90000000000001</v>
      </c>
      <c r="AW6" t="n">
        <v>78.90000000000001</v>
      </c>
      <c r="AX6" t="n">
        <v>56.2</v>
      </c>
      <c r="AY6" t="n">
        <v>10.5</v>
      </c>
      <c r="AZ6" t="n">
        <v>23.9</v>
      </c>
      <c r="BA6" t="n">
        <v>118</v>
      </c>
      <c r="BB6" t="n">
        <v>14.3</v>
      </c>
      <c r="BC6" t="n">
        <v>24</v>
      </c>
      <c r="BD6" t="n">
        <v>38.3</v>
      </c>
      <c r="BE6" t="n">
        <v>43.1</v>
      </c>
      <c r="BF6" t="n">
        <v>74.246</v>
      </c>
      <c r="BG6" t="n">
        <v>83.5</v>
      </c>
      <c r="BH6" t="n">
        <v>9.5</v>
      </c>
      <c r="BI6" t="n">
        <v>12.7</v>
      </c>
      <c r="BJ6" t="n">
        <v>25.249</v>
      </c>
      <c r="BK6" t="n">
        <v>14</v>
      </c>
      <c r="BL6" t="n">
        <v>8.300000000000001</v>
      </c>
      <c r="BM6" t="n">
        <v>24</v>
      </c>
      <c r="BN6" t="n">
        <v>7.2</v>
      </c>
      <c r="BO6" t="n">
        <v>10.8</v>
      </c>
      <c r="BP6" t="n">
        <v>9.800000000000001</v>
      </c>
      <c r="BQ6" t="n">
        <v>74.59999999999999</v>
      </c>
      <c r="BR6" t="n">
        <v>1.8</v>
      </c>
      <c r="BS6" t="n">
        <v>22.8</v>
      </c>
      <c r="BT6" t="n">
        <v>7.7</v>
      </c>
      <c r="BU6" t="n">
        <v>47.368</v>
      </c>
      <c r="BV6" t="n">
        <v>21.471</v>
      </c>
      <c r="BW6" t="n">
        <v>40.954</v>
      </c>
      <c r="BX6" t="n">
        <v>45.328</v>
      </c>
      <c r="BY6" t="n">
        <v>11.4</v>
      </c>
      <c r="BZ6" t="n">
        <v>29.825</v>
      </c>
      <c r="CA6" t="n">
        <v>3.419</v>
      </c>
      <c r="CB6" t="n">
        <v>-0.419</v>
      </c>
      <c r="CC6" t="n">
        <v>75.578</v>
      </c>
      <c r="CD6" t="n">
        <v>-2.778</v>
      </c>
      <c r="CE6" t="n">
        <v>3.315</v>
      </c>
      <c r="CF6" t="n">
        <v>-0.122</v>
      </c>
      <c r="CG6" t="n">
        <v>3.629</v>
      </c>
      <c r="CH6" t="n">
        <v>-0.063</v>
      </c>
      <c r="CI6" t="n">
        <v>2.851</v>
      </c>
      <c r="CJ6" t="n">
        <v>-0.209</v>
      </c>
      <c r="CK6" t="n">
        <v>2.5</v>
      </c>
      <c r="CL6" t="n">
        <v>31</v>
      </c>
      <c r="CM6" t="n">
        <v>41.1</v>
      </c>
      <c r="CN6" t="n">
        <v>25.9</v>
      </c>
      <c r="CO6" t="n">
        <v>38</v>
      </c>
      <c r="CP6" t="n">
        <v>10.7</v>
      </c>
      <c r="CQ6" t="n">
        <v>18.919</v>
      </c>
      <c r="CR6" t="n">
        <v>23.889</v>
      </c>
      <c r="CS6" t="n">
        <v>7.5</v>
      </c>
      <c r="CT6" t="n">
        <v>30.806</v>
      </c>
      <c r="CU6" t="n">
        <v>11.129</v>
      </c>
      <c r="CV6" t="n">
        <v>7.6</v>
      </c>
      <c r="CW6" t="n">
        <v>23.684</v>
      </c>
      <c r="CX6" t="n">
        <v>59.3</v>
      </c>
      <c r="CY6" t="n">
        <v>10.1</v>
      </c>
      <c r="CZ6" t="n">
        <v>274.9</v>
      </c>
      <c r="DA6" t="n">
        <v>132.4</v>
      </c>
      <c r="DB6" t="n">
        <v>30.9</v>
      </c>
      <c r="DC6" t="n">
        <v>94.8</v>
      </c>
      <c r="DD6" t="n">
        <v>34.9</v>
      </c>
      <c r="DE6" t="n">
        <v>36.814</v>
      </c>
      <c r="DF6" t="n">
        <v>10.9</v>
      </c>
      <c r="DG6" t="n">
        <v>31.232</v>
      </c>
      <c r="DH6" t="n">
        <v>4.4</v>
      </c>
      <c r="DI6" t="n">
        <v>46.705</v>
      </c>
      <c r="DJ6" t="n">
        <v>42.12</v>
      </c>
      <c r="DK6" t="n">
        <v>21.1</v>
      </c>
      <c r="DL6" t="n">
        <v>20.5</v>
      </c>
      <c r="DM6" t="n">
        <v>0.6</v>
      </c>
      <c r="DN6" t="n">
        <v>9.800000000000001</v>
      </c>
      <c r="DO6" t="n">
        <v>77.551</v>
      </c>
      <c r="DP6" t="n">
        <v>4</v>
      </c>
      <c r="DQ6" t="n">
        <v>41.8</v>
      </c>
      <c r="DR6" t="n">
        <v>69.8</v>
      </c>
      <c r="DS6" t="n">
        <v>203.99</v>
      </c>
      <c r="DT6" t="n">
        <v>1703</v>
      </c>
      <c r="DU6" t="n">
        <v>1544.9</v>
      </c>
      <c r="DV6" t="n">
        <v>20.4</v>
      </c>
      <c r="DW6" t="n">
        <v>43.3</v>
      </c>
      <c r="DX6" t="n">
        <v>209.3</v>
      </c>
      <c r="DY6" t="n">
        <v>150.6</v>
      </c>
      <c r="DZ6" t="n">
        <v>359.9</v>
      </c>
      <c r="EA6" t="n">
        <v>73.854</v>
      </c>
      <c r="EB6" t="n">
        <v>67.941</v>
      </c>
      <c r="EC6" t="n">
        <v>82.072</v>
      </c>
      <c r="ED6" t="n">
        <v>6.069</v>
      </c>
      <c r="EE6" t="n">
        <v>49.6</v>
      </c>
      <c r="EF6" t="n">
        <v>39.2</v>
      </c>
      <c r="EG6" t="n">
        <v>77.932</v>
      </c>
      <c r="EH6" t="n">
        <v>5839.8</v>
      </c>
      <c r="EI6" t="n">
        <v>16.226</v>
      </c>
      <c r="EJ6" t="n">
        <v>5476.423</v>
      </c>
      <c r="EK6" t="n">
        <v>26.291</v>
      </c>
      <c r="EL6" t="n">
        <v>270.317</v>
      </c>
      <c r="EM6" t="n">
        <v>1.801</v>
      </c>
      <c r="EN6" t="n">
        <v>57</v>
      </c>
      <c r="EO6" t="n">
        <v>6.314</v>
      </c>
      <c r="EP6" t="n">
        <v>61.7</v>
      </c>
      <c r="EQ6" t="n">
        <v>5.833</v>
      </c>
      <c r="ER6" t="n">
        <v>71.556</v>
      </c>
      <c r="ES6" t="n">
        <v>50.827</v>
      </c>
      <c r="ET6" t="n">
        <v>23.46</v>
      </c>
      <c r="EU6" t="n">
        <v>1.192</v>
      </c>
      <c r="EV6" t="n">
        <v>57.429</v>
      </c>
      <c r="EW6" t="n">
        <v>2.177</v>
      </c>
      <c r="EX6" t="n">
        <v>126.4</v>
      </c>
      <c r="EY6" t="n">
        <v>225.7</v>
      </c>
      <c r="EZ6" t="n">
        <v>352.1</v>
      </c>
      <c r="FA6" t="n">
        <v>35.899</v>
      </c>
      <c r="FB6" t="n">
        <v>65</v>
      </c>
      <c r="FC6" t="n">
        <v>82.09999999999999</v>
      </c>
      <c r="FD6" t="n">
        <v>13.7</v>
      </c>
      <c r="FE6" t="n">
        <v>19.9</v>
      </c>
      <c r="FF6" t="n">
        <v>62.2</v>
      </c>
      <c r="FG6" t="n">
        <v>79.59999999999999</v>
      </c>
      <c r="FH6" t="n">
        <v>52.2</v>
      </c>
      <c r="FI6" t="n">
        <v>7.6</v>
      </c>
      <c r="FJ6" t="n">
        <v>21.3</v>
      </c>
      <c r="FK6" t="n">
        <v>120.8</v>
      </c>
      <c r="FL6" t="n">
        <v>9.199999999999999</v>
      </c>
      <c r="FM6" t="n">
        <v>24.2</v>
      </c>
      <c r="FN6" t="n">
        <v>33.4</v>
      </c>
      <c r="FO6" t="n">
        <v>37.8</v>
      </c>
      <c r="FP6" t="n">
        <v>71.958</v>
      </c>
      <c r="FQ6" t="n">
        <v>97.40000000000001</v>
      </c>
      <c r="FR6" t="n">
        <v>11.7</v>
      </c>
      <c r="FS6" t="n">
        <v>12.7</v>
      </c>
      <c r="FT6" t="n">
        <v>25.605</v>
      </c>
      <c r="FU6" t="n">
        <v>17.2</v>
      </c>
      <c r="FV6" t="n">
        <v>7.2</v>
      </c>
      <c r="FW6" t="n">
        <v>12.9</v>
      </c>
      <c r="FX6" t="n">
        <v>10</v>
      </c>
      <c r="FY6" t="n">
        <v>87.40000000000001</v>
      </c>
      <c r="FZ6" t="n">
        <v>1.5</v>
      </c>
      <c r="GA6" t="n">
        <v>25.5</v>
      </c>
      <c r="GB6" t="n">
        <v>9.4</v>
      </c>
      <c r="GC6" t="n">
        <v>50.588</v>
      </c>
      <c r="GD6" t="n">
        <v>26.008</v>
      </c>
      <c r="GE6" t="n">
        <v>46.169</v>
      </c>
      <c r="GF6" t="n">
        <v>51.411</v>
      </c>
      <c r="GG6" t="n">
        <v>84.351</v>
      </c>
      <c r="GH6" t="n">
        <v>1.549</v>
      </c>
      <c r="GI6" t="n">
        <v>3.308</v>
      </c>
      <c r="GJ6" t="n">
        <v>0.061</v>
      </c>
      <c r="GK6" t="n">
        <v>3.457</v>
      </c>
      <c r="GL6" t="n">
        <v>0.152</v>
      </c>
      <c r="GM6" t="n">
        <v>3.072</v>
      </c>
      <c r="GN6" t="n">
        <v>-0.083</v>
      </c>
      <c r="GO6" t="n">
        <v>4.5</v>
      </c>
      <c r="GP6" t="n">
        <v>37.7</v>
      </c>
      <c r="GQ6" t="n">
        <v>45.2</v>
      </c>
      <c r="GR6" t="n">
        <v>32.3</v>
      </c>
      <c r="GS6" t="n">
        <v>42.1</v>
      </c>
      <c r="GT6" t="n">
        <v>13</v>
      </c>
      <c r="GU6" t="n">
        <v>21.241</v>
      </c>
      <c r="GV6" t="n">
        <v>25.505</v>
      </c>
      <c r="GW6" t="n">
        <v>9.619999999999999</v>
      </c>
      <c r="GX6" t="n">
        <v>31.493</v>
      </c>
      <c r="GY6" t="n">
        <v>11.677</v>
      </c>
      <c r="GZ6" t="n">
        <v>60.4</v>
      </c>
      <c r="HA6" t="n">
        <v>10.3</v>
      </c>
      <c r="HB6" t="n">
        <v>274.3</v>
      </c>
      <c r="HC6" t="n">
        <v>134.8</v>
      </c>
      <c r="HD6" t="n">
        <v>29.6</v>
      </c>
      <c r="HE6" t="n">
        <v>38.9</v>
      </c>
      <c r="HF6" t="n">
        <v>41.077</v>
      </c>
      <c r="HG6" t="n">
        <v>8.800000000000001</v>
      </c>
      <c r="HH6" t="n">
        <v>22.622</v>
      </c>
      <c r="HI6" t="n">
        <v>1.9</v>
      </c>
      <c r="HJ6" t="n">
        <v>41.902</v>
      </c>
      <c r="HK6" t="n">
        <v>35.219</v>
      </c>
      <c r="HL6" t="n">
        <v>9.800000000000001</v>
      </c>
      <c r="HM6" t="n">
        <v>96.93899999999999</v>
      </c>
      <c r="HN6" t="n">
        <v>6.6</v>
      </c>
      <c r="HO6" t="n">
        <v>43.5</v>
      </c>
      <c r="HP6" t="n">
        <v>70.90000000000001</v>
      </c>
      <c r="HQ6" t="n">
        <v>-12.29</v>
      </c>
      <c r="HR6" t="n">
        <v>-105.6</v>
      </c>
      <c r="HS6" t="n">
        <v>-94.59999999999999</v>
      </c>
      <c r="HT6" t="n">
        <v>-10.8</v>
      </c>
      <c r="HU6" t="n">
        <v>-3.9</v>
      </c>
      <c r="HV6" t="n">
        <v>-7.6</v>
      </c>
      <c r="HW6" t="n">
        <v>-5.5</v>
      </c>
      <c r="HX6" t="n">
        <v>-13.1</v>
      </c>
      <c r="HY6" t="n">
        <v>0.7</v>
      </c>
      <c r="HZ6" t="n">
        <v>-240.8</v>
      </c>
      <c r="IA6" t="n">
        <v>-203.282</v>
      </c>
      <c r="IB6" t="n">
        <v>-100.918</v>
      </c>
      <c r="IC6" t="n">
        <v>0.6</v>
      </c>
      <c r="ID6" t="n">
        <v>3.2</v>
      </c>
      <c r="IE6" t="n">
        <v>-3.365</v>
      </c>
      <c r="IF6" t="n">
        <v>-1.664</v>
      </c>
      <c r="IG6" t="n">
        <v>4.6</v>
      </c>
      <c r="IH6" t="n">
        <v>-14.2</v>
      </c>
      <c r="II6" t="n">
        <v>-9.6</v>
      </c>
      <c r="IJ6" t="n">
        <v>-3.2</v>
      </c>
      <c r="IK6" t="n">
        <v>3.5</v>
      </c>
      <c r="IL6" t="n">
        <v>0.9</v>
      </c>
      <c r="IM6" t="n">
        <v>0.8</v>
      </c>
      <c r="IN6" t="n">
        <v>2.7</v>
      </c>
      <c r="IO6" t="n">
        <v>-0.7</v>
      </c>
      <c r="IP6" t="n">
        <v>4</v>
      </c>
      <c r="IQ6" t="n">
        <v>2.9</v>
      </c>
      <c r="IR6" t="n">
        <v>2.6</v>
      </c>
      <c r="IS6" t="n">
        <v>-2.8</v>
      </c>
      <c r="IT6" t="n">
        <v>5.1</v>
      </c>
      <c r="IU6" t="n">
        <v>-0.2</v>
      </c>
      <c r="IV6" t="n">
        <v>4.9</v>
      </c>
      <c r="IW6" t="n">
        <v>5.3</v>
      </c>
      <c r="IX6" t="n">
        <v>-13.9</v>
      </c>
      <c r="IY6" t="n">
        <v>-2.2</v>
      </c>
      <c r="IZ6" t="n">
        <v>0</v>
      </c>
      <c r="JA6" t="n">
        <v>-3.2</v>
      </c>
      <c r="JB6" t="n">
        <v>1.1</v>
      </c>
      <c r="JC6" t="n">
        <v>-2.1</v>
      </c>
      <c r="JD6" t="n">
        <v>-0.2</v>
      </c>
      <c r="JE6" t="n">
        <v>-12.8</v>
      </c>
      <c r="JF6" t="n">
        <v>-2.7</v>
      </c>
      <c r="JG6" t="n">
        <v>-1.7</v>
      </c>
      <c r="JH6" t="n">
        <v>-8.773</v>
      </c>
      <c r="JI6" t="n">
        <v>-4.327</v>
      </c>
      <c r="JJ6" t="n">
        <v>0.007</v>
      </c>
      <c r="JK6" t="n">
        <v>-2</v>
      </c>
      <c r="JL6" t="n">
        <v>-6.7</v>
      </c>
      <c r="JM6" t="n">
        <v>-4.1</v>
      </c>
      <c r="JN6" t="n">
        <v>-6.4</v>
      </c>
      <c r="JO6" t="n">
        <v>-4.1</v>
      </c>
      <c r="JP6" t="n">
        <v>-2.3</v>
      </c>
      <c r="JQ6" t="n">
        <v>-1.1</v>
      </c>
      <c r="JR6" t="n">
        <v>-0.2</v>
      </c>
      <c r="JS6" t="n">
        <v>0.6</v>
      </c>
      <c r="JT6" t="n">
        <v>-2.4</v>
      </c>
      <c r="JU6" t="n">
        <v>1.3</v>
      </c>
      <c r="JV6" t="n">
        <v>-4</v>
      </c>
      <c r="JW6" t="n">
        <v>2.1</v>
      </c>
      <c r="JX6" t="n">
        <v>2.5</v>
      </c>
      <c r="JY6" t="n">
        <v>-2.6</v>
      </c>
      <c r="JZ6" t="n">
        <v>-1.7</v>
      </c>
      <c r="KA6" t="n">
        <v>-1.1</v>
      </c>
    </row>
    <row r="7">
      <c r="A7" t="inlineStr">
        <is>
          <t>Port Adelaide</t>
        </is>
      </c>
      <c r="B7" t="inlineStr">
        <is>
          <t>Port</t>
        </is>
      </c>
      <c r="C7" t="n">
        <v>10</v>
      </c>
      <c r="D7" t="n">
        <v>38</v>
      </c>
      <c r="E7" t="n">
        <v>25.529</v>
      </c>
      <c r="F7" t="n">
        <v>96.22199999999999</v>
      </c>
      <c r="G7" t="n">
        <v>169.47</v>
      </c>
      <c r="H7" t="n">
        <v>1573.4</v>
      </c>
      <c r="I7" t="n">
        <v>1403.3</v>
      </c>
      <c r="J7" t="n">
        <v>10.7</v>
      </c>
      <c r="K7" t="n">
        <v>47.511</v>
      </c>
      <c r="L7" t="n">
        <v>40.7</v>
      </c>
      <c r="M7" t="n">
        <v>198</v>
      </c>
      <c r="N7" t="n">
        <v>129.4</v>
      </c>
      <c r="O7" t="n">
        <v>327.4</v>
      </c>
      <c r="P7" t="n">
        <v>67.532</v>
      </c>
      <c r="Q7" t="n">
        <v>59.747</v>
      </c>
      <c r="R7" t="n">
        <v>79.444</v>
      </c>
      <c r="S7" t="n">
        <v>60.476</v>
      </c>
      <c r="T7" t="n">
        <v>5.403</v>
      </c>
      <c r="U7" t="n">
        <v>44.9</v>
      </c>
      <c r="V7" t="n">
        <v>41.7</v>
      </c>
      <c r="W7" t="n">
        <v>73.675</v>
      </c>
      <c r="X7" t="n">
        <v>5544.3</v>
      </c>
      <c r="Y7" t="n">
        <v>16.934</v>
      </c>
      <c r="Z7" t="n">
        <v>5190.474</v>
      </c>
      <c r="AA7" t="n">
        <v>26.442</v>
      </c>
      <c r="AB7" t="n">
        <v>237.978</v>
      </c>
      <c r="AC7" t="n">
        <v>1.843</v>
      </c>
      <c r="AD7" t="n">
        <v>61.1</v>
      </c>
      <c r="AE7" t="n">
        <v>5.358</v>
      </c>
      <c r="AF7" t="n">
        <v>66.3</v>
      </c>
      <c r="AG7" t="n">
        <v>4.938</v>
      </c>
      <c r="AH7" t="n">
        <v>66.89100000000001</v>
      </c>
      <c r="AI7" t="n">
        <v>49.61</v>
      </c>
      <c r="AJ7" t="n">
        <v>23.253</v>
      </c>
      <c r="AK7" t="n">
        <v>1.007</v>
      </c>
      <c r="AL7" t="n">
        <v>56.521</v>
      </c>
      <c r="AM7" t="n">
        <v>-0.944</v>
      </c>
      <c r="AN7" t="n">
        <v>123.4</v>
      </c>
      <c r="AO7" t="n">
        <v>187.8</v>
      </c>
      <c r="AP7" t="n">
        <v>311.2</v>
      </c>
      <c r="AQ7" t="n">
        <v>39.653</v>
      </c>
      <c r="AR7" t="n">
        <v>61.8</v>
      </c>
      <c r="AS7" t="n">
        <v>81.2</v>
      </c>
      <c r="AT7" t="n">
        <v>11.7</v>
      </c>
      <c r="AU7" t="n">
        <v>19.5</v>
      </c>
      <c r="AV7" t="n">
        <v>61.7</v>
      </c>
      <c r="AW7" t="n">
        <v>73.8</v>
      </c>
      <c r="AX7" t="n">
        <v>52</v>
      </c>
      <c r="AY7" t="n">
        <v>9.4</v>
      </c>
      <c r="AZ7" t="n">
        <v>20.4</v>
      </c>
      <c r="BA7" t="n">
        <v>99.3</v>
      </c>
      <c r="BB7" t="n">
        <v>10.2</v>
      </c>
      <c r="BC7" t="n">
        <v>26.5</v>
      </c>
      <c r="BD7" t="n">
        <v>36.7</v>
      </c>
      <c r="BE7" t="n">
        <v>41.2</v>
      </c>
      <c r="BF7" t="n">
        <v>73.05800000000001</v>
      </c>
      <c r="BG7" t="n">
        <v>75.8</v>
      </c>
      <c r="BH7" t="n">
        <v>6.9</v>
      </c>
      <c r="BI7" t="n">
        <v>11.4</v>
      </c>
      <c r="BJ7" t="n">
        <v>25.39</v>
      </c>
      <c r="BK7" t="n">
        <v>13.8</v>
      </c>
      <c r="BL7" t="n">
        <v>6.5</v>
      </c>
      <c r="BM7" t="n">
        <v>25</v>
      </c>
      <c r="BN7" t="n">
        <v>6.4</v>
      </c>
      <c r="BO7" t="n">
        <v>10.2</v>
      </c>
      <c r="BP7" t="n">
        <v>9.9</v>
      </c>
      <c r="BQ7" t="n">
        <v>71.09999999999999</v>
      </c>
      <c r="BR7" t="n">
        <v>1.4</v>
      </c>
      <c r="BS7" t="n">
        <v>22.5</v>
      </c>
      <c r="BT7" t="n">
        <v>7</v>
      </c>
      <c r="BU7" t="n">
        <v>45.333</v>
      </c>
      <c r="BV7" t="n">
        <v>22.717</v>
      </c>
      <c r="BW7" t="n">
        <v>44.766</v>
      </c>
      <c r="BX7" t="n">
        <v>50.111</v>
      </c>
      <c r="BY7" t="n">
        <v>10.5</v>
      </c>
      <c r="BZ7" t="n">
        <v>20</v>
      </c>
      <c r="CA7" t="n">
        <v>2.44</v>
      </c>
      <c r="CB7" t="n">
        <v>0.5600000000000001</v>
      </c>
      <c r="CC7" t="n">
        <v>71.614</v>
      </c>
      <c r="CD7" t="n">
        <v>-1.914</v>
      </c>
      <c r="CE7" t="n">
        <v>3.183</v>
      </c>
      <c r="CF7" t="n">
        <v>-0.08500000000000001</v>
      </c>
      <c r="CG7" t="n">
        <v>3.352</v>
      </c>
      <c r="CH7" t="n">
        <v>0.07099999999999999</v>
      </c>
      <c r="CI7" t="n">
        <v>2.894</v>
      </c>
      <c r="CJ7" t="n">
        <v>-0.352</v>
      </c>
      <c r="CK7" t="n">
        <v>4</v>
      </c>
      <c r="CL7" t="n">
        <v>34.4</v>
      </c>
      <c r="CM7" t="n">
        <v>32.7</v>
      </c>
      <c r="CN7" t="n">
        <v>27.7</v>
      </c>
      <c r="CO7" t="n">
        <v>31.5</v>
      </c>
      <c r="CP7" t="n">
        <v>11.9</v>
      </c>
      <c r="CQ7" t="n">
        <v>18.401</v>
      </c>
      <c r="CR7" t="n">
        <v>19.286</v>
      </c>
      <c r="CS7" t="n">
        <v>8.612</v>
      </c>
      <c r="CT7" t="n">
        <v>28.386</v>
      </c>
      <c r="CU7" t="n">
        <v>11.143</v>
      </c>
      <c r="CV7" t="n">
        <v>11.3</v>
      </c>
      <c r="CW7" t="n">
        <v>30.973</v>
      </c>
      <c r="CX7" t="n">
        <v>62.5</v>
      </c>
      <c r="CY7" t="n">
        <v>11.2</v>
      </c>
      <c r="CZ7" t="n">
        <v>275.6</v>
      </c>
      <c r="DA7" t="n">
        <v>149.2</v>
      </c>
      <c r="DB7" t="n">
        <v>29.5</v>
      </c>
      <c r="DC7" t="n">
        <v>98</v>
      </c>
      <c r="DD7" t="n">
        <v>42.3</v>
      </c>
      <c r="DE7" t="n">
        <v>43.163</v>
      </c>
      <c r="DF7" t="n">
        <v>11</v>
      </c>
      <c r="DG7" t="n">
        <v>26.005</v>
      </c>
      <c r="DH7" t="n">
        <v>3</v>
      </c>
      <c r="DI7" t="n">
        <v>42.08</v>
      </c>
      <c r="DJ7" t="n">
        <v>39.48</v>
      </c>
      <c r="DK7" t="n">
        <v>21.1</v>
      </c>
      <c r="DL7" t="n">
        <v>20</v>
      </c>
      <c r="DM7" t="n">
        <v>1.1</v>
      </c>
      <c r="DN7" t="n">
        <v>12.1</v>
      </c>
      <c r="DO7" t="n">
        <v>97.521</v>
      </c>
      <c r="DP7" t="n">
        <v>4.6</v>
      </c>
      <c r="DQ7" t="n">
        <v>40.9</v>
      </c>
      <c r="DR7" t="n">
        <v>67.8</v>
      </c>
      <c r="DS7" t="n">
        <v>201.15</v>
      </c>
      <c r="DT7" t="n">
        <v>1727.4</v>
      </c>
      <c r="DU7" t="n">
        <v>1483.5</v>
      </c>
      <c r="DV7" t="n">
        <v>19.3</v>
      </c>
      <c r="DW7" t="n">
        <v>41.5</v>
      </c>
      <c r="DX7" t="n">
        <v>213.5</v>
      </c>
      <c r="DY7" t="n">
        <v>136.1</v>
      </c>
      <c r="DZ7" t="n">
        <v>349.6</v>
      </c>
      <c r="EA7" t="n">
        <v>69.30800000000001</v>
      </c>
      <c r="EB7" t="n">
        <v>60.937</v>
      </c>
      <c r="EC7" t="n">
        <v>82.43899999999999</v>
      </c>
      <c r="ED7" t="n">
        <v>5.594</v>
      </c>
      <c r="EE7" t="n">
        <v>56.6</v>
      </c>
      <c r="EF7" t="n">
        <v>33.7</v>
      </c>
      <c r="EG7" t="n">
        <v>75.056</v>
      </c>
      <c r="EH7" t="n">
        <v>5933.7</v>
      </c>
      <c r="EI7" t="n">
        <v>16.973</v>
      </c>
      <c r="EJ7" t="n">
        <v>5619.694</v>
      </c>
      <c r="EK7" t="n">
        <v>26.458</v>
      </c>
      <c r="EL7" t="n">
        <v>174.579</v>
      </c>
      <c r="EM7" t="n">
        <v>1.29</v>
      </c>
      <c r="EN7" t="n">
        <v>58.8</v>
      </c>
      <c r="EO7" t="n">
        <v>5.946</v>
      </c>
      <c r="EP7" t="n">
        <v>61.6</v>
      </c>
      <c r="EQ7" t="n">
        <v>5.675</v>
      </c>
      <c r="ER7" t="n">
        <v>69.04600000000001</v>
      </c>
      <c r="ES7" t="n">
        <v>50.215</v>
      </c>
      <c r="ET7" t="n">
        <v>24.359</v>
      </c>
      <c r="EU7" t="n">
        <v>2.742</v>
      </c>
      <c r="EV7" t="n">
        <v>55.673</v>
      </c>
      <c r="EW7" t="n">
        <v>0.185</v>
      </c>
      <c r="EX7" t="n">
        <v>135.2</v>
      </c>
      <c r="EY7" t="n">
        <v>203.5</v>
      </c>
      <c r="EZ7" t="n">
        <v>338.7</v>
      </c>
      <c r="FA7" t="n">
        <v>39.917</v>
      </c>
      <c r="FB7" t="n">
        <v>66.40000000000001</v>
      </c>
      <c r="FC7" t="n">
        <v>92.3</v>
      </c>
      <c r="FD7" t="n">
        <v>16.7</v>
      </c>
      <c r="FE7" t="n">
        <v>24.7</v>
      </c>
      <c r="FF7" t="n">
        <v>67.59999999999999</v>
      </c>
      <c r="FG7" t="n">
        <v>83.90000000000001</v>
      </c>
      <c r="FH7" t="n">
        <v>58.9</v>
      </c>
      <c r="FI7" t="n">
        <v>8.6</v>
      </c>
      <c r="FJ7" t="n">
        <v>21.6</v>
      </c>
      <c r="FK7" t="n">
        <v>110</v>
      </c>
      <c r="FL7" t="n">
        <v>13.1</v>
      </c>
      <c r="FM7" t="n">
        <v>25.6</v>
      </c>
      <c r="FN7" t="n">
        <v>38.7</v>
      </c>
      <c r="FO7" t="n">
        <v>42.5</v>
      </c>
      <c r="FP7" t="n">
        <v>75.765</v>
      </c>
      <c r="FQ7" t="n">
        <v>80.2</v>
      </c>
      <c r="FR7" t="n">
        <v>10</v>
      </c>
      <c r="FS7" t="n">
        <v>14.4</v>
      </c>
      <c r="FT7" t="n">
        <v>25.442</v>
      </c>
      <c r="FU7" t="n">
        <v>14.5</v>
      </c>
      <c r="FV7" t="n">
        <v>8.300000000000001</v>
      </c>
      <c r="FW7" t="n">
        <v>14</v>
      </c>
      <c r="FX7" t="n">
        <v>12.2</v>
      </c>
      <c r="FY7" t="n">
        <v>96.2</v>
      </c>
      <c r="FZ7" t="n">
        <v>1.8</v>
      </c>
      <c r="GA7" t="n">
        <v>29.6</v>
      </c>
      <c r="GB7" t="n">
        <v>10.2</v>
      </c>
      <c r="GC7" t="n">
        <v>47.297</v>
      </c>
      <c r="GD7" t="n">
        <v>24.735</v>
      </c>
      <c r="GE7" t="n">
        <v>46.29</v>
      </c>
      <c r="GF7" t="n">
        <v>52.297</v>
      </c>
      <c r="GG7" t="n">
        <v>101.635</v>
      </c>
      <c r="GH7" t="n">
        <v>-7.235</v>
      </c>
      <c r="GI7" t="n">
        <v>3.434</v>
      </c>
      <c r="GJ7" t="n">
        <v>-0.244</v>
      </c>
      <c r="GK7" t="n">
        <v>3.826</v>
      </c>
      <c r="GL7" t="n">
        <v>-0.27</v>
      </c>
      <c r="GM7" t="n">
        <v>2.959</v>
      </c>
      <c r="GN7" t="n">
        <v>-0.213</v>
      </c>
      <c r="GO7" t="n">
        <v>2.1</v>
      </c>
      <c r="GP7" t="n">
        <v>35.7</v>
      </c>
      <c r="GQ7" t="n">
        <v>58.4</v>
      </c>
      <c r="GR7" t="n">
        <v>33</v>
      </c>
      <c r="GS7" t="n">
        <v>49.8</v>
      </c>
      <c r="GT7" t="n">
        <v>13.4</v>
      </c>
      <c r="GU7" t="n">
        <v>22.968</v>
      </c>
      <c r="GV7" t="n">
        <v>22.899</v>
      </c>
      <c r="GW7" t="n">
        <v>9.621</v>
      </c>
      <c r="GX7" t="n">
        <v>31.341</v>
      </c>
      <c r="GY7" t="n">
        <v>12.966</v>
      </c>
      <c r="GZ7" t="n">
        <v>60.6</v>
      </c>
      <c r="HA7" t="n">
        <v>11.5</v>
      </c>
      <c r="HB7" t="n">
        <v>257.1</v>
      </c>
      <c r="HC7" t="n">
        <v>118.7</v>
      </c>
      <c r="HD7" t="n">
        <v>29.5</v>
      </c>
      <c r="HE7" t="n">
        <v>36.7</v>
      </c>
      <c r="HF7" t="n">
        <v>37.449</v>
      </c>
      <c r="HG7" t="n">
        <v>9.4</v>
      </c>
      <c r="HH7" t="n">
        <v>25.613</v>
      </c>
      <c r="HI7" t="n">
        <v>2.5</v>
      </c>
      <c r="HJ7" t="n">
        <v>44.959</v>
      </c>
      <c r="HK7" t="n">
        <v>41.689</v>
      </c>
      <c r="HL7" t="n">
        <v>9.9</v>
      </c>
      <c r="HM7" t="n">
        <v>87.879</v>
      </c>
      <c r="HN7" t="n">
        <v>4.7</v>
      </c>
      <c r="HO7" t="n">
        <v>42.7</v>
      </c>
      <c r="HP7" t="n">
        <v>70.5</v>
      </c>
      <c r="HQ7" t="n">
        <v>-31.68</v>
      </c>
      <c r="HR7" t="n">
        <v>-154</v>
      </c>
      <c r="HS7" t="n">
        <v>-80.2</v>
      </c>
      <c r="HT7" t="n">
        <v>-8.6</v>
      </c>
      <c r="HU7" t="n">
        <v>-0.8</v>
      </c>
      <c r="HV7" t="n">
        <v>-15.5</v>
      </c>
      <c r="HW7" t="n">
        <v>-6.7</v>
      </c>
      <c r="HX7" t="n">
        <v>-22.2</v>
      </c>
      <c r="HY7" t="n">
        <v>-11.7</v>
      </c>
      <c r="HZ7" t="n">
        <v>-389.4</v>
      </c>
      <c r="IA7" t="n">
        <v>-429.22</v>
      </c>
      <c r="IB7" t="n">
        <v>63.399</v>
      </c>
      <c r="IC7" t="n">
        <v>2.3</v>
      </c>
      <c r="ID7" t="n">
        <v>4.7</v>
      </c>
      <c r="IE7" t="n">
        <v>-1.735</v>
      </c>
      <c r="IF7" t="n">
        <v>-1.129</v>
      </c>
      <c r="IG7" t="n">
        <v>-11.8</v>
      </c>
      <c r="IH7" t="n">
        <v>-15.7</v>
      </c>
      <c r="II7" t="n">
        <v>-27.5</v>
      </c>
      <c r="IJ7" t="n">
        <v>-4.6</v>
      </c>
      <c r="IK7" t="n">
        <v>-11.1</v>
      </c>
      <c r="IL7" t="n">
        <v>-5</v>
      </c>
      <c r="IM7" t="n">
        <v>-5.2</v>
      </c>
      <c r="IN7" t="n">
        <v>-5.9</v>
      </c>
      <c r="IO7" t="n">
        <v>-10.1</v>
      </c>
      <c r="IP7" t="n">
        <v>-6.9</v>
      </c>
      <c r="IQ7" t="n">
        <v>0.8</v>
      </c>
      <c r="IR7" t="n">
        <v>-1.2</v>
      </c>
      <c r="IS7" t="n">
        <v>-10.7</v>
      </c>
      <c r="IT7" t="n">
        <v>-2.9</v>
      </c>
      <c r="IU7" t="n">
        <v>0.9</v>
      </c>
      <c r="IV7" t="n">
        <v>-2</v>
      </c>
      <c r="IW7" t="n">
        <v>-1.3</v>
      </c>
      <c r="IX7" t="n">
        <v>-4.4</v>
      </c>
      <c r="IY7" t="n">
        <v>-3.1</v>
      </c>
      <c r="IZ7" t="n">
        <v>-3</v>
      </c>
      <c r="JA7" t="n">
        <v>-0.7</v>
      </c>
      <c r="JB7" t="n">
        <v>-1.8</v>
      </c>
      <c r="JC7" t="n">
        <v>-3.8</v>
      </c>
      <c r="JD7" t="n">
        <v>-2.3</v>
      </c>
      <c r="JE7" t="n">
        <v>-25.1</v>
      </c>
      <c r="JF7" t="n">
        <v>-7.1</v>
      </c>
      <c r="JG7" t="n">
        <v>-3.2</v>
      </c>
      <c r="JH7" t="n">
        <v>-30.021</v>
      </c>
      <c r="JI7" t="n">
        <v>5.321</v>
      </c>
      <c r="JJ7" t="n">
        <v>-0.251</v>
      </c>
      <c r="JK7" t="n">
        <v>1.9</v>
      </c>
      <c r="JL7" t="n">
        <v>-1.3</v>
      </c>
      <c r="JM7" t="n">
        <v>-25.7</v>
      </c>
      <c r="JN7" t="n">
        <v>-5.3</v>
      </c>
      <c r="JO7" t="n">
        <v>-18.3</v>
      </c>
      <c r="JP7" t="n">
        <v>-1.5</v>
      </c>
      <c r="JQ7" t="n">
        <v>1.9</v>
      </c>
      <c r="JR7" t="n">
        <v>-0.3</v>
      </c>
      <c r="JS7" t="n">
        <v>18.5</v>
      </c>
      <c r="JT7" t="n">
        <v>30.5</v>
      </c>
      <c r="JU7" t="n">
        <v>0</v>
      </c>
      <c r="JV7" t="n">
        <v>5.6</v>
      </c>
      <c r="JW7" t="n">
        <v>1.6</v>
      </c>
      <c r="JX7" t="n">
        <v>0.5</v>
      </c>
      <c r="JY7" t="n">
        <v>-0.1</v>
      </c>
      <c r="JZ7" t="n">
        <v>-1.8</v>
      </c>
      <c r="KA7" t="n">
        <v>-2.7</v>
      </c>
    </row>
    <row r="8">
      <c r="A8" t="inlineStr">
        <is>
          <t>Sydney</t>
        </is>
      </c>
      <c r="B8" t="inlineStr">
        <is>
          <t>Syd</t>
        </is>
      </c>
      <c r="C8" t="n">
        <v>10</v>
      </c>
      <c r="D8" t="n">
        <v>31</v>
      </c>
      <c r="E8" t="n">
        <v>26.604</v>
      </c>
      <c r="F8" t="n">
        <v>128.274</v>
      </c>
      <c r="G8" t="n">
        <v>192.51</v>
      </c>
      <c r="H8" t="n">
        <v>1715.8</v>
      </c>
      <c r="I8" t="n">
        <v>1552.2</v>
      </c>
      <c r="J8" t="n">
        <v>18.9</v>
      </c>
      <c r="K8" t="n">
        <v>51.332</v>
      </c>
      <c r="L8" t="n">
        <v>42.9</v>
      </c>
      <c r="M8" t="n">
        <v>211.5</v>
      </c>
      <c r="N8" t="n">
        <v>148</v>
      </c>
      <c r="O8" t="n">
        <v>359.5</v>
      </c>
      <c r="P8" t="n">
        <v>72.851</v>
      </c>
      <c r="Q8" t="n">
        <v>66.714</v>
      </c>
      <c r="R8" t="n">
        <v>81.622</v>
      </c>
      <c r="S8" t="n">
        <v>58.832</v>
      </c>
      <c r="T8" t="n">
        <v>6.329</v>
      </c>
      <c r="U8" t="n">
        <v>50.5</v>
      </c>
      <c r="V8" t="n">
        <v>36.4</v>
      </c>
      <c r="W8" t="n">
        <v>73.98399999999999</v>
      </c>
      <c r="X8" t="n">
        <v>5600</v>
      </c>
      <c r="Y8" t="n">
        <v>15.577</v>
      </c>
      <c r="Z8" t="n">
        <v>5379.571</v>
      </c>
      <c r="AA8" t="n">
        <v>25.52</v>
      </c>
      <c r="AB8" t="n">
        <v>146.826</v>
      </c>
      <c r="AC8" t="n">
        <v>0.997</v>
      </c>
      <c r="AD8" t="n">
        <v>53.1</v>
      </c>
      <c r="AE8" t="n">
        <v>6.77</v>
      </c>
      <c r="AF8" t="n">
        <v>57.8</v>
      </c>
      <c r="AG8" t="n">
        <v>6.22</v>
      </c>
      <c r="AH8" t="n">
        <v>71.95</v>
      </c>
      <c r="AI8" t="n">
        <v>48.357</v>
      </c>
      <c r="AJ8" t="n">
        <v>23.871</v>
      </c>
      <c r="AK8" t="n">
        <v>1.6</v>
      </c>
      <c r="AL8" t="n">
        <v>58.577</v>
      </c>
      <c r="AM8" t="n">
        <v>3.273</v>
      </c>
      <c r="AN8" t="n">
        <v>126</v>
      </c>
      <c r="AO8" t="n">
        <v>225.5</v>
      </c>
      <c r="AP8" t="n">
        <v>351.5</v>
      </c>
      <c r="AQ8" t="n">
        <v>35.846</v>
      </c>
      <c r="AR8" t="n">
        <v>57.6</v>
      </c>
      <c r="AS8" t="n">
        <v>80.7</v>
      </c>
      <c r="AT8" t="n">
        <v>13.2</v>
      </c>
      <c r="AU8" t="n">
        <v>23.3</v>
      </c>
      <c r="AV8" t="n">
        <v>57.4</v>
      </c>
      <c r="AW8" t="n">
        <v>74.8</v>
      </c>
      <c r="AX8" t="n">
        <v>52.9</v>
      </c>
      <c r="AY8" t="n">
        <v>11.1</v>
      </c>
      <c r="AZ8" t="n">
        <v>20.8</v>
      </c>
      <c r="BA8" t="n">
        <v>117.9</v>
      </c>
      <c r="BB8" t="n">
        <v>12.2</v>
      </c>
      <c r="BC8" t="n">
        <v>25.7</v>
      </c>
      <c r="BD8" t="n">
        <v>37.9</v>
      </c>
      <c r="BE8" t="n">
        <v>42.9</v>
      </c>
      <c r="BF8" t="n">
        <v>75.05800000000001</v>
      </c>
      <c r="BG8" t="n">
        <v>97.40000000000001</v>
      </c>
      <c r="BH8" t="n">
        <v>9.1</v>
      </c>
      <c r="BI8" t="n">
        <v>14.5</v>
      </c>
      <c r="BJ8" t="n">
        <v>28.713</v>
      </c>
      <c r="BK8" t="n">
        <v>14.6</v>
      </c>
      <c r="BL8" t="n">
        <v>9.800000000000001</v>
      </c>
      <c r="BM8" t="n">
        <v>20</v>
      </c>
      <c r="BN8" t="n">
        <v>7.7</v>
      </c>
      <c r="BO8" t="n">
        <v>12.1</v>
      </c>
      <c r="BP8" t="n">
        <v>11.5</v>
      </c>
      <c r="BQ8" t="n">
        <v>84.09999999999999</v>
      </c>
      <c r="BR8" t="n">
        <v>1.3</v>
      </c>
      <c r="BS8" t="n">
        <v>26.4</v>
      </c>
      <c r="BT8" t="n">
        <v>9.300000000000001</v>
      </c>
      <c r="BU8" t="n">
        <v>45.833</v>
      </c>
      <c r="BV8" t="n">
        <v>23.96</v>
      </c>
      <c r="BW8" t="n">
        <v>46.733</v>
      </c>
      <c r="BX8" t="n">
        <v>52.277</v>
      </c>
      <c r="BY8" t="n">
        <v>10.5</v>
      </c>
      <c r="BZ8" t="n">
        <v>32.381</v>
      </c>
      <c r="CA8" t="n">
        <v>6.124</v>
      </c>
      <c r="CB8" t="n">
        <v>0.876</v>
      </c>
      <c r="CC8" t="n">
        <v>84.47499999999999</v>
      </c>
      <c r="CD8" t="n">
        <v>-1.675</v>
      </c>
      <c r="CE8" t="n">
        <v>3.2</v>
      </c>
      <c r="CF8" t="n">
        <v>-0.063</v>
      </c>
      <c r="CG8" t="n">
        <v>3.542</v>
      </c>
      <c r="CH8" t="n">
        <v>-0.154</v>
      </c>
      <c r="CI8" t="n">
        <v>2.674</v>
      </c>
      <c r="CJ8" t="n">
        <v>0.076</v>
      </c>
      <c r="CK8" t="n">
        <v>4.6</v>
      </c>
      <c r="CL8" t="n">
        <v>37.1</v>
      </c>
      <c r="CM8" t="n">
        <v>42.4</v>
      </c>
      <c r="CN8" t="n">
        <v>31.9</v>
      </c>
      <c r="CO8" t="n">
        <v>39.5</v>
      </c>
      <c r="CP8" t="n">
        <v>12.7</v>
      </c>
      <c r="CQ8" t="n">
        <v>22.275</v>
      </c>
      <c r="CR8" t="n">
        <v>30.163</v>
      </c>
      <c r="CS8" t="n">
        <v>12.772</v>
      </c>
      <c r="CT8" t="n">
        <v>35.61</v>
      </c>
      <c r="CU8" t="n">
        <v>14.472</v>
      </c>
      <c r="CV8" t="n">
        <v>8.4</v>
      </c>
      <c r="CW8" t="n">
        <v>36.905</v>
      </c>
      <c r="CX8" t="n">
        <v>59.9</v>
      </c>
      <c r="CY8" t="n">
        <v>10.6</v>
      </c>
      <c r="CZ8" t="n">
        <v>242</v>
      </c>
      <c r="DA8" t="n">
        <v>110.9</v>
      </c>
      <c r="DB8" t="n">
        <v>27.9</v>
      </c>
      <c r="DC8" t="n">
        <v>94.3</v>
      </c>
      <c r="DD8" t="n">
        <v>46</v>
      </c>
      <c r="DE8" t="n">
        <v>48.78</v>
      </c>
      <c r="DF8" t="n">
        <v>12.4</v>
      </c>
      <c r="DG8" t="n">
        <v>26.957</v>
      </c>
      <c r="DH8" t="n">
        <v>4.5</v>
      </c>
      <c r="DI8" t="n">
        <v>45.435</v>
      </c>
      <c r="DJ8" t="n">
        <v>37.826</v>
      </c>
      <c r="DK8" t="n">
        <v>18.7</v>
      </c>
      <c r="DL8" t="n">
        <v>19.2</v>
      </c>
      <c r="DM8" t="n">
        <v>-0.5</v>
      </c>
      <c r="DN8" t="n">
        <v>10.6</v>
      </c>
      <c r="DO8" t="n">
        <v>96.226</v>
      </c>
      <c r="DP8" t="n">
        <v>8.699999999999999</v>
      </c>
      <c r="DQ8" t="n">
        <v>36.9</v>
      </c>
      <c r="DR8" t="n">
        <v>70.09999999999999</v>
      </c>
      <c r="DS8" t="n">
        <v>183.95</v>
      </c>
      <c r="DT8" t="n">
        <v>1584.9</v>
      </c>
      <c r="DU8" t="n">
        <v>1434.1</v>
      </c>
      <c r="DV8" t="n">
        <v>11.1</v>
      </c>
      <c r="DW8" t="n">
        <v>39.9</v>
      </c>
      <c r="DX8" t="n">
        <v>199</v>
      </c>
      <c r="DY8" t="n">
        <v>135.6</v>
      </c>
      <c r="DZ8" t="n">
        <v>334.6</v>
      </c>
      <c r="EA8" t="n">
        <v>72.176</v>
      </c>
      <c r="EB8" t="n">
        <v>65.42700000000001</v>
      </c>
      <c r="EC8" t="n">
        <v>82.08</v>
      </c>
      <c r="ED8" t="n">
        <v>5.586</v>
      </c>
      <c r="EE8" t="n">
        <v>49.2</v>
      </c>
      <c r="EF8" t="n">
        <v>38.1</v>
      </c>
      <c r="EG8" t="n">
        <v>75.446</v>
      </c>
      <c r="EH8" t="n">
        <v>5479.6</v>
      </c>
      <c r="EI8" t="n">
        <v>16.377</v>
      </c>
      <c r="EJ8" t="n">
        <v>5191.008</v>
      </c>
      <c r="EK8" t="n">
        <v>26.217</v>
      </c>
      <c r="EL8" t="n">
        <v>134.341</v>
      </c>
      <c r="EM8" t="n">
        <v>0.995</v>
      </c>
      <c r="EN8" t="n">
        <v>51.9</v>
      </c>
      <c r="EO8" t="n">
        <v>6.447</v>
      </c>
      <c r="EP8" t="n">
        <v>57.5</v>
      </c>
      <c r="EQ8" t="n">
        <v>5.819</v>
      </c>
      <c r="ER8" t="n">
        <v>70.60599999999999</v>
      </c>
      <c r="ES8" t="n">
        <v>46.585</v>
      </c>
      <c r="ET8" t="n">
        <v>22.675</v>
      </c>
      <c r="EU8" t="n">
        <v>2.099</v>
      </c>
      <c r="EV8" t="n">
        <v>57.89</v>
      </c>
      <c r="EW8" t="n">
        <v>1.362</v>
      </c>
      <c r="EX8" t="n">
        <v>118.3</v>
      </c>
      <c r="EY8" t="n">
        <v>206.6</v>
      </c>
      <c r="EZ8" t="n">
        <v>324.9</v>
      </c>
      <c r="FA8" t="n">
        <v>36.411</v>
      </c>
      <c r="FB8" t="n">
        <v>58.1</v>
      </c>
      <c r="FC8" t="n">
        <v>80.90000000000001</v>
      </c>
      <c r="FD8" t="n">
        <v>12.7</v>
      </c>
      <c r="FE8" t="n">
        <v>19</v>
      </c>
      <c r="FF8" t="n">
        <v>61.9</v>
      </c>
      <c r="FG8" t="n">
        <v>72.2</v>
      </c>
      <c r="FH8" t="n">
        <v>49.9</v>
      </c>
      <c r="FI8" t="n">
        <v>6.4</v>
      </c>
      <c r="FJ8" t="n">
        <v>18.9</v>
      </c>
      <c r="FK8" t="n">
        <v>108.6</v>
      </c>
      <c r="FL8" t="n">
        <v>11.1</v>
      </c>
      <c r="FM8" t="n">
        <v>23</v>
      </c>
      <c r="FN8" t="n">
        <v>34.1</v>
      </c>
      <c r="FO8" t="n">
        <v>36.7</v>
      </c>
      <c r="FP8" t="n">
        <v>74.65900000000001</v>
      </c>
      <c r="FQ8" t="n">
        <v>90.3</v>
      </c>
      <c r="FR8" t="n">
        <v>9.199999999999999</v>
      </c>
      <c r="FS8" t="n">
        <v>11.6</v>
      </c>
      <c r="FT8" t="n">
        <v>23.577</v>
      </c>
      <c r="FU8" t="n">
        <v>14.7</v>
      </c>
      <c r="FV8" t="n">
        <v>9.4</v>
      </c>
      <c r="FW8" t="n">
        <v>11.3</v>
      </c>
      <c r="FX8" t="n">
        <v>11</v>
      </c>
      <c r="FY8" t="n">
        <v>78.8</v>
      </c>
      <c r="FZ8" t="n">
        <v>2.5</v>
      </c>
      <c r="GA8" t="n">
        <v>24.4</v>
      </c>
      <c r="GB8" t="n">
        <v>7.6</v>
      </c>
      <c r="GC8" t="n">
        <v>46.311</v>
      </c>
      <c r="GD8" t="n">
        <v>22.967</v>
      </c>
      <c r="GE8" t="n">
        <v>45.325</v>
      </c>
      <c r="GF8" t="n">
        <v>49.593</v>
      </c>
      <c r="GG8" t="n">
        <v>76.04900000000001</v>
      </c>
      <c r="GH8" t="n">
        <v>0.251</v>
      </c>
      <c r="GI8" t="n">
        <v>3.117</v>
      </c>
      <c r="GJ8" t="n">
        <v>0.01</v>
      </c>
      <c r="GK8" t="n">
        <v>3.244</v>
      </c>
      <c r="GL8" t="n">
        <v>-0.018</v>
      </c>
      <c r="GM8" t="n">
        <v>2.954</v>
      </c>
      <c r="GN8" t="n">
        <v>0.046</v>
      </c>
      <c r="GO8" t="n">
        <v>4.5</v>
      </c>
      <c r="GP8" t="n">
        <v>27.3</v>
      </c>
      <c r="GQ8" t="n">
        <v>47</v>
      </c>
      <c r="GR8" t="n">
        <v>29.4</v>
      </c>
      <c r="GS8" t="n">
        <v>35.9</v>
      </c>
      <c r="GT8" t="n">
        <v>13.5</v>
      </c>
      <c r="GU8" t="n">
        <v>21.795</v>
      </c>
      <c r="GV8" t="n">
        <v>24.165</v>
      </c>
      <c r="GW8" t="n">
        <v>9.845000000000001</v>
      </c>
      <c r="GX8" t="n">
        <v>32.212</v>
      </c>
      <c r="GY8" t="n">
        <v>13.387</v>
      </c>
      <c r="GZ8" t="n">
        <v>56.8</v>
      </c>
      <c r="HA8" t="n">
        <v>10</v>
      </c>
      <c r="HB8" t="n">
        <v>259.7</v>
      </c>
      <c r="HC8" t="n">
        <v>121</v>
      </c>
      <c r="HD8" t="n">
        <v>28.9</v>
      </c>
      <c r="HE8" t="n">
        <v>28.1</v>
      </c>
      <c r="HF8" t="n">
        <v>29.83</v>
      </c>
      <c r="HG8" t="n">
        <v>7.2</v>
      </c>
      <c r="HH8" t="n">
        <v>25.623</v>
      </c>
      <c r="HI8" t="n">
        <v>1.1</v>
      </c>
      <c r="HJ8" t="n">
        <v>43.416</v>
      </c>
      <c r="HK8" t="n">
        <v>38.434</v>
      </c>
      <c r="HL8" t="n">
        <v>11.3</v>
      </c>
      <c r="HM8" t="n">
        <v>89.381</v>
      </c>
      <c r="HN8" t="n">
        <v>7.4</v>
      </c>
      <c r="HO8" t="n">
        <v>39.1</v>
      </c>
      <c r="HP8" t="n">
        <v>69.09999999999999</v>
      </c>
      <c r="HQ8" t="n">
        <v>8.56</v>
      </c>
      <c r="HR8" t="n">
        <v>130.9</v>
      </c>
      <c r="HS8" t="n">
        <v>118.1</v>
      </c>
      <c r="HT8" t="n">
        <v>7.8</v>
      </c>
      <c r="HU8" t="n">
        <v>3</v>
      </c>
      <c r="HV8" t="n">
        <v>12.5</v>
      </c>
      <c r="HW8" t="n">
        <v>12.4</v>
      </c>
      <c r="HX8" t="n">
        <v>24.9</v>
      </c>
      <c r="HY8" t="n">
        <v>1.3</v>
      </c>
      <c r="HZ8" t="n">
        <v>120.4</v>
      </c>
      <c r="IA8" t="n">
        <v>188.563</v>
      </c>
      <c r="IB8" t="n">
        <v>12.485</v>
      </c>
      <c r="IC8" t="n">
        <v>1.2</v>
      </c>
      <c r="ID8" t="n">
        <v>0.3</v>
      </c>
      <c r="IE8" t="n">
        <v>-0.499</v>
      </c>
      <c r="IF8" t="n">
        <v>1.91</v>
      </c>
      <c r="IG8" t="n">
        <v>7.7</v>
      </c>
      <c r="IH8" t="n">
        <v>18.9</v>
      </c>
      <c r="II8" t="n">
        <v>26.6</v>
      </c>
      <c r="IJ8" t="n">
        <v>-0.5</v>
      </c>
      <c r="IK8" t="n">
        <v>-0.2</v>
      </c>
      <c r="IL8" t="n">
        <v>0.5</v>
      </c>
      <c r="IM8" t="n">
        <v>4.3</v>
      </c>
      <c r="IN8" t="n">
        <v>-4.5</v>
      </c>
      <c r="IO8" t="n">
        <v>2.6</v>
      </c>
      <c r="IP8" t="n">
        <v>3</v>
      </c>
      <c r="IQ8" t="n">
        <v>4.7</v>
      </c>
      <c r="IR8" t="n">
        <v>1.9</v>
      </c>
      <c r="IS8" t="n">
        <v>9.300000000000001</v>
      </c>
      <c r="IT8" t="n">
        <v>1.1</v>
      </c>
      <c r="IU8" t="n">
        <v>2.7</v>
      </c>
      <c r="IV8" t="n">
        <v>3.8</v>
      </c>
      <c r="IW8" t="n">
        <v>6.2</v>
      </c>
      <c r="IX8" t="n">
        <v>7.1</v>
      </c>
      <c r="IY8" t="n">
        <v>-0.1</v>
      </c>
      <c r="IZ8" t="n">
        <v>2.9</v>
      </c>
      <c r="JA8" t="n">
        <v>-0.1</v>
      </c>
      <c r="JB8" t="n">
        <v>0.4</v>
      </c>
      <c r="JC8" t="n">
        <v>0.8</v>
      </c>
      <c r="JD8" t="n">
        <v>0.5</v>
      </c>
      <c r="JE8" t="n">
        <v>5.3</v>
      </c>
      <c r="JF8" t="n">
        <v>2</v>
      </c>
      <c r="JG8" t="n">
        <v>1.7</v>
      </c>
      <c r="JH8" t="n">
        <v>8.427</v>
      </c>
      <c r="JI8" t="n">
        <v>-1.927</v>
      </c>
      <c r="JJ8" t="n">
        <v>0.083</v>
      </c>
      <c r="JK8" t="n">
        <v>0.1</v>
      </c>
      <c r="JL8" t="n">
        <v>9.800000000000001</v>
      </c>
      <c r="JM8" t="n">
        <v>-4.6</v>
      </c>
      <c r="JN8" t="n">
        <v>2.5</v>
      </c>
      <c r="JO8" t="n">
        <v>3.6</v>
      </c>
      <c r="JP8" t="n">
        <v>-0.8</v>
      </c>
      <c r="JQ8" t="n">
        <v>3.1</v>
      </c>
      <c r="JR8" t="n">
        <v>0.6</v>
      </c>
      <c r="JS8" t="n">
        <v>-17.7</v>
      </c>
      <c r="JT8" t="n">
        <v>-10.1</v>
      </c>
      <c r="JU8" t="n">
        <v>-1</v>
      </c>
      <c r="JV8" t="n">
        <v>17.9</v>
      </c>
      <c r="JW8" t="n">
        <v>5.2</v>
      </c>
      <c r="JX8" t="n">
        <v>3.4</v>
      </c>
      <c r="JY8" t="n">
        <v>1.3</v>
      </c>
      <c r="JZ8" t="n">
        <v>-2.2</v>
      </c>
      <c r="KA8" t="n">
        <v>1</v>
      </c>
    </row>
    <row r="9">
      <c r="A9" t="inlineStr">
        <is>
          <t>St Kilda</t>
        </is>
      </c>
      <c r="B9" t="inlineStr">
        <is>
          <t>St K</t>
        </is>
      </c>
      <c r="C9" t="n">
        <v>10</v>
      </c>
      <c r="D9" t="n">
        <v>34</v>
      </c>
      <c r="E9" t="n">
        <v>25.183</v>
      </c>
      <c r="F9" t="n">
        <v>100.248</v>
      </c>
      <c r="G9" t="n">
        <v>188.47</v>
      </c>
      <c r="H9" t="n">
        <v>1632.9</v>
      </c>
      <c r="I9" t="n">
        <v>1500.7</v>
      </c>
      <c r="J9" t="n">
        <v>14.7</v>
      </c>
      <c r="K9" t="n">
        <v>48.37</v>
      </c>
      <c r="L9" t="n">
        <v>39.6</v>
      </c>
      <c r="M9" t="n">
        <v>210.2</v>
      </c>
      <c r="N9" t="n">
        <v>138.6</v>
      </c>
      <c r="O9" t="n">
        <v>348.8</v>
      </c>
      <c r="P9" t="n">
        <v>73.337</v>
      </c>
      <c r="Q9" t="n">
        <v>67.03100000000001</v>
      </c>
      <c r="R9" t="n">
        <v>82.90000000000001</v>
      </c>
      <c r="S9" t="n">
        <v>60.264</v>
      </c>
      <c r="T9" t="n">
        <v>5.653</v>
      </c>
      <c r="U9" t="n">
        <v>48</v>
      </c>
      <c r="V9" t="n">
        <v>33.8</v>
      </c>
      <c r="W9" t="n">
        <v>71.61</v>
      </c>
      <c r="X9" t="n">
        <v>5390.6</v>
      </c>
      <c r="Y9" t="n">
        <v>15.455</v>
      </c>
      <c r="Z9" t="n">
        <v>5244.94</v>
      </c>
      <c r="AA9" t="n">
        <v>25.107</v>
      </c>
      <c r="AB9" t="n">
        <v>47.59</v>
      </c>
      <c r="AC9" t="n">
        <v>0.345</v>
      </c>
      <c r="AD9" t="n">
        <v>57.5</v>
      </c>
      <c r="AE9" t="n">
        <v>6.066</v>
      </c>
      <c r="AF9" t="n">
        <v>58.8</v>
      </c>
      <c r="AG9" t="n">
        <v>5.932</v>
      </c>
      <c r="AH9" t="n">
        <v>71.461</v>
      </c>
      <c r="AI9" t="n">
        <v>52.956</v>
      </c>
      <c r="AJ9" t="n">
        <v>23.661</v>
      </c>
      <c r="AK9" t="n">
        <v>2.105</v>
      </c>
      <c r="AL9" t="n">
        <v>58.129</v>
      </c>
      <c r="AM9" t="n">
        <v>3.336</v>
      </c>
      <c r="AN9" t="n">
        <v>126.2</v>
      </c>
      <c r="AO9" t="n">
        <v>213.8</v>
      </c>
      <c r="AP9" t="n">
        <v>340</v>
      </c>
      <c r="AQ9" t="n">
        <v>37.118</v>
      </c>
      <c r="AR9" t="n">
        <v>54.8</v>
      </c>
      <c r="AS9" t="n">
        <v>86.3</v>
      </c>
      <c r="AT9" t="n">
        <v>14.6</v>
      </c>
      <c r="AU9" t="n">
        <v>19.3</v>
      </c>
      <c r="AV9" t="n">
        <v>67</v>
      </c>
      <c r="AW9" t="n">
        <v>74.8</v>
      </c>
      <c r="AX9" t="n">
        <v>51.8</v>
      </c>
      <c r="AY9" t="n">
        <v>8.6</v>
      </c>
      <c r="AZ9" t="n">
        <v>20.6</v>
      </c>
      <c r="BA9" t="n">
        <v>111.9</v>
      </c>
      <c r="BB9" t="n">
        <v>10.8</v>
      </c>
      <c r="BC9" t="n">
        <v>27</v>
      </c>
      <c r="BD9" t="n">
        <v>37.8</v>
      </c>
      <c r="BE9" t="n">
        <v>43.5</v>
      </c>
      <c r="BF9" t="n">
        <v>74.483</v>
      </c>
      <c r="BG9" t="n">
        <v>91.2</v>
      </c>
      <c r="BH9" t="n">
        <v>8.5</v>
      </c>
      <c r="BI9" t="n">
        <v>11.7</v>
      </c>
      <c r="BJ9" t="n">
        <v>24.375</v>
      </c>
      <c r="BK9" t="n">
        <v>10.5</v>
      </c>
      <c r="BL9" t="n">
        <v>9.1</v>
      </c>
      <c r="BM9" t="n">
        <v>24</v>
      </c>
      <c r="BN9" t="n">
        <v>7.3</v>
      </c>
      <c r="BO9" t="n">
        <v>11.4</v>
      </c>
      <c r="BP9" t="n">
        <v>10.2</v>
      </c>
      <c r="BQ9" t="n">
        <v>78.59999999999999</v>
      </c>
      <c r="BR9" t="n">
        <v>1.9</v>
      </c>
      <c r="BS9" t="n">
        <v>24.4</v>
      </c>
      <c r="BT9" t="n">
        <v>8.199999999999999</v>
      </c>
      <c r="BU9" t="n">
        <v>46.721</v>
      </c>
      <c r="BV9" t="n">
        <v>23.75</v>
      </c>
      <c r="BW9" t="n">
        <v>45</v>
      </c>
      <c r="BX9" t="n">
        <v>50.833</v>
      </c>
      <c r="BY9" t="n">
        <v>11.1</v>
      </c>
      <c r="BZ9" t="n">
        <v>30.631</v>
      </c>
      <c r="CA9" t="n">
        <v>4.701</v>
      </c>
      <c r="CB9" t="n">
        <v>-0.701</v>
      </c>
      <c r="CC9" t="n">
        <v>81.55800000000001</v>
      </c>
      <c r="CD9" t="n">
        <v>-4.858</v>
      </c>
      <c r="CE9" t="n">
        <v>3.343</v>
      </c>
      <c r="CF9" t="n">
        <v>-0.199</v>
      </c>
      <c r="CG9" t="n">
        <v>3.601</v>
      </c>
      <c r="CH9" t="n">
        <v>-0.331</v>
      </c>
      <c r="CI9" t="n">
        <v>3.032</v>
      </c>
      <c r="CJ9" t="n">
        <v>-0.041</v>
      </c>
      <c r="CK9" t="n">
        <v>1.9</v>
      </c>
      <c r="CL9" t="n">
        <v>30.8</v>
      </c>
      <c r="CM9" t="n">
        <v>45.9</v>
      </c>
      <c r="CN9" t="n">
        <v>33.4</v>
      </c>
      <c r="CO9" t="n">
        <v>37.4</v>
      </c>
      <c r="CP9" t="n">
        <v>7.8</v>
      </c>
      <c r="CQ9" t="n">
        <v>21.027</v>
      </c>
      <c r="CR9" t="n">
        <v>20.334</v>
      </c>
      <c r="CS9" t="n">
        <v>8.380000000000001</v>
      </c>
      <c r="CT9" t="n">
        <v>32.853</v>
      </c>
      <c r="CU9" t="n">
        <v>14.286</v>
      </c>
      <c r="CV9" t="n">
        <v>7.8</v>
      </c>
      <c r="CW9" t="n">
        <v>33.333</v>
      </c>
      <c r="CX9" t="n">
        <v>63</v>
      </c>
      <c r="CY9" t="n">
        <v>11.6</v>
      </c>
      <c r="CZ9" t="n">
        <v>253.6</v>
      </c>
      <c r="DA9" t="n">
        <v>121</v>
      </c>
      <c r="DB9" t="n">
        <v>33.3</v>
      </c>
      <c r="DC9" t="n">
        <v>102.2</v>
      </c>
      <c r="DD9" t="n">
        <v>31.8</v>
      </c>
      <c r="DE9" t="n">
        <v>31.115</v>
      </c>
      <c r="DF9" t="n">
        <v>9.300000000000001</v>
      </c>
      <c r="DG9" t="n">
        <v>29.245</v>
      </c>
      <c r="DH9" t="n">
        <v>2</v>
      </c>
      <c r="DI9" t="n">
        <v>48.742</v>
      </c>
      <c r="DJ9" t="n">
        <v>40.252</v>
      </c>
      <c r="DK9" t="n">
        <v>19.4</v>
      </c>
      <c r="DL9" t="n">
        <v>20.3</v>
      </c>
      <c r="DM9" t="n">
        <v>-0.9</v>
      </c>
      <c r="DN9" t="n">
        <v>10.8</v>
      </c>
      <c r="DO9" t="n">
        <v>99.074</v>
      </c>
      <c r="DP9" t="n">
        <v>8.4</v>
      </c>
      <c r="DQ9" t="n">
        <v>43.4</v>
      </c>
      <c r="DR9" t="n">
        <v>70.90000000000001</v>
      </c>
      <c r="DS9" t="n">
        <v>191.1</v>
      </c>
      <c r="DT9" t="n">
        <v>1667.8</v>
      </c>
      <c r="DU9" t="n">
        <v>1525.4</v>
      </c>
      <c r="DV9" t="n">
        <v>15.3</v>
      </c>
      <c r="DW9" t="n">
        <v>41.5</v>
      </c>
      <c r="DX9" t="n">
        <v>205.5</v>
      </c>
      <c r="DY9" t="n">
        <v>133.9</v>
      </c>
      <c r="DZ9" t="n">
        <v>339.4</v>
      </c>
      <c r="EA9" t="n">
        <v>74.867</v>
      </c>
      <c r="EB9" t="n">
        <v>70.706</v>
      </c>
      <c r="EC9" t="n">
        <v>81.255</v>
      </c>
      <c r="ED9" t="n">
        <v>5.387</v>
      </c>
      <c r="EE9" t="n">
        <v>47.2</v>
      </c>
      <c r="EF9" t="n">
        <v>35.9</v>
      </c>
      <c r="EG9" t="n">
        <v>74.792</v>
      </c>
      <c r="EH9" t="n">
        <v>5493.7</v>
      </c>
      <c r="EI9" t="n">
        <v>16.187</v>
      </c>
      <c r="EJ9" t="n">
        <v>5296.203</v>
      </c>
      <c r="EK9" t="n">
        <v>25.86</v>
      </c>
      <c r="EL9" t="n">
        <v>129.779</v>
      </c>
      <c r="EM9" t="n">
        <v>0.973</v>
      </c>
      <c r="EN9" t="n">
        <v>50.4</v>
      </c>
      <c r="EO9" t="n">
        <v>6.734</v>
      </c>
      <c r="EP9" t="n">
        <v>54.3</v>
      </c>
      <c r="EQ9" t="n">
        <v>6.25</v>
      </c>
      <c r="ER9" t="n">
        <v>70.88</v>
      </c>
      <c r="ES9" t="n">
        <v>51.795</v>
      </c>
      <c r="ET9" t="n">
        <v>23.068</v>
      </c>
      <c r="EU9" t="n">
        <v>2.019</v>
      </c>
      <c r="EV9" t="n">
        <v>59.093</v>
      </c>
      <c r="EW9" t="n">
        <v>1.268</v>
      </c>
      <c r="EX9" t="n">
        <v>119.4</v>
      </c>
      <c r="EY9" t="n">
        <v>212.3</v>
      </c>
      <c r="EZ9" t="n">
        <v>331.7</v>
      </c>
      <c r="FA9" t="n">
        <v>35.996</v>
      </c>
      <c r="FB9" t="n">
        <v>59.1</v>
      </c>
      <c r="FC9" t="n">
        <v>71.7</v>
      </c>
      <c r="FD9" t="n">
        <v>13.5</v>
      </c>
      <c r="FE9" t="n">
        <v>18.3</v>
      </c>
      <c r="FF9" t="n">
        <v>53.4</v>
      </c>
      <c r="FG9" t="n">
        <v>71.8</v>
      </c>
      <c r="FH9" t="n">
        <v>48.1</v>
      </c>
      <c r="FI9" t="n">
        <v>11.3</v>
      </c>
      <c r="FJ9" t="n">
        <v>18.9</v>
      </c>
      <c r="FK9" t="n">
        <v>106.3</v>
      </c>
      <c r="FL9" t="n">
        <v>11.3</v>
      </c>
      <c r="FM9" t="n">
        <v>23.7</v>
      </c>
      <c r="FN9" t="n">
        <v>35</v>
      </c>
      <c r="FO9" t="n">
        <v>37.8</v>
      </c>
      <c r="FP9" t="n">
        <v>75.926</v>
      </c>
      <c r="FQ9" t="n">
        <v>99</v>
      </c>
      <c r="FR9" t="n">
        <v>10.9</v>
      </c>
      <c r="FS9" t="n">
        <v>14.1</v>
      </c>
      <c r="FT9" t="n">
        <v>29.873</v>
      </c>
      <c r="FU9" t="n">
        <v>17.4</v>
      </c>
      <c r="FV9" t="n">
        <v>9.5</v>
      </c>
      <c r="FW9" t="n">
        <v>12.8</v>
      </c>
      <c r="FX9" t="n">
        <v>11</v>
      </c>
      <c r="FY9" t="n">
        <v>87.8</v>
      </c>
      <c r="FZ9" t="n">
        <v>2.1</v>
      </c>
      <c r="GA9" t="n">
        <v>25.7</v>
      </c>
      <c r="GB9" t="n">
        <v>9.699999999999999</v>
      </c>
      <c r="GC9" t="n">
        <v>49.805</v>
      </c>
      <c r="GD9" t="n">
        <v>27.119</v>
      </c>
      <c r="GE9" t="n">
        <v>50.424</v>
      </c>
      <c r="GF9" t="n">
        <v>54.449</v>
      </c>
      <c r="GG9" t="n">
        <v>82.816</v>
      </c>
      <c r="GH9" t="n">
        <v>2.884</v>
      </c>
      <c r="GI9" t="n">
        <v>3.222</v>
      </c>
      <c r="GJ9" t="n">
        <v>0.112</v>
      </c>
      <c r="GK9" t="n">
        <v>3.438</v>
      </c>
      <c r="GL9" t="n">
        <v>0.157</v>
      </c>
      <c r="GM9" t="n">
        <v>2.905</v>
      </c>
      <c r="GN9" t="n">
        <v>0.047</v>
      </c>
      <c r="GO9" t="n">
        <v>3.6</v>
      </c>
      <c r="GP9" t="n">
        <v>38.6</v>
      </c>
      <c r="GQ9" t="n">
        <v>45.6</v>
      </c>
      <c r="GR9" t="n">
        <v>35.3</v>
      </c>
      <c r="GS9" t="n">
        <v>40.4</v>
      </c>
      <c r="GT9" t="n">
        <v>12.1</v>
      </c>
      <c r="GU9" t="n">
        <v>22.807</v>
      </c>
      <c r="GV9" t="n">
        <v>21.68</v>
      </c>
      <c r="GW9" t="n">
        <v>10.84</v>
      </c>
      <c r="GX9" t="n">
        <v>27.614</v>
      </c>
      <c r="GY9" t="n">
        <v>13.584</v>
      </c>
      <c r="GZ9" t="n">
        <v>61.7</v>
      </c>
      <c r="HA9" t="n">
        <v>11.4</v>
      </c>
      <c r="HB9" t="n">
        <v>262.9</v>
      </c>
      <c r="HC9" t="n">
        <v>119.5</v>
      </c>
      <c r="HD9" t="n">
        <v>25.2</v>
      </c>
      <c r="HE9" t="n">
        <v>48.9</v>
      </c>
      <c r="HF9" t="n">
        <v>47.754</v>
      </c>
      <c r="HG9" t="n">
        <v>12.9</v>
      </c>
      <c r="HH9" t="n">
        <v>26.38</v>
      </c>
      <c r="HI9" t="n">
        <v>4.6</v>
      </c>
      <c r="HJ9" t="n">
        <v>38.446</v>
      </c>
      <c r="HK9" t="n">
        <v>33.947</v>
      </c>
      <c r="HL9" t="n">
        <v>10.1</v>
      </c>
      <c r="HM9" t="n">
        <v>91.089</v>
      </c>
      <c r="HN9" t="n">
        <v>6.8</v>
      </c>
      <c r="HO9" t="n">
        <v>35.8</v>
      </c>
      <c r="HP9" t="n">
        <v>70.8</v>
      </c>
      <c r="HQ9" t="n">
        <v>-2.63</v>
      </c>
      <c r="HR9" t="n">
        <v>-34.9</v>
      </c>
      <c r="HS9" t="n">
        <v>-24.7</v>
      </c>
      <c r="HT9" t="n">
        <v>-0.6</v>
      </c>
      <c r="HU9" t="n">
        <v>-1.9</v>
      </c>
      <c r="HV9" t="n">
        <v>4.7</v>
      </c>
      <c r="HW9" t="n">
        <v>4.7</v>
      </c>
      <c r="HX9" t="n">
        <v>9.4</v>
      </c>
      <c r="HY9" t="n">
        <v>0.8</v>
      </c>
      <c r="HZ9" t="n">
        <v>-103.1</v>
      </c>
      <c r="IA9" t="n">
        <v>-51.263</v>
      </c>
      <c r="IB9" t="n">
        <v>-82.18899999999999</v>
      </c>
      <c r="IC9" t="n">
        <v>7.1</v>
      </c>
      <c r="ID9" t="n">
        <v>4.5</v>
      </c>
      <c r="IE9" t="n">
        <v>0.08599999999999999</v>
      </c>
      <c r="IF9" t="n">
        <v>2.068</v>
      </c>
      <c r="IG9" t="n">
        <v>6.8</v>
      </c>
      <c r="IH9" t="n">
        <v>1.5</v>
      </c>
      <c r="II9" t="n">
        <v>8.300000000000001</v>
      </c>
      <c r="IJ9" t="n">
        <v>-4.3</v>
      </c>
      <c r="IK9" t="n">
        <v>14.6</v>
      </c>
      <c r="IL9" t="n">
        <v>1.1</v>
      </c>
      <c r="IM9" t="n">
        <v>1</v>
      </c>
      <c r="IN9" t="n">
        <v>13.6</v>
      </c>
      <c r="IO9" t="n">
        <v>3</v>
      </c>
      <c r="IP9" t="n">
        <v>3.7</v>
      </c>
      <c r="IQ9" t="n">
        <v>-2.7</v>
      </c>
      <c r="IR9" t="n">
        <v>1.7</v>
      </c>
      <c r="IS9" t="n">
        <v>5.6</v>
      </c>
      <c r="IT9" t="n">
        <v>-0.5</v>
      </c>
      <c r="IU9" t="n">
        <v>3.3</v>
      </c>
      <c r="IV9" t="n">
        <v>2.8</v>
      </c>
      <c r="IW9" t="n">
        <v>5.7</v>
      </c>
      <c r="IX9" t="n">
        <v>-7.8</v>
      </c>
      <c r="IY9" t="n">
        <v>-2.4</v>
      </c>
      <c r="IZ9" t="n">
        <v>-2.4</v>
      </c>
      <c r="JA9" t="n">
        <v>-6.9</v>
      </c>
      <c r="JB9" t="n">
        <v>-0.4</v>
      </c>
      <c r="JC9" t="n">
        <v>-1.4</v>
      </c>
      <c r="JD9" t="n">
        <v>-0.8</v>
      </c>
      <c r="JE9" t="n">
        <v>-9.199999999999999</v>
      </c>
      <c r="JF9" t="n">
        <v>-1.3</v>
      </c>
      <c r="JG9" t="n">
        <v>-1.5</v>
      </c>
      <c r="JH9" t="n">
        <v>-1.258</v>
      </c>
      <c r="JI9" t="n">
        <v>-7.742</v>
      </c>
      <c r="JJ9" t="n">
        <v>0.12</v>
      </c>
      <c r="JK9" t="n">
        <v>-1.7</v>
      </c>
      <c r="JL9" t="n">
        <v>-7.8</v>
      </c>
      <c r="JM9" t="n">
        <v>0.3</v>
      </c>
      <c r="JN9" t="n">
        <v>-1.9</v>
      </c>
      <c r="JO9" t="n">
        <v>-3</v>
      </c>
      <c r="JP9" t="n">
        <v>-4.3</v>
      </c>
      <c r="JQ9" t="n">
        <v>1.3</v>
      </c>
      <c r="JR9" t="n">
        <v>0.2</v>
      </c>
      <c r="JS9" t="n">
        <v>-9.300000000000001</v>
      </c>
      <c r="JT9" t="n">
        <v>1.5</v>
      </c>
      <c r="JU9" t="n">
        <v>8.1</v>
      </c>
      <c r="JV9" t="n">
        <v>-17.1</v>
      </c>
      <c r="JW9" t="n">
        <v>-3.6</v>
      </c>
      <c r="JX9" t="n">
        <v>-2.6</v>
      </c>
      <c r="JY9" t="n">
        <v>1.6</v>
      </c>
      <c r="JZ9" t="n">
        <v>7.6</v>
      </c>
      <c r="KA9" t="n">
        <v>0.1</v>
      </c>
    </row>
    <row r="10">
      <c r="A10" t="inlineStr">
        <is>
          <t>Greater Western Sydney</t>
        </is>
      </c>
      <c r="B10" t="inlineStr">
        <is>
          <t>GWS</t>
        </is>
      </c>
      <c r="C10" t="n">
        <v>10</v>
      </c>
      <c r="D10" t="n">
        <v>30</v>
      </c>
      <c r="E10" t="n">
        <v>25.192</v>
      </c>
      <c r="F10" t="n">
        <v>99.017</v>
      </c>
      <c r="G10" t="n">
        <v>219.32</v>
      </c>
      <c r="H10" t="n">
        <v>1718.4</v>
      </c>
      <c r="I10" t="n">
        <v>1531.5</v>
      </c>
      <c r="J10" t="n">
        <v>21</v>
      </c>
      <c r="K10" t="n">
        <v>48.52</v>
      </c>
      <c r="L10" t="n">
        <v>42.1</v>
      </c>
      <c r="M10" t="n">
        <v>211.2</v>
      </c>
      <c r="N10" t="n">
        <v>143.6</v>
      </c>
      <c r="O10" t="n">
        <v>354.8</v>
      </c>
      <c r="P10" t="n">
        <v>72.773</v>
      </c>
      <c r="Q10" t="n">
        <v>67.47199999999999</v>
      </c>
      <c r="R10" t="n">
        <v>80.571</v>
      </c>
      <c r="S10" t="n">
        <v>59.526</v>
      </c>
      <c r="T10" t="n">
        <v>6.214</v>
      </c>
      <c r="U10" t="n">
        <v>54.1</v>
      </c>
      <c r="V10" t="n">
        <v>40.5</v>
      </c>
      <c r="W10" t="n">
        <v>75.419</v>
      </c>
      <c r="X10" t="n">
        <v>6143.5</v>
      </c>
      <c r="Y10" t="n">
        <v>17.315</v>
      </c>
      <c r="Z10" t="n">
        <v>5627.464</v>
      </c>
      <c r="AA10" t="n">
        <v>26.849</v>
      </c>
      <c r="AB10" t="n">
        <v>266.758</v>
      </c>
      <c r="AC10" t="n">
        <v>1.859</v>
      </c>
      <c r="AD10" t="n">
        <v>60</v>
      </c>
      <c r="AE10" t="n">
        <v>5.913</v>
      </c>
      <c r="AF10" t="n">
        <v>62.1</v>
      </c>
      <c r="AG10" t="n">
        <v>5.713</v>
      </c>
      <c r="AH10" t="n">
        <v>70.754</v>
      </c>
      <c r="AI10" t="n">
        <v>50.109</v>
      </c>
      <c r="AJ10" t="n">
        <v>23.26</v>
      </c>
      <c r="AK10" t="n">
        <v>2.685</v>
      </c>
      <c r="AL10" t="n">
        <v>57.947</v>
      </c>
      <c r="AM10" t="n">
        <v>0.983</v>
      </c>
      <c r="AN10" t="n">
        <v>134.2</v>
      </c>
      <c r="AO10" t="n">
        <v>211.2</v>
      </c>
      <c r="AP10" t="n">
        <v>345.4</v>
      </c>
      <c r="AQ10" t="n">
        <v>38.854</v>
      </c>
      <c r="AR10" t="n">
        <v>62.6</v>
      </c>
      <c r="AS10" t="n">
        <v>87.2</v>
      </c>
      <c r="AT10" t="n">
        <v>16.1</v>
      </c>
      <c r="AU10" t="n">
        <v>20.2</v>
      </c>
      <c r="AV10" t="n">
        <v>67</v>
      </c>
      <c r="AW10" t="n">
        <v>83.40000000000001</v>
      </c>
      <c r="AX10" t="n">
        <v>58.1</v>
      </c>
      <c r="AY10" t="n">
        <v>11.3</v>
      </c>
      <c r="AZ10" t="n">
        <v>23.8</v>
      </c>
      <c r="BA10" t="n">
        <v>112.9</v>
      </c>
      <c r="BB10" t="n">
        <v>13.4</v>
      </c>
      <c r="BC10" t="n">
        <v>25.4</v>
      </c>
      <c r="BD10" t="n">
        <v>38.8</v>
      </c>
      <c r="BE10" t="n">
        <v>42</v>
      </c>
      <c r="BF10" t="n">
        <v>76.429</v>
      </c>
      <c r="BG10" t="n">
        <v>92.3</v>
      </c>
      <c r="BH10" t="n">
        <v>11.2</v>
      </c>
      <c r="BI10" t="n">
        <v>11.9</v>
      </c>
      <c r="BJ10" t="n">
        <v>21.996</v>
      </c>
      <c r="BK10" t="n">
        <v>15.4</v>
      </c>
      <c r="BL10" t="n">
        <v>10.4</v>
      </c>
      <c r="BM10" t="n">
        <v>20</v>
      </c>
      <c r="BN10" t="n">
        <v>8.6</v>
      </c>
      <c r="BO10" t="n">
        <v>15.1</v>
      </c>
      <c r="BP10" t="n">
        <v>10.8</v>
      </c>
      <c r="BQ10" t="n">
        <v>101.4</v>
      </c>
      <c r="BR10" t="n">
        <v>1.6</v>
      </c>
      <c r="BS10" t="n">
        <v>28.7</v>
      </c>
      <c r="BT10" t="n">
        <v>10.4</v>
      </c>
      <c r="BU10" t="n">
        <v>52.613</v>
      </c>
      <c r="BV10" t="n">
        <v>27.911</v>
      </c>
      <c r="BW10" t="n">
        <v>47.874</v>
      </c>
      <c r="BX10" t="n">
        <v>53.05</v>
      </c>
      <c r="BY10" t="n">
        <v>10.4</v>
      </c>
      <c r="BZ10" t="n">
        <v>27.885</v>
      </c>
      <c r="CA10" t="n">
        <v>7.027</v>
      </c>
      <c r="CB10" t="n">
        <v>0.973</v>
      </c>
      <c r="CC10" t="n">
        <v>93.47</v>
      </c>
      <c r="CD10" t="n">
        <v>6.33</v>
      </c>
      <c r="CE10" t="n">
        <v>3.257</v>
      </c>
      <c r="CF10" t="n">
        <v>0.221</v>
      </c>
      <c r="CG10" t="n">
        <v>3.519</v>
      </c>
      <c r="CH10" t="n">
        <v>0.26</v>
      </c>
      <c r="CI10" t="n">
        <v>2.989</v>
      </c>
      <c r="CJ10" t="n">
        <v>0.18</v>
      </c>
      <c r="CK10" t="n">
        <v>5.1</v>
      </c>
      <c r="CL10" t="n">
        <v>45.8</v>
      </c>
      <c r="CM10" t="n">
        <v>50.5</v>
      </c>
      <c r="CN10" t="n">
        <v>37.2</v>
      </c>
      <c r="CO10" t="n">
        <v>46.5</v>
      </c>
      <c r="CP10" t="n">
        <v>17.7</v>
      </c>
      <c r="CQ10" t="n">
        <v>23.567</v>
      </c>
      <c r="CR10" t="n">
        <v>25.124</v>
      </c>
      <c r="CS10" t="n">
        <v>11.721</v>
      </c>
      <c r="CT10" t="n">
        <v>32.263</v>
      </c>
      <c r="CU10" t="n">
        <v>14.11</v>
      </c>
      <c r="CV10" t="n">
        <v>13.5</v>
      </c>
      <c r="CW10" t="n">
        <v>27.407</v>
      </c>
      <c r="CX10" t="n">
        <v>60.9</v>
      </c>
      <c r="CY10" t="n">
        <v>10</v>
      </c>
      <c r="CZ10" t="n">
        <v>264.8</v>
      </c>
      <c r="DA10" t="n">
        <v>132.4</v>
      </c>
      <c r="DB10" t="n">
        <v>30.8</v>
      </c>
      <c r="DC10" t="n">
        <v>97.2</v>
      </c>
      <c r="DD10" t="n">
        <v>37.8</v>
      </c>
      <c r="DE10" t="n">
        <v>38.889</v>
      </c>
      <c r="DF10" t="n">
        <v>12.4</v>
      </c>
      <c r="DG10" t="n">
        <v>32.804</v>
      </c>
      <c r="DH10" t="n">
        <v>2.7</v>
      </c>
      <c r="DI10" t="n">
        <v>49.735</v>
      </c>
      <c r="DJ10" t="n">
        <v>43.386</v>
      </c>
      <c r="DK10" t="n">
        <v>18.9</v>
      </c>
      <c r="DL10" t="n">
        <v>22.1</v>
      </c>
      <c r="DM10" t="n">
        <v>-3.2</v>
      </c>
      <c r="DN10" t="n">
        <v>10.3</v>
      </c>
      <c r="DO10" t="n">
        <v>95.146</v>
      </c>
      <c r="DP10" t="n">
        <v>12.8</v>
      </c>
      <c r="DQ10" t="n">
        <v>40.8</v>
      </c>
      <c r="DR10" t="n">
        <v>70.2</v>
      </c>
      <c r="DS10" t="n">
        <v>203.6</v>
      </c>
      <c r="DT10" t="n">
        <v>1581.4</v>
      </c>
      <c r="DU10" t="n">
        <v>1412.1</v>
      </c>
      <c r="DV10" t="n">
        <v>9</v>
      </c>
      <c r="DW10" t="n">
        <v>39.9</v>
      </c>
      <c r="DX10" t="n">
        <v>194.4</v>
      </c>
      <c r="DY10" t="n">
        <v>141.9</v>
      </c>
      <c r="DZ10" t="n">
        <v>336.3</v>
      </c>
      <c r="EA10" t="n">
        <v>73.149</v>
      </c>
      <c r="EB10" t="n">
        <v>66.255</v>
      </c>
      <c r="EC10" t="n">
        <v>82.593</v>
      </c>
      <c r="ED10" t="n">
        <v>5.522</v>
      </c>
      <c r="EE10" t="n">
        <v>53.7</v>
      </c>
      <c r="EF10" t="n">
        <v>38.3</v>
      </c>
      <c r="EG10" t="n">
        <v>70.795</v>
      </c>
      <c r="EH10" t="n">
        <v>5847</v>
      </c>
      <c r="EI10" t="n">
        <v>17.386</v>
      </c>
      <c r="EJ10" t="n">
        <v>5490.052</v>
      </c>
      <c r="EK10" t="n">
        <v>28.416</v>
      </c>
      <c r="EL10" t="n">
        <v>90.5</v>
      </c>
      <c r="EM10" t="n">
        <v>0.64</v>
      </c>
      <c r="EN10" t="n">
        <v>53.8</v>
      </c>
      <c r="EO10" t="n">
        <v>6.251</v>
      </c>
      <c r="EP10" t="n">
        <v>62.7</v>
      </c>
      <c r="EQ10" t="n">
        <v>5.364</v>
      </c>
      <c r="ER10" t="n">
        <v>68.813</v>
      </c>
      <c r="ES10" t="n">
        <v>44.789</v>
      </c>
      <c r="ET10" t="n">
        <v>23.87</v>
      </c>
      <c r="EU10" t="n">
        <v>-0.396</v>
      </c>
      <c r="EV10" t="n">
        <v>54.971</v>
      </c>
      <c r="EW10" t="n">
        <v>-0.177</v>
      </c>
      <c r="EX10" t="n">
        <v>132.1</v>
      </c>
      <c r="EY10" t="n">
        <v>198.6</v>
      </c>
      <c r="EZ10" t="n">
        <v>330.7</v>
      </c>
      <c r="FA10" t="n">
        <v>39.946</v>
      </c>
      <c r="FB10" t="n">
        <v>62.5</v>
      </c>
      <c r="FC10" t="n">
        <v>85</v>
      </c>
      <c r="FD10" t="n">
        <v>15.2</v>
      </c>
      <c r="FE10" t="n">
        <v>19.6</v>
      </c>
      <c r="FF10" t="n">
        <v>65.40000000000001</v>
      </c>
      <c r="FG10" t="n">
        <v>81.09999999999999</v>
      </c>
      <c r="FH10" t="n">
        <v>55.6</v>
      </c>
      <c r="FI10" t="n">
        <v>10.9</v>
      </c>
      <c r="FJ10" t="n">
        <v>19.6</v>
      </c>
      <c r="FK10" t="n">
        <v>113.4</v>
      </c>
      <c r="FL10" t="n">
        <v>14</v>
      </c>
      <c r="FM10" t="n">
        <v>24.2</v>
      </c>
      <c r="FN10" t="n">
        <v>38.2</v>
      </c>
      <c r="FO10" t="n">
        <v>42.7</v>
      </c>
      <c r="FP10" t="n">
        <v>76.815</v>
      </c>
      <c r="FQ10" t="n">
        <v>76.40000000000001</v>
      </c>
      <c r="FR10" t="n">
        <v>10.1</v>
      </c>
      <c r="FS10" t="n">
        <v>10.8</v>
      </c>
      <c r="FT10" t="n">
        <v>20.112</v>
      </c>
      <c r="FU10" t="n">
        <v>13.5</v>
      </c>
      <c r="FV10" t="n">
        <v>7</v>
      </c>
      <c r="FW10" t="n">
        <v>12.2</v>
      </c>
      <c r="FX10" t="n">
        <v>10.5</v>
      </c>
      <c r="FY10" t="n">
        <v>83.7</v>
      </c>
      <c r="FZ10" t="n">
        <v>1.2</v>
      </c>
      <c r="GA10" t="n">
        <v>25</v>
      </c>
      <c r="GB10" t="n">
        <v>8.800000000000001</v>
      </c>
      <c r="GC10" t="n">
        <v>48.8</v>
      </c>
      <c r="GD10" t="n">
        <v>22.719</v>
      </c>
      <c r="GE10" t="n">
        <v>42.272</v>
      </c>
      <c r="GF10" t="n">
        <v>46.555</v>
      </c>
      <c r="GG10" t="n">
        <v>82.169</v>
      </c>
      <c r="GH10" t="n">
        <v>0.331</v>
      </c>
      <c r="GI10" t="n">
        <v>3.287</v>
      </c>
      <c r="GJ10" t="n">
        <v>0.013</v>
      </c>
      <c r="GK10" t="n">
        <v>3.515</v>
      </c>
      <c r="GL10" t="n">
        <v>0.046</v>
      </c>
      <c r="GM10" t="n">
        <v>2.992</v>
      </c>
      <c r="GN10" t="n">
        <v>-0.029</v>
      </c>
      <c r="GO10" t="n">
        <v>3.8</v>
      </c>
      <c r="GP10" t="n">
        <v>31.1</v>
      </c>
      <c r="GQ10" t="n">
        <v>48.8</v>
      </c>
      <c r="GR10" t="n">
        <v>26.5</v>
      </c>
      <c r="GS10" t="n">
        <v>43.7</v>
      </c>
      <c r="GT10" t="n">
        <v>13.5</v>
      </c>
      <c r="GU10" t="n">
        <v>20.826</v>
      </c>
      <c r="GV10" t="n">
        <v>21.579</v>
      </c>
      <c r="GW10" t="n">
        <v>8.683999999999999</v>
      </c>
      <c r="GX10" t="n">
        <v>32.609</v>
      </c>
      <c r="GY10" t="n">
        <v>11.646</v>
      </c>
      <c r="GZ10" t="n">
        <v>57.1</v>
      </c>
      <c r="HA10" t="n">
        <v>12.7</v>
      </c>
      <c r="HB10" t="n">
        <v>263.3</v>
      </c>
      <c r="HC10" t="n">
        <v>115.3</v>
      </c>
      <c r="HD10" t="n">
        <v>30.8</v>
      </c>
      <c r="HE10" t="n">
        <v>39.6</v>
      </c>
      <c r="HF10" t="n">
        <v>40.867</v>
      </c>
      <c r="HG10" t="n">
        <v>11.8</v>
      </c>
      <c r="HH10" t="n">
        <v>29.798</v>
      </c>
      <c r="HI10" t="n">
        <v>3.3</v>
      </c>
      <c r="HJ10" t="n">
        <v>47.475</v>
      </c>
      <c r="HK10" t="n">
        <v>43.434</v>
      </c>
      <c r="HL10" t="n">
        <v>10.5</v>
      </c>
      <c r="HM10" t="n">
        <v>95.238</v>
      </c>
      <c r="HN10" t="n">
        <v>7.5</v>
      </c>
      <c r="HO10" t="n">
        <v>41.1</v>
      </c>
      <c r="HP10" t="n">
        <v>72.3</v>
      </c>
      <c r="HQ10" t="n">
        <v>15.72</v>
      </c>
      <c r="HR10" t="n">
        <v>137</v>
      </c>
      <c r="HS10" t="n">
        <v>119.4</v>
      </c>
      <c r="HT10" t="n">
        <v>12</v>
      </c>
      <c r="HU10" t="n">
        <v>2.2</v>
      </c>
      <c r="HV10" t="n">
        <v>16.8</v>
      </c>
      <c r="HW10" t="n">
        <v>1.7</v>
      </c>
      <c r="HX10" t="n">
        <v>18.5</v>
      </c>
      <c r="HY10" t="n">
        <v>0.4</v>
      </c>
      <c r="HZ10" t="n">
        <v>296.5</v>
      </c>
      <c r="IA10" t="n">
        <v>137.412</v>
      </c>
      <c r="IB10" t="n">
        <v>176.258</v>
      </c>
      <c r="IC10" t="n">
        <v>6.2</v>
      </c>
      <c r="ID10" t="n">
        <v>-0.6</v>
      </c>
      <c r="IE10" t="n">
        <v>3.081</v>
      </c>
      <c r="IF10" t="n">
        <v>1.16</v>
      </c>
      <c r="IG10" t="n">
        <v>2.1</v>
      </c>
      <c r="IH10" t="n">
        <v>12.6</v>
      </c>
      <c r="II10" t="n">
        <v>14.7</v>
      </c>
      <c r="IJ10" t="n">
        <v>0.1</v>
      </c>
      <c r="IK10" t="n">
        <v>2.2</v>
      </c>
      <c r="IL10" t="n">
        <v>0.9</v>
      </c>
      <c r="IM10" t="n">
        <v>0.6</v>
      </c>
      <c r="IN10" t="n">
        <v>1.6</v>
      </c>
      <c r="IO10" t="n">
        <v>2.3</v>
      </c>
      <c r="IP10" t="n">
        <v>2.5</v>
      </c>
      <c r="IQ10" t="n">
        <v>0.4</v>
      </c>
      <c r="IR10" t="n">
        <v>4.2</v>
      </c>
      <c r="IS10" t="n">
        <v>-0.5</v>
      </c>
      <c r="IT10" t="n">
        <v>-0.6</v>
      </c>
      <c r="IU10" t="n">
        <v>1.2</v>
      </c>
      <c r="IV10" t="n">
        <v>0.6</v>
      </c>
      <c r="IW10" t="n">
        <v>-0.7</v>
      </c>
      <c r="IX10" t="n">
        <v>15.9</v>
      </c>
      <c r="IY10" t="n">
        <v>1.1</v>
      </c>
      <c r="IZ10" t="n">
        <v>1.1</v>
      </c>
      <c r="JA10" t="n">
        <v>1.9</v>
      </c>
      <c r="JB10" t="n">
        <v>3.4</v>
      </c>
      <c r="JC10" t="n">
        <v>2.9</v>
      </c>
      <c r="JD10" t="n">
        <v>0.3</v>
      </c>
      <c r="JE10" t="n">
        <v>17.7</v>
      </c>
      <c r="JF10" t="n">
        <v>3.7</v>
      </c>
      <c r="JG10" t="n">
        <v>1.6</v>
      </c>
      <c r="JH10" t="n">
        <v>11.301</v>
      </c>
      <c r="JI10" t="n">
        <v>5.999</v>
      </c>
      <c r="JJ10" t="n">
        <v>-0.03</v>
      </c>
      <c r="JK10" t="n">
        <v>1.3</v>
      </c>
      <c r="JL10" t="n">
        <v>14.7</v>
      </c>
      <c r="JM10" t="n">
        <v>1.7</v>
      </c>
      <c r="JN10" t="n">
        <v>10.7</v>
      </c>
      <c r="JO10" t="n">
        <v>2.8</v>
      </c>
      <c r="JP10" t="n">
        <v>4.2</v>
      </c>
      <c r="JQ10" t="n">
        <v>3.8</v>
      </c>
      <c r="JR10" t="n">
        <v>-2.7</v>
      </c>
      <c r="JS10" t="n">
        <v>1.5</v>
      </c>
      <c r="JT10" t="n">
        <v>17.1</v>
      </c>
      <c r="JU10" t="n">
        <v>0</v>
      </c>
      <c r="JV10" t="n">
        <v>-1.8</v>
      </c>
      <c r="JW10" t="n">
        <v>0.6</v>
      </c>
      <c r="JX10" t="n">
        <v>-0.6</v>
      </c>
      <c r="JY10" t="n">
        <v>5.3</v>
      </c>
      <c r="JZ10" t="n">
        <v>-0.3</v>
      </c>
      <c r="KA10" t="n">
        <v>-2.1</v>
      </c>
    </row>
    <row r="11">
      <c r="A11" t="inlineStr">
        <is>
          <t>Richmond</t>
        </is>
      </c>
      <c r="B11" t="inlineStr">
        <is>
          <t>Rich</t>
        </is>
      </c>
      <c r="C11" t="n">
        <v>10</v>
      </c>
      <c r="D11" t="n">
        <v>34</v>
      </c>
      <c r="E11" t="n">
        <v>25.318</v>
      </c>
      <c r="F11" t="n">
        <v>92.639</v>
      </c>
      <c r="G11" t="n">
        <v>173.13</v>
      </c>
      <c r="H11" t="n">
        <v>1491.5</v>
      </c>
      <c r="I11" t="n">
        <v>1400.8</v>
      </c>
      <c r="J11" t="n">
        <v>6.4</v>
      </c>
      <c r="K11" t="n">
        <v>46.05</v>
      </c>
      <c r="L11" t="n">
        <v>38.8</v>
      </c>
      <c r="M11" t="n">
        <v>194.6</v>
      </c>
      <c r="N11" t="n">
        <v>147.5</v>
      </c>
      <c r="O11" t="n">
        <v>342.1</v>
      </c>
      <c r="P11" t="n">
        <v>72.376</v>
      </c>
      <c r="Q11" t="n">
        <v>66.033</v>
      </c>
      <c r="R11" t="n">
        <v>80.746</v>
      </c>
      <c r="S11" t="n">
        <v>56.884</v>
      </c>
      <c r="T11" t="n">
        <v>5.919</v>
      </c>
      <c r="U11" t="n">
        <v>43.1</v>
      </c>
      <c r="V11" t="n">
        <v>41.3</v>
      </c>
      <c r="W11" t="n">
        <v>73.88200000000001</v>
      </c>
      <c r="X11" t="n">
        <v>5505.4</v>
      </c>
      <c r="Y11" t="n">
        <v>16.093</v>
      </c>
      <c r="Z11" t="n">
        <v>5210.515</v>
      </c>
      <c r="AA11" t="n">
        <v>26.9</v>
      </c>
      <c r="AB11" t="n">
        <v>174.084</v>
      </c>
      <c r="AC11" t="n">
        <v>1.185</v>
      </c>
      <c r="AD11" t="n">
        <v>56.4</v>
      </c>
      <c r="AE11" t="n">
        <v>6.066</v>
      </c>
      <c r="AF11" t="n">
        <v>64.7</v>
      </c>
      <c r="AG11" t="n">
        <v>5.287</v>
      </c>
      <c r="AH11" t="n">
        <v>69.90900000000001</v>
      </c>
      <c r="AI11" t="n">
        <v>41.499</v>
      </c>
      <c r="AJ11" t="n">
        <v>22.063</v>
      </c>
      <c r="AK11" t="n">
        <v>0.634</v>
      </c>
      <c r="AL11" t="n">
        <v>56.84</v>
      </c>
      <c r="AM11" t="n">
        <v>1.619</v>
      </c>
      <c r="AN11" t="n">
        <v>119.8</v>
      </c>
      <c r="AO11" t="n">
        <v>214.4</v>
      </c>
      <c r="AP11" t="n">
        <v>334.2</v>
      </c>
      <c r="AQ11" t="n">
        <v>35.847</v>
      </c>
      <c r="AR11" t="n">
        <v>58.2</v>
      </c>
      <c r="AS11" t="n">
        <v>80.09999999999999</v>
      </c>
      <c r="AT11" t="n">
        <v>9.199999999999999</v>
      </c>
      <c r="AU11" t="n">
        <v>21.3</v>
      </c>
      <c r="AV11" t="n">
        <v>58.8</v>
      </c>
      <c r="AW11" t="n">
        <v>72.7</v>
      </c>
      <c r="AX11" t="n">
        <v>50.3</v>
      </c>
      <c r="AY11" t="n">
        <v>9</v>
      </c>
      <c r="AZ11" t="n">
        <v>18.8</v>
      </c>
      <c r="BA11" t="n">
        <v>115.6</v>
      </c>
      <c r="BB11" t="n">
        <v>9.4</v>
      </c>
      <c r="BC11" t="n">
        <v>23.3</v>
      </c>
      <c r="BD11" t="n">
        <v>32.7</v>
      </c>
      <c r="BE11" t="n">
        <v>39.8</v>
      </c>
      <c r="BF11" t="n">
        <v>71.10599999999999</v>
      </c>
      <c r="BG11" t="n">
        <v>89.40000000000001</v>
      </c>
      <c r="BH11" t="n">
        <v>9.1</v>
      </c>
      <c r="BI11" t="n">
        <v>10.4</v>
      </c>
      <c r="BJ11" t="n">
        <v>24.13</v>
      </c>
      <c r="BK11" t="n">
        <v>14.7</v>
      </c>
      <c r="BL11" t="n">
        <v>5.6</v>
      </c>
      <c r="BM11" t="n">
        <v>24</v>
      </c>
      <c r="BN11" t="n">
        <v>6</v>
      </c>
      <c r="BO11" t="n">
        <v>8.4</v>
      </c>
      <c r="BP11" t="n">
        <v>9.199999999999999</v>
      </c>
      <c r="BQ11" t="n">
        <v>59.6</v>
      </c>
      <c r="BR11" t="n">
        <v>1.8</v>
      </c>
      <c r="BS11" t="n">
        <v>19.4</v>
      </c>
      <c r="BT11" t="n">
        <v>6.2</v>
      </c>
      <c r="BU11" t="n">
        <v>43.299</v>
      </c>
      <c r="BV11" t="n">
        <v>19.49</v>
      </c>
      <c r="BW11" t="n">
        <v>40.835</v>
      </c>
      <c r="BX11" t="n">
        <v>45.012</v>
      </c>
      <c r="BY11" t="n">
        <v>8.4</v>
      </c>
      <c r="BZ11" t="n">
        <v>29.762</v>
      </c>
      <c r="CA11" t="n">
        <v>1.811</v>
      </c>
      <c r="CB11" t="n">
        <v>0.189</v>
      </c>
      <c r="CC11" t="n">
        <v>59.602</v>
      </c>
      <c r="CD11" t="n">
        <v>-1.802</v>
      </c>
      <c r="CE11" t="n">
        <v>3.072</v>
      </c>
      <c r="CF11" t="n">
        <v>-0.093</v>
      </c>
      <c r="CG11" t="n">
        <v>3.198</v>
      </c>
      <c r="CH11" t="n">
        <v>0.07199999999999999</v>
      </c>
      <c r="CI11" t="n">
        <v>2.859</v>
      </c>
      <c r="CJ11" t="n">
        <v>-0.373</v>
      </c>
      <c r="CK11" t="n">
        <v>5.5</v>
      </c>
      <c r="CL11" t="n">
        <v>22.4</v>
      </c>
      <c r="CM11" t="n">
        <v>31.7</v>
      </c>
      <c r="CN11" t="n">
        <v>25.1</v>
      </c>
      <c r="CO11" t="n">
        <v>28.5</v>
      </c>
      <c r="CP11" t="n">
        <v>6</v>
      </c>
      <c r="CQ11" t="n">
        <v>16.994</v>
      </c>
      <c r="CR11" t="n">
        <v>22.518</v>
      </c>
      <c r="CS11" t="n">
        <v>9.201000000000001</v>
      </c>
      <c r="CT11" t="n">
        <v>28.869</v>
      </c>
      <c r="CU11" t="n">
        <v>11.31</v>
      </c>
      <c r="CV11" t="n">
        <v>13</v>
      </c>
      <c r="CW11" t="n">
        <v>29.231</v>
      </c>
      <c r="CX11" t="n">
        <v>49.8</v>
      </c>
      <c r="CY11" t="n">
        <v>6.5</v>
      </c>
      <c r="CZ11" t="n">
        <v>262</v>
      </c>
      <c r="DA11" t="n">
        <v>132.1</v>
      </c>
      <c r="DB11" t="n">
        <v>32.4</v>
      </c>
      <c r="DC11" t="n">
        <v>90.59999999999999</v>
      </c>
      <c r="DD11" t="n">
        <v>35.8</v>
      </c>
      <c r="DE11" t="n">
        <v>39.514</v>
      </c>
      <c r="DF11" t="n">
        <v>9.6</v>
      </c>
      <c r="DG11" t="n">
        <v>26.816</v>
      </c>
      <c r="DH11" t="n">
        <v>3.3</v>
      </c>
      <c r="DI11" t="n">
        <v>45.251</v>
      </c>
      <c r="DJ11" t="n">
        <v>37.43</v>
      </c>
      <c r="DK11" t="n">
        <v>17.1</v>
      </c>
      <c r="DL11" t="n">
        <v>18.7</v>
      </c>
      <c r="DM11" t="n">
        <v>-1.6</v>
      </c>
      <c r="DN11" t="n">
        <v>12.5</v>
      </c>
      <c r="DO11" t="n">
        <v>83.2</v>
      </c>
      <c r="DP11" t="n">
        <v>5.3</v>
      </c>
      <c r="DQ11" t="n">
        <v>42</v>
      </c>
      <c r="DR11" t="n">
        <v>69.59999999999999</v>
      </c>
      <c r="DS11" t="n">
        <v>217.78</v>
      </c>
      <c r="DT11" t="n">
        <v>1804.8</v>
      </c>
      <c r="DU11" t="n">
        <v>1670.1</v>
      </c>
      <c r="DV11" t="n">
        <v>23.6</v>
      </c>
      <c r="DW11" t="n">
        <v>43.9</v>
      </c>
      <c r="DX11" t="n">
        <v>226</v>
      </c>
      <c r="DY11" t="n">
        <v>164.6</v>
      </c>
      <c r="DZ11" t="n">
        <v>390.6</v>
      </c>
      <c r="EA11" t="n">
        <v>75.678</v>
      </c>
      <c r="EB11" t="n">
        <v>68.628</v>
      </c>
      <c r="EC11" t="n">
        <v>85.358</v>
      </c>
      <c r="ED11" t="n">
        <v>7.843</v>
      </c>
      <c r="EE11" t="n">
        <v>55.9</v>
      </c>
      <c r="EF11" t="n">
        <v>34.2</v>
      </c>
      <c r="EG11" t="n">
        <v>79.34999999999999</v>
      </c>
      <c r="EH11" t="n">
        <v>6109.4</v>
      </c>
      <c r="EI11" t="n">
        <v>15.641</v>
      </c>
      <c r="EJ11" t="n">
        <v>5616.32</v>
      </c>
      <c r="EK11" t="n">
        <v>25.017</v>
      </c>
      <c r="EL11" t="n">
        <v>200.935</v>
      </c>
      <c r="EM11" t="n">
        <v>1.225</v>
      </c>
      <c r="EN11" t="n">
        <v>50.4</v>
      </c>
      <c r="EO11" t="n">
        <v>7.75</v>
      </c>
      <c r="EP11" t="n">
        <v>58.1</v>
      </c>
      <c r="EQ11" t="n">
        <v>6.723</v>
      </c>
      <c r="ER11" t="n">
        <v>74.333</v>
      </c>
      <c r="ES11" t="n">
        <v>49.687</v>
      </c>
      <c r="ET11" t="n">
        <v>24.321</v>
      </c>
      <c r="EU11" t="n">
        <v>4.281</v>
      </c>
      <c r="EV11" t="n">
        <v>59.461</v>
      </c>
      <c r="EW11" t="n">
        <v>4.092</v>
      </c>
      <c r="EX11" t="n">
        <v>127.5</v>
      </c>
      <c r="EY11" t="n">
        <v>256.9</v>
      </c>
      <c r="EZ11" t="n">
        <v>384.4</v>
      </c>
      <c r="FA11" t="n">
        <v>33.169</v>
      </c>
      <c r="FB11" t="n">
        <v>64.7</v>
      </c>
      <c r="FC11" t="n">
        <v>86.09999999999999</v>
      </c>
      <c r="FD11" t="n">
        <v>16.3</v>
      </c>
      <c r="FE11" t="n">
        <v>20.9</v>
      </c>
      <c r="FF11" t="n">
        <v>65.2</v>
      </c>
      <c r="FG11" t="n">
        <v>80.2</v>
      </c>
      <c r="FH11" t="n">
        <v>55.3</v>
      </c>
      <c r="FI11" t="n">
        <v>8.1</v>
      </c>
      <c r="FJ11" t="n">
        <v>19.4</v>
      </c>
      <c r="FK11" t="n">
        <v>137.1</v>
      </c>
      <c r="FL11" t="n">
        <v>11.2</v>
      </c>
      <c r="FM11" t="n">
        <v>24.9</v>
      </c>
      <c r="FN11" t="n">
        <v>36.1</v>
      </c>
      <c r="FO11" t="n">
        <v>36.4</v>
      </c>
      <c r="FP11" t="n">
        <v>78.571</v>
      </c>
      <c r="FQ11" t="n">
        <v>110.9</v>
      </c>
      <c r="FR11" t="n">
        <v>10.2</v>
      </c>
      <c r="FS11" t="n">
        <v>15.5</v>
      </c>
      <c r="FT11" t="n">
        <v>27.728</v>
      </c>
      <c r="FU11" t="n">
        <v>16</v>
      </c>
      <c r="FV11" t="n">
        <v>8.199999999999999</v>
      </c>
      <c r="FW11" t="n">
        <v>14</v>
      </c>
      <c r="FX11" t="n">
        <v>12.8</v>
      </c>
      <c r="FY11" t="n">
        <v>96.8</v>
      </c>
      <c r="FZ11" t="n">
        <v>2.6</v>
      </c>
      <c r="GA11" t="n">
        <v>28.8</v>
      </c>
      <c r="GB11" t="n">
        <v>10.8</v>
      </c>
      <c r="GC11" t="n">
        <v>48.611</v>
      </c>
      <c r="GD11" t="n">
        <v>25.045</v>
      </c>
      <c r="GE11" t="n">
        <v>47.943</v>
      </c>
      <c r="GF11" t="n">
        <v>51.521</v>
      </c>
      <c r="GG11" t="n">
        <v>91.241</v>
      </c>
      <c r="GH11" t="n">
        <v>2.959</v>
      </c>
      <c r="GI11" t="n">
        <v>3.168</v>
      </c>
      <c r="GJ11" t="n">
        <v>0.103</v>
      </c>
      <c r="GK11" t="n">
        <v>3.405</v>
      </c>
      <c r="GL11" t="n">
        <v>-0.017</v>
      </c>
      <c r="GM11" t="n">
        <v>2.85</v>
      </c>
      <c r="GN11" t="n">
        <v>0.263</v>
      </c>
      <c r="GO11" t="n">
        <v>5.8</v>
      </c>
      <c r="GP11" t="n">
        <v>33.4</v>
      </c>
      <c r="GQ11" t="n">
        <v>57.6</v>
      </c>
      <c r="GR11" t="n">
        <v>33.6</v>
      </c>
      <c r="GS11" t="n">
        <v>51.8</v>
      </c>
      <c r="GT11" t="n">
        <v>11.4</v>
      </c>
      <c r="GU11" t="n">
        <v>24.813</v>
      </c>
      <c r="GV11" t="n">
        <v>30.435</v>
      </c>
      <c r="GW11" t="n">
        <v>13.913</v>
      </c>
      <c r="GX11" t="n">
        <v>39.222</v>
      </c>
      <c r="GY11" t="n">
        <v>16.396</v>
      </c>
      <c r="GZ11" t="n">
        <v>57.8</v>
      </c>
      <c r="HA11" t="n">
        <v>9.5</v>
      </c>
      <c r="HB11" t="n">
        <v>253.3</v>
      </c>
      <c r="HC11" t="n">
        <v>112.3</v>
      </c>
      <c r="HD11" t="n">
        <v>25.3</v>
      </c>
      <c r="HE11" t="n">
        <v>37.4</v>
      </c>
      <c r="HF11" t="n">
        <v>41.009</v>
      </c>
      <c r="HG11" t="n">
        <v>9</v>
      </c>
      <c r="HH11" t="n">
        <v>24.064</v>
      </c>
      <c r="HI11" t="n">
        <v>3.1</v>
      </c>
      <c r="HJ11" t="n">
        <v>38.503</v>
      </c>
      <c r="HK11" t="n">
        <v>39.572</v>
      </c>
      <c r="HL11" t="n">
        <v>9.1</v>
      </c>
      <c r="HM11" t="n">
        <v>85.714</v>
      </c>
      <c r="HN11" t="n">
        <v>10.3</v>
      </c>
      <c r="HO11" t="n">
        <v>35</v>
      </c>
      <c r="HP11" t="n">
        <v>68.5</v>
      </c>
      <c r="HQ11" t="n">
        <v>-44.65</v>
      </c>
      <c r="HR11" t="n">
        <v>-313.3</v>
      </c>
      <c r="HS11" t="n">
        <v>-269.3</v>
      </c>
      <c r="HT11" t="n">
        <v>-17.2</v>
      </c>
      <c r="HU11" t="n">
        <v>-5.1</v>
      </c>
      <c r="HV11" t="n">
        <v>-31.4</v>
      </c>
      <c r="HW11" t="n">
        <v>-17.1</v>
      </c>
      <c r="HX11" t="n">
        <v>-48.5</v>
      </c>
      <c r="HY11" t="n">
        <v>-12.8</v>
      </c>
      <c r="HZ11" t="n">
        <v>-604</v>
      </c>
      <c r="IA11" t="n">
        <v>-405.805</v>
      </c>
      <c r="IB11" t="n">
        <v>-26.851</v>
      </c>
      <c r="IC11" t="n">
        <v>6</v>
      </c>
      <c r="ID11" t="n">
        <v>6.6</v>
      </c>
      <c r="IE11" t="n">
        <v>-3.646</v>
      </c>
      <c r="IF11" t="n">
        <v>-2.473</v>
      </c>
      <c r="IG11" t="n">
        <v>-7.7</v>
      </c>
      <c r="IH11" t="n">
        <v>-42.5</v>
      </c>
      <c r="II11" t="n">
        <v>-50.2</v>
      </c>
      <c r="IJ11" t="n">
        <v>-6.5</v>
      </c>
      <c r="IK11" t="n">
        <v>-6</v>
      </c>
      <c r="IL11" t="n">
        <v>-7.1</v>
      </c>
      <c r="IM11" t="n">
        <v>0.4</v>
      </c>
      <c r="IN11" t="n">
        <v>-6.4</v>
      </c>
      <c r="IO11" t="n">
        <v>-7.5</v>
      </c>
      <c r="IP11" t="n">
        <v>-5</v>
      </c>
      <c r="IQ11" t="n">
        <v>0.9</v>
      </c>
      <c r="IR11" t="n">
        <v>-0.6</v>
      </c>
      <c r="IS11" t="n">
        <v>-21.5</v>
      </c>
      <c r="IT11" t="n">
        <v>-1.8</v>
      </c>
      <c r="IU11" t="n">
        <v>-1.6</v>
      </c>
      <c r="IV11" t="n">
        <v>-3.4</v>
      </c>
      <c r="IW11" t="n">
        <v>3.4</v>
      </c>
      <c r="IX11" t="n">
        <v>-21.5</v>
      </c>
      <c r="IY11" t="n">
        <v>-1.1</v>
      </c>
      <c r="IZ11" t="n">
        <v>-5.1</v>
      </c>
      <c r="JA11" t="n">
        <v>-1.3</v>
      </c>
      <c r="JB11" t="n">
        <v>-2.6</v>
      </c>
      <c r="JC11" t="n">
        <v>-5.6</v>
      </c>
      <c r="JD11" t="n">
        <v>-3.6</v>
      </c>
      <c r="JE11" t="n">
        <v>-37.2</v>
      </c>
      <c r="JF11" t="n">
        <v>-9.4</v>
      </c>
      <c r="JG11" t="n">
        <v>-4.6</v>
      </c>
      <c r="JH11" t="n">
        <v>-31.639</v>
      </c>
      <c r="JI11" t="n">
        <v>-4.761</v>
      </c>
      <c r="JJ11" t="n">
        <v>-0.096</v>
      </c>
      <c r="JK11" t="n">
        <v>-0.3</v>
      </c>
      <c r="JL11" t="n">
        <v>-11</v>
      </c>
      <c r="JM11" t="n">
        <v>-25.9</v>
      </c>
      <c r="JN11" t="n">
        <v>-8.5</v>
      </c>
      <c r="JO11" t="n">
        <v>-23.3</v>
      </c>
      <c r="JP11" t="n">
        <v>-5.4</v>
      </c>
      <c r="JQ11" t="n">
        <v>-8</v>
      </c>
      <c r="JR11" t="n">
        <v>-3</v>
      </c>
      <c r="JS11" t="n">
        <v>8.699999999999999</v>
      </c>
      <c r="JT11" t="n">
        <v>19.8</v>
      </c>
      <c r="JU11" t="n">
        <v>7.1</v>
      </c>
      <c r="JV11" t="n">
        <v>-1.6</v>
      </c>
      <c r="JW11" t="n">
        <v>0.6</v>
      </c>
      <c r="JX11" t="n">
        <v>0.2</v>
      </c>
      <c r="JY11" t="n">
        <v>-5</v>
      </c>
      <c r="JZ11" t="n">
        <v>7</v>
      </c>
      <c r="KA11" t="n">
        <v>1.1</v>
      </c>
    </row>
    <row r="12">
      <c r="A12" t="inlineStr">
        <is>
          <t>Western Bulldogs</t>
        </is>
      </c>
      <c r="B12" t="inlineStr">
        <is>
          <t>WB</t>
        </is>
      </c>
      <c r="C12" t="n">
        <v>10</v>
      </c>
      <c r="D12" t="n">
        <v>34</v>
      </c>
      <c r="E12" t="n">
        <v>26.092</v>
      </c>
      <c r="F12" t="n">
        <v>106.848</v>
      </c>
      <c r="G12" t="n">
        <v>230.52</v>
      </c>
      <c r="H12" t="n">
        <v>1735.8</v>
      </c>
      <c r="I12" t="n">
        <v>1568.1</v>
      </c>
      <c r="J12" t="n">
        <v>21.5</v>
      </c>
      <c r="K12" t="n">
        <v>53.566</v>
      </c>
      <c r="L12" t="n">
        <v>42.8</v>
      </c>
      <c r="M12" t="n">
        <v>214.9</v>
      </c>
      <c r="N12" t="n">
        <v>151.8</v>
      </c>
      <c r="O12" t="n">
        <v>366.7</v>
      </c>
      <c r="P12" t="n">
        <v>75.375</v>
      </c>
      <c r="Q12" t="n">
        <v>69.474</v>
      </c>
      <c r="R12" t="n">
        <v>83.729</v>
      </c>
      <c r="S12" t="n">
        <v>58.604</v>
      </c>
      <c r="T12" t="n">
        <v>5.895</v>
      </c>
      <c r="U12" t="n">
        <v>55.8</v>
      </c>
      <c r="V12" t="n">
        <v>35.5</v>
      </c>
      <c r="W12" t="n">
        <v>74.58</v>
      </c>
      <c r="X12" t="n">
        <v>5958.6</v>
      </c>
      <c r="Y12" t="n">
        <v>16.249</v>
      </c>
      <c r="Z12" t="n">
        <v>5635.439</v>
      </c>
      <c r="AA12" t="n">
        <v>26.334</v>
      </c>
      <c r="AB12" t="n">
        <v>119.438</v>
      </c>
      <c r="AC12" t="n">
        <v>0.788</v>
      </c>
      <c r="AD12" t="n">
        <v>52.2</v>
      </c>
      <c r="AE12" t="n">
        <v>7.025</v>
      </c>
      <c r="AF12" t="n">
        <v>61.8</v>
      </c>
      <c r="AG12" t="n">
        <v>5.934</v>
      </c>
      <c r="AH12" t="n">
        <v>73.16200000000001</v>
      </c>
      <c r="AI12" t="n">
        <v>52.311</v>
      </c>
      <c r="AJ12" t="n">
        <v>24.069</v>
      </c>
      <c r="AK12" t="n">
        <v>6.571</v>
      </c>
      <c r="AL12" t="n">
        <v>57.939</v>
      </c>
      <c r="AM12" t="n">
        <v>3.919</v>
      </c>
      <c r="AN12" t="n">
        <v>134.2</v>
      </c>
      <c r="AO12" t="n">
        <v>228.6</v>
      </c>
      <c r="AP12" t="n">
        <v>362.8</v>
      </c>
      <c r="AQ12" t="n">
        <v>36.99</v>
      </c>
      <c r="AR12" t="n">
        <v>62.9</v>
      </c>
      <c r="AS12" t="n">
        <v>89.5</v>
      </c>
      <c r="AT12" t="n">
        <v>18.7</v>
      </c>
      <c r="AU12" t="n">
        <v>24.1</v>
      </c>
      <c r="AV12" t="n">
        <v>65.40000000000001</v>
      </c>
      <c r="AW12" t="n">
        <v>83.3</v>
      </c>
      <c r="AX12" t="n">
        <v>55.6</v>
      </c>
      <c r="AY12" t="n">
        <v>8.1</v>
      </c>
      <c r="AZ12" t="n">
        <v>21.1</v>
      </c>
      <c r="BA12" t="n">
        <v>123.3</v>
      </c>
      <c r="BB12" t="n">
        <v>14.6</v>
      </c>
      <c r="BC12" t="n">
        <v>25.9</v>
      </c>
      <c r="BD12" t="n">
        <v>40.5</v>
      </c>
      <c r="BE12" t="n">
        <v>41.8</v>
      </c>
      <c r="BF12" t="n">
        <v>80.383</v>
      </c>
      <c r="BG12" t="n">
        <v>97</v>
      </c>
      <c r="BH12" t="n">
        <v>13.1</v>
      </c>
      <c r="BI12" t="n">
        <v>15.8</v>
      </c>
      <c r="BJ12" t="n">
        <v>28.315</v>
      </c>
      <c r="BK12" t="n">
        <v>15.5</v>
      </c>
      <c r="BL12" t="n">
        <v>9.5</v>
      </c>
      <c r="BM12" t="n">
        <v>26</v>
      </c>
      <c r="BN12" t="n">
        <v>8.4</v>
      </c>
      <c r="BO12" t="n">
        <v>17.3</v>
      </c>
      <c r="BP12" t="n">
        <v>11.3</v>
      </c>
      <c r="BQ12" t="n">
        <v>115.1</v>
      </c>
      <c r="BR12" t="n">
        <v>2</v>
      </c>
      <c r="BS12" t="n">
        <v>31.6</v>
      </c>
      <c r="BT12" t="n">
        <v>13.4</v>
      </c>
      <c r="BU12" t="n">
        <v>54.747</v>
      </c>
      <c r="BV12" t="n">
        <v>31.004</v>
      </c>
      <c r="BW12" t="n">
        <v>51.254</v>
      </c>
      <c r="BX12" t="n">
        <v>56.631</v>
      </c>
      <c r="BY12" t="n">
        <v>12.1</v>
      </c>
      <c r="BZ12" t="n">
        <v>29.752</v>
      </c>
      <c r="CA12" t="n">
        <v>6.486</v>
      </c>
      <c r="CB12" t="n">
        <v>0.514</v>
      </c>
      <c r="CC12" t="n">
        <v>107.219</v>
      </c>
      <c r="CD12" t="n">
        <v>5.881</v>
      </c>
      <c r="CE12" t="n">
        <v>3.393</v>
      </c>
      <c r="CF12" t="n">
        <v>0.186</v>
      </c>
      <c r="CG12" t="n">
        <v>3.669</v>
      </c>
      <c r="CH12" t="n">
        <v>0.533</v>
      </c>
      <c r="CI12" t="n">
        <v>3.037</v>
      </c>
      <c r="CJ12" t="n">
        <v>-0.261</v>
      </c>
      <c r="CK12" t="n">
        <v>6.2</v>
      </c>
      <c r="CL12" t="n">
        <v>43.4</v>
      </c>
      <c r="CM12" t="n">
        <v>65.5</v>
      </c>
      <c r="CN12" t="n">
        <v>44.9</v>
      </c>
      <c r="CO12" t="n">
        <v>53.8</v>
      </c>
      <c r="CP12" t="n">
        <v>16.4</v>
      </c>
      <c r="CQ12" t="n">
        <v>25.753</v>
      </c>
      <c r="CR12" t="n">
        <v>27.473</v>
      </c>
      <c r="CS12" t="n">
        <v>14.601</v>
      </c>
      <c r="CT12" t="n">
        <v>34.826</v>
      </c>
      <c r="CU12" t="n">
        <v>17.304</v>
      </c>
      <c r="CV12" t="n">
        <v>9.9</v>
      </c>
      <c r="CW12" t="n">
        <v>35.354</v>
      </c>
      <c r="CX12" t="n">
        <v>55.2</v>
      </c>
      <c r="CY12" t="n">
        <v>12.2</v>
      </c>
      <c r="CZ12" t="n">
        <v>262.6</v>
      </c>
      <c r="DA12" t="n">
        <v>115.5</v>
      </c>
      <c r="DB12" t="n">
        <v>28</v>
      </c>
      <c r="DC12" t="n">
        <v>95.2</v>
      </c>
      <c r="DD12" t="n">
        <v>33</v>
      </c>
      <c r="DE12" t="n">
        <v>34.664</v>
      </c>
      <c r="DF12" t="n">
        <v>9.5</v>
      </c>
      <c r="DG12" t="n">
        <v>28.788</v>
      </c>
      <c r="DH12" t="n">
        <v>1.7</v>
      </c>
      <c r="DI12" t="n">
        <v>47.273</v>
      </c>
      <c r="DJ12" t="n">
        <v>43.333</v>
      </c>
      <c r="DK12" t="n">
        <v>18.9</v>
      </c>
      <c r="DL12" t="n">
        <v>19</v>
      </c>
      <c r="DM12" t="n">
        <v>-0.1</v>
      </c>
      <c r="DN12" t="n">
        <v>9.1</v>
      </c>
      <c r="DO12" t="n">
        <v>95.604</v>
      </c>
      <c r="DP12" t="n">
        <v>7.3</v>
      </c>
      <c r="DQ12" t="n">
        <v>43.2</v>
      </c>
      <c r="DR12" t="n">
        <v>71.59999999999999</v>
      </c>
      <c r="DS12" t="n">
        <v>186.85</v>
      </c>
      <c r="DT12" t="n">
        <v>1563.8</v>
      </c>
      <c r="DU12" t="n">
        <v>1459.6</v>
      </c>
      <c r="DV12" t="n">
        <v>8.5</v>
      </c>
      <c r="DW12" t="n">
        <v>39.5</v>
      </c>
      <c r="DX12" t="n">
        <v>198.5</v>
      </c>
      <c r="DY12" t="n">
        <v>140.4</v>
      </c>
      <c r="DZ12" t="n">
        <v>338.9</v>
      </c>
      <c r="EA12" t="n">
        <v>72.55800000000001</v>
      </c>
      <c r="EB12" t="n">
        <v>66.398</v>
      </c>
      <c r="EC12" t="n">
        <v>81.268</v>
      </c>
      <c r="ED12" t="n">
        <v>6.139</v>
      </c>
      <c r="EE12" t="n">
        <v>47.6</v>
      </c>
      <c r="EF12" t="n">
        <v>37.4</v>
      </c>
      <c r="EG12" t="n">
        <v>67.02500000000001</v>
      </c>
      <c r="EH12" t="n">
        <v>5388.3</v>
      </c>
      <c r="EI12" t="n">
        <v>15.899</v>
      </c>
      <c r="EJ12" t="n">
        <v>5147.656</v>
      </c>
      <c r="EK12" t="n">
        <v>26.144</v>
      </c>
      <c r="EL12" t="n">
        <v>115.562</v>
      </c>
      <c r="EM12" t="n">
        <v>0.825</v>
      </c>
      <c r="EN12" t="n">
        <v>56.7</v>
      </c>
      <c r="EO12" t="n">
        <v>5.977</v>
      </c>
      <c r="EP12" t="n">
        <v>62.7</v>
      </c>
      <c r="EQ12" t="n">
        <v>5.405</v>
      </c>
      <c r="ER12" t="n">
        <v>69.77</v>
      </c>
      <c r="ES12" t="n">
        <v>48.668</v>
      </c>
      <c r="ET12" t="n">
        <v>22.485</v>
      </c>
      <c r="EU12" t="n">
        <v>1.209</v>
      </c>
      <c r="EV12" t="n">
        <v>56.974</v>
      </c>
      <c r="EW12" t="n">
        <v>0.316</v>
      </c>
      <c r="EX12" t="n">
        <v>127.2</v>
      </c>
      <c r="EY12" t="n">
        <v>204</v>
      </c>
      <c r="EZ12" t="n">
        <v>331.2</v>
      </c>
      <c r="FA12" t="n">
        <v>38.406</v>
      </c>
      <c r="FB12" t="n">
        <v>61.8</v>
      </c>
      <c r="FC12" t="n">
        <v>81.40000000000001</v>
      </c>
      <c r="FD12" t="n">
        <v>13.1</v>
      </c>
      <c r="FE12" t="n">
        <v>19.6</v>
      </c>
      <c r="FF12" t="n">
        <v>61.8</v>
      </c>
      <c r="FG12" t="n">
        <v>80.2</v>
      </c>
      <c r="FH12" t="n">
        <v>54.1</v>
      </c>
      <c r="FI12" t="n">
        <v>10.6</v>
      </c>
      <c r="FJ12" t="n">
        <v>20.3</v>
      </c>
      <c r="FK12" t="n">
        <v>110.6</v>
      </c>
      <c r="FL12" t="n">
        <v>13</v>
      </c>
      <c r="FM12" t="n">
        <v>20.8</v>
      </c>
      <c r="FN12" t="n">
        <v>33.8</v>
      </c>
      <c r="FO12" t="n">
        <v>39.5</v>
      </c>
      <c r="FP12" t="n">
        <v>71.899</v>
      </c>
      <c r="FQ12" t="n">
        <v>84.09999999999999</v>
      </c>
      <c r="FR12" t="n">
        <v>9.4</v>
      </c>
      <c r="FS12" t="n">
        <v>12.1</v>
      </c>
      <c r="FT12" t="n">
        <v>25.42</v>
      </c>
      <c r="FU12" t="n">
        <v>14</v>
      </c>
      <c r="FV12" t="n">
        <v>9.5</v>
      </c>
      <c r="FW12" t="n">
        <v>11.2</v>
      </c>
      <c r="FX12" t="n">
        <v>9.699999999999999</v>
      </c>
      <c r="FY12" t="n">
        <v>76.90000000000001</v>
      </c>
      <c r="FZ12" t="n">
        <v>1.2</v>
      </c>
      <c r="GA12" t="n">
        <v>24.7</v>
      </c>
      <c r="GB12" t="n">
        <v>8.9</v>
      </c>
      <c r="GC12" t="n">
        <v>45.344</v>
      </c>
      <c r="GD12" t="n">
        <v>23.529</v>
      </c>
      <c r="GE12" t="n">
        <v>43.908</v>
      </c>
      <c r="GF12" t="n">
        <v>51.891</v>
      </c>
      <c r="GG12" t="n">
        <v>80.724</v>
      </c>
      <c r="GH12" t="n">
        <v>-5.024</v>
      </c>
      <c r="GI12" t="n">
        <v>3.268</v>
      </c>
      <c r="GJ12" t="n">
        <v>-0.203</v>
      </c>
      <c r="GK12" t="n">
        <v>3.471</v>
      </c>
      <c r="GL12" t="n">
        <v>-0.221</v>
      </c>
      <c r="GM12" t="n">
        <v>2.985</v>
      </c>
      <c r="GN12" t="n">
        <v>-0.179</v>
      </c>
      <c r="GO12" t="n">
        <v>5.7</v>
      </c>
      <c r="GP12" t="n">
        <v>28.2</v>
      </c>
      <c r="GQ12" t="n">
        <v>43</v>
      </c>
      <c r="GR12" t="n">
        <v>32.7</v>
      </c>
      <c r="GS12" t="n">
        <v>34.6</v>
      </c>
      <c r="GT12" t="n">
        <v>9.6</v>
      </c>
      <c r="GU12" t="n">
        <v>19.753</v>
      </c>
      <c r="GV12" t="n">
        <v>21.092</v>
      </c>
      <c r="GW12" t="n">
        <v>9.180999999999999</v>
      </c>
      <c r="GX12" t="n">
        <v>29.012</v>
      </c>
      <c r="GY12" t="n">
        <v>12.654</v>
      </c>
      <c r="GZ12" t="n">
        <v>62.2</v>
      </c>
      <c r="HA12" t="n">
        <v>12.3</v>
      </c>
      <c r="HB12" t="n">
        <v>273.1</v>
      </c>
      <c r="HC12" t="n">
        <v>141.7</v>
      </c>
      <c r="HD12" t="n">
        <v>34.2</v>
      </c>
      <c r="HE12" t="n">
        <v>44.2</v>
      </c>
      <c r="HF12" t="n">
        <v>46.283</v>
      </c>
      <c r="HG12" t="n">
        <v>11.8</v>
      </c>
      <c r="HH12" t="n">
        <v>26.697</v>
      </c>
      <c r="HI12" t="n">
        <v>3.8</v>
      </c>
      <c r="HJ12" t="n">
        <v>42.308</v>
      </c>
      <c r="HK12" t="n">
        <v>36.199</v>
      </c>
      <c r="HL12" t="n">
        <v>11.1</v>
      </c>
      <c r="HM12" t="n">
        <v>95.495</v>
      </c>
      <c r="HN12" t="n">
        <v>6.3</v>
      </c>
      <c r="HO12" t="n">
        <v>46.5</v>
      </c>
      <c r="HP12" t="n">
        <v>70.59999999999999</v>
      </c>
      <c r="HQ12" t="n">
        <v>43.67</v>
      </c>
      <c r="HR12" t="n">
        <v>172</v>
      </c>
      <c r="HS12" t="n">
        <v>108.5</v>
      </c>
      <c r="HT12" t="n">
        <v>13</v>
      </c>
      <c r="HU12" t="n">
        <v>3.3</v>
      </c>
      <c r="HV12" t="n">
        <v>16.4</v>
      </c>
      <c r="HW12" t="n">
        <v>11.4</v>
      </c>
      <c r="HX12" t="n">
        <v>27.8</v>
      </c>
      <c r="HY12" t="n">
        <v>8.199999999999999</v>
      </c>
      <c r="HZ12" t="n">
        <v>570.3</v>
      </c>
      <c r="IA12" t="n">
        <v>487.783</v>
      </c>
      <c r="IB12" t="n">
        <v>3.876</v>
      </c>
      <c r="IC12" t="n">
        <v>-4.5</v>
      </c>
      <c r="ID12" t="n">
        <v>-0.9</v>
      </c>
      <c r="IE12" t="n">
        <v>5.362</v>
      </c>
      <c r="IF12" t="n">
        <v>3.602</v>
      </c>
      <c r="IG12" t="n">
        <v>7</v>
      </c>
      <c r="IH12" t="n">
        <v>24.6</v>
      </c>
      <c r="II12" t="n">
        <v>31.6</v>
      </c>
      <c r="IJ12" t="n">
        <v>1.1</v>
      </c>
      <c r="IK12" t="n">
        <v>8.1</v>
      </c>
      <c r="IL12" t="n">
        <v>5.6</v>
      </c>
      <c r="IM12" t="n">
        <v>4.5</v>
      </c>
      <c r="IN12" t="n">
        <v>3.6</v>
      </c>
      <c r="IO12" t="n">
        <v>3.1</v>
      </c>
      <c r="IP12" t="n">
        <v>1.5</v>
      </c>
      <c r="IQ12" t="n">
        <v>-2.5</v>
      </c>
      <c r="IR12" t="n">
        <v>0.8</v>
      </c>
      <c r="IS12" t="n">
        <v>12.7</v>
      </c>
      <c r="IT12" t="n">
        <v>1.6</v>
      </c>
      <c r="IU12" t="n">
        <v>5.1</v>
      </c>
      <c r="IV12" t="n">
        <v>6.7</v>
      </c>
      <c r="IW12" t="n">
        <v>2.3</v>
      </c>
      <c r="IX12" t="n">
        <v>12.9</v>
      </c>
      <c r="IY12" t="n">
        <v>3.7</v>
      </c>
      <c r="IZ12" t="n">
        <v>3.7</v>
      </c>
      <c r="JA12" t="n">
        <v>1.5</v>
      </c>
      <c r="JB12" t="n">
        <v>0</v>
      </c>
      <c r="JC12" t="n">
        <v>6.1</v>
      </c>
      <c r="JD12" t="n">
        <v>1.6</v>
      </c>
      <c r="JE12" t="n">
        <v>38.2</v>
      </c>
      <c r="JF12" t="n">
        <v>6.9</v>
      </c>
      <c r="JG12" t="n">
        <v>4.5</v>
      </c>
      <c r="JH12" t="n">
        <v>26.495</v>
      </c>
      <c r="JI12" t="n">
        <v>10.905</v>
      </c>
      <c r="JJ12" t="n">
        <v>0.125</v>
      </c>
      <c r="JK12" t="n">
        <v>0.5</v>
      </c>
      <c r="JL12" t="n">
        <v>15.2</v>
      </c>
      <c r="JM12" t="n">
        <v>22.5</v>
      </c>
      <c r="JN12" t="n">
        <v>12.2</v>
      </c>
      <c r="JO12" t="n">
        <v>19.2</v>
      </c>
      <c r="JP12" t="n">
        <v>6.8</v>
      </c>
      <c r="JQ12" t="n">
        <v>-7</v>
      </c>
      <c r="JR12" t="n">
        <v>-0.1</v>
      </c>
      <c r="JS12" t="n">
        <v>-10.5</v>
      </c>
      <c r="JT12" t="n">
        <v>-26.2</v>
      </c>
      <c r="JU12" t="n">
        <v>-6.2</v>
      </c>
      <c r="JV12" t="n">
        <v>-11.2</v>
      </c>
      <c r="JW12" t="n">
        <v>-2.3</v>
      </c>
      <c r="JX12" t="n">
        <v>-2.1</v>
      </c>
      <c r="JY12" t="n">
        <v>1</v>
      </c>
      <c r="JZ12" t="n">
        <v>-3.3</v>
      </c>
      <c r="KA12" t="n">
        <v>1</v>
      </c>
    </row>
    <row r="13">
      <c r="A13" t="inlineStr">
        <is>
          <t>Fremantle</t>
        </is>
      </c>
      <c r="B13" t="inlineStr">
        <is>
          <t>Frem</t>
        </is>
      </c>
      <c r="C13" t="n">
        <v>10</v>
      </c>
      <c r="D13" t="n">
        <v>27</v>
      </c>
      <c r="E13" t="n">
        <v>25.27</v>
      </c>
      <c r="F13" t="n">
        <v>96.283</v>
      </c>
      <c r="G13" t="n">
        <v>200.22</v>
      </c>
      <c r="H13" t="n">
        <v>1625.8</v>
      </c>
      <c r="I13" t="n">
        <v>1394</v>
      </c>
      <c r="J13" t="n">
        <v>15.2</v>
      </c>
      <c r="K13" t="n">
        <v>49.092</v>
      </c>
      <c r="L13" t="n">
        <v>40.8</v>
      </c>
      <c r="M13" t="n">
        <v>186.9</v>
      </c>
      <c r="N13" t="n">
        <v>141</v>
      </c>
      <c r="O13" t="n">
        <v>327.9</v>
      </c>
      <c r="P13" t="n">
        <v>71.699</v>
      </c>
      <c r="Q13" t="n">
        <v>63.296</v>
      </c>
      <c r="R13" t="n">
        <v>82.837</v>
      </c>
      <c r="S13" t="n">
        <v>56.999</v>
      </c>
      <c r="T13" t="n">
        <v>4.998</v>
      </c>
      <c r="U13" t="n">
        <v>51</v>
      </c>
      <c r="V13" t="n">
        <v>36.8</v>
      </c>
      <c r="W13" t="n">
        <v>74.797</v>
      </c>
      <c r="X13" t="n">
        <v>5598.7</v>
      </c>
      <c r="Y13" t="n">
        <v>17.074</v>
      </c>
      <c r="Z13" t="n">
        <v>5387.856</v>
      </c>
      <c r="AA13" t="n">
        <v>29.029</v>
      </c>
      <c r="AB13" t="n">
        <v>174.057</v>
      </c>
      <c r="AC13" t="n">
        <v>1.236</v>
      </c>
      <c r="AD13" t="n">
        <v>53.8</v>
      </c>
      <c r="AE13" t="n">
        <v>6.095</v>
      </c>
      <c r="AF13" t="n">
        <v>64.40000000000001</v>
      </c>
      <c r="AG13" t="n">
        <v>5.092</v>
      </c>
      <c r="AH13" t="n">
        <v>68.012</v>
      </c>
      <c r="AI13" t="n">
        <v>46.455</v>
      </c>
      <c r="AJ13" t="n">
        <v>23.354</v>
      </c>
      <c r="AK13" t="n">
        <v>0.823</v>
      </c>
      <c r="AL13" t="n">
        <v>53.482</v>
      </c>
      <c r="AM13" t="n">
        <v>-2.889</v>
      </c>
      <c r="AN13" t="n">
        <v>132.5</v>
      </c>
      <c r="AO13" t="n">
        <v>191.9</v>
      </c>
      <c r="AP13" t="n">
        <v>324.4</v>
      </c>
      <c r="AQ13" t="n">
        <v>40.845</v>
      </c>
      <c r="AR13" t="n">
        <v>63.7</v>
      </c>
      <c r="AS13" t="n">
        <v>85.40000000000001</v>
      </c>
      <c r="AT13" t="n">
        <v>12.8</v>
      </c>
      <c r="AU13" t="n">
        <v>20.4</v>
      </c>
      <c r="AV13" t="n">
        <v>65</v>
      </c>
      <c r="AW13" t="n">
        <v>80.09999999999999</v>
      </c>
      <c r="AX13" t="n">
        <v>55.1</v>
      </c>
      <c r="AY13" t="n">
        <v>11.1</v>
      </c>
      <c r="AZ13" t="n">
        <v>19.6</v>
      </c>
      <c r="BA13" t="n">
        <v>113.1</v>
      </c>
      <c r="BB13" t="n">
        <v>12.2</v>
      </c>
      <c r="BC13" t="n">
        <v>26.7</v>
      </c>
      <c r="BD13" t="n">
        <v>38.9</v>
      </c>
      <c r="BE13" t="n">
        <v>41.1</v>
      </c>
      <c r="BF13" t="n">
        <v>75.669</v>
      </c>
      <c r="BG13" t="n">
        <v>71.59999999999999</v>
      </c>
      <c r="BH13" t="n">
        <v>10</v>
      </c>
      <c r="BI13" t="n">
        <v>11</v>
      </c>
      <c r="BJ13" t="n">
        <v>21.569</v>
      </c>
      <c r="BK13" t="n">
        <v>14.5</v>
      </c>
      <c r="BL13" t="n">
        <v>8.1</v>
      </c>
      <c r="BM13" t="n">
        <v>20</v>
      </c>
      <c r="BN13" t="n">
        <v>7.5</v>
      </c>
      <c r="BO13" t="n">
        <v>12.7</v>
      </c>
      <c r="BP13" t="n">
        <v>10.5</v>
      </c>
      <c r="BQ13" t="n">
        <v>86.7</v>
      </c>
      <c r="BR13" t="n">
        <v>2.2</v>
      </c>
      <c r="BS13" t="n">
        <v>26.6</v>
      </c>
      <c r="BT13" t="n">
        <v>9.4</v>
      </c>
      <c r="BU13" t="n">
        <v>47.744</v>
      </c>
      <c r="BV13" t="n">
        <v>24.902</v>
      </c>
      <c r="BW13" t="n">
        <v>45.49</v>
      </c>
      <c r="BX13" t="n">
        <v>52.157</v>
      </c>
      <c r="BY13" t="n">
        <v>10.4</v>
      </c>
      <c r="BZ13" t="n">
        <v>28.846</v>
      </c>
      <c r="CA13" t="n">
        <v>6.768</v>
      </c>
      <c r="CB13" t="n">
        <v>0.232</v>
      </c>
      <c r="CC13" t="n">
        <v>85.682</v>
      </c>
      <c r="CD13" t="n">
        <v>-1.181</v>
      </c>
      <c r="CE13" t="n">
        <v>3.221</v>
      </c>
      <c r="CF13" t="n">
        <v>-0.044</v>
      </c>
      <c r="CG13" t="n">
        <v>3.557</v>
      </c>
      <c r="CH13" t="n">
        <v>0.184</v>
      </c>
      <c r="CI13" t="n">
        <v>2.83</v>
      </c>
      <c r="CJ13" t="n">
        <v>-0.31</v>
      </c>
      <c r="CK13" t="n">
        <v>4.9</v>
      </c>
      <c r="CL13" t="n">
        <v>31.8</v>
      </c>
      <c r="CM13" t="n">
        <v>50</v>
      </c>
      <c r="CN13" t="n">
        <v>36.9</v>
      </c>
      <c r="CO13" t="n">
        <v>39.2</v>
      </c>
      <c r="CP13" t="n">
        <v>10.6</v>
      </c>
      <c r="CQ13" t="n">
        <v>20.924</v>
      </c>
      <c r="CR13" t="n">
        <v>21.842</v>
      </c>
      <c r="CS13" t="n">
        <v>10.789</v>
      </c>
      <c r="CT13" t="n">
        <v>29.674</v>
      </c>
      <c r="CU13" t="n">
        <v>13.264</v>
      </c>
      <c r="CV13" t="n">
        <v>9.9</v>
      </c>
      <c r="CW13" t="n">
        <v>24.242</v>
      </c>
      <c r="CX13" t="n">
        <v>63.5</v>
      </c>
      <c r="CY13" t="n">
        <v>10.1</v>
      </c>
      <c r="CZ13" t="n">
        <v>269.4</v>
      </c>
      <c r="DA13" t="n">
        <v>137</v>
      </c>
      <c r="DB13" t="n">
        <v>34.6</v>
      </c>
      <c r="DC13" t="n">
        <v>99.3</v>
      </c>
      <c r="DD13" t="n">
        <v>41</v>
      </c>
      <c r="DE13" t="n">
        <v>41.289</v>
      </c>
      <c r="DF13" t="n">
        <v>11.3</v>
      </c>
      <c r="DG13" t="n">
        <v>27.561</v>
      </c>
      <c r="DH13" t="n">
        <v>3.4</v>
      </c>
      <c r="DI13" t="n">
        <v>42.195</v>
      </c>
      <c r="DJ13" t="n">
        <v>38.293</v>
      </c>
      <c r="DK13" t="n">
        <v>20</v>
      </c>
      <c r="DL13" t="n">
        <v>21</v>
      </c>
      <c r="DM13" t="n">
        <v>-1</v>
      </c>
      <c r="DN13" t="n">
        <v>10.2</v>
      </c>
      <c r="DO13" t="n">
        <v>95.098</v>
      </c>
      <c r="DP13" t="n">
        <v>6.5</v>
      </c>
      <c r="DQ13" t="n">
        <v>47.4</v>
      </c>
      <c r="DR13" t="n">
        <v>71.2</v>
      </c>
      <c r="DS13" t="n">
        <v>195.44</v>
      </c>
      <c r="DT13" t="n">
        <v>1673.8</v>
      </c>
      <c r="DU13" t="n">
        <v>1513.3</v>
      </c>
      <c r="DV13" t="n">
        <v>14.8</v>
      </c>
      <c r="DW13" t="n">
        <v>41.2</v>
      </c>
      <c r="DX13" t="n">
        <v>209</v>
      </c>
      <c r="DY13" t="n">
        <v>141.6</v>
      </c>
      <c r="DZ13" t="n">
        <v>350.6</v>
      </c>
      <c r="EA13" t="n">
        <v>70.964</v>
      </c>
      <c r="EB13" t="n">
        <v>64.354</v>
      </c>
      <c r="EC13" t="n">
        <v>80.72</v>
      </c>
      <c r="ED13" t="n">
        <v>5.521</v>
      </c>
      <c r="EE13" t="n">
        <v>49.2</v>
      </c>
      <c r="EF13" t="n">
        <v>37.3</v>
      </c>
      <c r="EG13" t="n">
        <v>73.137</v>
      </c>
      <c r="EH13" t="n">
        <v>5610.7</v>
      </c>
      <c r="EI13" t="n">
        <v>16.003</v>
      </c>
      <c r="EJ13" t="n">
        <v>5287.526</v>
      </c>
      <c r="EK13" t="n">
        <v>25.421</v>
      </c>
      <c r="EL13" t="n">
        <v>156.319</v>
      </c>
      <c r="EM13" t="n">
        <v>1.107</v>
      </c>
      <c r="EN13" t="n">
        <v>58</v>
      </c>
      <c r="EO13" t="n">
        <v>6.045</v>
      </c>
      <c r="EP13" t="n">
        <v>63.6</v>
      </c>
      <c r="EQ13" t="n">
        <v>5.513</v>
      </c>
      <c r="ER13" t="n">
        <v>69.32299999999999</v>
      </c>
      <c r="ES13" t="n">
        <v>48.049</v>
      </c>
      <c r="ET13" t="n">
        <v>23.325</v>
      </c>
      <c r="EU13" t="n">
        <v>-1.051</v>
      </c>
      <c r="EV13" t="n">
        <v>57.908</v>
      </c>
      <c r="EW13" t="n">
        <v>-1.759</v>
      </c>
      <c r="EX13" t="n">
        <v>135.4</v>
      </c>
      <c r="EY13" t="n">
        <v>207.9</v>
      </c>
      <c r="EZ13" t="n">
        <v>343.3</v>
      </c>
      <c r="FA13" t="n">
        <v>39.441</v>
      </c>
      <c r="FB13" t="n">
        <v>64.59999999999999</v>
      </c>
      <c r="FC13" t="n">
        <v>89.8</v>
      </c>
      <c r="FD13" t="n">
        <v>17.2</v>
      </c>
      <c r="FE13" t="n">
        <v>23.9</v>
      </c>
      <c r="FF13" t="n">
        <v>65.90000000000001</v>
      </c>
      <c r="FG13" t="n">
        <v>82.90000000000001</v>
      </c>
      <c r="FH13" t="n">
        <v>57.5</v>
      </c>
      <c r="FI13" t="n">
        <v>10.3</v>
      </c>
      <c r="FJ13" t="n">
        <v>26.1</v>
      </c>
      <c r="FK13" t="n">
        <v>111.1</v>
      </c>
      <c r="FL13" t="n">
        <v>12.1</v>
      </c>
      <c r="FM13" t="n">
        <v>25.8</v>
      </c>
      <c r="FN13" t="n">
        <v>37.9</v>
      </c>
      <c r="FO13" t="n">
        <v>43.6</v>
      </c>
      <c r="FP13" t="n">
        <v>73.39400000000001</v>
      </c>
      <c r="FQ13" t="n">
        <v>87.09999999999999</v>
      </c>
      <c r="FR13" t="n">
        <v>10.2</v>
      </c>
      <c r="FS13" t="n">
        <v>9.800000000000001</v>
      </c>
      <c r="FT13" t="n">
        <v>19.919</v>
      </c>
      <c r="FU13" t="n">
        <v>14.4</v>
      </c>
      <c r="FV13" t="n">
        <v>8.800000000000001</v>
      </c>
      <c r="FW13" t="n">
        <v>11.8</v>
      </c>
      <c r="FX13" t="n">
        <v>10.5</v>
      </c>
      <c r="FY13" t="n">
        <v>81.3</v>
      </c>
      <c r="FZ13" t="n">
        <v>2.3</v>
      </c>
      <c r="GA13" t="n">
        <v>23.5</v>
      </c>
      <c r="GB13" t="n">
        <v>7.4</v>
      </c>
      <c r="GC13" t="n">
        <v>50.213</v>
      </c>
      <c r="GD13" t="n">
        <v>23.984</v>
      </c>
      <c r="GE13" t="n">
        <v>45.325</v>
      </c>
      <c r="GF13" t="n">
        <v>47.764</v>
      </c>
      <c r="GG13" t="n">
        <v>74.41500000000001</v>
      </c>
      <c r="GH13" t="n">
        <v>4.585</v>
      </c>
      <c r="GI13" t="n">
        <v>3.167</v>
      </c>
      <c r="GJ13" t="n">
        <v>0.195</v>
      </c>
      <c r="GK13" t="n">
        <v>3.486</v>
      </c>
      <c r="GL13" t="n">
        <v>0.096</v>
      </c>
      <c r="GM13" t="n">
        <v>2.821</v>
      </c>
      <c r="GN13" t="n">
        <v>0.303</v>
      </c>
      <c r="GO13" t="n">
        <v>2.5</v>
      </c>
      <c r="GP13" t="n">
        <v>34</v>
      </c>
      <c r="GQ13" t="n">
        <v>44.8</v>
      </c>
      <c r="GR13" t="n">
        <v>23.1</v>
      </c>
      <c r="GS13" t="n">
        <v>46.7</v>
      </c>
      <c r="GT13" t="n">
        <v>11.5</v>
      </c>
      <c r="GU13" t="n">
        <v>19.928</v>
      </c>
      <c r="GV13" t="n">
        <v>20.051</v>
      </c>
      <c r="GW13" t="n">
        <v>9.512</v>
      </c>
      <c r="GX13" t="n">
        <v>26.149</v>
      </c>
      <c r="GY13" t="n">
        <v>10.46</v>
      </c>
      <c r="GZ13" t="n">
        <v>65.59999999999999</v>
      </c>
      <c r="HA13" t="n">
        <v>17.7</v>
      </c>
      <c r="HB13" t="n">
        <v>269.3</v>
      </c>
      <c r="HC13" t="n">
        <v>118.8</v>
      </c>
      <c r="HD13" t="n">
        <v>32.8</v>
      </c>
      <c r="HE13" t="n">
        <v>39.4</v>
      </c>
      <c r="HF13" t="n">
        <v>39.678</v>
      </c>
      <c r="HG13" t="n">
        <v>11</v>
      </c>
      <c r="HH13" t="n">
        <v>27.919</v>
      </c>
      <c r="HI13" t="n">
        <v>2.5</v>
      </c>
      <c r="HJ13" t="n">
        <v>46.447</v>
      </c>
      <c r="HK13" t="n">
        <v>37.31</v>
      </c>
      <c r="HL13" t="n">
        <v>10.3</v>
      </c>
      <c r="HM13" t="n">
        <v>87.379</v>
      </c>
      <c r="HN13" t="n">
        <v>8.199999999999999</v>
      </c>
      <c r="HO13" t="n">
        <v>44.4</v>
      </c>
      <c r="HP13" t="n">
        <v>70.5</v>
      </c>
      <c r="HQ13" t="n">
        <v>4.78</v>
      </c>
      <c r="HR13" t="n">
        <v>-48</v>
      </c>
      <c r="HS13" t="n">
        <v>-119.3</v>
      </c>
      <c r="HT13" t="n">
        <v>0.4</v>
      </c>
      <c r="HU13" t="n">
        <v>-0.4</v>
      </c>
      <c r="HV13" t="n">
        <v>-22.1</v>
      </c>
      <c r="HW13" t="n">
        <v>-0.6</v>
      </c>
      <c r="HX13" t="n">
        <v>-22.7</v>
      </c>
      <c r="HY13" t="n">
        <v>1.8</v>
      </c>
      <c r="HZ13" t="n">
        <v>-12</v>
      </c>
      <c r="IA13" t="n">
        <v>100.33</v>
      </c>
      <c r="IB13" t="n">
        <v>17.738</v>
      </c>
      <c r="IC13" t="n">
        <v>-4.2</v>
      </c>
      <c r="ID13" t="n">
        <v>0.8</v>
      </c>
      <c r="IE13" t="n">
        <v>1.874</v>
      </c>
      <c r="IF13" t="n">
        <v>-1.13</v>
      </c>
      <c r="IG13" t="n">
        <v>-2.9</v>
      </c>
      <c r="IH13" t="n">
        <v>-16</v>
      </c>
      <c r="II13" t="n">
        <v>-18.9</v>
      </c>
      <c r="IJ13" t="n">
        <v>-0.9</v>
      </c>
      <c r="IK13" t="n">
        <v>-4.4</v>
      </c>
      <c r="IL13" t="n">
        <v>-4.4</v>
      </c>
      <c r="IM13" t="n">
        <v>-3.5</v>
      </c>
      <c r="IN13" t="n">
        <v>-0.9</v>
      </c>
      <c r="IO13" t="n">
        <v>-2.8</v>
      </c>
      <c r="IP13" t="n">
        <v>-2.4</v>
      </c>
      <c r="IQ13" t="n">
        <v>0.8</v>
      </c>
      <c r="IR13" t="n">
        <v>-6.5</v>
      </c>
      <c r="IS13" t="n">
        <v>2</v>
      </c>
      <c r="IT13" t="n">
        <v>0.1</v>
      </c>
      <c r="IU13" t="n">
        <v>0.9</v>
      </c>
      <c r="IV13" t="n">
        <v>1</v>
      </c>
      <c r="IW13" t="n">
        <v>-2.5</v>
      </c>
      <c r="IX13" t="n">
        <v>-15.5</v>
      </c>
      <c r="IY13" t="n">
        <v>-0.2</v>
      </c>
      <c r="IZ13" t="n">
        <v>1.2</v>
      </c>
      <c r="JA13" t="n">
        <v>0.1</v>
      </c>
      <c r="JB13" t="n">
        <v>-0.7</v>
      </c>
      <c r="JC13" t="n">
        <v>0.9</v>
      </c>
      <c r="JD13" t="n">
        <v>0</v>
      </c>
      <c r="JE13" t="n">
        <v>5.4</v>
      </c>
      <c r="JF13" t="n">
        <v>3.1</v>
      </c>
      <c r="JG13" t="n">
        <v>2</v>
      </c>
      <c r="JH13" t="n">
        <v>11.267</v>
      </c>
      <c r="JI13" t="n">
        <v>-5.767</v>
      </c>
      <c r="JJ13" t="n">
        <v>0.055</v>
      </c>
      <c r="JK13" t="n">
        <v>2.4</v>
      </c>
      <c r="JL13" t="n">
        <v>-2.2</v>
      </c>
      <c r="JM13" t="n">
        <v>5.2</v>
      </c>
      <c r="JN13" t="n">
        <v>13.8</v>
      </c>
      <c r="JO13" t="n">
        <v>-7.5</v>
      </c>
      <c r="JP13" t="n">
        <v>-0.9</v>
      </c>
      <c r="JQ13" t="n">
        <v>-2.1</v>
      </c>
      <c r="JR13" t="n">
        <v>-7.6</v>
      </c>
      <c r="JS13" t="n">
        <v>0.1</v>
      </c>
      <c r="JT13" t="n">
        <v>18.2</v>
      </c>
      <c r="JU13" t="n">
        <v>1.8</v>
      </c>
      <c r="JV13" t="n">
        <v>1.6</v>
      </c>
      <c r="JW13" t="n">
        <v>0.3</v>
      </c>
      <c r="JX13" t="n">
        <v>0.9</v>
      </c>
      <c r="JY13" t="n">
        <v>-1.7</v>
      </c>
      <c r="JZ13" t="n">
        <v>3</v>
      </c>
      <c r="KA13" t="n">
        <v>0.7</v>
      </c>
    </row>
    <row r="14">
      <c r="A14" t="inlineStr">
        <is>
          <t>Collingwood</t>
        </is>
      </c>
      <c r="B14" t="inlineStr">
        <is>
          <t>Coll</t>
        </is>
      </c>
      <c r="C14" t="n">
        <v>10</v>
      </c>
      <c r="D14" t="n">
        <v>32</v>
      </c>
      <c r="E14" t="n">
        <v>28.977</v>
      </c>
      <c r="F14" t="n">
        <v>164.717</v>
      </c>
      <c r="G14" t="n">
        <v>204.99</v>
      </c>
      <c r="H14" t="n">
        <v>1630.7</v>
      </c>
      <c r="I14" t="n">
        <v>1480.9</v>
      </c>
      <c r="J14" t="n">
        <v>14.1</v>
      </c>
      <c r="K14" t="n">
        <v>53.345</v>
      </c>
      <c r="L14" t="n">
        <v>41.6</v>
      </c>
      <c r="M14" t="n">
        <v>202.6</v>
      </c>
      <c r="N14" t="n">
        <v>145.7</v>
      </c>
      <c r="O14" t="n">
        <v>348.3</v>
      </c>
      <c r="P14" t="n">
        <v>70.37</v>
      </c>
      <c r="Q14" t="n">
        <v>64.511</v>
      </c>
      <c r="R14" t="n">
        <v>78.518</v>
      </c>
      <c r="S14" t="n">
        <v>58.168</v>
      </c>
      <c r="T14" t="n">
        <v>6.333</v>
      </c>
      <c r="U14" t="n">
        <v>54.4</v>
      </c>
      <c r="V14" t="n">
        <v>35.2</v>
      </c>
      <c r="W14" t="n">
        <v>74.735</v>
      </c>
      <c r="X14" t="n">
        <v>5993.7</v>
      </c>
      <c r="Y14" t="n">
        <v>17.208</v>
      </c>
      <c r="Z14" t="n">
        <v>5476.752</v>
      </c>
      <c r="AA14" t="n">
        <v>27.22</v>
      </c>
      <c r="AB14" t="n">
        <v>311.059</v>
      </c>
      <c r="AC14" t="n">
        <v>2.139</v>
      </c>
      <c r="AD14" t="n">
        <v>60.5</v>
      </c>
      <c r="AE14" t="n">
        <v>5.757</v>
      </c>
      <c r="AF14" t="n">
        <v>64.5</v>
      </c>
      <c r="AG14" t="n">
        <v>5.4</v>
      </c>
      <c r="AH14" t="n">
        <v>67.405</v>
      </c>
      <c r="AI14" t="n">
        <v>44.966</v>
      </c>
      <c r="AJ14" t="n">
        <v>24.968</v>
      </c>
      <c r="AK14" t="n">
        <v>-3.601</v>
      </c>
      <c r="AL14" t="n">
        <v>55.031</v>
      </c>
      <c r="AM14" t="n">
        <v>-0.105</v>
      </c>
      <c r="AN14" t="n">
        <v>128.8</v>
      </c>
      <c r="AO14" t="n">
        <v>209.4</v>
      </c>
      <c r="AP14" t="n">
        <v>338.2</v>
      </c>
      <c r="AQ14" t="n">
        <v>38.084</v>
      </c>
      <c r="AR14" t="n">
        <v>70.09999999999999</v>
      </c>
      <c r="AS14" t="n">
        <v>82.59999999999999</v>
      </c>
      <c r="AT14" t="n">
        <v>14.3</v>
      </c>
      <c r="AU14" t="n">
        <v>20.2</v>
      </c>
      <c r="AV14" t="n">
        <v>62.4</v>
      </c>
      <c r="AW14" t="n">
        <v>79.3</v>
      </c>
      <c r="AX14" t="n">
        <v>53.7</v>
      </c>
      <c r="AY14" t="n">
        <v>10</v>
      </c>
      <c r="AZ14" t="n">
        <v>20.4</v>
      </c>
      <c r="BA14" t="n">
        <v>109.7</v>
      </c>
      <c r="BB14" t="n">
        <v>11.3</v>
      </c>
      <c r="BC14" t="n">
        <v>23.7</v>
      </c>
      <c r="BD14" t="n">
        <v>35</v>
      </c>
      <c r="BE14" t="n">
        <v>42.6</v>
      </c>
      <c r="BF14" t="n">
        <v>69.014</v>
      </c>
      <c r="BG14" t="n">
        <v>84.2</v>
      </c>
      <c r="BH14" t="n">
        <v>9.800000000000001</v>
      </c>
      <c r="BI14" t="n">
        <v>12.7</v>
      </c>
      <c r="BJ14" t="n">
        <v>23.346</v>
      </c>
      <c r="BK14" t="n">
        <v>18.3</v>
      </c>
      <c r="BL14" t="n">
        <v>9.4</v>
      </c>
      <c r="BM14" t="n">
        <v>20</v>
      </c>
      <c r="BN14" t="n">
        <v>7</v>
      </c>
      <c r="BO14" t="n">
        <v>10.6</v>
      </c>
      <c r="BP14" t="n">
        <v>11.2</v>
      </c>
      <c r="BQ14" t="n">
        <v>74.8</v>
      </c>
      <c r="BR14" t="n">
        <v>2.1</v>
      </c>
      <c r="BS14" t="n">
        <v>23.8</v>
      </c>
      <c r="BT14" t="n">
        <v>8</v>
      </c>
      <c r="BU14" t="n">
        <v>44.538</v>
      </c>
      <c r="BV14" t="n">
        <v>19.485</v>
      </c>
      <c r="BW14" t="n">
        <v>40.074</v>
      </c>
      <c r="BX14" t="n">
        <v>43.75</v>
      </c>
      <c r="BY14" t="n">
        <v>9.199999999999999</v>
      </c>
      <c r="BZ14" t="n">
        <v>22.826</v>
      </c>
      <c r="CA14" t="n">
        <v>5.279</v>
      </c>
      <c r="CB14" t="n">
        <v>-1.279</v>
      </c>
      <c r="CC14" t="n">
        <v>72.101</v>
      </c>
      <c r="CD14" t="n">
        <v>0.599</v>
      </c>
      <c r="CE14" t="n">
        <v>3.029</v>
      </c>
      <c r="CF14" t="n">
        <v>0.025</v>
      </c>
      <c r="CG14" t="n">
        <v>3.238</v>
      </c>
      <c r="CH14" t="n">
        <v>0.08</v>
      </c>
      <c r="CI14" t="n">
        <v>2.756</v>
      </c>
      <c r="CJ14" t="n">
        <v>-0.047</v>
      </c>
      <c r="CK14" t="n">
        <v>2.6</v>
      </c>
      <c r="CL14" t="n">
        <v>29.4</v>
      </c>
      <c r="CM14" t="n">
        <v>42.8</v>
      </c>
      <c r="CN14" t="n">
        <v>21.7</v>
      </c>
      <c r="CO14" t="n">
        <v>43.1</v>
      </c>
      <c r="CP14" t="n">
        <v>10</v>
      </c>
      <c r="CQ14" t="n">
        <v>19.283</v>
      </c>
      <c r="CR14" t="n">
        <v>24.86</v>
      </c>
      <c r="CS14" t="n">
        <v>6.983</v>
      </c>
      <c r="CT14" t="n">
        <v>32.258</v>
      </c>
      <c r="CU14" t="n">
        <v>10.308</v>
      </c>
      <c r="CV14" t="n">
        <v>9.199999999999999</v>
      </c>
      <c r="CW14" t="n">
        <v>25</v>
      </c>
      <c r="CX14" t="n">
        <v>65.09999999999999</v>
      </c>
      <c r="CY14" t="n">
        <v>15.2</v>
      </c>
      <c r="CZ14" t="n">
        <v>280.1</v>
      </c>
      <c r="DA14" t="n">
        <v>125.9</v>
      </c>
      <c r="DB14" t="n">
        <v>28.2</v>
      </c>
      <c r="DC14" t="n">
        <v>97.2</v>
      </c>
      <c r="DD14" t="n">
        <v>37</v>
      </c>
      <c r="DE14" t="n">
        <v>38.066</v>
      </c>
      <c r="DF14" t="n">
        <v>11.4</v>
      </c>
      <c r="DG14" t="n">
        <v>30.811</v>
      </c>
      <c r="DH14" t="n">
        <v>3.2</v>
      </c>
      <c r="DI14" t="n">
        <v>48.649</v>
      </c>
      <c r="DJ14" t="n">
        <v>39.189</v>
      </c>
      <c r="DK14" t="n">
        <v>18.4</v>
      </c>
      <c r="DL14" t="n">
        <v>19.8</v>
      </c>
      <c r="DM14" t="n">
        <v>-1.4</v>
      </c>
      <c r="DN14" t="n">
        <v>8.199999999999999</v>
      </c>
      <c r="DO14" t="n">
        <v>93.902</v>
      </c>
      <c r="DP14" t="n">
        <v>4.3</v>
      </c>
      <c r="DQ14" t="n">
        <v>44.3</v>
      </c>
      <c r="DR14" t="n">
        <v>68</v>
      </c>
      <c r="DS14" t="n">
        <v>201.01</v>
      </c>
      <c r="DT14" t="n">
        <v>1669.6</v>
      </c>
      <c r="DU14" t="n">
        <v>1508</v>
      </c>
      <c r="DV14" t="n">
        <v>15.9</v>
      </c>
      <c r="DW14" t="n">
        <v>40.9</v>
      </c>
      <c r="DX14" t="n">
        <v>214.1</v>
      </c>
      <c r="DY14" t="n">
        <v>147</v>
      </c>
      <c r="DZ14" t="n">
        <v>361.1</v>
      </c>
      <c r="EA14" t="n">
        <v>71.72499999999999</v>
      </c>
      <c r="EB14" t="n">
        <v>63.802</v>
      </c>
      <c r="EC14" t="n">
        <v>83.265</v>
      </c>
      <c r="ED14" t="n">
        <v>5.547</v>
      </c>
      <c r="EE14" t="n">
        <v>47.1</v>
      </c>
      <c r="EF14" t="n">
        <v>42.8</v>
      </c>
      <c r="EG14" t="n">
        <v>78.676</v>
      </c>
      <c r="EH14" t="n">
        <v>5869.6</v>
      </c>
      <c r="EI14" t="n">
        <v>16.255</v>
      </c>
      <c r="EJ14" t="n">
        <v>5574.264</v>
      </c>
      <c r="EK14" t="n">
        <v>26.232</v>
      </c>
      <c r="EL14" t="n">
        <v>158.794</v>
      </c>
      <c r="EM14" t="n">
        <v>1.082</v>
      </c>
      <c r="EN14" t="n">
        <v>57.9</v>
      </c>
      <c r="EO14" t="n">
        <v>6.237</v>
      </c>
      <c r="EP14" t="n">
        <v>69.90000000000001</v>
      </c>
      <c r="EQ14" t="n">
        <v>5.166</v>
      </c>
      <c r="ER14" t="n">
        <v>69.562</v>
      </c>
      <c r="ES14" t="n">
        <v>45.025</v>
      </c>
      <c r="ET14" t="n">
        <v>22.635</v>
      </c>
      <c r="EU14" t="n">
        <v>-1.061</v>
      </c>
      <c r="EV14" t="n">
        <v>56.373</v>
      </c>
      <c r="EW14" t="n">
        <v>-0.897</v>
      </c>
      <c r="EX14" t="n">
        <v>134.1</v>
      </c>
      <c r="EY14" t="n">
        <v>220.3</v>
      </c>
      <c r="EZ14" t="n">
        <v>354.4</v>
      </c>
      <c r="FA14" t="n">
        <v>37.839</v>
      </c>
      <c r="FB14" t="n">
        <v>64.5</v>
      </c>
      <c r="FC14" t="n">
        <v>90.7</v>
      </c>
      <c r="FD14" t="n">
        <v>12.4</v>
      </c>
      <c r="FE14" t="n">
        <v>21.7</v>
      </c>
      <c r="FF14" t="n">
        <v>69</v>
      </c>
      <c r="FG14" t="n">
        <v>81.5</v>
      </c>
      <c r="FH14" t="n">
        <v>57.3</v>
      </c>
      <c r="FI14" t="n">
        <v>10.2</v>
      </c>
      <c r="FJ14" t="n">
        <v>21.6</v>
      </c>
      <c r="FK14" t="n">
        <v>119.7</v>
      </c>
      <c r="FL14" t="n">
        <v>10.9</v>
      </c>
      <c r="FM14" t="n">
        <v>28.7</v>
      </c>
      <c r="FN14" t="n">
        <v>39.6</v>
      </c>
      <c r="FO14" t="n">
        <v>39.8</v>
      </c>
      <c r="FP14" t="n">
        <v>75.628</v>
      </c>
      <c r="FQ14" t="n">
        <v>90.8</v>
      </c>
      <c r="FR14" t="n">
        <v>9.4</v>
      </c>
      <c r="FS14" t="n">
        <v>11.5</v>
      </c>
      <c r="FT14" t="n">
        <v>24.416</v>
      </c>
      <c r="FU14" t="n">
        <v>14.7</v>
      </c>
      <c r="FV14" t="n">
        <v>6</v>
      </c>
      <c r="FW14" t="n">
        <v>11.2</v>
      </c>
      <c r="FX14" t="n">
        <v>8.4</v>
      </c>
      <c r="FY14" t="n">
        <v>75.59999999999999</v>
      </c>
      <c r="FZ14" t="n">
        <v>2</v>
      </c>
      <c r="GA14" t="n">
        <v>21.6</v>
      </c>
      <c r="GB14" t="n">
        <v>7.9</v>
      </c>
      <c r="GC14" t="n">
        <v>51.852</v>
      </c>
      <c r="GD14" t="n">
        <v>23.779</v>
      </c>
      <c r="GE14" t="n">
        <v>41.614</v>
      </c>
      <c r="GF14" t="n">
        <v>45.86</v>
      </c>
      <c r="GG14" t="n">
        <v>72.178</v>
      </c>
      <c r="GH14" t="n">
        <v>1.422</v>
      </c>
      <c r="GI14" t="n">
        <v>3.342</v>
      </c>
      <c r="GJ14" t="n">
        <v>0.066</v>
      </c>
      <c r="GK14" t="n">
        <v>3.576</v>
      </c>
      <c r="GL14" t="n">
        <v>0.045</v>
      </c>
      <c r="GM14" t="n">
        <v>2.974</v>
      </c>
      <c r="GN14" t="n">
        <v>0.098</v>
      </c>
      <c r="GO14" t="n">
        <v>2.5</v>
      </c>
      <c r="GP14" t="n">
        <v>37.7</v>
      </c>
      <c r="GQ14" t="n">
        <v>35.4</v>
      </c>
      <c r="GR14" t="n">
        <v>30.4</v>
      </c>
      <c r="GS14" t="n">
        <v>36.4</v>
      </c>
      <c r="GT14" t="n">
        <v>8.800000000000001</v>
      </c>
      <c r="GU14" t="n">
        <v>17.186</v>
      </c>
      <c r="GV14" t="n">
        <v>20.482</v>
      </c>
      <c r="GW14" t="n">
        <v>8.916</v>
      </c>
      <c r="GX14" t="n">
        <v>29.138</v>
      </c>
      <c r="GY14" t="n">
        <v>11.507</v>
      </c>
      <c r="GZ14" t="n">
        <v>55</v>
      </c>
      <c r="HA14" t="n">
        <v>6.8</v>
      </c>
      <c r="HB14" t="n">
        <v>269.6</v>
      </c>
      <c r="HC14" t="n">
        <v>143.5</v>
      </c>
      <c r="HD14" t="n">
        <v>35.4</v>
      </c>
      <c r="HE14" t="n">
        <v>41.1</v>
      </c>
      <c r="HF14" t="n">
        <v>42.371</v>
      </c>
      <c r="HG14" t="n">
        <v>11.1</v>
      </c>
      <c r="HH14" t="n">
        <v>27.007</v>
      </c>
      <c r="HI14" t="n">
        <v>2.3</v>
      </c>
      <c r="HJ14" t="n">
        <v>45.012</v>
      </c>
      <c r="HK14" t="n">
        <v>44.039</v>
      </c>
      <c r="HL14" t="n">
        <v>10.8</v>
      </c>
      <c r="HM14" t="n">
        <v>90.741</v>
      </c>
      <c r="HN14" t="n">
        <v>4.5</v>
      </c>
      <c r="HO14" t="n">
        <v>47.7</v>
      </c>
      <c r="HP14" t="n">
        <v>68.2</v>
      </c>
      <c r="HQ14" t="n">
        <v>3.98</v>
      </c>
      <c r="HR14" t="n">
        <v>-38.9</v>
      </c>
      <c r="HS14" t="n">
        <v>-27.1</v>
      </c>
      <c r="HT14" t="n">
        <v>-1.8</v>
      </c>
      <c r="HU14" t="n">
        <v>0.7</v>
      </c>
      <c r="HV14" t="n">
        <v>-11.5</v>
      </c>
      <c r="HW14" t="n">
        <v>-1.3</v>
      </c>
      <c r="HX14" t="n">
        <v>-12.8</v>
      </c>
      <c r="HY14" t="n">
        <v>7.3</v>
      </c>
      <c r="HZ14" t="n">
        <v>124.1</v>
      </c>
      <c r="IA14" t="n">
        <v>-97.512</v>
      </c>
      <c r="IB14" t="n">
        <v>152.265</v>
      </c>
      <c r="IC14" t="n">
        <v>2.6</v>
      </c>
      <c r="ID14" t="n">
        <v>-5.4</v>
      </c>
      <c r="IE14" t="n">
        <v>-2.54</v>
      </c>
      <c r="IF14" t="n">
        <v>0.792</v>
      </c>
      <c r="IG14" t="n">
        <v>-5.3</v>
      </c>
      <c r="IH14" t="n">
        <v>-10.9</v>
      </c>
      <c r="II14" t="n">
        <v>-16.2</v>
      </c>
      <c r="IJ14" t="n">
        <v>5.6</v>
      </c>
      <c r="IK14" t="n">
        <v>-8.1</v>
      </c>
      <c r="IL14" t="n">
        <v>1.9</v>
      </c>
      <c r="IM14" t="n">
        <v>-1.5</v>
      </c>
      <c r="IN14" t="n">
        <v>-6.6</v>
      </c>
      <c r="IO14" t="n">
        <v>-2.2</v>
      </c>
      <c r="IP14" t="n">
        <v>-3.6</v>
      </c>
      <c r="IQ14" t="n">
        <v>-0.2</v>
      </c>
      <c r="IR14" t="n">
        <v>-1.2</v>
      </c>
      <c r="IS14" t="n">
        <v>-10</v>
      </c>
      <c r="IT14" t="n">
        <v>0.4</v>
      </c>
      <c r="IU14" t="n">
        <v>-5</v>
      </c>
      <c r="IV14" t="n">
        <v>-4.6</v>
      </c>
      <c r="IW14" t="n">
        <v>2.8</v>
      </c>
      <c r="IX14" t="n">
        <v>-6.6</v>
      </c>
      <c r="IY14" t="n">
        <v>0.4</v>
      </c>
      <c r="IZ14" t="n">
        <v>1.2</v>
      </c>
      <c r="JA14" t="n">
        <v>3.6</v>
      </c>
      <c r="JB14" t="n">
        <v>3.4</v>
      </c>
      <c r="JC14" t="n">
        <v>-0.6</v>
      </c>
      <c r="JD14" t="n">
        <v>2.8</v>
      </c>
      <c r="JE14" t="n">
        <v>-0.8</v>
      </c>
      <c r="JF14" t="n">
        <v>2.2</v>
      </c>
      <c r="JG14" t="n">
        <v>0.1</v>
      </c>
      <c r="JH14" t="n">
        <v>-0.077</v>
      </c>
      <c r="JI14" t="n">
        <v>-0.823</v>
      </c>
      <c r="JJ14" t="n">
        <v>-0.312</v>
      </c>
      <c r="JK14" t="n">
        <v>0.1</v>
      </c>
      <c r="JL14" t="n">
        <v>-8.300000000000001</v>
      </c>
      <c r="JM14" t="n">
        <v>7.4</v>
      </c>
      <c r="JN14" t="n">
        <v>-8.699999999999999</v>
      </c>
      <c r="JO14" t="n">
        <v>6.7</v>
      </c>
      <c r="JP14" t="n">
        <v>1.2</v>
      </c>
      <c r="JQ14" t="n">
        <v>10.1</v>
      </c>
      <c r="JR14" t="n">
        <v>8.4</v>
      </c>
      <c r="JS14" t="n">
        <v>10.5</v>
      </c>
      <c r="JT14" t="n">
        <v>-17.6</v>
      </c>
      <c r="JU14" t="n">
        <v>-7.2</v>
      </c>
      <c r="JV14" t="n">
        <v>-4.1</v>
      </c>
      <c r="JW14" t="n">
        <v>0.3</v>
      </c>
      <c r="JX14" t="n">
        <v>0.9</v>
      </c>
      <c r="JY14" t="n">
        <v>-0.2</v>
      </c>
      <c r="JZ14" t="n">
        <v>-3.4</v>
      </c>
      <c r="KA14" t="n">
        <v>-0.2</v>
      </c>
    </row>
    <row r="15">
      <c r="A15" t="inlineStr">
        <is>
          <t>Adelaide</t>
        </is>
      </c>
      <c r="B15" t="inlineStr">
        <is>
          <t>Adel</t>
        </is>
      </c>
      <c r="C15" t="n">
        <v>10</v>
      </c>
      <c r="D15" t="n">
        <v>33</v>
      </c>
      <c r="E15" t="n">
        <v>26.036</v>
      </c>
      <c r="F15" t="n">
        <v>105.057</v>
      </c>
      <c r="G15" t="n">
        <v>198.32</v>
      </c>
      <c r="H15" t="n">
        <v>1680.5</v>
      </c>
      <c r="I15" t="n">
        <v>1494.7</v>
      </c>
      <c r="J15" t="n">
        <v>16.5</v>
      </c>
      <c r="K15" t="n">
        <v>49.605</v>
      </c>
      <c r="L15" t="n">
        <v>40.4</v>
      </c>
      <c r="M15" t="n">
        <v>215.8</v>
      </c>
      <c r="N15" t="n">
        <v>119.1</v>
      </c>
      <c r="O15" t="n">
        <v>334.9</v>
      </c>
      <c r="P15" t="n">
        <v>69.991</v>
      </c>
      <c r="Q15" t="n">
        <v>64.36499999999999</v>
      </c>
      <c r="R15" t="n">
        <v>80.185</v>
      </c>
      <c r="S15" t="n">
        <v>64.437</v>
      </c>
      <c r="T15" t="n">
        <v>5.316</v>
      </c>
      <c r="U15" t="n">
        <v>50.3</v>
      </c>
      <c r="V15" t="n">
        <v>39.2</v>
      </c>
      <c r="W15" t="n">
        <v>76.265</v>
      </c>
      <c r="X15" t="n">
        <v>5860.5</v>
      </c>
      <c r="Y15" t="n">
        <v>17.499</v>
      </c>
      <c r="Z15" t="n">
        <v>5746.115</v>
      </c>
      <c r="AA15" t="n">
        <v>26.788</v>
      </c>
      <c r="AB15" t="n">
        <v>50.161</v>
      </c>
      <c r="AC15" t="n">
        <v>0.423</v>
      </c>
      <c r="AD15" t="n">
        <v>62</v>
      </c>
      <c r="AE15" t="n">
        <v>5.402</v>
      </c>
      <c r="AF15" t="n">
        <v>69.3</v>
      </c>
      <c r="AG15" t="n">
        <v>4.833</v>
      </c>
      <c r="AH15" t="n">
        <v>67.584</v>
      </c>
      <c r="AI15" t="n">
        <v>49.409</v>
      </c>
      <c r="AJ15" t="n">
        <v>22.517</v>
      </c>
      <c r="AK15" t="n">
        <v>1.314</v>
      </c>
      <c r="AL15" t="n">
        <v>55.344</v>
      </c>
      <c r="AM15" t="n">
        <v>0.825</v>
      </c>
      <c r="AN15" t="n">
        <v>134.7</v>
      </c>
      <c r="AO15" t="n">
        <v>191.3</v>
      </c>
      <c r="AP15" t="n">
        <v>326</v>
      </c>
      <c r="AQ15" t="n">
        <v>41.319</v>
      </c>
      <c r="AR15" t="n">
        <v>70.90000000000001</v>
      </c>
      <c r="AS15" t="n">
        <v>88.3</v>
      </c>
      <c r="AT15" t="n">
        <v>13.5</v>
      </c>
      <c r="AU15" t="n">
        <v>24.9</v>
      </c>
      <c r="AV15" t="n">
        <v>63.4</v>
      </c>
      <c r="AW15" t="n">
        <v>87.59999999999999</v>
      </c>
      <c r="AX15" t="n">
        <v>59.2</v>
      </c>
      <c r="AY15" t="n">
        <v>10.7</v>
      </c>
      <c r="AZ15" t="n">
        <v>21.8</v>
      </c>
      <c r="BA15" t="n">
        <v>93.40000000000001</v>
      </c>
      <c r="BB15" t="n">
        <v>11.5</v>
      </c>
      <c r="BC15" t="n">
        <v>25.5</v>
      </c>
      <c r="BD15" t="n">
        <v>37</v>
      </c>
      <c r="BE15" t="n">
        <v>39.5</v>
      </c>
      <c r="BF15" t="n">
        <v>76.962</v>
      </c>
      <c r="BG15" t="n">
        <v>85.40000000000001</v>
      </c>
      <c r="BH15" t="n">
        <v>10.6</v>
      </c>
      <c r="BI15" t="n">
        <v>11.2</v>
      </c>
      <c r="BJ15" t="n">
        <v>22.266</v>
      </c>
      <c r="BK15" t="n">
        <v>15.2</v>
      </c>
      <c r="BL15" t="n">
        <v>6.8</v>
      </c>
      <c r="BM15" t="n">
        <v>19</v>
      </c>
      <c r="BN15" t="n">
        <v>8</v>
      </c>
      <c r="BO15" t="n">
        <v>13.7</v>
      </c>
      <c r="BP15" t="n">
        <v>9.9</v>
      </c>
      <c r="BQ15" t="n">
        <v>92.09999999999999</v>
      </c>
      <c r="BR15" t="n">
        <v>2.3</v>
      </c>
      <c r="BS15" t="n">
        <v>25.5</v>
      </c>
      <c r="BT15" t="n">
        <v>10.4</v>
      </c>
      <c r="BU15" t="n">
        <v>53.725</v>
      </c>
      <c r="BV15" t="n">
        <v>27.237</v>
      </c>
      <c r="BW15" t="n">
        <v>46.918</v>
      </c>
      <c r="BX15" t="n">
        <v>50.696</v>
      </c>
      <c r="BY15" t="n">
        <v>11.5</v>
      </c>
      <c r="BZ15" t="n">
        <v>35.652</v>
      </c>
      <c r="CA15" t="n">
        <v>5.485</v>
      </c>
      <c r="CB15" t="n">
        <v>2.515</v>
      </c>
      <c r="CC15" t="n">
        <v>82.057</v>
      </c>
      <c r="CD15" t="n">
        <v>7.743</v>
      </c>
      <c r="CE15" t="n">
        <v>3.218</v>
      </c>
      <c r="CF15" t="n">
        <v>0.304</v>
      </c>
      <c r="CG15" t="n">
        <v>3.6</v>
      </c>
      <c r="CH15" t="n">
        <v>0.378</v>
      </c>
      <c r="CI15" t="n">
        <v>2.781</v>
      </c>
      <c r="CJ15" t="n">
        <v>0.219</v>
      </c>
      <c r="CK15" t="n">
        <v>3.8</v>
      </c>
      <c r="CL15" t="n">
        <v>36</v>
      </c>
      <c r="CM15" t="n">
        <v>52.3</v>
      </c>
      <c r="CN15" t="n">
        <v>36.2</v>
      </c>
      <c r="CO15" t="n">
        <v>47.2</v>
      </c>
      <c r="CP15" t="n">
        <v>8.699999999999999</v>
      </c>
      <c r="CQ15" t="n">
        <v>20.208</v>
      </c>
      <c r="CR15" t="n">
        <v>20.256</v>
      </c>
      <c r="CS15" t="n">
        <v>9.487</v>
      </c>
      <c r="CT15" t="n">
        <v>28.245</v>
      </c>
      <c r="CU15" t="n">
        <v>12.411</v>
      </c>
      <c r="CV15" t="n">
        <v>12.2</v>
      </c>
      <c r="CW15" t="n">
        <v>21.311</v>
      </c>
      <c r="CX15" t="n">
        <v>63.5</v>
      </c>
      <c r="CY15" t="n">
        <v>8.1</v>
      </c>
      <c r="CZ15" t="n">
        <v>276.8</v>
      </c>
      <c r="DA15" t="n">
        <v>134.9</v>
      </c>
      <c r="DB15" t="n">
        <v>32.4</v>
      </c>
      <c r="DC15" t="n">
        <v>100.8</v>
      </c>
      <c r="DD15" t="n">
        <v>46.2</v>
      </c>
      <c r="DE15" t="n">
        <v>45.833</v>
      </c>
      <c r="DF15" t="n">
        <v>12.1</v>
      </c>
      <c r="DG15" t="n">
        <v>26.19</v>
      </c>
      <c r="DH15" t="n">
        <v>1.8</v>
      </c>
      <c r="DI15" t="n">
        <v>42.424</v>
      </c>
      <c r="DJ15" t="n">
        <v>39.177</v>
      </c>
      <c r="DK15" t="n">
        <v>22.6</v>
      </c>
      <c r="DL15" t="n">
        <v>19.9</v>
      </c>
      <c r="DM15" t="n">
        <v>2.7</v>
      </c>
      <c r="DN15" t="n">
        <v>9.4</v>
      </c>
      <c r="DO15" t="n">
        <v>89.36199999999999</v>
      </c>
      <c r="DP15" t="n">
        <v>4.8</v>
      </c>
      <c r="DQ15" t="n">
        <v>46</v>
      </c>
      <c r="DR15" t="n">
        <v>70.8</v>
      </c>
      <c r="DS15" t="n">
        <v>187.46</v>
      </c>
      <c r="DT15" t="n">
        <v>1619.2</v>
      </c>
      <c r="DU15" t="n">
        <v>1463</v>
      </c>
      <c r="DV15" t="n">
        <v>13.5</v>
      </c>
      <c r="DW15" t="n">
        <v>41.2</v>
      </c>
      <c r="DX15" t="n">
        <v>206.6</v>
      </c>
      <c r="DY15" t="n">
        <v>141.4</v>
      </c>
      <c r="DZ15" t="n">
        <v>348</v>
      </c>
      <c r="EA15" t="n">
        <v>70.14400000000001</v>
      </c>
      <c r="EB15" t="n">
        <v>63.069</v>
      </c>
      <c r="EC15" t="n">
        <v>80.48099999999999</v>
      </c>
      <c r="ED15" t="n">
        <v>5.48</v>
      </c>
      <c r="EE15" t="n">
        <v>51.4</v>
      </c>
      <c r="EF15" t="n">
        <v>36.3</v>
      </c>
      <c r="EG15" t="n">
        <v>72.167</v>
      </c>
      <c r="EH15" t="n">
        <v>5833.4</v>
      </c>
      <c r="EI15" t="n">
        <v>16.763</v>
      </c>
      <c r="EJ15" t="n">
        <v>5435.854</v>
      </c>
      <c r="EK15" t="n">
        <v>26.568</v>
      </c>
      <c r="EL15" t="n">
        <v>151.461</v>
      </c>
      <c r="EM15" t="n">
        <v>1.076</v>
      </c>
      <c r="EN15" t="n">
        <v>59.9</v>
      </c>
      <c r="EO15" t="n">
        <v>5.81</v>
      </c>
      <c r="EP15" t="n">
        <v>70.8</v>
      </c>
      <c r="EQ15" t="n">
        <v>4.915</v>
      </c>
      <c r="ER15" t="n">
        <v>67.003</v>
      </c>
      <c r="ES15" t="n">
        <v>42.431</v>
      </c>
      <c r="ET15" t="n">
        <v>24.062</v>
      </c>
      <c r="EU15" t="n">
        <v>-2.375</v>
      </c>
      <c r="EV15" t="n">
        <v>55.933</v>
      </c>
      <c r="EW15" t="n">
        <v>-4.299</v>
      </c>
      <c r="EX15" t="n">
        <v>135.5</v>
      </c>
      <c r="EY15" t="n">
        <v>202.8</v>
      </c>
      <c r="EZ15" t="n">
        <v>338.3</v>
      </c>
      <c r="FA15" t="n">
        <v>40.053</v>
      </c>
      <c r="FB15" t="n">
        <v>69.5</v>
      </c>
      <c r="FC15" t="n">
        <v>92.5</v>
      </c>
      <c r="FD15" t="n">
        <v>15</v>
      </c>
      <c r="FE15" t="n">
        <v>22.9</v>
      </c>
      <c r="FF15" t="n">
        <v>69.59999999999999</v>
      </c>
      <c r="FG15" t="n">
        <v>81.8</v>
      </c>
      <c r="FH15" t="n">
        <v>57.7</v>
      </c>
      <c r="FI15" t="n">
        <v>9.4</v>
      </c>
      <c r="FJ15" t="n">
        <v>21.6</v>
      </c>
      <c r="FK15" t="n">
        <v>110.7</v>
      </c>
      <c r="FL15" t="n">
        <v>12.6</v>
      </c>
      <c r="FM15" t="n">
        <v>27.7</v>
      </c>
      <c r="FN15" t="n">
        <v>40.3</v>
      </c>
      <c r="FO15" t="n">
        <v>45.4</v>
      </c>
      <c r="FP15" t="n">
        <v>75.771</v>
      </c>
      <c r="FQ15" t="n">
        <v>81.59999999999999</v>
      </c>
      <c r="FR15" t="n">
        <v>9.1</v>
      </c>
      <c r="FS15" t="n">
        <v>10.1</v>
      </c>
      <c r="FT15" t="n">
        <v>19.65</v>
      </c>
      <c r="FU15" t="n">
        <v>17.5</v>
      </c>
      <c r="FV15" t="n">
        <v>7.8</v>
      </c>
      <c r="FW15" t="n">
        <v>11</v>
      </c>
      <c r="FX15" t="n">
        <v>9.699999999999999</v>
      </c>
      <c r="FY15" t="n">
        <v>75.7</v>
      </c>
      <c r="FZ15" t="n">
        <v>1.4</v>
      </c>
      <c r="GA15" t="n">
        <v>24.1</v>
      </c>
      <c r="GB15" t="n">
        <v>7.2</v>
      </c>
      <c r="GC15" t="n">
        <v>45.643</v>
      </c>
      <c r="GD15" t="n">
        <v>21.401</v>
      </c>
      <c r="GE15" t="n">
        <v>40.272</v>
      </c>
      <c r="GF15" t="n">
        <v>46.887</v>
      </c>
      <c r="GG15" t="n">
        <v>76.381</v>
      </c>
      <c r="GH15" t="n">
        <v>-2.081</v>
      </c>
      <c r="GI15" t="n">
        <v>3.169</v>
      </c>
      <c r="GJ15" t="n">
        <v>-0.08599999999999999</v>
      </c>
      <c r="GK15" t="n">
        <v>3.384</v>
      </c>
      <c r="GL15" t="n">
        <v>-0.015</v>
      </c>
      <c r="GM15" t="n">
        <v>2.918</v>
      </c>
      <c r="GN15" t="n">
        <v>-0.17</v>
      </c>
      <c r="GO15" t="n">
        <v>3.3</v>
      </c>
      <c r="GP15" t="n">
        <v>31.5</v>
      </c>
      <c r="GQ15" t="n">
        <v>40.9</v>
      </c>
      <c r="GR15" t="n">
        <v>20.3</v>
      </c>
      <c r="GS15" t="n">
        <v>45.3</v>
      </c>
      <c r="GT15" t="n">
        <v>10.1</v>
      </c>
      <c r="GU15" t="n">
        <v>17.637</v>
      </c>
      <c r="GV15" t="n">
        <v>15.702</v>
      </c>
      <c r="GW15" t="n">
        <v>6.077</v>
      </c>
      <c r="GX15" t="n">
        <v>26.895</v>
      </c>
      <c r="GY15" t="n">
        <v>8.657</v>
      </c>
      <c r="GZ15" t="n">
        <v>63</v>
      </c>
      <c r="HA15" t="n">
        <v>12.9</v>
      </c>
      <c r="HB15" t="n">
        <v>259.9</v>
      </c>
      <c r="HC15" t="n">
        <v>120.9</v>
      </c>
      <c r="HD15" t="n">
        <v>32.8</v>
      </c>
      <c r="HE15" t="n">
        <v>37.2</v>
      </c>
      <c r="HF15" t="n">
        <v>36.868</v>
      </c>
      <c r="HG15" t="n">
        <v>9.9</v>
      </c>
      <c r="HH15" t="n">
        <v>26.613</v>
      </c>
      <c r="HI15" t="n">
        <v>2.5</v>
      </c>
      <c r="HJ15" t="n">
        <v>46.505</v>
      </c>
      <c r="HK15" t="n">
        <v>41.129</v>
      </c>
      <c r="HL15" t="n">
        <v>9.800000000000001</v>
      </c>
      <c r="HM15" t="n">
        <v>93.878</v>
      </c>
      <c r="HN15" t="n">
        <v>5.4</v>
      </c>
      <c r="HO15" t="n">
        <v>44.2</v>
      </c>
      <c r="HP15" t="n">
        <v>70.40000000000001</v>
      </c>
      <c r="HQ15" t="n">
        <v>10.86</v>
      </c>
      <c r="HR15" t="n">
        <v>61.3</v>
      </c>
      <c r="HS15" t="n">
        <v>31.7</v>
      </c>
      <c r="HT15" t="n">
        <v>3</v>
      </c>
      <c r="HU15" t="n">
        <v>-0.8</v>
      </c>
      <c r="HV15" t="n">
        <v>9.199999999999999</v>
      </c>
      <c r="HW15" t="n">
        <v>-22.3</v>
      </c>
      <c r="HX15" t="n">
        <v>-13.1</v>
      </c>
      <c r="HY15" t="n">
        <v>-1.1</v>
      </c>
      <c r="HZ15" t="n">
        <v>27.1</v>
      </c>
      <c r="IA15" t="n">
        <v>310.261</v>
      </c>
      <c r="IB15" t="n">
        <v>-101.3</v>
      </c>
      <c r="IC15" t="n">
        <v>2.1</v>
      </c>
      <c r="ID15" t="n">
        <v>-1.5</v>
      </c>
      <c r="IE15" t="n">
        <v>3.689</v>
      </c>
      <c r="IF15" t="n">
        <v>5.124</v>
      </c>
      <c r="IG15" t="n">
        <v>-0.8</v>
      </c>
      <c r="IH15" t="n">
        <v>-11.5</v>
      </c>
      <c r="II15" t="n">
        <v>-12.3</v>
      </c>
      <c r="IJ15" t="n">
        <v>1.4</v>
      </c>
      <c r="IK15" t="n">
        <v>-4.2</v>
      </c>
      <c r="IL15" t="n">
        <v>-1.5</v>
      </c>
      <c r="IM15" t="n">
        <v>2</v>
      </c>
      <c r="IN15" t="n">
        <v>-6.2</v>
      </c>
      <c r="IO15" t="n">
        <v>5.8</v>
      </c>
      <c r="IP15" t="n">
        <v>1.5</v>
      </c>
      <c r="IQ15" t="n">
        <v>1.3</v>
      </c>
      <c r="IR15" t="n">
        <v>0.2</v>
      </c>
      <c r="IS15" t="n">
        <v>-17.3</v>
      </c>
      <c r="IT15" t="n">
        <v>-1.1</v>
      </c>
      <c r="IU15" t="n">
        <v>-2.2</v>
      </c>
      <c r="IV15" t="n">
        <v>-3.3</v>
      </c>
      <c r="IW15" t="n">
        <v>-5.9</v>
      </c>
      <c r="IX15" t="n">
        <v>3.8</v>
      </c>
      <c r="IY15" t="n">
        <v>1.5</v>
      </c>
      <c r="IZ15" t="n">
        <v>1.1</v>
      </c>
      <c r="JA15" t="n">
        <v>-2.3</v>
      </c>
      <c r="JB15" t="n">
        <v>-1</v>
      </c>
      <c r="JC15" t="n">
        <v>2.7</v>
      </c>
      <c r="JD15" t="n">
        <v>0.2</v>
      </c>
      <c r="JE15" t="n">
        <v>16.4</v>
      </c>
      <c r="JF15" t="n">
        <v>1.4</v>
      </c>
      <c r="JG15" t="n">
        <v>3.2</v>
      </c>
      <c r="JH15" t="n">
        <v>5.676</v>
      </c>
      <c r="JI15" t="n">
        <v>9.824</v>
      </c>
      <c r="JJ15" t="n">
        <v>0.049</v>
      </c>
      <c r="JK15" t="n">
        <v>0.5</v>
      </c>
      <c r="JL15" t="n">
        <v>4.5</v>
      </c>
      <c r="JM15" t="n">
        <v>11.4</v>
      </c>
      <c r="JN15" t="n">
        <v>15.9</v>
      </c>
      <c r="JO15" t="n">
        <v>1.9</v>
      </c>
      <c r="JP15" t="n">
        <v>-1.4</v>
      </c>
      <c r="JQ15" t="n">
        <v>0.5</v>
      </c>
      <c r="JR15" t="n">
        <v>-4.8</v>
      </c>
      <c r="JS15" t="n">
        <v>16.9</v>
      </c>
      <c r="JT15" t="n">
        <v>14</v>
      </c>
      <c r="JU15" t="n">
        <v>-0.4</v>
      </c>
      <c r="JV15" t="n">
        <v>9</v>
      </c>
      <c r="JW15" t="n">
        <v>2.2</v>
      </c>
      <c r="JX15" t="n">
        <v>-0.7</v>
      </c>
      <c r="JY15" t="n">
        <v>-0.6</v>
      </c>
      <c r="JZ15" t="n">
        <v>1.8</v>
      </c>
      <c r="KA15" t="n">
        <v>0.4</v>
      </c>
    </row>
    <row r="16">
      <c r="A16" t="inlineStr">
        <is>
          <t>Gold Coast</t>
        </is>
      </c>
      <c r="B16" t="inlineStr">
        <is>
          <t>GC</t>
        </is>
      </c>
      <c r="C16" t="n">
        <v>10</v>
      </c>
      <c r="D16" t="n">
        <v>33</v>
      </c>
      <c r="E16" t="n">
        <v>25.789</v>
      </c>
      <c r="F16" t="n">
        <v>101.596</v>
      </c>
      <c r="G16" t="n">
        <v>205.39</v>
      </c>
      <c r="H16" t="n">
        <v>1691.2</v>
      </c>
      <c r="I16" t="n">
        <v>1467.9</v>
      </c>
      <c r="J16" t="n">
        <v>16.7</v>
      </c>
      <c r="K16" t="n">
        <v>52.695</v>
      </c>
      <c r="L16" t="n">
        <v>42.3</v>
      </c>
      <c r="M16" t="n">
        <v>195.6</v>
      </c>
      <c r="N16" t="n">
        <v>159.3</v>
      </c>
      <c r="O16" t="n">
        <v>354.9</v>
      </c>
      <c r="P16" t="n">
        <v>74.782</v>
      </c>
      <c r="Q16" t="n">
        <v>68.50700000000001</v>
      </c>
      <c r="R16" t="n">
        <v>82.486</v>
      </c>
      <c r="S16" t="n">
        <v>55.114</v>
      </c>
      <c r="T16" t="n">
        <v>5.598</v>
      </c>
      <c r="U16" t="n">
        <v>53.9</v>
      </c>
      <c r="V16" t="n">
        <v>38.6</v>
      </c>
      <c r="W16" t="n">
        <v>77.2</v>
      </c>
      <c r="X16" t="n">
        <v>6144.9</v>
      </c>
      <c r="Y16" t="n">
        <v>17.314</v>
      </c>
      <c r="Z16" t="n">
        <v>5626.688</v>
      </c>
      <c r="AA16" t="n">
        <v>28.944</v>
      </c>
      <c r="AB16" t="n">
        <v>283.205</v>
      </c>
      <c r="AC16" t="n">
        <v>1.791</v>
      </c>
      <c r="AD16" t="n">
        <v>57.4</v>
      </c>
      <c r="AE16" t="n">
        <v>6.183</v>
      </c>
      <c r="AF16" t="n">
        <v>62.3</v>
      </c>
      <c r="AG16" t="n">
        <v>5.697</v>
      </c>
      <c r="AH16" t="n">
        <v>70.89700000000001</v>
      </c>
      <c r="AI16" t="n">
        <v>49.142</v>
      </c>
      <c r="AJ16" t="n">
        <v>24.304</v>
      </c>
      <c r="AK16" t="n">
        <v>1.272</v>
      </c>
      <c r="AL16" t="n">
        <v>55.011</v>
      </c>
      <c r="AM16" t="n">
        <v>1.741</v>
      </c>
      <c r="AN16" t="n">
        <v>130.1</v>
      </c>
      <c r="AO16" t="n">
        <v>217.9</v>
      </c>
      <c r="AP16" t="n">
        <v>348</v>
      </c>
      <c r="AQ16" t="n">
        <v>37.385</v>
      </c>
      <c r="AR16" t="n">
        <v>62.3</v>
      </c>
      <c r="AS16" t="n">
        <v>85.90000000000001</v>
      </c>
      <c r="AT16" t="n">
        <v>14.5</v>
      </c>
      <c r="AU16" t="n">
        <v>19.8</v>
      </c>
      <c r="AV16" t="n">
        <v>66.09999999999999</v>
      </c>
      <c r="AW16" t="n">
        <v>79.8</v>
      </c>
      <c r="AX16" t="n">
        <v>54.8</v>
      </c>
      <c r="AY16" t="n">
        <v>10.3</v>
      </c>
      <c r="AZ16" t="n">
        <v>22.2</v>
      </c>
      <c r="BA16" t="n">
        <v>128.2</v>
      </c>
      <c r="BB16" t="n">
        <v>11.3</v>
      </c>
      <c r="BC16" t="n">
        <v>26.4</v>
      </c>
      <c r="BD16" t="n">
        <v>37.7</v>
      </c>
      <c r="BE16" t="n">
        <v>41.8</v>
      </c>
      <c r="BF16" t="n">
        <v>77.033</v>
      </c>
      <c r="BG16" t="n">
        <v>80.90000000000001</v>
      </c>
      <c r="BH16" t="n">
        <v>10.1</v>
      </c>
      <c r="BI16" t="n">
        <v>12.9</v>
      </c>
      <c r="BJ16" t="n">
        <v>23.933</v>
      </c>
      <c r="BK16" t="n">
        <v>12.7</v>
      </c>
      <c r="BL16" t="n">
        <v>9.300000000000001</v>
      </c>
      <c r="BM16" t="n">
        <v>20</v>
      </c>
      <c r="BN16" t="n">
        <v>7.3</v>
      </c>
      <c r="BO16" t="n">
        <v>12.5</v>
      </c>
      <c r="BP16" t="n">
        <v>11.8</v>
      </c>
      <c r="BQ16" t="n">
        <v>86.8</v>
      </c>
      <c r="BR16" t="n">
        <v>2.7</v>
      </c>
      <c r="BS16" t="n">
        <v>26</v>
      </c>
      <c r="BT16" t="n">
        <v>8.800000000000001</v>
      </c>
      <c r="BU16" t="n">
        <v>48.077</v>
      </c>
      <c r="BV16" t="n">
        <v>23.191</v>
      </c>
      <c r="BW16" t="n">
        <v>45.083</v>
      </c>
      <c r="BX16" t="n">
        <v>48.237</v>
      </c>
      <c r="BY16" t="n">
        <v>11.1</v>
      </c>
      <c r="BZ16" t="n">
        <v>22.523</v>
      </c>
      <c r="CA16" t="n">
        <v>5.348</v>
      </c>
      <c r="CB16" t="n">
        <v>0.652</v>
      </c>
      <c r="CC16" t="n">
        <v>83.506</v>
      </c>
      <c r="CD16" t="n">
        <v>0.594</v>
      </c>
      <c r="CE16" t="n">
        <v>3.212</v>
      </c>
      <c r="CF16" t="n">
        <v>0.023</v>
      </c>
      <c r="CG16" t="n">
        <v>3.395</v>
      </c>
      <c r="CH16" t="n">
        <v>0.036</v>
      </c>
      <c r="CI16" t="n">
        <v>2.958</v>
      </c>
      <c r="CJ16" t="n">
        <v>0.005</v>
      </c>
      <c r="CK16" t="n">
        <v>3.2</v>
      </c>
      <c r="CL16" t="n">
        <v>37.5</v>
      </c>
      <c r="CM16" t="n">
        <v>46.1</v>
      </c>
      <c r="CN16" t="n">
        <v>31.7</v>
      </c>
      <c r="CO16" t="n">
        <v>41.1</v>
      </c>
      <c r="CP16" t="n">
        <v>14</v>
      </c>
      <c r="CQ16" t="n">
        <v>22.14</v>
      </c>
      <c r="CR16" t="n">
        <v>25.581</v>
      </c>
      <c r="CS16" t="n">
        <v>10.622</v>
      </c>
      <c r="CT16" t="n">
        <v>33.746</v>
      </c>
      <c r="CU16" t="n">
        <v>14.308</v>
      </c>
      <c r="CV16" t="n">
        <v>12.2</v>
      </c>
      <c r="CW16" t="n">
        <v>27.869</v>
      </c>
      <c r="CX16" t="n">
        <v>58.9</v>
      </c>
      <c r="CY16" t="n">
        <v>11.7</v>
      </c>
      <c r="CZ16" t="n">
        <v>256.9</v>
      </c>
      <c r="DA16" t="n">
        <v>118.4</v>
      </c>
      <c r="DB16" t="n">
        <v>35.5</v>
      </c>
      <c r="DC16" t="n">
        <v>96.5</v>
      </c>
      <c r="DD16" t="n">
        <v>46.2</v>
      </c>
      <c r="DE16" t="n">
        <v>47.876</v>
      </c>
      <c r="DF16" t="n">
        <v>11.7</v>
      </c>
      <c r="DG16" t="n">
        <v>25.325</v>
      </c>
      <c r="DH16" t="n">
        <v>2.2</v>
      </c>
      <c r="DI16" t="n">
        <v>41.775</v>
      </c>
      <c r="DJ16" t="n">
        <v>37.662</v>
      </c>
      <c r="DK16" t="n">
        <v>20.8</v>
      </c>
      <c r="DL16" t="n">
        <v>22.3</v>
      </c>
      <c r="DM16" t="n">
        <v>-1.5</v>
      </c>
      <c r="DN16" t="n">
        <v>10.6</v>
      </c>
      <c r="DO16" t="n">
        <v>94.34</v>
      </c>
      <c r="DP16" t="n">
        <v>8.699999999999999</v>
      </c>
      <c r="DQ16" t="n">
        <v>45.6</v>
      </c>
      <c r="DR16" t="n">
        <v>71.7</v>
      </c>
      <c r="DS16" t="n">
        <v>194.47</v>
      </c>
      <c r="DT16" t="n">
        <v>1608.9</v>
      </c>
      <c r="DU16" t="n">
        <v>1453.4</v>
      </c>
      <c r="DV16" t="n">
        <v>13.3</v>
      </c>
      <c r="DW16" t="n">
        <v>40.2</v>
      </c>
      <c r="DX16" t="n">
        <v>200.8</v>
      </c>
      <c r="DY16" t="n">
        <v>142</v>
      </c>
      <c r="DZ16" t="n">
        <v>342.8</v>
      </c>
      <c r="EA16" t="n">
        <v>71.441</v>
      </c>
      <c r="EB16" t="n">
        <v>65.139</v>
      </c>
      <c r="EC16" t="n">
        <v>80.352</v>
      </c>
      <c r="ED16" t="n">
        <v>5.82</v>
      </c>
      <c r="EE16" t="n">
        <v>50</v>
      </c>
      <c r="EF16" t="n">
        <v>40.6</v>
      </c>
      <c r="EG16" t="n">
        <v>75.325</v>
      </c>
      <c r="EH16" t="n">
        <v>5902.6</v>
      </c>
      <c r="EI16" t="n">
        <v>17.219</v>
      </c>
      <c r="EJ16" t="n">
        <v>5405.236</v>
      </c>
      <c r="EK16" t="n">
        <v>27.067</v>
      </c>
      <c r="EL16" t="n">
        <v>196.38</v>
      </c>
      <c r="EM16" t="n">
        <v>1.386</v>
      </c>
      <c r="EN16" t="n">
        <v>59.2</v>
      </c>
      <c r="EO16" t="n">
        <v>5.791</v>
      </c>
      <c r="EP16" t="n">
        <v>62.3</v>
      </c>
      <c r="EQ16" t="n">
        <v>5.502</v>
      </c>
      <c r="ER16" t="n">
        <v>69.23099999999999</v>
      </c>
      <c r="ES16" t="n">
        <v>46.024</v>
      </c>
      <c r="ET16" t="n">
        <v>22.333</v>
      </c>
      <c r="EU16" t="n">
        <v>2.035</v>
      </c>
      <c r="EV16" t="n">
        <v>56.534</v>
      </c>
      <c r="EW16" t="n">
        <v>0.025</v>
      </c>
      <c r="EX16" t="n">
        <v>129.4</v>
      </c>
      <c r="EY16" t="n">
        <v>205.5</v>
      </c>
      <c r="EZ16" t="n">
        <v>334.9</v>
      </c>
      <c r="FA16" t="n">
        <v>38.638</v>
      </c>
      <c r="FB16" t="n">
        <v>62.6</v>
      </c>
      <c r="FC16" t="n">
        <v>85.40000000000001</v>
      </c>
      <c r="FD16" t="n">
        <v>13.8</v>
      </c>
      <c r="FE16" t="n">
        <v>23.9</v>
      </c>
      <c r="FF16" t="n">
        <v>61.5</v>
      </c>
      <c r="FG16" t="n">
        <v>81.09999999999999</v>
      </c>
      <c r="FH16" t="n">
        <v>56</v>
      </c>
      <c r="FI16" t="n">
        <v>9.1</v>
      </c>
      <c r="FJ16" t="n">
        <v>21.3</v>
      </c>
      <c r="FK16" t="n">
        <v>109.4</v>
      </c>
      <c r="FL16" t="n">
        <v>10.3</v>
      </c>
      <c r="FM16" t="n">
        <v>25.2</v>
      </c>
      <c r="FN16" t="n">
        <v>35.5</v>
      </c>
      <c r="FO16" t="n">
        <v>40.5</v>
      </c>
      <c r="FP16" t="n">
        <v>71.605</v>
      </c>
      <c r="FQ16" t="n">
        <v>81.5</v>
      </c>
      <c r="FR16" t="n">
        <v>8.1</v>
      </c>
      <c r="FS16" t="n">
        <v>9.800000000000001</v>
      </c>
      <c r="FT16" t="n">
        <v>19.6</v>
      </c>
      <c r="FU16" t="n">
        <v>13.6</v>
      </c>
      <c r="FV16" t="n">
        <v>7.9</v>
      </c>
      <c r="FW16" t="n">
        <v>10.7</v>
      </c>
      <c r="FX16" t="n">
        <v>10.8</v>
      </c>
      <c r="FY16" t="n">
        <v>75</v>
      </c>
      <c r="FZ16" t="n">
        <v>2.5</v>
      </c>
      <c r="GA16" t="n">
        <v>23.7</v>
      </c>
      <c r="GB16" t="n">
        <v>8.199999999999999</v>
      </c>
      <c r="GC16" t="n">
        <v>45.148</v>
      </c>
      <c r="GD16" t="n">
        <v>21.4</v>
      </c>
      <c r="GE16" t="n">
        <v>43</v>
      </c>
      <c r="GF16" t="n">
        <v>47.4</v>
      </c>
      <c r="GG16" t="n">
        <v>76.491</v>
      </c>
      <c r="GH16" t="n">
        <v>-3.991</v>
      </c>
      <c r="GI16" t="n">
        <v>3.227</v>
      </c>
      <c r="GJ16" t="n">
        <v>-0.168</v>
      </c>
      <c r="GK16" t="n">
        <v>3.467</v>
      </c>
      <c r="GL16" t="n">
        <v>0.276</v>
      </c>
      <c r="GM16" t="n">
        <v>2.927</v>
      </c>
      <c r="GN16" t="n">
        <v>-0.727</v>
      </c>
      <c r="GO16" t="n">
        <v>5.1</v>
      </c>
      <c r="GP16" t="n">
        <v>28.4</v>
      </c>
      <c r="GQ16" t="n">
        <v>41.5</v>
      </c>
      <c r="GR16" t="n">
        <v>30.4</v>
      </c>
      <c r="GS16" t="n">
        <v>36.9</v>
      </c>
      <c r="GT16" t="n">
        <v>7.7</v>
      </c>
      <c r="GU16" t="n">
        <v>19.72</v>
      </c>
      <c r="GV16" t="n">
        <v>24.878</v>
      </c>
      <c r="GW16" t="n">
        <v>10.758</v>
      </c>
      <c r="GX16" t="n">
        <v>31.459</v>
      </c>
      <c r="GY16" t="n">
        <v>12.043</v>
      </c>
      <c r="GZ16" t="n">
        <v>63.4</v>
      </c>
      <c r="HA16" t="n">
        <v>12.4</v>
      </c>
      <c r="HB16" t="n">
        <v>268.7</v>
      </c>
      <c r="HC16" t="n">
        <v>130</v>
      </c>
      <c r="HD16" t="n">
        <v>28.6</v>
      </c>
      <c r="HE16" t="n">
        <v>36.5</v>
      </c>
      <c r="HF16" t="n">
        <v>37.824</v>
      </c>
      <c r="HG16" t="n">
        <v>10</v>
      </c>
      <c r="HH16" t="n">
        <v>27.397</v>
      </c>
      <c r="HI16" t="n">
        <v>1.9</v>
      </c>
      <c r="HJ16" t="n">
        <v>44.11</v>
      </c>
      <c r="HK16" t="n">
        <v>38.904</v>
      </c>
      <c r="HL16" t="n">
        <v>11.5</v>
      </c>
      <c r="HM16" t="n">
        <v>90.435</v>
      </c>
      <c r="HN16" t="n">
        <v>6.8</v>
      </c>
      <c r="HO16" t="n">
        <v>43.1</v>
      </c>
      <c r="HP16" t="n">
        <v>68.90000000000001</v>
      </c>
      <c r="HQ16" t="n">
        <v>10.92</v>
      </c>
      <c r="HR16" t="n">
        <v>82.3</v>
      </c>
      <c r="HS16" t="n">
        <v>14.5</v>
      </c>
      <c r="HT16" t="n">
        <v>3.4</v>
      </c>
      <c r="HU16" t="n">
        <v>2.1</v>
      </c>
      <c r="HV16" t="n">
        <v>-5.2</v>
      </c>
      <c r="HW16" t="n">
        <v>17.3</v>
      </c>
      <c r="HX16" t="n">
        <v>12.1</v>
      </c>
      <c r="HY16" t="n">
        <v>3.9</v>
      </c>
      <c r="HZ16" t="n">
        <v>242.3</v>
      </c>
      <c r="IA16" t="n">
        <v>221.452</v>
      </c>
      <c r="IB16" t="n">
        <v>86.825</v>
      </c>
      <c r="IC16" t="n">
        <v>-1.8</v>
      </c>
      <c r="ID16" t="n">
        <v>0</v>
      </c>
      <c r="IE16" t="n">
        <v>-0.763</v>
      </c>
      <c r="IF16" t="n">
        <v>1.716</v>
      </c>
      <c r="IG16" t="n">
        <v>0.7</v>
      </c>
      <c r="IH16" t="n">
        <v>12.4</v>
      </c>
      <c r="II16" t="n">
        <v>13.1</v>
      </c>
      <c r="IJ16" t="n">
        <v>-0.3</v>
      </c>
      <c r="IK16" t="n">
        <v>0.5</v>
      </c>
      <c r="IL16" t="n">
        <v>0.7</v>
      </c>
      <c r="IM16" t="n">
        <v>-4.1</v>
      </c>
      <c r="IN16" t="n">
        <v>4.6</v>
      </c>
      <c r="IO16" t="n">
        <v>-1.3</v>
      </c>
      <c r="IP16" t="n">
        <v>-1.2</v>
      </c>
      <c r="IQ16" t="n">
        <v>1.2</v>
      </c>
      <c r="IR16" t="n">
        <v>0.9</v>
      </c>
      <c r="IS16" t="n">
        <v>18.8</v>
      </c>
      <c r="IT16" t="n">
        <v>1</v>
      </c>
      <c r="IU16" t="n">
        <v>1.2</v>
      </c>
      <c r="IV16" t="n">
        <v>2.2</v>
      </c>
      <c r="IW16" t="n">
        <v>1.3</v>
      </c>
      <c r="IX16" t="n">
        <v>-0.6</v>
      </c>
      <c r="IY16" t="n">
        <v>2</v>
      </c>
      <c r="IZ16" t="n">
        <v>3.1</v>
      </c>
      <c r="JA16" t="n">
        <v>-0.9</v>
      </c>
      <c r="JB16" t="n">
        <v>1.4</v>
      </c>
      <c r="JC16" t="n">
        <v>1.8</v>
      </c>
      <c r="JD16" t="n">
        <v>1</v>
      </c>
      <c r="JE16" t="n">
        <v>11.8</v>
      </c>
      <c r="JF16" t="n">
        <v>2.3</v>
      </c>
      <c r="JG16" t="n">
        <v>0.6</v>
      </c>
      <c r="JH16" t="n">
        <v>7.015</v>
      </c>
      <c r="JI16" t="n">
        <v>4.585</v>
      </c>
      <c r="JJ16" t="n">
        <v>-0.016</v>
      </c>
      <c r="JK16" t="n">
        <v>-1.9</v>
      </c>
      <c r="JL16" t="n">
        <v>9.1</v>
      </c>
      <c r="JM16" t="n">
        <v>4.6</v>
      </c>
      <c r="JN16" t="n">
        <v>1.3</v>
      </c>
      <c r="JO16" t="n">
        <v>4.2</v>
      </c>
      <c r="JP16" t="n">
        <v>6.3</v>
      </c>
      <c r="JQ16" t="n">
        <v>-4.5</v>
      </c>
      <c r="JR16" t="n">
        <v>-0.7</v>
      </c>
      <c r="JS16" t="n">
        <v>-11.8</v>
      </c>
      <c r="JT16" t="n">
        <v>-11.6</v>
      </c>
      <c r="JU16" t="n">
        <v>6.9</v>
      </c>
      <c r="JV16" t="n">
        <v>9.699999999999999</v>
      </c>
      <c r="JW16" t="n">
        <v>1.7</v>
      </c>
      <c r="JX16" t="n">
        <v>0.3</v>
      </c>
      <c r="JY16" t="n">
        <v>1.9</v>
      </c>
      <c r="JZ16" t="n">
        <v>2.5</v>
      </c>
      <c r="KA16" t="n">
        <v>2.8</v>
      </c>
    </row>
    <row r="17">
      <c r="A17" t="inlineStr">
        <is>
          <t>Geelong</t>
        </is>
      </c>
      <c r="B17" t="inlineStr">
        <is>
          <t>Geel</t>
        </is>
      </c>
      <c r="C17" t="n">
        <v>10</v>
      </c>
      <c r="D17" t="n">
        <v>28</v>
      </c>
      <c r="E17" t="n">
        <v>27.276</v>
      </c>
      <c r="F17" t="n">
        <v>128.987</v>
      </c>
      <c r="G17" t="n">
        <v>227.08</v>
      </c>
      <c r="H17" t="n">
        <v>1748.6</v>
      </c>
      <c r="I17" t="n">
        <v>1589.2</v>
      </c>
      <c r="J17" t="n">
        <v>22.6</v>
      </c>
      <c r="K17" t="n">
        <v>54.907</v>
      </c>
      <c r="L17" t="n">
        <v>41.4</v>
      </c>
      <c r="M17" t="n">
        <v>218.2</v>
      </c>
      <c r="N17" t="n">
        <v>135</v>
      </c>
      <c r="O17" t="n">
        <v>353.2</v>
      </c>
      <c r="P17" t="n">
        <v>73.018</v>
      </c>
      <c r="Q17" t="n">
        <v>68.23999999999999</v>
      </c>
      <c r="R17" t="n">
        <v>80.741</v>
      </c>
      <c r="S17" t="n">
        <v>61.778</v>
      </c>
      <c r="T17" t="n">
        <v>5.651</v>
      </c>
      <c r="U17" t="n">
        <v>60</v>
      </c>
      <c r="V17" t="n">
        <v>35.1</v>
      </c>
      <c r="W17" t="n">
        <v>74.52200000000001</v>
      </c>
      <c r="X17" t="n">
        <v>6196.3</v>
      </c>
      <c r="Y17" t="n">
        <v>17.543</v>
      </c>
      <c r="Z17" t="n">
        <v>5748.574</v>
      </c>
      <c r="AA17" t="n">
        <v>26.455</v>
      </c>
      <c r="AB17" t="n">
        <v>230.71</v>
      </c>
      <c r="AC17" t="n">
        <v>1.711</v>
      </c>
      <c r="AD17" t="n">
        <v>52.9</v>
      </c>
      <c r="AE17" t="n">
        <v>6.677</v>
      </c>
      <c r="AF17" t="n">
        <v>57.6</v>
      </c>
      <c r="AG17" t="n">
        <v>6.132</v>
      </c>
      <c r="AH17" t="n">
        <v>70.874</v>
      </c>
      <c r="AI17" t="n">
        <v>54.709</v>
      </c>
      <c r="AJ17" t="n">
        <v>24.826</v>
      </c>
      <c r="AK17" t="n">
        <v>7.337</v>
      </c>
      <c r="AL17" t="n">
        <v>56.782</v>
      </c>
      <c r="AM17" t="n">
        <v>4.713</v>
      </c>
      <c r="AN17" t="n">
        <v>134.4</v>
      </c>
      <c r="AO17" t="n">
        <v>213.1</v>
      </c>
      <c r="AP17" t="n">
        <v>347.5</v>
      </c>
      <c r="AQ17" t="n">
        <v>38.676</v>
      </c>
      <c r="AR17" t="n">
        <v>66</v>
      </c>
      <c r="AS17" t="n">
        <v>91.5</v>
      </c>
      <c r="AT17" t="n">
        <v>17</v>
      </c>
      <c r="AU17" t="n">
        <v>25.7</v>
      </c>
      <c r="AV17" t="n">
        <v>65.8</v>
      </c>
      <c r="AW17" t="n">
        <v>84.2</v>
      </c>
      <c r="AX17" t="n">
        <v>57</v>
      </c>
      <c r="AY17" t="n">
        <v>7.4</v>
      </c>
      <c r="AZ17" t="n">
        <v>19.2</v>
      </c>
      <c r="BA17" t="n">
        <v>107.3</v>
      </c>
      <c r="BB17" t="n">
        <v>14.1</v>
      </c>
      <c r="BC17" t="n">
        <v>22.8</v>
      </c>
      <c r="BD17" t="n">
        <v>36.9</v>
      </c>
      <c r="BE17" t="n">
        <v>38.5</v>
      </c>
      <c r="BF17" t="n">
        <v>72.208</v>
      </c>
      <c r="BG17" t="n">
        <v>96.8</v>
      </c>
      <c r="BH17" t="n">
        <v>12.7</v>
      </c>
      <c r="BI17" t="n">
        <v>18.1</v>
      </c>
      <c r="BJ17" t="n">
        <v>30.167</v>
      </c>
      <c r="BK17" t="n">
        <v>17.5</v>
      </c>
      <c r="BL17" t="n">
        <v>9.300000000000001</v>
      </c>
      <c r="BM17" t="n">
        <v>20</v>
      </c>
      <c r="BN17" t="n">
        <v>8.800000000000001</v>
      </c>
      <c r="BO17" t="n">
        <v>16.4</v>
      </c>
      <c r="BP17" t="n">
        <v>14.2</v>
      </c>
      <c r="BQ17" t="n">
        <v>112.6</v>
      </c>
      <c r="BR17" t="n">
        <v>2.3</v>
      </c>
      <c r="BS17" t="n">
        <v>32.4</v>
      </c>
      <c r="BT17" t="n">
        <v>13.8</v>
      </c>
      <c r="BU17" t="n">
        <v>50.617</v>
      </c>
      <c r="BV17" t="n">
        <v>27.333</v>
      </c>
      <c r="BW17" t="n">
        <v>51</v>
      </c>
      <c r="BX17" t="n">
        <v>54</v>
      </c>
      <c r="BY17" t="n">
        <v>11.5</v>
      </c>
      <c r="BZ17" t="n">
        <v>35.652</v>
      </c>
      <c r="CA17" t="n">
        <v>7.762</v>
      </c>
      <c r="CB17" t="n">
        <v>0.238</v>
      </c>
      <c r="CC17" t="n">
        <v>105.758</v>
      </c>
      <c r="CD17" t="n">
        <v>4.542</v>
      </c>
      <c r="CE17" t="n">
        <v>3.264</v>
      </c>
      <c r="CF17" t="n">
        <v>0.14</v>
      </c>
      <c r="CG17" t="n">
        <v>3.454</v>
      </c>
      <c r="CH17" t="n">
        <v>0.014</v>
      </c>
      <c r="CI17" t="n">
        <v>3.008</v>
      </c>
      <c r="CJ17" t="n">
        <v>0.311</v>
      </c>
      <c r="CK17" t="n">
        <v>6.2</v>
      </c>
      <c r="CL17" t="n">
        <v>39.6</v>
      </c>
      <c r="CM17" t="n">
        <v>66.8</v>
      </c>
      <c r="CN17" t="n">
        <v>44.7</v>
      </c>
      <c r="CO17" t="n">
        <v>54.9</v>
      </c>
      <c r="CP17" t="n">
        <v>13</v>
      </c>
      <c r="CQ17" t="n">
        <v>27.712</v>
      </c>
      <c r="CR17" t="n">
        <v>30.347</v>
      </c>
      <c r="CS17" t="n">
        <v>15.318</v>
      </c>
      <c r="CT17" t="n">
        <v>37.902</v>
      </c>
      <c r="CU17" t="n">
        <v>18.136</v>
      </c>
      <c r="CV17" t="n">
        <v>10.3</v>
      </c>
      <c r="CW17" t="n">
        <v>30.097</v>
      </c>
      <c r="CX17" t="n">
        <v>64.2</v>
      </c>
      <c r="CY17" t="n">
        <v>13.3</v>
      </c>
      <c r="CZ17" t="n">
        <v>273.4</v>
      </c>
      <c r="DA17" t="n">
        <v>121.8</v>
      </c>
      <c r="DB17" t="n">
        <v>24.4</v>
      </c>
      <c r="DC17" t="n">
        <v>100.8</v>
      </c>
      <c r="DD17" t="n">
        <v>40.9</v>
      </c>
      <c r="DE17" t="n">
        <v>40.575</v>
      </c>
      <c r="DF17" t="n">
        <v>7.8</v>
      </c>
      <c r="DG17" t="n">
        <v>19.071</v>
      </c>
      <c r="DH17" t="n">
        <v>1.2</v>
      </c>
      <c r="DI17" t="n">
        <v>34.963</v>
      </c>
      <c r="DJ17" t="n">
        <v>36.43</v>
      </c>
      <c r="DK17" t="n">
        <v>19.6</v>
      </c>
      <c r="DL17" t="n">
        <v>17.8</v>
      </c>
      <c r="DM17" t="n">
        <v>1.8</v>
      </c>
      <c r="DN17" t="n">
        <v>8.9</v>
      </c>
      <c r="DO17" t="n">
        <v>82.02200000000001</v>
      </c>
      <c r="DP17" t="n">
        <v>7.2</v>
      </c>
      <c r="DQ17" t="n">
        <v>35.2</v>
      </c>
      <c r="DR17" t="n">
        <v>71.5</v>
      </c>
      <c r="DS17" t="n">
        <v>187.78</v>
      </c>
      <c r="DT17" t="n">
        <v>1550.9</v>
      </c>
      <c r="DU17" t="n">
        <v>1504.7</v>
      </c>
      <c r="DV17" t="n">
        <v>8.9</v>
      </c>
      <c r="DW17" t="n">
        <v>39.3</v>
      </c>
      <c r="DX17" t="n">
        <v>207.2</v>
      </c>
      <c r="DY17" t="n">
        <v>144</v>
      </c>
      <c r="DZ17" t="n">
        <v>351.2</v>
      </c>
      <c r="EA17" t="n">
        <v>70.64400000000001</v>
      </c>
      <c r="EB17" t="n">
        <v>64.286</v>
      </c>
      <c r="EC17" t="n">
        <v>79.792</v>
      </c>
      <c r="ED17" t="n">
        <v>5.47</v>
      </c>
      <c r="EE17" t="n">
        <v>47.1</v>
      </c>
      <c r="EF17" t="n">
        <v>42.5</v>
      </c>
      <c r="EG17" t="n">
        <v>70.833</v>
      </c>
      <c r="EH17" t="n">
        <v>5645.3</v>
      </c>
      <c r="EI17" t="n">
        <v>16.074</v>
      </c>
      <c r="EJ17" t="n">
        <v>5266.978</v>
      </c>
      <c r="EK17" t="n">
        <v>25.643</v>
      </c>
      <c r="EL17" t="n">
        <v>196.29</v>
      </c>
      <c r="EM17" t="n">
        <v>1.371</v>
      </c>
      <c r="EN17" t="n">
        <v>62.3</v>
      </c>
      <c r="EO17" t="n">
        <v>5.637</v>
      </c>
      <c r="EP17" t="n">
        <v>65.90000000000001</v>
      </c>
      <c r="EQ17" t="n">
        <v>5.329</v>
      </c>
      <c r="ER17" t="n">
        <v>69.40900000000001</v>
      </c>
      <c r="ES17" t="n">
        <v>46.517</v>
      </c>
      <c r="ET17" t="n">
        <v>22.744</v>
      </c>
      <c r="EU17" t="n">
        <v>0.176</v>
      </c>
      <c r="EV17" t="n">
        <v>57.895</v>
      </c>
      <c r="EW17" t="n">
        <v>0.453</v>
      </c>
      <c r="EX17" t="n">
        <v>129.1</v>
      </c>
      <c r="EY17" t="n">
        <v>210.9</v>
      </c>
      <c r="EZ17" t="n">
        <v>340</v>
      </c>
      <c r="FA17" t="n">
        <v>37.971</v>
      </c>
      <c r="FB17" t="n">
        <v>57.9</v>
      </c>
      <c r="FC17" t="n">
        <v>88.8</v>
      </c>
      <c r="FD17" t="n">
        <v>12.6</v>
      </c>
      <c r="FE17" t="n">
        <v>22.8</v>
      </c>
      <c r="FF17" t="n">
        <v>66</v>
      </c>
      <c r="FG17" t="n">
        <v>75.40000000000001</v>
      </c>
      <c r="FH17" t="n">
        <v>54.6</v>
      </c>
      <c r="FI17" t="n">
        <v>8.4</v>
      </c>
      <c r="FJ17" t="n">
        <v>21.3</v>
      </c>
      <c r="FK17" t="n">
        <v>111.3</v>
      </c>
      <c r="FL17" t="n">
        <v>11.9</v>
      </c>
      <c r="FM17" t="n">
        <v>25.1</v>
      </c>
      <c r="FN17" t="n">
        <v>37</v>
      </c>
      <c r="FO17" t="n">
        <v>45.1</v>
      </c>
      <c r="FP17" t="n">
        <v>68.29300000000001</v>
      </c>
      <c r="FQ17" t="n">
        <v>88.5</v>
      </c>
      <c r="FR17" t="n">
        <v>8.4</v>
      </c>
      <c r="FS17" t="n">
        <v>10.7</v>
      </c>
      <c r="FT17" t="n">
        <v>22.718</v>
      </c>
      <c r="FU17" t="n">
        <v>13.1</v>
      </c>
      <c r="FV17" t="n">
        <v>7.1</v>
      </c>
      <c r="FW17" t="n">
        <v>11.6</v>
      </c>
      <c r="FX17" t="n">
        <v>8.9</v>
      </c>
      <c r="FY17" t="n">
        <v>78.5</v>
      </c>
      <c r="FZ17" t="n">
        <v>1.6</v>
      </c>
      <c r="GA17" t="n">
        <v>22.6</v>
      </c>
      <c r="GB17" t="n">
        <v>7.6</v>
      </c>
      <c r="GC17" t="n">
        <v>51.327</v>
      </c>
      <c r="GD17" t="n">
        <v>24.628</v>
      </c>
      <c r="GE17" t="n">
        <v>43.524</v>
      </c>
      <c r="GF17" t="n">
        <v>47.983</v>
      </c>
      <c r="GG17" t="n">
        <v>73.529</v>
      </c>
      <c r="GH17" t="n">
        <v>3.371</v>
      </c>
      <c r="GI17" t="n">
        <v>3.254</v>
      </c>
      <c r="GJ17" t="n">
        <v>0.149</v>
      </c>
      <c r="GK17" t="n">
        <v>3.555</v>
      </c>
      <c r="GL17" t="n">
        <v>0.266</v>
      </c>
      <c r="GM17" t="n">
        <v>2.86</v>
      </c>
      <c r="GN17" t="n">
        <v>-0.003</v>
      </c>
      <c r="GO17" t="n">
        <v>4</v>
      </c>
      <c r="GP17" t="n">
        <v>34</v>
      </c>
      <c r="GQ17" t="n">
        <v>40.5</v>
      </c>
      <c r="GR17" t="n">
        <v>36.9</v>
      </c>
      <c r="GS17" t="n">
        <v>30.9</v>
      </c>
      <c r="GT17" t="n">
        <v>10.7</v>
      </c>
      <c r="GU17" t="n">
        <v>19.119</v>
      </c>
      <c r="GV17" t="n">
        <v>22.169</v>
      </c>
      <c r="GW17" t="n">
        <v>8.916</v>
      </c>
      <c r="GX17" t="n">
        <v>29.369</v>
      </c>
      <c r="GY17" t="n">
        <v>12.335</v>
      </c>
      <c r="GZ17" t="n">
        <v>62.5</v>
      </c>
      <c r="HA17" t="n">
        <v>9.199999999999999</v>
      </c>
      <c r="HB17" t="n">
        <v>273.8</v>
      </c>
      <c r="HC17" t="n">
        <v>149.5</v>
      </c>
      <c r="HD17" t="n">
        <v>28.6</v>
      </c>
      <c r="HE17" t="n">
        <v>43.7</v>
      </c>
      <c r="HF17" t="n">
        <v>43.439</v>
      </c>
      <c r="HG17" t="n">
        <v>9.699999999999999</v>
      </c>
      <c r="HH17" t="n">
        <v>22.197</v>
      </c>
      <c r="HI17" t="n">
        <v>3.1</v>
      </c>
      <c r="HJ17" t="n">
        <v>41.419</v>
      </c>
      <c r="HK17" t="n">
        <v>38.215</v>
      </c>
      <c r="HL17" t="n">
        <v>14</v>
      </c>
      <c r="HM17" t="n">
        <v>89.286</v>
      </c>
      <c r="HN17" t="n">
        <v>6.3</v>
      </c>
      <c r="HO17" t="n">
        <v>39.4</v>
      </c>
      <c r="HP17" t="n">
        <v>71.59999999999999</v>
      </c>
      <c r="HQ17" t="n">
        <v>39.3</v>
      </c>
      <c r="HR17" t="n">
        <v>197.7</v>
      </c>
      <c r="HS17" t="n">
        <v>84.5</v>
      </c>
      <c r="HT17" t="n">
        <v>13.7</v>
      </c>
      <c r="HU17" t="n">
        <v>2.1</v>
      </c>
      <c r="HV17" t="n">
        <v>11</v>
      </c>
      <c r="HW17" t="n">
        <v>-9</v>
      </c>
      <c r="HX17" t="n">
        <v>2</v>
      </c>
      <c r="HY17" t="n">
        <v>12.9</v>
      </c>
      <c r="HZ17" t="n">
        <v>551</v>
      </c>
      <c r="IA17" t="n">
        <v>481.596</v>
      </c>
      <c r="IB17" t="n">
        <v>34.42</v>
      </c>
      <c r="IC17" t="n">
        <v>-9.4</v>
      </c>
      <c r="ID17" t="n">
        <v>-8.300000000000001</v>
      </c>
      <c r="IE17" t="n">
        <v>7.161</v>
      </c>
      <c r="IF17" t="n">
        <v>4.26</v>
      </c>
      <c r="IG17" t="n">
        <v>5.3</v>
      </c>
      <c r="IH17" t="n">
        <v>2.2</v>
      </c>
      <c r="II17" t="n">
        <v>7.5</v>
      </c>
      <c r="IJ17" t="n">
        <v>8.1</v>
      </c>
      <c r="IK17" t="n">
        <v>2.7</v>
      </c>
      <c r="IL17" t="n">
        <v>4.4</v>
      </c>
      <c r="IM17" t="n">
        <v>2.9</v>
      </c>
      <c r="IN17" t="n">
        <v>-0.2</v>
      </c>
      <c r="IO17" t="n">
        <v>8.800000000000001</v>
      </c>
      <c r="IP17" t="n">
        <v>2.4</v>
      </c>
      <c r="IQ17" t="n">
        <v>-1</v>
      </c>
      <c r="IR17" t="n">
        <v>-2.1</v>
      </c>
      <c r="IS17" t="n">
        <v>-4</v>
      </c>
      <c r="IT17" t="n">
        <v>2.2</v>
      </c>
      <c r="IU17" t="n">
        <v>-2.3</v>
      </c>
      <c r="IV17" t="n">
        <v>-0.1</v>
      </c>
      <c r="IW17" t="n">
        <v>-6.6</v>
      </c>
      <c r="IX17" t="n">
        <v>8.300000000000001</v>
      </c>
      <c r="IY17" t="n">
        <v>4.3</v>
      </c>
      <c r="IZ17" t="n">
        <v>7.4</v>
      </c>
      <c r="JA17" t="n">
        <v>4.4</v>
      </c>
      <c r="JB17" t="n">
        <v>2.2</v>
      </c>
      <c r="JC17" t="n">
        <v>4.8</v>
      </c>
      <c r="JD17" t="n">
        <v>5.3</v>
      </c>
      <c r="JE17" t="n">
        <v>34.1</v>
      </c>
      <c r="JF17" t="n">
        <v>9.800000000000001</v>
      </c>
      <c r="JG17" t="n">
        <v>6.2</v>
      </c>
      <c r="JH17" t="n">
        <v>32.229</v>
      </c>
      <c r="JI17" t="n">
        <v>1.171</v>
      </c>
      <c r="JJ17" t="n">
        <v>0.011</v>
      </c>
      <c r="JK17" t="n">
        <v>2.2</v>
      </c>
      <c r="JL17" t="n">
        <v>5.6</v>
      </c>
      <c r="JM17" t="n">
        <v>26.3</v>
      </c>
      <c r="JN17" t="n">
        <v>7.8</v>
      </c>
      <c r="JO17" t="n">
        <v>24</v>
      </c>
      <c r="JP17" t="n">
        <v>2.3</v>
      </c>
      <c r="JQ17" t="n">
        <v>1.7</v>
      </c>
      <c r="JR17" t="n">
        <v>4.1</v>
      </c>
      <c r="JS17" t="n">
        <v>-0.4</v>
      </c>
      <c r="JT17" t="n">
        <v>-27.7</v>
      </c>
      <c r="JU17" t="n">
        <v>-4.2</v>
      </c>
      <c r="JV17" t="n">
        <v>-2.8</v>
      </c>
      <c r="JW17" t="n">
        <v>-1.9</v>
      </c>
      <c r="JX17" t="n">
        <v>-1.9</v>
      </c>
      <c r="JY17" t="n">
        <v>0.9</v>
      </c>
      <c r="JZ17" t="n">
        <v>-4.2</v>
      </c>
      <c r="KA17" t="n">
        <v>-0.1</v>
      </c>
    </row>
    <row r="18">
      <c r="A18" t="inlineStr">
        <is>
          <t>Hawthorn</t>
        </is>
      </c>
      <c r="B18" t="inlineStr">
        <is>
          <t>Haw</t>
        </is>
      </c>
      <c r="C18" t="n">
        <v>10</v>
      </c>
      <c r="D18" t="n">
        <v>30</v>
      </c>
      <c r="E18" t="n">
        <v>26.254</v>
      </c>
      <c r="F18" t="n">
        <v>119.443</v>
      </c>
      <c r="G18" t="n">
        <v>218.79</v>
      </c>
      <c r="H18" t="n">
        <v>1721.8</v>
      </c>
      <c r="I18" t="n">
        <v>1549.7</v>
      </c>
      <c r="J18" t="n">
        <v>17.1</v>
      </c>
      <c r="K18" t="n">
        <v>51.095</v>
      </c>
      <c r="L18" t="n">
        <v>41.9</v>
      </c>
      <c r="M18" t="n">
        <v>213</v>
      </c>
      <c r="N18" t="n">
        <v>159</v>
      </c>
      <c r="O18" t="n">
        <v>372</v>
      </c>
      <c r="P18" t="n">
        <v>69.973</v>
      </c>
      <c r="Q18" t="n">
        <v>61.502</v>
      </c>
      <c r="R18" t="n">
        <v>81.321</v>
      </c>
      <c r="S18" t="n">
        <v>57.258</v>
      </c>
      <c r="T18" t="n">
        <v>5.337</v>
      </c>
      <c r="U18" t="n">
        <v>52.3</v>
      </c>
      <c r="V18" t="n">
        <v>42.4</v>
      </c>
      <c r="W18" t="n">
        <v>78.51900000000001</v>
      </c>
      <c r="X18" t="n">
        <v>6104.9</v>
      </c>
      <c r="Y18" t="n">
        <v>16.411</v>
      </c>
      <c r="Z18" t="n">
        <v>5658.046</v>
      </c>
      <c r="AA18" t="n">
        <v>26.815</v>
      </c>
      <c r="AB18" t="n">
        <v>209.236</v>
      </c>
      <c r="AC18" t="n">
        <v>1.322</v>
      </c>
      <c r="AD18" t="n">
        <v>62.4</v>
      </c>
      <c r="AE18" t="n">
        <v>5.962</v>
      </c>
      <c r="AF18" t="n">
        <v>67.40000000000001</v>
      </c>
      <c r="AG18" t="n">
        <v>5.519</v>
      </c>
      <c r="AH18" t="n">
        <v>68.92400000000001</v>
      </c>
      <c r="AI18" t="n">
        <v>47.982</v>
      </c>
      <c r="AJ18" t="n">
        <v>23.963</v>
      </c>
      <c r="AK18" t="n">
        <v>0.195</v>
      </c>
      <c r="AL18" t="n">
        <v>53.929</v>
      </c>
      <c r="AM18" t="n">
        <v>-1.955</v>
      </c>
      <c r="AN18" t="n">
        <v>140.2</v>
      </c>
      <c r="AO18" t="n">
        <v>222.3</v>
      </c>
      <c r="AP18" t="n">
        <v>362.5</v>
      </c>
      <c r="AQ18" t="n">
        <v>38.676</v>
      </c>
      <c r="AR18" t="n">
        <v>71.59999999999999</v>
      </c>
      <c r="AS18" t="n">
        <v>97</v>
      </c>
      <c r="AT18" t="n">
        <v>16.9</v>
      </c>
      <c r="AU18" t="n">
        <v>22.4</v>
      </c>
      <c r="AV18" t="n">
        <v>74.59999999999999</v>
      </c>
      <c r="AW18" t="n">
        <v>86.40000000000001</v>
      </c>
      <c r="AX18" t="n">
        <v>61.9</v>
      </c>
      <c r="AY18" t="n">
        <v>10.1</v>
      </c>
      <c r="AZ18" t="n">
        <v>23.4</v>
      </c>
      <c r="BA18" t="n">
        <v>125.5</v>
      </c>
      <c r="BB18" t="n">
        <v>10.7</v>
      </c>
      <c r="BC18" t="n">
        <v>27.9</v>
      </c>
      <c r="BD18" t="n">
        <v>38.6</v>
      </c>
      <c r="BE18" t="n">
        <v>44.2</v>
      </c>
      <c r="BF18" t="n">
        <v>72.398</v>
      </c>
      <c r="BG18" t="n">
        <v>79.90000000000001</v>
      </c>
      <c r="BH18" t="n">
        <v>9.1</v>
      </c>
      <c r="BI18" t="n">
        <v>13.2</v>
      </c>
      <c r="BJ18" t="n">
        <v>25.239</v>
      </c>
      <c r="BK18" t="n">
        <v>18.1</v>
      </c>
      <c r="BL18" t="n">
        <v>6.7</v>
      </c>
      <c r="BM18" t="n">
        <v>23</v>
      </c>
      <c r="BN18" t="n">
        <v>7.9</v>
      </c>
      <c r="BO18" t="n">
        <v>13.2</v>
      </c>
      <c r="BP18" t="n">
        <v>10.5</v>
      </c>
      <c r="BQ18" t="n">
        <v>89.7</v>
      </c>
      <c r="BR18" t="n">
        <v>2</v>
      </c>
      <c r="BS18" t="n">
        <v>25.7</v>
      </c>
      <c r="BT18" t="n">
        <v>9.5</v>
      </c>
      <c r="BU18" t="n">
        <v>51.362</v>
      </c>
      <c r="BV18" t="n">
        <v>25.239</v>
      </c>
      <c r="BW18" t="n">
        <v>45.315</v>
      </c>
      <c r="BX18" t="n">
        <v>49.14</v>
      </c>
      <c r="BY18" t="n">
        <v>11.2</v>
      </c>
      <c r="BZ18" t="n">
        <v>32.143</v>
      </c>
      <c r="CA18" t="n">
        <v>6.529</v>
      </c>
      <c r="CB18" t="n">
        <v>-0.529</v>
      </c>
      <c r="CC18" t="n">
        <v>82.008</v>
      </c>
      <c r="CD18" t="n">
        <v>5.692</v>
      </c>
      <c r="CE18" t="n">
        <v>3.191</v>
      </c>
      <c r="CF18" t="n">
        <v>0.221</v>
      </c>
      <c r="CG18" t="n">
        <v>3.409</v>
      </c>
      <c r="CH18" t="n">
        <v>0.102</v>
      </c>
      <c r="CI18" t="n">
        <v>2.909</v>
      </c>
      <c r="CJ18" t="n">
        <v>0.377</v>
      </c>
      <c r="CK18" t="n">
        <v>2.2</v>
      </c>
      <c r="CL18" t="n">
        <v>35.1</v>
      </c>
      <c r="CM18" t="n">
        <v>52.4</v>
      </c>
      <c r="CN18" t="n">
        <v>34</v>
      </c>
      <c r="CO18" t="n">
        <v>46.8</v>
      </c>
      <c r="CP18" t="n">
        <v>8.9</v>
      </c>
      <c r="CQ18" t="n">
        <v>19.882</v>
      </c>
      <c r="CR18" t="n">
        <v>20.673</v>
      </c>
      <c r="CS18" t="n">
        <v>8.654</v>
      </c>
      <c r="CT18" t="n">
        <v>29.461</v>
      </c>
      <c r="CU18" t="n">
        <v>12.448</v>
      </c>
      <c r="CV18" t="n">
        <v>11</v>
      </c>
      <c r="CW18" t="n">
        <v>24.545</v>
      </c>
      <c r="CX18" t="n">
        <v>65.5</v>
      </c>
      <c r="CY18" t="n">
        <v>13.7</v>
      </c>
      <c r="CZ18" t="n">
        <v>281.6</v>
      </c>
      <c r="DA18" t="n">
        <v>139</v>
      </c>
      <c r="DB18" t="n">
        <v>32.6</v>
      </c>
      <c r="DC18" t="n">
        <v>106.3</v>
      </c>
      <c r="DD18" t="n">
        <v>44.3</v>
      </c>
      <c r="DE18" t="n">
        <v>41.675</v>
      </c>
      <c r="DF18" t="n">
        <v>11.1</v>
      </c>
      <c r="DG18" t="n">
        <v>25.056</v>
      </c>
      <c r="DH18" t="n">
        <v>2.5</v>
      </c>
      <c r="DI18" t="n">
        <v>44.47</v>
      </c>
      <c r="DJ18" t="n">
        <v>38.6</v>
      </c>
      <c r="DK18" t="n">
        <v>17.5</v>
      </c>
      <c r="DL18" t="n">
        <v>19.5</v>
      </c>
      <c r="DM18" t="n">
        <v>-2</v>
      </c>
      <c r="DN18" t="n">
        <v>10</v>
      </c>
      <c r="DO18" t="n">
        <v>98</v>
      </c>
      <c r="DP18" t="n">
        <v>8</v>
      </c>
      <c r="DQ18" t="n">
        <v>48.4</v>
      </c>
      <c r="DR18" t="n">
        <v>70.3</v>
      </c>
      <c r="DS18" t="n">
        <v>197.8</v>
      </c>
      <c r="DT18" t="n">
        <v>1578.7</v>
      </c>
      <c r="DU18" t="n">
        <v>1481.9</v>
      </c>
      <c r="DV18" t="n">
        <v>12.9</v>
      </c>
      <c r="DW18" t="n">
        <v>38.5</v>
      </c>
      <c r="DX18" t="n">
        <v>208.2</v>
      </c>
      <c r="DY18" t="n">
        <v>136.1</v>
      </c>
      <c r="DZ18" t="n">
        <v>344.3</v>
      </c>
      <c r="EA18" t="n">
        <v>68.95099999999999</v>
      </c>
      <c r="EB18" t="n">
        <v>61.383</v>
      </c>
      <c r="EC18" t="n">
        <v>80.529</v>
      </c>
      <c r="ED18" t="n">
        <v>5.256</v>
      </c>
      <c r="EE18" t="n">
        <v>54</v>
      </c>
      <c r="EF18" t="n">
        <v>38.2</v>
      </c>
      <c r="EG18" t="n">
        <v>73.04000000000001</v>
      </c>
      <c r="EH18" t="n">
        <v>5846.3</v>
      </c>
      <c r="EI18" t="n">
        <v>16.98</v>
      </c>
      <c r="EJ18" t="n">
        <v>5489.749</v>
      </c>
      <c r="EK18" t="n">
        <v>26.598</v>
      </c>
      <c r="EL18" t="n">
        <v>171.858</v>
      </c>
      <c r="EM18" t="n">
        <v>1.266</v>
      </c>
      <c r="EN18" t="n">
        <v>63.2</v>
      </c>
      <c r="EO18" t="n">
        <v>5.448</v>
      </c>
      <c r="EP18" t="n">
        <v>71.5</v>
      </c>
      <c r="EQ18" t="n">
        <v>4.815</v>
      </c>
      <c r="ER18" t="n">
        <v>66.114</v>
      </c>
      <c r="ES18" t="n">
        <v>41.138</v>
      </c>
      <c r="ET18" t="n">
        <v>23.785</v>
      </c>
      <c r="EU18" t="n">
        <v>-3.891</v>
      </c>
      <c r="EV18" t="n">
        <v>55.241</v>
      </c>
      <c r="EW18" t="n">
        <v>-3.034</v>
      </c>
      <c r="EX18" t="n">
        <v>135.1</v>
      </c>
      <c r="EY18" t="n">
        <v>197.3</v>
      </c>
      <c r="EZ18" t="n">
        <v>332.4</v>
      </c>
      <c r="FA18" t="n">
        <v>40.644</v>
      </c>
      <c r="FB18" t="n">
        <v>67.40000000000001</v>
      </c>
      <c r="FC18" t="n">
        <v>91.2</v>
      </c>
      <c r="FD18" t="n">
        <v>15.3</v>
      </c>
      <c r="FE18" t="n">
        <v>21.7</v>
      </c>
      <c r="FF18" t="n">
        <v>69.5</v>
      </c>
      <c r="FG18" t="n">
        <v>79.7</v>
      </c>
      <c r="FH18" t="n">
        <v>57.6</v>
      </c>
      <c r="FI18" t="n">
        <v>10.2</v>
      </c>
      <c r="FJ18" t="n">
        <v>20.4</v>
      </c>
      <c r="FK18" t="n">
        <v>105.8</v>
      </c>
      <c r="FL18" t="n">
        <v>12.8</v>
      </c>
      <c r="FM18" t="n">
        <v>28.8</v>
      </c>
      <c r="FN18" t="n">
        <v>41.6</v>
      </c>
      <c r="FO18" t="n">
        <v>45.1</v>
      </c>
      <c r="FP18" t="n">
        <v>75.61</v>
      </c>
      <c r="FQ18" t="n">
        <v>75.3</v>
      </c>
      <c r="FR18" t="n">
        <v>7.6</v>
      </c>
      <c r="FS18" t="n">
        <v>9.1</v>
      </c>
      <c r="FT18" t="n">
        <v>16.852</v>
      </c>
      <c r="FU18" t="n">
        <v>14.1</v>
      </c>
      <c r="FV18" t="n">
        <v>7.2</v>
      </c>
      <c r="FW18" t="n">
        <v>10.8</v>
      </c>
      <c r="FX18" t="n">
        <v>10.1</v>
      </c>
      <c r="FY18" t="n">
        <v>74.90000000000001</v>
      </c>
      <c r="FZ18" t="n">
        <v>2.2</v>
      </c>
      <c r="GA18" t="n">
        <v>23.1</v>
      </c>
      <c r="GB18" t="n">
        <v>8</v>
      </c>
      <c r="GC18" t="n">
        <v>46.753</v>
      </c>
      <c r="GD18" t="n">
        <v>20</v>
      </c>
      <c r="GE18" t="n">
        <v>38.704</v>
      </c>
      <c r="GF18" t="n">
        <v>42.778</v>
      </c>
      <c r="GG18" t="n">
        <v>70.714</v>
      </c>
      <c r="GH18" t="n">
        <v>1.986</v>
      </c>
      <c r="GI18" t="n">
        <v>3.061</v>
      </c>
      <c r="GJ18" t="n">
        <v>0.08599999999999999</v>
      </c>
      <c r="GK18" t="n">
        <v>3.312</v>
      </c>
      <c r="GL18" t="n">
        <v>0.049</v>
      </c>
      <c r="GM18" t="n">
        <v>2.841</v>
      </c>
      <c r="GN18" t="n">
        <v>0.119</v>
      </c>
      <c r="GO18" t="n">
        <v>3.9</v>
      </c>
      <c r="GP18" t="n">
        <v>35</v>
      </c>
      <c r="GQ18" t="n">
        <v>36</v>
      </c>
      <c r="GR18" t="n">
        <v>27.8</v>
      </c>
      <c r="GS18" t="n">
        <v>38.2</v>
      </c>
      <c r="GT18" t="n">
        <v>8.9</v>
      </c>
      <c r="GU18" t="n">
        <v>17.747</v>
      </c>
      <c r="GV18" t="n">
        <v>21.99</v>
      </c>
      <c r="GW18" t="n">
        <v>7.853</v>
      </c>
      <c r="GX18" t="n">
        <v>28.804</v>
      </c>
      <c r="GY18" t="n">
        <v>10.783</v>
      </c>
      <c r="GZ18" t="n">
        <v>69.7</v>
      </c>
      <c r="HA18" t="n">
        <v>11.1</v>
      </c>
      <c r="HB18" t="n">
        <v>310.4</v>
      </c>
      <c r="HC18" t="n">
        <v>144</v>
      </c>
      <c r="HD18" t="n">
        <v>30.1</v>
      </c>
      <c r="HE18" t="n">
        <v>40.7</v>
      </c>
      <c r="HF18" t="n">
        <v>38.252</v>
      </c>
      <c r="HG18" t="n">
        <v>10.8</v>
      </c>
      <c r="HH18" t="n">
        <v>26.536</v>
      </c>
      <c r="HI18" t="n">
        <v>4.8</v>
      </c>
      <c r="HJ18" t="n">
        <v>42.506</v>
      </c>
      <c r="HK18" t="n">
        <v>39.558</v>
      </c>
      <c r="HL18" t="n">
        <v>10.2</v>
      </c>
      <c r="HM18" t="n">
        <v>96.078</v>
      </c>
      <c r="HN18" t="n">
        <v>6.5</v>
      </c>
      <c r="HO18" t="n">
        <v>42</v>
      </c>
      <c r="HP18" t="n">
        <v>69.59999999999999</v>
      </c>
      <c r="HQ18" t="n">
        <v>20.99</v>
      </c>
      <c r="HR18" t="n">
        <v>143.1</v>
      </c>
      <c r="HS18" t="n">
        <v>67.8</v>
      </c>
      <c r="HT18" t="n">
        <v>4.2</v>
      </c>
      <c r="HU18" t="n">
        <v>3.4</v>
      </c>
      <c r="HV18" t="n">
        <v>4.8</v>
      </c>
      <c r="HW18" t="n">
        <v>22.9</v>
      </c>
      <c r="HX18" t="n">
        <v>27.7</v>
      </c>
      <c r="HY18" t="n">
        <v>-1.7</v>
      </c>
      <c r="HZ18" t="n">
        <v>258.6</v>
      </c>
      <c r="IA18" t="n">
        <v>168.297</v>
      </c>
      <c r="IB18" t="n">
        <v>37.378</v>
      </c>
      <c r="IC18" t="n">
        <v>-0.8</v>
      </c>
      <c r="ID18" t="n">
        <v>-4.1</v>
      </c>
      <c r="IE18" t="n">
        <v>4.086</v>
      </c>
      <c r="IF18" t="n">
        <v>1.079</v>
      </c>
      <c r="IG18" t="n">
        <v>5.1</v>
      </c>
      <c r="IH18" t="n">
        <v>25</v>
      </c>
      <c r="II18" t="n">
        <v>30.1</v>
      </c>
      <c r="IJ18" t="n">
        <v>4.2</v>
      </c>
      <c r="IK18" t="n">
        <v>5.8</v>
      </c>
      <c r="IL18" t="n">
        <v>1.6</v>
      </c>
      <c r="IM18" t="n">
        <v>0.7</v>
      </c>
      <c r="IN18" t="n">
        <v>5.1</v>
      </c>
      <c r="IO18" t="n">
        <v>6.7</v>
      </c>
      <c r="IP18" t="n">
        <v>4.3</v>
      </c>
      <c r="IQ18" t="n">
        <v>-0.1</v>
      </c>
      <c r="IR18" t="n">
        <v>3</v>
      </c>
      <c r="IS18" t="n">
        <v>19.7</v>
      </c>
      <c r="IT18" t="n">
        <v>-2.1</v>
      </c>
      <c r="IU18" t="n">
        <v>-0.9</v>
      </c>
      <c r="IV18" t="n">
        <v>-3</v>
      </c>
      <c r="IW18" t="n">
        <v>-0.9</v>
      </c>
      <c r="IX18" t="n">
        <v>4.6</v>
      </c>
      <c r="IY18" t="n">
        <v>1.5</v>
      </c>
      <c r="IZ18" t="n">
        <v>4.1</v>
      </c>
      <c r="JA18" t="n">
        <v>4</v>
      </c>
      <c r="JB18" t="n">
        <v>-0.5</v>
      </c>
      <c r="JC18" t="n">
        <v>2.4</v>
      </c>
      <c r="JD18" t="n">
        <v>0.4</v>
      </c>
      <c r="JE18" t="n">
        <v>14.8</v>
      </c>
      <c r="JF18" t="n">
        <v>2.6</v>
      </c>
      <c r="JG18" t="n">
        <v>1.5</v>
      </c>
      <c r="JH18" t="n">
        <v>11.294</v>
      </c>
      <c r="JI18" t="n">
        <v>3.706</v>
      </c>
      <c r="JJ18" t="n">
        <v>0.13</v>
      </c>
      <c r="JK18" t="n">
        <v>-1.7</v>
      </c>
      <c r="JL18" t="n">
        <v>0.1</v>
      </c>
      <c r="JM18" t="n">
        <v>16.4</v>
      </c>
      <c r="JN18" t="n">
        <v>6.2</v>
      </c>
      <c r="JO18" t="n">
        <v>8.6</v>
      </c>
      <c r="JP18" t="n">
        <v>0</v>
      </c>
      <c r="JQ18" t="n">
        <v>-4.2</v>
      </c>
      <c r="JR18" t="n">
        <v>2.6</v>
      </c>
      <c r="JS18" t="n">
        <v>-28.8</v>
      </c>
      <c r="JT18" t="n">
        <v>-5</v>
      </c>
      <c r="JU18" t="n">
        <v>2.5</v>
      </c>
      <c r="JV18" t="n">
        <v>3.6</v>
      </c>
      <c r="JW18" t="n">
        <v>0.3</v>
      </c>
      <c r="JX18" t="n">
        <v>-2.3</v>
      </c>
      <c r="JY18" t="n">
        <v>1.5</v>
      </c>
      <c r="JZ18" t="n">
        <v>6.4</v>
      </c>
      <c r="KA18" t="n">
        <v>0.7</v>
      </c>
    </row>
    <row r="19">
      <c r="A19" t="inlineStr">
        <is>
          <t>Brisbane</t>
        </is>
      </c>
      <c r="B19" t="inlineStr">
        <is>
          <t>Bris</t>
        </is>
      </c>
      <c r="C19" t="n">
        <v>10</v>
      </c>
      <c r="D19" t="n">
        <v>33</v>
      </c>
      <c r="E19" t="n">
        <v>26.402</v>
      </c>
      <c r="F19" t="n">
        <v>132.322</v>
      </c>
      <c r="G19" t="n">
        <v>216.55</v>
      </c>
      <c r="H19" t="n">
        <v>1728.5</v>
      </c>
      <c r="I19" t="n">
        <v>1644.8</v>
      </c>
      <c r="J19" t="n">
        <v>22.4</v>
      </c>
      <c r="K19" t="n">
        <v>50.247</v>
      </c>
      <c r="L19" t="n">
        <v>42</v>
      </c>
      <c r="M19" t="n">
        <v>233.6</v>
      </c>
      <c r="N19" t="n">
        <v>142.6</v>
      </c>
      <c r="O19" t="n">
        <v>376.2</v>
      </c>
      <c r="P19" t="n">
        <v>71.584</v>
      </c>
      <c r="Q19" t="n">
        <v>65.111</v>
      </c>
      <c r="R19" t="n">
        <v>82.188</v>
      </c>
      <c r="S19" t="n">
        <v>62.095</v>
      </c>
      <c r="T19" t="n">
        <v>6.188</v>
      </c>
      <c r="U19" t="n">
        <v>57.3</v>
      </c>
      <c r="V19" t="n">
        <v>39.4</v>
      </c>
      <c r="W19" t="n">
        <v>75.91500000000001</v>
      </c>
      <c r="X19" t="n">
        <v>6140</v>
      </c>
      <c r="Y19" t="n">
        <v>16.321</v>
      </c>
      <c r="Z19" t="n">
        <v>5793.572</v>
      </c>
      <c r="AA19" t="n">
        <v>24.94</v>
      </c>
      <c r="AB19" t="n">
        <v>163.554</v>
      </c>
      <c r="AC19" t="n">
        <v>1.149</v>
      </c>
      <c r="AD19" t="n">
        <v>55.9</v>
      </c>
      <c r="AE19" t="n">
        <v>6.73</v>
      </c>
      <c r="AF19" t="n">
        <v>65.8</v>
      </c>
      <c r="AG19" t="n">
        <v>5.717</v>
      </c>
      <c r="AH19" t="n">
        <v>69.795</v>
      </c>
      <c r="AI19" t="n">
        <v>44.025</v>
      </c>
      <c r="AJ19" t="n">
        <v>22.909</v>
      </c>
      <c r="AK19" t="n">
        <v>1.2</v>
      </c>
      <c r="AL19" t="n">
        <v>58.867</v>
      </c>
      <c r="AM19" t="n">
        <v>0.9340000000000001</v>
      </c>
      <c r="AN19" t="n">
        <v>135.9</v>
      </c>
      <c r="AO19" t="n">
        <v>231.2</v>
      </c>
      <c r="AP19" t="n">
        <v>367.1</v>
      </c>
      <c r="AQ19" t="n">
        <v>37.02</v>
      </c>
      <c r="AR19" t="n">
        <v>67.8</v>
      </c>
      <c r="AS19" t="n">
        <v>94.8</v>
      </c>
      <c r="AT19" t="n">
        <v>17.7</v>
      </c>
      <c r="AU19" t="n">
        <v>22.9</v>
      </c>
      <c r="AV19" t="n">
        <v>71.90000000000001</v>
      </c>
      <c r="AW19" t="n">
        <v>80.59999999999999</v>
      </c>
      <c r="AX19" t="n">
        <v>57.9</v>
      </c>
      <c r="AY19" t="n">
        <v>9.800000000000001</v>
      </c>
      <c r="AZ19" t="n">
        <v>21.5</v>
      </c>
      <c r="BA19" t="n">
        <v>113.3</v>
      </c>
      <c r="BB19" t="n">
        <v>12</v>
      </c>
      <c r="BC19" t="n">
        <v>29.8</v>
      </c>
      <c r="BD19" t="n">
        <v>41.8</v>
      </c>
      <c r="BE19" t="n">
        <v>45</v>
      </c>
      <c r="BF19" t="n">
        <v>74.889</v>
      </c>
      <c r="BG19" t="n">
        <v>103.6</v>
      </c>
      <c r="BH19" t="n">
        <v>8.1</v>
      </c>
      <c r="BI19" t="n">
        <v>10.9</v>
      </c>
      <c r="BJ19" t="n">
        <v>19.023</v>
      </c>
      <c r="BK19" t="n">
        <v>15</v>
      </c>
      <c r="BL19" t="n">
        <v>8.4</v>
      </c>
      <c r="BM19" t="n">
        <v>23</v>
      </c>
      <c r="BN19" t="n">
        <v>7.8</v>
      </c>
      <c r="BO19" t="n">
        <v>13.2</v>
      </c>
      <c r="BP19" t="n">
        <v>12.6</v>
      </c>
      <c r="BQ19" t="n">
        <v>91.8</v>
      </c>
      <c r="BR19" t="n">
        <v>1.8</v>
      </c>
      <c r="BS19" t="n">
        <v>28.8</v>
      </c>
      <c r="BT19" t="n">
        <v>9</v>
      </c>
      <c r="BU19" t="n">
        <v>45.833</v>
      </c>
      <c r="BV19" t="n">
        <v>23.037</v>
      </c>
      <c r="BW19" t="n">
        <v>45.026</v>
      </c>
      <c r="BX19" t="n">
        <v>50.262</v>
      </c>
      <c r="BY19" t="n">
        <v>10.7</v>
      </c>
      <c r="BZ19" t="n">
        <v>22.43</v>
      </c>
      <c r="CA19" t="n">
        <v>7.015</v>
      </c>
      <c r="CB19" t="n">
        <v>-0.015</v>
      </c>
      <c r="CC19" t="n">
        <v>91.598</v>
      </c>
      <c r="CD19" t="n">
        <v>-1.598</v>
      </c>
      <c r="CE19" t="n">
        <v>3.18</v>
      </c>
      <c r="CF19" t="n">
        <v>-0.055</v>
      </c>
      <c r="CG19" t="n">
        <v>3.402</v>
      </c>
      <c r="CH19" t="n">
        <v>-0.08799999999999999</v>
      </c>
      <c r="CI19" t="n">
        <v>2.962</v>
      </c>
      <c r="CJ19" t="n">
        <v>-0.024</v>
      </c>
      <c r="CK19" t="n">
        <v>3.5</v>
      </c>
      <c r="CL19" t="n">
        <v>36.2</v>
      </c>
      <c r="CM19" t="n">
        <v>52.1</v>
      </c>
      <c r="CN19" t="n">
        <v>33.7</v>
      </c>
      <c r="CO19" t="n">
        <v>49.5</v>
      </c>
      <c r="CP19" t="n">
        <v>8.6</v>
      </c>
      <c r="CQ19" t="n">
        <v>21.862</v>
      </c>
      <c r="CR19" t="n">
        <v>26.448</v>
      </c>
      <c r="CS19" t="n">
        <v>11.839</v>
      </c>
      <c r="CT19" t="n">
        <v>33.535</v>
      </c>
      <c r="CU19" t="n">
        <v>13.162</v>
      </c>
      <c r="CV19" t="n">
        <v>11.8</v>
      </c>
      <c r="CW19" t="n">
        <v>27.966</v>
      </c>
      <c r="CX19" t="n">
        <v>62.3</v>
      </c>
      <c r="CY19" t="n">
        <v>12.1</v>
      </c>
      <c r="CZ19" t="n">
        <v>266.6</v>
      </c>
      <c r="DA19" t="n">
        <v>122.5</v>
      </c>
      <c r="DB19" t="n">
        <v>32.9</v>
      </c>
      <c r="DC19" t="n">
        <v>102.4</v>
      </c>
      <c r="DD19" t="n">
        <v>44.3</v>
      </c>
      <c r="DE19" t="n">
        <v>43.262</v>
      </c>
      <c r="DF19" t="n">
        <v>10.5</v>
      </c>
      <c r="DG19" t="n">
        <v>23.702</v>
      </c>
      <c r="DH19" t="n">
        <v>2.2</v>
      </c>
      <c r="DI19" t="n">
        <v>42.664</v>
      </c>
      <c r="DJ19" t="n">
        <v>40.858</v>
      </c>
      <c r="DK19" t="n">
        <v>17.6</v>
      </c>
      <c r="DL19" t="n">
        <v>17.7</v>
      </c>
      <c r="DM19" t="n">
        <v>-0.1</v>
      </c>
      <c r="DN19" t="n">
        <v>10</v>
      </c>
      <c r="DO19" t="n">
        <v>86</v>
      </c>
      <c r="DP19" t="n">
        <v>4.9</v>
      </c>
      <c r="DQ19" t="n">
        <v>48.5</v>
      </c>
      <c r="DR19" t="n">
        <v>69.2</v>
      </c>
      <c r="DS19" t="n">
        <v>206.77</v>
      </c>
      <c r="DT19" t="n">
        <v>1571.1</v>
      </c>
      <c r="DU19" t="n">
        <v>1424.9</v>
      </c>
      <c r="DV19" t="n">
        <v>9.1</v>
      </c>
      <c r="DW19" t="n">
        <v>39.1</v>
      </c>
      <c r="DX19" t="n">
        <v>194.5</v>
      </c>
      <c r="DY19" t="n">
        <v>142.4</v>
      </c>
      <c r="DZ19" t="n">
        <v>336.9</v>
      </c>
      <c r="EA19" t="n">
        <v>71.267</v>
      </c>
      <c r="EB19" t="n">
        <v>65.34699999999999</v>
      </c>
      <c r="EC19" t="n">
        <v>79.354</v>
      </c>
      <c r="ED19" t="n">
        <v>5.408</v>
      </c>
      <c r="EE19" t="n">
        <v>51.9</v>
      </c>
      <c r="EF19" t="n">
        <v>43.1</v>
      </c>
      <c r="EG19" t="n">
        <v>75.218</v>
      </c>
      <c r="EH19" t="n">
        <v>5967.6</v>
      </c>
      <c r="EI19" t="n">
        <v>17.713</v>
      </c>
      <c r="EJ19" t="n">
        <v>5449.849</v>
      </c>
      <c r="EK19" t="n">
        <v>28.179</v>
      </c>
      <c r="EL19" t="n">
        <v>310.068</v>
      </c>
      <c r="EM19" t="n">
        <v>2.187</v>
      </c>
      <c r="EN19" t="n">
        <v>56.5</v>
      </c>
      <c r="EO19" t="n">
        <v>5.963</v>
      </c>
      <c r="EP19" t="n">
        <v>67.40000000000001</v>
      </c>
      <c r="EQ19" t="n">
        <v>4.999</v>
      </c>
      <c r="ER19" t="n">
        <v>67.559</v>
      </c>
      <c r="ES19" t="n">
        <v>46.897</v>
      </c>
      <c r="ET19" t="n">
        <v>23.235</v>
      </c>
      <c r="EU19" t="n">
        <v>0.488</v>
      </c>
      <c r="EV19" t="n">
        <v>53.338</v>
      </c>
      <c r="EW19" t="n">
        <v>1.581</v>
      </c>
      <c r="EX19" t="n">
        <v>130.9</v>
      </c>
      <c r="EY19" t="n">
        <v>197.2</v>
      </c>
      <c r="EZ19" t="n">
        <v>328.1</v>
      </c>
      <c r="FA19" t="n">
        <v>39.896</v>
      </c>
      <c r="FB19" t="n">
        <v>65.8</v>
      </c>
      <c r="FC19" t="n">
        <v>89.7</v>
      </c>
      <c r="FD19" t="n">
        <v>12.9</v>
      </c>
      <c r="FE19" t="n">
        <v>20.6</v>
      </c>
      <c r="FF19" t="n">
        <v>69.09999999999999</v>
      </c>
      <c r="FG19" t="n">
        <v>81.40000000000001</v>
      </c>
      <c r="FH19" t="n">
        <v>56.8</v>
      </c>
      <c r="FI19" t="n">
        <v>8.699999999999999</v>
      </c>
      <c r="FJ19" t="n">
        <v>20.4</v>
      </c>
      <c r="FK19" t="n">
        <v>109.3</v>
      </c>
      <c r="FL19" t="n">
        <v>12.2</v>
      </c>
      <c r="FM19" t="n">
        <v>22.7</v>
      </c>
      <c r="FN19" t="n">
        <v>34.9</v>
      </c>
      <c r="FO19" t="n">
        <v>41.4</v>
      </c>
      <c r="FP19" t="n">
        <v>70.29000000000001</v>
      </c>
      <c r="FQ19" t="n">
        <v>76.5</v>
      </c>
      <c r="FR19" t="n">
        <v>9.699999999999999</v>
      </c>
      <c r="FS19" t="n">
        <v>12.7</v>
      </c>
      <c r="FT19" t="n">
        <v>24.47</v>
      </c>
      <c r="FU19" t="n">
        <v>13.7</v>
      </c>
      <c r="FV19" t="n">
        <v>7.7</v>
      </c>
      <c r="FW19" t="n">
        <v>11.5</v>
      </c>
      <c r="FX19" t="n">
        <v>10.1</v>
      </c>
      <c r="FY19" t="n">
        <v>79.09999999999999</v>
      </c>
      <c r="FZ19" t="n">
        <v>2.5</v>
      </c>
      <c r="GA19" t="n">
        <v>23.6</v>
      </c>
      <c r="GB19" t="n">
        <v>8.6</v>
      </c>
      <c r="GC19" t="n">
        <v>48.729</v>
      </c>
      <c r="GD19" t="n">
        <v>22.158</v>
      </c>
      <c r="GE19" t="n">
        <v>41.618</v>
      </c>
      <c r="GF19" t="n">
        <v>45.472</v>
      </c>
      <c r="GG19" t="n">
        <v>77.379</v>
      </c>
      <c r="GH19" t="n">
        <v>-0.779</v>
      </c>
      <c r="GI19" t="n">
        <v>3.279</v>
      </c>
      <c r="GJ19" t="n">
        <v>-0.033</v>
      </c>
      <c r="GK19" t="n">
        <v>3.462</v>
      </c>
      <c r="GL19" t="n">
        <v>0.155</v>
      </c>
      <c r="GM19" t="n">
        <v>3.029</v>
      </c>
      <c r="GN19" t="n">
        <v>-0.289</v>
      </c>
      <c r="GO19" t="n">
        <v>5.2</v>
      </c>
      <c r="GP19" t="n">
        <v>34.4</v>
      </c>
      <c r="GQ19" t="n">
        <v>39.5</v>
      </c>
      <c r="GR19" t="n">
        <v>29.1</v>
      </c>
      <c r="GS19" t="n">
        <v>37.1</v>
      </c>
      <c r="GT19" t="n">
        <v>12.9</v>
      </c>
      <c r="GU19" t="n">
        <v>19.404</v>
      </c>
      <c r="GV19" t="n">
        <v>25.624</v>
      </c>
      <c r="GW19" t="n">
        <v>9.523999999999999</v>
      </c>
      <c r="GX19" t="n">
        <v>30.891</v>
      </c>
      <c r="GY19" t="n">
        <v>12.392</v>
      </c>
      <c r="GZ19" t="n">
        <v>60.8</v>
      </c>
      <c r="HA19" t="n">
        <v>10.9</v>
      </c>
      <c r="HB19" t="n">
        <v>276.3</v>
      </c>
      <c r="HC19" t="n">
        <v>142.8</v>
      </c>
      <c r="HD19" t="n">
        <v>33.2</v>
      </c>
      <c r="HE19" t="n">
        <v>42.4</v>
      </c>
      <c r="HF19" t="n">
        <v>41.447</v>
      </c>
      <c r="HG19" t="n">
        <v>9.800000000000001</v>
      </c>
      <c r="HH19" t="n">
        <v>23.113</v>
      </c>
      <c r="HI19" t="n">
        <v>2.2</v>
      </c>
      <c r="HJ19" t="n">
        <v>38.915</v>
      </c>
      <c r="HK19" t="n">
        <v>35.849</v>
      </c>
      <c r="HL19" t="n">
        <v>12.3</v>
      </c>
      <c r="HM19" t="n">
        <v>93.496</v>
      </c>
      <c r="HN19" t="n">
        <v>8.4</v>
      </c>
      <c r="HO19" t="n">
        <v>47.9</v>
      </c>
      <c r="HP19" t="n">
        <v>69.5</v>
      </c>
      <c r="HQ19" t="n">
        <v>9.779999999999999</v>
      </c>
      <c r="HR19" t="n">
        <v>157.4</v>
      </c>
      <c r="HS19" t="n">
        <v>219.9</v>
      </c>
      <c r="HT19" t="n">
        <v>13.3</v>
      </c>
      <c r="HU19" t="n">
        <v>2.9</v>
      </c>
      <c r="HV19" t="n">
        <v>39.1</v>
      </c>
      <c r="HW19" t="n">
        <v>0.2</v>
      </c>
      <c r="HX19" t="n">
        <v>39.3</v>
      </c>
      <c r="HY19" t="n">
        <v>5.4</v>
      </c>
      <c r="HZ19" t="n">
        <v>172.4</v>
      </c>
      <c r="IA19" t="n">
        <v>343.723</v>
      </c>
      <c r="IB19" t="n">
        <v>-146.514</v>
      </c>
      <c r="IC19" t="n">
        <v>-0.6</v>
      </c>
      <c r="ID19" t="n">
        <v>-1.6</v>
      </c>
      <c r="IE19" t="n">
        <v>0.712</v>
      </c>
      <c r="IF19" t="n">
        <v>-0.646</v>
      </c>
      <c r="IG19" t="n">
        <v>5</v>
      </c>
      <c r="IH19" t="n">
        <v>34</v>
      </c>
      <c r="II19" t="n">
        <v>39</v>
      </c>
      <c r="IJ19" t="n">
        <v>2</v>
      </c>
      <c r="IK19" t="n">
        <v>5.1</v>
      </c>
      <c r="IL19" t="n">
        <v>4.8</v>
      </c>
      <c r="IM19" t="n">
        <v>2.3</v>
      </c>
      <c r="IN19" t="n">
        <v>2.8</v>
      </c>
      <c r="IO19" t="n">
        <v>-0.8</v>
      </c>
      <c r="IP19" t="n">
        <v>1.1</v>
      </c>
      <c r="IQ19" t="n">
        <v>1.1</v>
      </c>
      <c r="IR19" t="n">
        <v>1.1</v>
      </c>
      <c r="IS19" t="n">
        <v>4</v>
      </c>
      <c r="IT19" t="n">
        <v>-0.2</v>
      </c>
      <c r="IU19" t="n">
        <v>7.1</v>
      </c>
      <c r="IV19" t="n">
        <v>6.9</v>
      </c>
      <c r="IW19" t="n">
        <v>3.6</v>
      </c>
      <c r="IX19" t="n">
        <v>27.1</v>
      </c>
      <c r="IY19" t="n">
        <v>-1.6</v>
      </c>
      <c r="IZ19" t="n">
        <v>-1.8</v>
      </c>
      <c r="JA19" t="n">
        <v>1.3</v>
      </c>
      <c r="JB19" t="n">
        <v>0.7</v>
      </c>
      <c r="JC19" t="n">
        <v>1.7</v>
      </c>
      <c r="JD19" t="n">
        <v>2.5</v>
      </c>
      <c r="JE19" t="n">
        <v>12.7</v>
      </c>
      <c r="JF19" t="n">
        <v>5.2</v>
      </c>
      <c r="JG19" t="n">
        <v>0.4</v>
      </c>
      <c r="JH19" t="n">
        <v>14.219</v>
      </c>
      <c r="JI19" t="n">
        <v>-0.819</v>
      </c>
      <c r="JJ19" t="n">
        <v>-0.098</v>
      </c>
      <c r="JK19" t="n">
        <v>-1.7</v>
      </c>
      <c r="JL19" t="n">
        <v>1.8</v>
      </c>
      <c r="JM19" t="n">
        <v>12.6</v>
      </c>
      <c r="JN19" t="n">
        <v>4.6</v>
      </c>
      <c r="JO19" t="n">
        <v>12.4</v>
      </c>
      <c r="JP19" t="n">
        <v>-4.3</v>
      </c>
      <c r="JQ19" t="n">
        <v>1.5</v>
      </c>
      <c r="JR19" t="n">
        <v>1.2</v>
      </c>
      <c r="JS19" t="n">
        <v>-9.699999999999999</v>
      </c>
      <c r="JT19" t="n">
        <v>-20.3</v>
      </c>
      <c r="JU19" t="n">
        <v>-0.3</v>
      </c>
      <c r="JV19" t="n">
        <v>1.9</v>
      </c>
      <c r="JW19" t="n">
        <v>0.7</v>
      </c>
      <c r="JX19" t="n">
        <v>0</v>
      </c>
      <c r="JY19" t="n">
        <v>-3.5</v>
      </c>
      <c r="JZ19" t="n">
        <v>0.6</v>
      </c>
      <c r="KA19" t="n">
        <v>-0.3</v>
      </c>
    </row>
    <row r="20">
      <c r="A20" t="inlineStr">
        <is>
          <t>Average</t>
        </is>
      </c>
      <c r="B20" t="inlineStr">
        <is>
          <t>AFL</t>
        </is>
      </c>
      <c r="C20" t="n">
        <v>97</v>
      </c>
      <c r="D20" t="n">
        <v>32.889</v>
      </c>
      <c r="E20" t="n">
        <v>25.845</v>
      </c>
      <c r="F20" t="n">
        <v>108.011</v>
      </c>
      <c r="G20" t="n">
        <v>197.681</v>
      </c>
      <c r="H20" t="n">
        <v>1639.75</v>
      </c>
      <c r="I20" t="n">
        <v>1490.089</v>
      </c>
      <c r="J20" t="n">
        <v>14.35</v>
      </c>
      <c r="K20" t="n">
        <v>49.685</v>
      </c>
      <c r="L20" t="n">
        <v>40.783</v>
      </c>
      <c r="M20" t="n">
        <v>205.578</v>
      </c>
      <c r="N20" t="n">
        <v>144.339</v>
      </c>
      <c r="O20" t="n">
        <v>349.917</v>
      </c>
      <c r="P20" t="n">
        <v>72.339</v>
      </c>
      <c r="Q20" t="n">
        <v>65.693</v>
      </c>
      <c r="R20" t="n">
        <v>81.806</v>
      </c>
      <c r="S20" t="n">
        <v>58.75</v>
      </c>
      <c r="T20" t="n">
        <v>5.814</v>
      </c>
      <c r="U20" t="n">
        <v>50.761</v>
      </c>
      <c r="V20" t="n">
        <v>38.061</v>
      </c>
      <c r="W20" t="n">
        <v>73.86499999999999</v>
      </c>
      <c r="X20" t="n">
        <v>5755.694</v>
      </c>
      <c r="Y20" t="n">
        <v>16.449</v>
      </c>
      <c r="Z20" t="n">
        <v>5416.382</v>
      </c>
      <c r="AA20" t="n">
        <v>26.516</v>
      </c>
      <c r="AB20" t="n">
        <v>173.494</v>
      </c>
      <c r="AC20" t="n">
        <v>1.206</v>
      </c>
      <c r="AD20" t="n">
        <v>57.022</v>
      </c>
      <c r="AE20" t="n">
        <v>6.136</v>
      </c>
      <c r="AF20" t="n">
        <v>62.994</v>
      </c>
      <c r="AG20" t="n">
        <v>5.555</v>
      </c>
      <c r="AH20" t="n">
        <v>69.97199999999999</v>
      </c>
      <c r="AI20" t="n">
        <v>47.617</v>
      </c>
      <c r="AJ20" t="n">
        <v>23.403</v>
      </c>
      <c r="AK20" t="n">
        <v>1.155</v>
      </c>
      <c r="AL20" t="n">
        <v>56.756</v>
      </c>
      <c r="AM20" t="n">
        <v>0.85</v>
      </c>
      <c r="AN20" t="n">
        <v>129.272</v>
      </c>
      <c r="AO20" t="n">
        <v>212.689</v>
      </c>
      <c r="AP20" t="n">
        <v>341.961</v>
      </c>
      <c r="AQ20" t="n">
        <v>37.803</v>
      </c>
      <c r="AR20" t="n">
        <v>62.978</v>
      </c>
      <c r="AS20" t="n">
        <v>85.761</v>
      </c>
      <c r="AT20" t="n">
        <v>14.017</v>
      </c>
      <c r="AU20" t="n">
        <v>21.172</v>
      </c>
      <c r="AV20" t="n">
        <v>64.589</v>
      </c>
      <c r="AW20" t="n">
        <v>79.206</v>
      </c>
      <c r="AX20" t="n">
        <v>54.839</v>
      </c>
      <c r="AY20" t="n">
        <v>9.550000000000001</v>
      </c>
      <c r="AZ20" t="n">
        <v>21.106</v>
      </c>
      <c r="BA20" t="n">
        <v>114.811</v>
      </c>
      <c r="BB20" t="n">
        <v>11.906</v>
      </c>
      <c r="BC20" t="n">
        <v>25.111</v>
      </c>
      <c r="BD20" t="n">
        <v>37.017</v>
      </c>
      <c r="BE20" t="n">
        <v>41.189</v>
      </c>
      <c r="BF20" t="n">
        <v>74.44</v>
      </c>
      <c r="BG20" t="n">
        <v>87.72799999999999</v>
      </c>
      <c r="BH20" t="n">
        <v>9.706</v>
      </c>
      <c r="BI20" t="n">
        <v>12.244</v>
      </c>
      <c r="BJ20" t="n">
        <v>24.122</v>
      </c>
      <c r="BK20" t="n">
        <v>14.856</v>
      </c>
      <c r="BL20" t="n">
        <v>8.256</v>
      </c>
      <c r="BM20" t="n">
        <v>22.111</v>
      </c>
      <c r="BN20" t="n">
        <v>7.4</v>
      </c>
      <c r="BO20" t="n">
        <v>12.15</v>
      </c>
      <c r="BP20" t="n">
        <v>10.617</v>
      </c>
      <c r="BQ20" t="n">
        <v>83.517</v>
      </c>
      <c r="BR20" t="n">
        <v>1.933</v>
      </c>
      <c r="BS20" t="n">
        <v>25.089</v>
      </c>
      <c r="BT20" t="n">
        <v>8.917</v>
      </c>
      <c r="BU20" t="n">
        <v>48.428</v>
      </c>
      <c r="BV20" t="n">
        <v>23.936</v>
      </c>
      <c r="BW20" t="n">
        <v>44.851</v>
      </c>
      <c r="BX20" t="n">
        <v>49.425</v>
      </c>
      <c r="BY20" t="n">
        <v>10.478</v>
      </c>
      <c r="BZ20" t="n">
        <v>28.42</v>
      </c>
      <c r="CA20" t="n">
        <v/>
      </c>
      <c r="CB20" t="n">
        <v/>
      </c>
      <c r="CC20" t="n">
        <v>81.297</v>
      </c>
      <c r="CD20" t="n">
        <v>0.287</v>
      </c>
      <c r="CE20" t="n">
        <v>3.24</v>
      </c>
      <c r="CF20" t="n">
        <v>0.011</v>
      </c>
      <c r="CG20" t="n">
        <v>3.477</v>
      </c>
      <c r="CH20" t="n">
        <v>0.074</v>
      </c>
      <c r="CI20" t="n">
        <v>2.927</v>
      </c>
      <c r="CJ20" t="n">
        <v>-0.07199999999999999</v>
      </c>
      <c r="CK20" t="n">
        <v>4.172</v>
      </c>
      <c r="CL20" t="n">
        <v>33.45</v>
      </c>
      <c r="CM20" t="n">
        <v>45.894</v>
      </c>
      <c r="CN20" t="n">
        <v>31.85</v>
      </c>
      <c r="CO20" t="n">
        <v>40.7</v>
      </c>
      <c r="CP20" t="n">
        <v>10.967</v>
      </c>
      <c r="CQ20" t="n">
        <v>20.786</v>
      </c>
      <c r="CR20" t="n">
        <v>23.564</v>
      </c>
      <c r="CS20" t="n">
        <v>10.017</v>
      </c>
      <c r="CT20" t="n">
        <v>31.22</v>
      </c>
      <c r="CU20" t="n">
        <v>12.823</v>
      </c>
      <c r="CV20" t="n">
        <v>10.483</v>
      </c>
      <c r="CW20" t="n">
        <v>29.147</v>
      </c>
      <c r="CX20" t="n">
        <v>60.022</v>
      </c>
      <c r="CY20" t="n">
        <v>10.967</v>
      </c>
      <c r="CZ20" t="n">
        <v>266.472</v>
      </c>
      <c r="DA20" t="n">
        <v>127.878</v>
      </c>
      <c r="DB20" t="n">
        <v>30.433</v>
      </c>
      <c r="DC20" t="n">
        <v>97.361</v>
      </c>
      <c r="DD20" t="n">
        <v>39.089</v>
      </c>
      <c r="DE20" t="n">
        <v>40.148</v>
      </c>
      <c r="DF20" t="n">
        <v>10.494</v>
      </c>
      <c r="DG20" t="n">
        <v>26.848</v>
      </c>
      <c r="DH20" t="n">
        <v>2.783</v>
      </c>
      <c r="DI20" t="n">
        <v>44.016</v>
      </c>
      <c r="DJ20" t="n">
        <v>39.255</v>
      </c>
      <c r="DK20" t="n">
        <v>19.417</v>
      </c>
      <c r="DL20" t="n">
        <v>19.578</v>
      </c>
      <c r="DM20" t="n">
        <v>-0.161</v>
      </c>
      <c r="DN20" t="n">
        <v>10.511</v>
      </c>
      <c r="DO20" t="n">
        <v>91.755</v>
      </c>
      <c r="DP20" t="n">
        <v>6.85</v>
      </c>
      <c r="DQ20" t="n">
        <v>42.3</v>
      </c>
      <c r="DR20" t="n">
        <v>70.22799999999999</v>
      </c>
      <c r="DS20" t="n">
        <v>200.708</v>
      </c>
      <c r="DT20" t="n">
        <v>1659.917</v>
      </c>
      <c r="DU20" t="n">
        <v>1506.056</v>
      </c>
      <c r="DV20" t="n">
        <v>15.817</v>
      </c>
      <c r="DW20" t="n">
        <v>41.289</v>
      </c>
      <c r="DX20" t="n">
        <v>207.594</v>
      </c>
      <c r="DY20" t="n">
        <v>144.217</v>
      </c>
      <c r="DZ20" t="n">
        <v>351.811</v>
      </c>
      <c r="EA20" t="n">
        <v>72.533</v>
      </c>
      <c r="EB20" t="n">
        <v>66.045</v>
      </c>
      <c r="EC20" t="n">
        <v>81.871</v>
      </c>
      <c r="ED20" t="n">
        <v>5.861</v>
      </c>
      <c r="EE20" t="n">
        <v>51.528</v>
      </c>
      <c r="EF20" t="n">
        <v>37.828</v>
      </c>
      <c r="EG20" t="n">
        <v>74.521</v>
      </c>
      <c r="EH20" t="n">
        <v>5804.45</v>
      </c>
      <c r="EI20" t="n">
        <v>16.499</v>
      </c>
      <c r="EJ20" t="n">
        <v>5468.146</v>
      </c>
      <c r="EK20" t="n">
        <v>26.503</v>
      </c>
      <c r="EL20" t="n">
        <v>173.295</v>
      </c>
      <c r="EM20" t="n">
        <v>1.206</v>
      </c>
      <c r="EN20" t="n">
        <v>56.533</v>
      </c>
      <c r="EO20" t="n">
        <v>6.223</v>
      </c>
      <c r="EP20" t="n">
        <v>62.833</v>
      </c>
      <c r="EQ20" t="n">
        <v>5.599</v>
      </c>
      <c r="ER20" t="n">
        <v>70.161</v>
      </c>
      <c r="ES20" t="n">
        <v>48.153</v>
      </c>
      <c r="ET20" t="n">
        <v>23.514</v>
      </c>
      <c r="EU20" t="n">
        <v>1.498</v>
      </c>
      <c r="EV20" t="n">
        <v>56.936</v>
      </c>
      <c r="EW20" t="n">
        <v>1.134</v>
      </c>
      <c r="EX20" t="n">
        <v>129.478</v>
      </c>
      <c r="EY20" t="n">
        <v>214.328</v>
      </c>
      <c r="EZ20" t="n">
        <v>343.806</v>
      </c>
      <c r="FA20" t="n">
        <v>37.66</v>
      </c>
      <c r="FB20" t="n">
        <v>63.167</v>
      </c>
      <c r="FC20" t="n">
        <v>85.417</v>
      </c>
      <c r="FD20" t="n">
        <v>14.367</v>
      </c>
      <c r="FE20" t="n">
        <v>21.172</v>
      </c>
      <c r="FF20" t="n">
        <v>64.244</v>
      </c>
      <c r="FG20" t="n">
        <v>79.239</v>
      </c>
      <c r="FH20" t="n">
        <v>54.6</v>
      </c>
      <c r="FI20" t="n">
        <v>9.571999999999999</v>
      </c>
      <c r="FJ20" t="n">
        <v>21.033</v>
      </c>
      <c r="FK20" t="n">
        <v>114.8</v>
      </c>
      <c r="FL20" t="n">
        <v>12.089</v>
      </c>
      <c r="FM20" t="n">
        <v>25.122</v>
      </c>
      <c r="FN20" t="n">
        <v>37.211</v>
      </c>
      <c r="FO20" t="n">
        <v>41.183</v>
      </c>
      <c r="FP20" t="n">
        <v>74.693</v>
      </c>
      <c r="FQ20" t="n">
        <v>89.52800000000001</v>
      </c>
      <c r="FR20" t="n">
        <v>10.017</v>
      </c>
      <c r="FS20" t="n">
        <v>12.6</v>
      </c>
      <c r="FT20" t="n">
        <v>24.453</v>
      </c>
      <c r="FU20" t="n">
        <v>15.183</v>
      </c>
      <c r="FV20" t="n">
        <v>8.311</v>
      </c>
      <c r="FW20" t="n">
        <v>12.617</v>
      </c>
      <c r="FX20" t="n">
        <v>10.739</v>
      </c>
      <c r="FY20" t="n">
        <v>86.43899999999999</v>
      </c>
      <c r="FZ20" t="n">
        <v>1.906</v>
      </c>
      <c r="GA20" t="n">
        <v>25.744</v>
      </c>
      <c r="GB20" t="n">
        <v>9.278</v>
      </c>
      <c r="GC20" t="n">
        <v>49.007</v>
      </c>
      <c r="GD20" t="n">
        <v>24.485</v>
      </c>
      <c r="GE20" t="n">
        <v>45.326</v>
      </c>
      <c r="GF20" t="n">
        <v>49.962</v>
      </c>
      <c r="GG20" t="n">
        <v>83.592</v>
      </c>
      <c r="GH20" t="n">
        <v>0.9409999999999999</v>
      </c>
      <c r="GI20" t="n">
        <v>3.247</v>
      </c>
      <c r="GJ20" t="n">
        <v>0.037</v>
      </c>
      <c r="GK20" t="n">
        <v>3.488</v>
      </c>
      <c r="GL20" t="n">
        <v>0.083</v>
      </c>
      <c r="GM20" t="n">
        <v>2.927</v>
      </c>
      <c r="GN20" t="n">
        <v>-0.025</v>
      </c>
      <c r="GO20" t="n">
        <v>4.161</v>
      </c>
      <c r="GP20" t="n">
        <v>34.806</v>
      </c>
      <c r="GQ20" t="n">
        <v>47.472</v>
      </c>
      <c r="GR20" t="n">
        <v>32.211</v>
      </c>
      <c r="GS20" t="n">
        <v>42.461</v>
      </c>
      <c r="GT20" t="n">
        <v>11.767</v>
      </c>
      <c r="GU20" t="n">
        <v>21.266</v>
      </c>
      <c r="GV20" t="n">
        <v>23.898</v>
      </c>
      <c r="GW20" t="n">
        <v>10.137</v>
      </c>
      <c r="GX20" t="n">
        <v>31.556</v>
      </c>
      <c r="GY20" t="n">
        <v>12.949</v>
      </c>
      <c r="GZ20" t="n">
        <v>60.189</v>
      </c>
      <c r="HA20" t="n">
        <v>11.006</v>
      </c>
      <c r="HB20" t="n">
        <v>266.894</v>
      </c>
      <c r="HC20" t="n">
        <v>126.494</v>
      </c>
      <c r="HD20" t="n">
        <v>30.144</v>
      </c>
      <c r="HE20" t="n">
        <v>39.589</v>
      </c>
      <c r="HF20" t="n">
        <v>40.657</v>
      </c>
      <c r="HG20" t="n">
        <v>10.522</v>
      </c>
      <c r="HH20" t="n">
        <v>26.579</v>
      </c>
      <c r="HI20" t="n">
        <v>2.883</v>
      </c>
      <c r="HJ20" t="n">
        <v>43.769</v>
      </c>
      <c r="HK20" t="n">
        <v>39.194</v>
      </c>
      <c r="HL20" t="n">
        <v>10.406</v>
      </c>
      <c r="HM20" t="n">
        <v>91.404</v>
      </c>
      <c r="HN20" t="n">
        <v>6.9</v>
      </c>
      <c r="HO20" t="n">
        <v>42.156</v>
      </c>
      <c r="HP20" t="n">
        <v>70.428</v>
      </c>
      <c r="HQ20" t="n">
        <v>-3.028</v>
      </c>
      <c r="HR20" t="n">
        <v>-20.167</v>
      </c>
      <c r="HS20" t="n">
        <v>-15.967</v>
      </c>
      <c r="HT20" t="n">
        <v>-1.467</v>
      </c>
      <c r="HU20" t="n">
        <v>-0.506</v>
      </c>
      <c r="HV20" t="n">
        <v>-2.017</v>
      </c>
      <c r="HW20" t="n">
        <v>0.122</v>
      </c>
      <c r="HX20" t="n">
        <v>-1.894</v>
      </c>
      <c r="HY20" t="n">
        <v>-0.767</v>
      </c>
      <c r="HZ20" t="n">
        <v>-48.756</v>
      </c>
      <c r="IA20" t="n">
        <v>-51.764</v>
      </c>
      <c r="IB20" t="n">
        <v>0.198</v>
      </c>
      <c r="IC20" t="n">
        <v>0.489</v>
      </c>
      <c r="ID20" t="n">
        <v>0.161</v>
      </c>
      <c r="IE20" t="n">
        <v>-0.342</v>
      </c>
      <c r="IF20" t="n">
        <v>-0.284</v>
      </c>
      <c r="IG20" t="n">
        <v>-0.206</v>
      </c>
      <c r="IH20" t="n">
        <v>-1.639</v>
      </c>
      <c r="II20" t="n">
        <v>-1.844</v>
      </c>
      <c r="IJ20" t="n">
        <v>-0.189</v>
      </c>
      <c r="IK20" t="n">
        <v>0.344</v>
      </c>
      <c r="IL20" t="n">
        <v>-0.35</v>
      </c>
      <c r="IM20" t="n">
        <v>0</v>
      </c>
      <c r="IN20" t="n">
        <v>0.344</v>
      </c>
      <c r="IO20" t="n">
        <v>-0.033</v>
      </c>
      <c r="IP20" t="n">
        <v>0.239</v>
      </c>
      <c r="IQ20" t="n">
        <v>-0.022</v>
      </c>
      <c r="IR20" t="n">
        <v>0.07199999999999999</v>
      </c>
      <c r="IS20" t="n">
        <v>0.011</v>
      </c>
      <c r="IT20" t="n">
        <v>-0.183</v>
      </c>
      <c r="IU20" t="n">
        <v>-0.011</v>
      </c>
      <c r="IV20" t="n">
        <v>-0.194</v>
      </c>
      <c r="IW20" t="n">
        <v>0.006</v>
      </c>
      <c r="IX20" t="n">
        <v>-1.8</v>
      </c>
      <c r="IY20" t="n">
        <v>-0.311</v>
      </c>
      <c r="IZ20" t="n">
        <v>-0.356</v>
      </c>
      <c r="JA20" t="n">
        <v>-0.328</v>
      </c>
      <c r="JB20" t="n">
        <v>-0.056</v>
      </c>
      <c r="JC20" t="n">
        <v>-0.467</v>
      </c>
      <c r="JD20" t="n">
        <v>-0.122</v>
      </c>
      <c r="JE20" t="n">
        <v>-2.922</v>
      </c>
      <c r="JF20" t="n">
        <v>-0.656</v>
      </c>
      <c r="JG20" t="n">
        <v>-0.361</v>
      </c>
      <c r="JH20" t="n">
        <v>-2.296</v>
      </c>
      <c r="JI20" t="n">
        <v>-0.654</v>
      </c>
      <c r="JJ20" t="n">
        <v>-0.007</v>
      </c>
      <c r="JK20" t="n">
        <v>0.011</v>
      </c>
      <c r="JL20" t="n">
        <v>-1.356</v>
      </c>
      <c r="JM20" t="n">
        <v>-1.578</v>
      </c>
      <c r="JN20" t="n">
        <v>-0.361</v>
      </c>
      <c r="JO20" t="n">
        <v>-1.761</v>
      </c>
      <c r="JP20" t="n">
        <v>-0.8</v>
      </c>
      <c r="JQ20" t="n">
        <v>-0.167</v>
      </c>
      <c r="JR20" t="n">
        <v>-0.039</v>
      </c>
      <c r="JS20" t="n">
        <v>-0.422</v>
      </c>
      <c r="JT20" t="n">
        <v>1.383</v>
      </c>
      <c r="JU20" t="n">
        <v>0.289</v>
      </c>
      <c r="JV20" t="n">
        <v>-0.5</v>
      </c>
      <c r="JW20" t="n">
        <v>-0.028</v>
      </c>
      <c r="JX20" t="n">
        <v>-0.1</v>
      </c>
      <c r="JY20" t="n">
        <v>-0.05</v>
      </c>
      <c r="JZ20" t="n">
        <v>0.144</v>
      </c>
      <c r="KA20" t="n">
        <v>-0.2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A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Abbreviation</t>
        </is>
      </c>
      <c r="C1" t="inlineStr">
        <is>
          <t>Matches</t>
        </is>
      </c>
      <c r="D1" t="inlineStr">
        <is>
          <t>Players</t>
        </is>
      </c>
      <c r="E1" t="inlineStr">
        <is>
          <t>Age</t>
        </is>
      </c>
      <c r="F1" t="inlineStr">
        <is>
          <t>Experience</t>
        </is>
      </c>
      <c r="G1" t="inlineStr">
        <is>
          <t>RatingPoints</t>
        </is>
      </c>
      <c r="H1" t="inlineStr">
        <is>
          <t>Supercoach</t>
        </is>
      </c>
      <c r="I1" t="inlineStr">
        <is>
          <t>DreamTeamPoints</t>
        </is>
      </c>
      <c r="J1" t="inlineStr">
        <is>
          <t>CoachesVotes</t>
        </is>
      </c>
      <c r="K1" t="inlineStr">
        <is>
          <t>ForwardHalf</t>
        </is>
      </c>
      <c r="L1" t="inlineStr">
        <is>
          <t>TimeInPossession</t>
        </is>
      </c>
      <c r="M1" t="inlineStr">
        <is>
          <t>Kicks</t>
        </is>
      </c>
      <c r="N1" t="inlineStr">
        <is>
          <t>Handballs</t>
        </is>
      </c>
      <c r="O1" t="inlineStr">
        <is>
          <t>Disposals</t>
        </is>
      </c>
      <c r="P1" t="inlineStr">
        <is>
          <t>DisposalEfficiency</t>
        </is>
      </c>
      <c r="Q1" t="inlineStr">
        <is>
          <t>KickingEfficiency</t>
        </is>
      </c>
      <c r="R1" t="inlineStr">
        <is>
          <t>HandballEfficiency</t>
        </is>
      </c>
      <c r="S1" t="inlineStr">
        <is>
          <t>KickPercentage</t>
        </is>
      </c>
      <c r="T1" t="inlineStr">
        <is>
          <t>DisposalsPerOppositionTackle</t>
        </is>
      </c>
      <c r="U1" t="inlineStr">
        <is>
          <t>Inside50s</t>
        </is>
      </c>
      <c r="V1" t="inlineStr">
        <is>
          <t>Rebound50s</t>
        </is>
      </c>
      <c r="W1" t="inlineStr">
        <is>
          <t>Rebound50sPerOppositionInside50s</t>
        </is>
      </c>
      <c r="X1" t="inlineStr">
        <is>
          <t>MetresGained</t>
        </is>
      </c>
      <c r="Y1" t="inlineStr">
        <is>
          <t>MetresGainedPerDisposal</t>
        </is>
      </c>
      <c r="Z1" t="inlineStr">
        <is>
          <t>KickMetresGained</t>
        </is>
      </c>
      <c r="AA1" t="inlineStr">
        <is>
          <t>KickMetresGainedPerKick</t>
        </is>
      </c>
      <c r="AB1" t="inlineStr">
        <is>
          <t>HandballMetresGained</t>
        </is>
      </c>
      <c r="AC1" t="inlineStr">
        <is>
          <t>HandballMetresGainedPerHandball</t>
        </is>
      </c>
      <c r="AD1" t="inlineStr">
        <is>
          <t>Clangers</t>
        </is>
      </c>
      <c r="AE1" t="inlineStr">
        <is>
          <t>DisposalsPerClanger</t>
        </is>
      </c>
      <c r="AF1" t="inlineStr">
        <is>
          <t>Turnovers</t>
        </is>
      </c>
      <c r="AG1" t="inlineStr">
        <is>
          <t>DisposalsPerTurnover</t>
        </is>
      </c>
      <c r="AH1" t="inlineStr">
        <is>
          <t>DisposalRetentionPercentage</t>
        </is>
      </c>
      <c r="AI1" t="inlineStr">
        <is>
          <t>KickIntoF50RetentionPercentage</t>
        </is>
      </c>
      <c r="AJ1" t="inlineStr">
        <is>
          <t>xThreatPerKick</t>
        </is>
      </c>
      <c r="AK1" t="inlineStr">
        <is>
          <t>ThreatRating</t>
        </is>
      </c>
      <c r="AL1" t="inlineStr">
        <is>
          <t>xRetainPerKick</t>
        </is>
      </c>
      <c r="AM1" t="inlineStr">
        <is>
          <t>RetentionRating</t>
        </is>
      </c>
      <c r="AN1" t="inlineStr">
        <is>
          <t>ContestedPossessions</t>
        </is>
      </c>
      <c r="AO1" t="inlineStr">
        <is>
          <t>UncontestedPossessions</t>
        </is>
      </c>
      <c r="AP1" t="inlineStr">
        <is>
          <t>TotalPossessions</t>
        </is>
      </c>
      <c r="AQ1" t="inlineStr">
        <is>
          <t>ContestedPossessionRate</t>
        </is>
      </c>
      <c r="AR1" t="inlineStr">
        <is>
          <t>Intercepts</t>
        </is>
      </c>
      <c r="AS1" t="inlineStr">
        <is>
          <t>GroundBallGets</t>
        </is>
      </c>
      <c r="AT1" t="inlineStr">
        <is>
          <t>GroundBallGetsForward50</t>
        </is>
      </c>
      <c r="AU1" t="inlineStr">
        <is>
          <t>HardBallGets</t>
        </is>
      </c>
      <c r="AV1" t="inlineStr">
        <is>
          <t>LooseBallGets</t>
        </is>
      </c>
      <c r="AW1" t="inlineStr">
        <is>
          <t>PostClearanceContestedPossessions</t>
        </is>
      </c>
      <c r="AX1" t="inlineStr">
        <is>
          <t>PostClearanceGroundBallGets</t>
        </is>
      </c>
      <c r="AY1" t="inlineStr">
        <is>
          <t>GathersFromHitout</t>
        </is>
      </c>
      <c r="AZ1" t="inlineStr">
        <is>
          <t>CrumbingPossessions</t>
        </is>
      </c>
      <c r="BA1" t="inlineStr">
        <is>
          <t>HandballReceives</t>
        </is>
      </c>
      <c r="BB1" t="inlineStr">
        <is>
          <t>CentreClearances</t>
        </is>
      </c>
      <c r="BC1" t="inlineStr">
        <is>
          <t>StoppageClearances</t>
        </is>
      </c>
      <c r="BD1" t="inlineStr">
        <is>
          <t>TotalClearances</t>
        </is>
      </c>
      <c r="BE1" t="inlineStr">
        <is>
          <t>FirstPossessions</t>
        </is>
      </c>
      <c r="BF1" t="inlineStr">
        <is>
          <t>FirstPossessionToClearance</t>
        </is>
      </c>
      <c r="BG1" t="inlineStr">
        <is>
          <t>Marks</t>
        </is>
      </c>
      <c r="BH1" t="inlineStr">
        <is>
          <t>ContestedMarks</t>
        </is>
      </c>
      <c r="BI1" t="inlineStr">
        <is>
          <t>MarksInside50</t>
        </is>
      </c>
      <c r="BJ1" t="inlineStr">
        <is>
          <t>MarksInside50PerInside50</t>
        </is>
      </c>
      <c r="BK1" t="inlineStr">
        <is>
          <t>InterceptMarks</t>
        </is>
      </c>
      <c r="BL1" t="inlineStr">
        <is>
          <t>MarksOnLead</t>
        </is>
      </c>
      <c r="BM1" t="inlineStr">
        <is>
          <t>GoalScorers_Total</t>
        </is>
      </c>
      <c r="BN1" t="inlineStr">
        <is>
          <t>GoalScorers</t>
        </is>
      </c>
      <c r="BO1" t="inlineStr">
        <is>
          <t>Goals</t>
        </is>
      </c>
      <c r="BP1" t="inlineStr">
        <is>
          <t>Behinds</t>
        </is>
      </c>
      <c r="BQ1" t="inlineStr">
        <is>
          <t>TotalPoints</t>
        </is>
      </c>
      <c r="BR1" t="inlineStr">
        <is>
          <t>RushedBehinds</t>
        </is>
      </c>
      <c r="BS1" t="inlineStr">
        <is>
          <t>ShotsAtGoal</t>
        </is>
      </c>
      <c r="BT1" t="inlineStr">
        <is>
          <t>GoalAssists</t>
        </is>
      </c>
      <c r="BU1" t="inlineStr">
        <is>
          <t>GoalAccuracy</t>
        </is>
      </c>
      <c r="BV1" t="inlineStr">
        <is>
          <t>GoalsPerInside50</t>
        </is>
      </c>
      <c r="BW1" t="inlineStr">
        <is>
          <t>ScoringShotsPerInside50</t>
        </is>
      </c>
      <c r="BX1" t="inlineStr">
        <is>
          <t>ShotsPerInside50</t>
        </is>
      </c>
      <c r="BY1" t="inlineStr">
        <is>
          <t>ContestOffensiveOneOnOnes</t>
        </is>
      </c>
      <c r="BZ1" t="inlineStr">
        <is>
          <t>ContestOffensiveWinPercentage</t>
        </is>
      </c>
      <c r="CA1" t="inlineStr">
        <is>
          <t>xWins</t>
        </is>
      </c>
      <c r="CB1" t="inlineStr">
        <is>
          <t>WinsAboveXWins</t>
        </is>
      </c>
      <c r="CC1" t="inlineStr">
        <is>
          <t>xScore</t>
        </is>
      </c>
      <c r="CD1" t="inlineStr">
        <is>
          <t>xScoreRating</t>
        </is>
      </c>
      <c r="CE1" t="inlineStr">
        <is>
          <t>xScorePerShot</t>
        </is>
      </c>
      <c r="CF1" t="inlineStr">
        <is>
          <t>xScoreRatingPerShot</t>
        </is>
      </c>
      <c r="CG1" t="inlineStr">
        <is>
          <t>xScorePerShot_Set</t>
        </is>
      </c>
      <c r="CH1" t="inlineStr">
        <is>
          <t>xScoreRatingPerShot_Set</t>
        </is>
      </c>
      <c r="CI1" t="inlineStr">
        <is>
          <t>xScorePerShot_General</t>
        </is>
      </c>
      <c r="CJ1" t="inlineStr">
        <is>
          <t>xScoreRatingPerShot_General</t>
        </is>
      </c>
      <c r="CK1" t="inlineStr">
        <is>
          <t>PointsFromKickIn</t>
        </is>
      </c>
      <c r="CL1" t="inlineStr">
        <is>
          <t>PointsFromStoppage</t>
        </is>
      </c>
      <c r="CM1" t="inlineStr">
        <is>
          <t>PointsFromTurnover</t>
        </is>
      </c>
      <c r="CN1" t="inlineStr">
        <is>
          <t>PointsFromDefensiveHalf</t>
        </is>
      </c>
      <c r="CO1" t="inlineStr">
        <is>
          <t>PointsFromForwardHalf</t>
        </is>
      </c>
      <c r="CP1" t="inlineStr">
        <is>
          <t>PointsFromCentreBounce</t>
        </is>
      </c>
      <c r="CQ1" t="inlineStr">
        <is>
          <t>ChainToScore</t>
        </is>
      </c>
      <c r="CR1" t="inlineStr">
        <is>
          <t>D50ToF50</t>
        </is>
      </c>
      <c r="CS1" t="inlineStr">
        <is>
          <t>D50ToScore</t>
        </is>
      </c>
      <c r="CT1" t="inlineStr">
        <is>
          <t>DefHalfToF50</t>
        </is>
      </c>
      <c r="CU1" t="inlineStr">
        <is>
          <t>DefHalfToScore</t>
        </is>
      </c>
      <c r="CV1" t="inlineStr">
        <is>
          <t>ContestDefensiveOneOnOnes</t>
        </is>
      </c>
      <c r="CW1" t="inlineStr">
        <is>
          <t>ContestDefensiveLossPercentage</t>
        </is>
      </c>
      <c r="CX1" t="inlineStr">
        <is>
          <t>Tackles</t>
        </is>
      </c>
      <c r="CY1" t="inlineStr">
        <is>
          <t>TacklesInside50</t>
        </is>
      </c>
      <c r="CZ1" t="inlineStr">
        <is>
          <t>PressureActs</t>
        </is>
      </c>
      <c r="DA1" t="inlineStr">
        <is>
          <t>PressureActsDefensiveHalf</t>
        </is>
      </c>
      <c r="DB1" t="inlineStr">
        <is>
          <t>Spoils</t>
        </is>
      </c>
      <c r="DC1" t="inlineStr">
        <is>
          <t>RuckContests</t>
        </is>
      </c>
      <c r="DD1" t="inlineStr">
        <is>
          <t>Hitouts</t>
        </is>
      </c>
      <c r="DE1" t="inlineStr">
        <is>
          <t>HitoutsWinPercentage</t>
        </is>
      </c>
      <c r="DF1" t="inlineStr">
        <is>
          <t>HitoutsToAdvantage</t>
        </is>
      </c>
      <c r="DG1" t="inlineStr">
        <is>
          <t>HitoutsToAdvantagePercentage</t>
        </is>
      </c>
      <c r="DH1" t="inlineStr">
        <is>
          <t>RuckHardBallGets</t>
        </is>
      </c>
      <c r="DI1" t="inlineStr">
        <is>
          <t>HitoutToFirstPossession</t>
        </is>
      </c>
      <c r="DJ1" t="inlineStr">
        <is>
          <t>HitoutToClearance</t>
        </is>
      </c>
      <c r="DK1" t="inlineStr">
        <is>
          <t>FreesFor</t>
        </is>
      </c>
      <c r="DL1" t="inlineStr">
        <is>
          <t>FreesAgainst</t>
        </is>
      </c>
      <c r="DM1" t="inlineStr">
        <is>
          <t>FreesDiff</t>
        </is>
      </c>
      <c r="DN1" t="inlineStr">
        <is>
          <t>KickIns</t>
        </is>
      </c>
      <c r="DO1" t="inlineStr">
        <is>
          <t>KickInsPlayOnPercentage</t>
        </is>
      </c>
      <c r="DP1" t="inlineStr">
        <is>
          <t>Bounces</t>
        </is>
      </c>
      <c r="DQ1" t="inlineStr">
        <is>
          <t>OnePercenters</t>
        </is>
      </c>
      <c r="DR1" t="inlineStr">
        <is>
          <t>InterchangeCount</t>
        </is>
      </c>
      <c r="DS1" t="inlineStr">
        <is>
          <t>RatingPoints_Opposition</t>
        </is>
      </c>
      <c r="DT1" t="inlineStr">
        <is>
          <t>Supercoach_Opposition</t>
        </is>
      </c>
      <c r="DU1" t="inlineStr">
        <is>
          <t>DreamTeamPoints_Opposition</t>
        </is>
      </c>
      <c r="DV1" t="inlineStr">
        <is>
          <t>CoachesVotes_Opposition</t>
        </is>
      </c>
      <c r="DW1" t="inlineStr">
        <is>
          <t>TimeInPossession_Opposition</t>
        </is>
      </c>
      <c r="DX1" t="inlineStr">
        <is>
          <t>Kicks_Opposition</t>
        </is>
      </c>
      <c r="DY1" t="inlineStr">
        <is>
          <t>Handballs_Opposition</t>
        </is>
      </c>
      <c r="DZ1" t="inlineStr">
        <is>
          <t>Disposals_Opposition</t>
        </is>
      </c>
      <c r="EA1" t="inlineStr">
        <is>
          <t>DisposalEfficiency_Opposition</t>
        </is>
      </c>
      <c r="EB1" t="inlineStr">
        <is>
          <t>KickingEfficiency_Opposition</t>
        </is>
      </c>
      <c r="EC1" t="inlineStr">
        <is>
          <t>HandballEfficiency_Opposition</t>
        </is>
      </c>
      <c r="ED1" t="inlineStr">
        <is>
          <t>OppositionDisposalsPerTackle</t>
        </is>
      </c>
      <c r="EE1" t="inlineStr">
        <is>
          <t>Inside50s_Opposition</t>
        </is>
      </c>
      <c r="EF1" t="inlineStr">
        <is>
          <t>Rebound50s_Opposition</t>
        </is>
      </c>
      <c r="EG1" t="inlineStr">
        <is>
          <t>OppositionRebound50sPerInside50s</t>
        </is>
      </c>
      <c r="EH1" t="inlineStr">
        <is>
          <t>MetresGained_Opposition</t>
        </is>
      </c>
      <c r="EI1" t="inlineStr">
        <is>
          <t>MetresGainedPerDisposal_Opposition</t>
        </is>
      </c>
      <c r="EJ1" t="inlineStr">
        <is>
          <t>KickMetresGained_Opposition</t>
        </is>
      </c>
      <c r="EK1" t="inlineStr">
        <is>
          <t>KickMetresGainedPerKick_Opposition</t>
        </is>
      </c>
      <c r="EL1" t="inlineStr">
        <is>
          <t>HandballMetresGained_Opposition</t>
        </is>
      </c>
      <c r="EM1" t="inlineStr">
        <is>
          <t>HandballMetresGainedPerHandball_Opposition</t>
        </is>
      </c>
      <c r="EN1" t="inlineStr">
        <is>
          <t>Clangers_Opposition</t>
        </is>
      </c>
      <c r="EO1" t="inlineStr">
        <is>
          <t>DisposalsPerClanger_Opposition</t>
        </is>
      </c>
      <c r="EP1" t="inlineStr">
        <is>
          <t>Turnovers_Opposition</t>
        </is>
      </c>
      <c r="EQ1" t="inlineStr">
        <is>
          <t>DisposalsPerTurnover_Opposition</t>
        </is>
      </c>
      <c r="ER1" t="inlineStr">
        <is>
          <t>DisposalRetentionPercentage_Opposition</t>
        </is>
      </c>
      <c r="ES1" t="inlineStr">
        <is>
          <t>KickIntoF50RetentionPercentage_Opposition</t>
        </is>
      </c>
      <c r="ET1" t="inlineStr">
        <is>
          <t>xThreatPerKick_Opposition</t>
        </is>
      </c>
      <c r="EU1" t="inlineStr">
        <is>
          <t>ThreatRating_Opposition</t>
        </is>
      </c>
      <c r="EV1" t="inlineStr">
        <is>
          <t>xRetainPerKick_Opposition</t>
        </is>
      </c>
      <c r="EW1" t="inlineStr">
        <is>
          <t>RetentionRating_Opposition</t>
        </is>
      </c>
      <c r="EX1" t="inlineStr">
        <is>
          <t>ContestedPossessions_Opposition</t>
        </is>
      </c>
      <c r="EY1" t="inlineStr">
        <is>
          <t>UncontestedPossessions_Opposition</t>
        </is>
      </c>
      <c r="EZ1" t="inlineStr">
        <is>
          <t>TotalPossessions_Opposition</t>
        </is>
      </c>
      <c r="FA1" t="inlineStr">
        <is>
          <t>ContestedPossessionRate_Opposition</t>
        </is>
      </c>
      <c r="FB1" t="inlineStr">
        <is>
          <t>Intercepts_Opposition</t>
        </is>
      </c>
      <c r="FC1" t="inlineStr">
        <is>
          <t>GroundBallGets_Opposition</t>
        </is>
      </c>
      <c r="FD1" t="inlineStr">
        <is>
          <t>GroundBallGetsForward50_Opposition</t>
        </is>
      </c>
      <c r="FE1" t="inlineStr">
        <is>
          <t>HardBallGets_Opposition</t>
        </is>
      </c>
      <c r="FF1" t="inlineStr">
        <is>
          <t>LooseBallGets_Opposition</t>
        </is>
      </c>
      <c r="FG1" t="inlineStr">
        <is>
          <t>PostClearanceContestedPossessions_Opposition</t>
        </is>
      </c>
      <c r="FH1" t="inlineStr">
        <is>
          <t>PostClearanceGroundBallGets_Opposition</t>
        </is>
      </c>
      <c r="FI1" t="inlineStr">
        <is>
          <t>GathersFromHitout_Opposition</t>
        </is>
      </c>
      <c r="FJ1" t="inlineStr">
        <is>
          <t>CrumbingPossessions_Opposition</t>
        </is>
      </c>
      <c r="FK1" t="inlineStr">
        <is>
          <t>HandballReceives_Opposition</t>
        </is>
      </c>
      <c r="FL1" t="inlineStr">
        <is>
          <t>CentreClearances_Opposition</t>
        </is>
      </c>
      <c r="FM1" t="inlineStr">
        <is>
          <t>StoppageClearances_Opposition</t>
        </is>
      </c>
      <c r="FN1" t="inlineStr">
        <is>
          <t>TotalClearances_Opposition</t>
        </is>
      </c>
      <c r="FO1" t="inlineStr">
        <is>
          <t>FirstPossessions_Opposition</t>
        </is>
      </c>
      <c r="FP1" t="inlineStr">
        <is>
          <t>FirstPossessionToClearance_Opposition</t>
        </is>
      </c>
      <c r="FQ1" t="inlineStr">
        <is>
          <t>Marks_Opposition</t>
        </is>
      </c>
      <c r="FR1" t="inlineStr">
        <is>
          <t>ContestedMarks_Opposition</t>
        </is>
      </c>
      <c r="FS1" t="inlineStr">
        <is>
          <t>MarksInside50_Opposition</t>
        </is>
      </c>
      <c r="FT1" t="inlineStr">
        <is>
          <t>MarksInside50PerInside50_Opposition</t>
        </is>
      </c>
      <c r="FU1" t="inlineStr">
        <is>
          <t>InterceptMarks_Opposition</t>
        </is>
      </c>
      <c r="FV1" t="inlineStr">
        <is>
          <t>MarksOnLead_Opposition</t>
        </is>
      </c>
      <c r="FW1" t="inlineStr">
        <is>
          <t>Goals_Opposition</t>
        </is>
      </c>
      <c r="FX1" t="inlineStr">
        <is>
          <t>Behinds_Opposition</t>
        </is>
      </c>
      <c r="FY1" t="inlineStr">
        <is>
          <t>TotalPoints_Opposition</t>
        </is>
      </c>
      <c r="FZ1" t="inlineStr">
        <is>
          <t>RushedBehinds_Opposition</t>
        </is>
      </c>
      <c r="GA1" t="inlineStr">
        <is>
          <t>ShotsAtGoal_Opposition</t>
        </is>
      </c>
      <c r="GB1" t="inlineStr">
        <is>
          <t>GoalAssists_Opposition</t>
        </is>
      </c>
      <c r="GC1" t="inlineStr">
        <is>
          <t>GoalAccuracy_Opposition</t>
        </is>
      </c>
      <c r="GD1" t="inlineStr">
        <is>
          <t>GoalsPerInside50_Opposition</t>
        </is>
      </c>
      <c r="GE1" t="inlineStr">
        <is>
          <t>ScoringShotsPerInside50_Opposition</t>
        </is>
      </c>
      <c r="GF1" t="inlineStr">
        <is>
          <t>ShotsPerInside50_Opposition</t>
        </is>
      </c>
      <c r="GG1" t="inlineStr">
        <is>
          <t>xScore_Opposition</t>
        </is>
      </c>
      <c r="GH1" t="inlineStr">
        <is>
          <t>xScoreRating_Opposition</t>
        </is>
      </c>
      <c r="GI1" t="inlineStr">
        <is>
          <t>xScorePerShot_Opposition</t>
        </is>
      </c>
      <c r="GJ1" t="inlineStr">
        <is>
          <t>xScoreRatingPerShot_Opposition</t>
        </is>
      </c>
      <c r="GK1" t="inlineStr">
        <is>
          <t>xScorePerShot_Set_Opposition</t>
        </is>
      </c>
      <c r="GL1" t="inlineStr">
        <is>
          <t>xScoreRatingPerShot_Set_Opposition</t>
        </is>
      </c>
      <c r="GM1" t="inlineStr">
        <is>
          <t>xScorePerShot_General_Opposition</t>
        </is>
      </c>
      <c r="GN1" t="inlineStr">
        <is>
          <t>xScoreRatingPerShot_General_Opposition</t>
        </is>
      </c>
      <c r="GO1" t="inlineStr">
        <is>
          <t>PointsFromKickIn_Opposition</t>
        </is>
      </c>
      <c r="GP1" t="inlineStr">
        <is>
          <t>PointsFromStoppage_Opposition</t>
        </is>
      </c>
      <c r="GQ1" t="inlineStr">
        <is>
          <t>PointsFromTurnover_Opposition</t>
        </is>
      </c>
      <c r="GR1" t="inlineStr">
        <is>
          <t>PointsFromDefensiveHalf_Opposition</t>
        </is>
      </c>
      <c r="GS1" t="inlineStr">
        <is>
          <t>PointsFromForwardHalf_Opposition</t>
        </is>
      </c>
      <c r="GT1" t="inlineStr">
        <is>
          <t>PointsFromCentreBounce_Opposition</t>
        </is>
      </c>
      <c r="GU1" t="inlineStr">
        <is>
          <t>ChainToScore_Opposition</t>
        </is>
      </c>
      <c r="GV1" t="inlineStr">
        <is>
          <t>D50ToF50_Opposition</t>
        </is>
      </c>
      <c r="GW1" t="inlineStr">
        <is>
          <t>D50ToScore_Opposition</t>
        </is>
      </c>
      <c r="GX1" t="inlineStr">
        <is>
          <t>DefHalfToF50_Opposition</t>
        </is>
      </c>
      <c r="GY1" t="inlineStr">
        <is>
          <t>DefHalfToScore_Opposition</t>
        </is>
      </c>
      <c r="GZ1" t="inlineStr">
        <is>
          <t>Tackles_Opposition</t>
        </is>
      </c>
      <c r="HA1" t="inlineStr">
        <is>
          <t>TacklesInside50_Opposition</t>
        </is>
      </c>
      <c r="HB1" t="inlineStr">
        <is>
          <t>PressureActs_Opposition</t>
        </is>
      </c>
      <c r="HC1" t="inlineStr">
        <is>
          <t>PressureActsDefensiveHalf_Opposition</t>
        </is>
      </c>
      <c r="HD1" t="inlineStr">
        <is>
          <t>Spoils_Opposition</t>
        </is>
      </c>
      <c r="HE1" t="inlineStr">
        <is>
          <t>Hitouts_Opposition</t>
        </is>
      </c>
      <c r="HF1" t="inlineStr">
        <is>
          <t>HitoutsWinPercentage_Opposition</t>
        </is>
      </c>
      <c r="HG1" t="inlineStr">
        <is>
          <t>HitoutsToAdvantage_Opposition</t>
        </is>
      </c>
      <c r="HH1" t="inlineStr">
        <is>
          <t>HitoutsToAdvantagePercentage_Opposition</t>
        </is>
      </c>
      <c r="HI1" t="inlineStr">
        <is>
          <t>RuckHardBallGets_Opposition</t>
        </is>
      </c>
      <c r="HJ1" t="inlineStr">
        <is>
          <t>HitoutToFirstPossession_Opposition</t>
        </is>
      </c>
      <c r="HK1" t="inlineStr">
        <is>
          <t>HitoutToClearance_Opposition</t>
        </is>
      </c>
      <c r="HL1" t="inlineStr">
        <is>
          <t>KickIns_Opposition</t>
        </is>
      </c>
      <c r="HM1" t="inlineStr">
        <is>
          <t>KickInsPlayOnPercentage_Opposition</t>
        </is>
      </c>
      <c r="HN1" t="inlineStr">
        <is>
          <t>Bounces_Opposition</t>
        </is>
      </c>
      <c r="HO1" t="inlineStr">
        <is>
          <t>OnePercenters_Opposition</t>
        </is>
      </c>
      <c r="HP1" t="inlineStr">
        <is>
          <t>InterchangeCount_Opposition</t>
        </is>
      </c>
      <c r="HQ1" t="inlineStr">
        <is>
          <t>RatingPoints_Diff</t>
        </is>
      </c>
      <c r="HR1" t="inlineStr">
        <is>
          <t>Supercoach_Diff</t>
        </is>
      </c>
      <c r="HS1" t="inlineStr">
        <is>
          <t>DreamTeamPoints_Diff</t>
        </is>
      </c>
      <c r="HT1" t="inlineStr">
        <is>
          <t>CoachesVotes_Diff</t>
        </is>
      </c>
      <c r="HU1" t="inlineStr">
        <is>
          <t>TimeInPossession_Diff</t>
        </is>
      </c>
      <c r="HV1" t="inlineStr">
        <is>
          <t>Kicks_Diff</t>
        </is>
      </c>
      <c r="HW1" t="inlineStr">
        <is>
          <t>Handballs_Diff</t>
        </is>
      </c>
      <c r="HX1" t="inlineStr">
        <is>
          <t>Disposals_Diff</t>
        </is>
      </c>
      <c r="HY1" t="inlineStr">
        <is>
          <t>Inside50s_Diff</t>
        </is>
      </c>
      <c r="HZ1" t="inlineStr">
        <is>
          <t>MetresGained_Diff</t>
        </is>
      </c>
      <c r="IA1" t="inlineStr">
        <is>
          <t>KickMetresGained_Diff</t>
        </is>
      </c>
      <c r="IB1" t="inlineStr">
        <is>
          <t>HandballMetresGained_Diff</t>
        </is>
      </c>
      <c r="IC1" t="inlineStr">
        <is>
          <t>Clangers_Diff</t>
        </is>
      </c>
      <c r="ID1" t="inlineStr">
        <is>
          <t>Turnovers_Diff</t>
        </is>
      </c>
      <c r="IE1" t="inlineStr">
        <is>
          <t>ThreatRating_Diff</t>
        </is>
      </c>
      <c r="IF1" t="inlineStr">
        <is>
          <t>RetentionRating_Diff</t>
        </is>
      </c>
      <c r="IG1" t="inlineStr">
        <is>
          <t>ContestedPossessions_Diff</t>
        </is>
      </c>
      <c r="IH1" t="inlineStr">
        <is>
          <t>UncontestedPossessions_Diff</t>
        </is>
      </c>
      <c r="II1" t="inlineStr">
        <is>
          <t>TotalPossessions_Diff</t>
        </is>
      </c>
      <c r="IJ1" t="inlineStr">
        <is>
          <t>Intercepts_Diff</t>
        </is>
      </c>
      <c r="IK1" t="inlineStr">
        <is>
          <t>GroundBallGets_Diff</t>
        </is>
      </c>
      <c r="IL1" t="inlineStr">
        <is>
          <t>GroundBallGetsForward50_Diff</t>
        </is>
      </c>
      <c r="IM1" t="inlineStr">
        <is>
          <t>HardBallGets_Diff</t>
        </is>
      </c>
      <c r="IN1" t="inlineStr">
        <is>
          <t>LooseBallGets_Diff</t>
        </is>
      </c>
      <c r="IO1" t="inlineStr">
        <is>
          <t>PostClearanceContestedPossessions_Diff</t>
        </is>
      </c>
      <c r="IP1" t="inlineStr">
        <is>
          <t>PostClearanceGroundBallGets_Diff</t>
        </is>
      </c>
      <c r="IQ1" t="inlineStr">
        <is>
          <t>GathersFromHitout_Diff</t>
        </is>
      </c>
      <c r="IR1" t="inlineStr">
        <is>
          <t>CrumbingPossessions_Diff</t>
        </is>
      </c>
      <c r="IS1" t="inlineStr">
        <is>
          <t>HandballReceives_Diff</t>
        </is>
      </c>
      <c r="IT1" t="inlineStr">
        <is>
          <t>CentreClearances_Diff</t>
        </is>
      </c>
      <c r="IU1" t="inlineStr">
        <is>
          <t>StoppageClearances_Diff</t>
        </is>
      </c>
      <c r="IV1" t="inlineStr">
        <is>
          <t>TotalClearances_Diff</t>
        </is>
      </c>
      <c r="IW1" t="inlineStr">
        <is>
          <t>FirstPossessions_Diff</t>
        </is>
      </c>
      <c r="IX1" t="inlineStr">
        <is>
          <t>Marks_Diff</t>
        </is>
      </c>
      <c r="IY1" t="inlineStr">
        <is>
          <t>ContestedMarks_Diff</t>
        </is>
      </c>
      <c r="IZ1" t="inlineStr">
        <is>
          <t>MarksInside50_Diff</t>
        </is>
      </c>
      <c r="JA1" t="inlineStr">
        <is>
          <t>InterceptMarks_Diff</t>
        </is>
      </c>
      <c r="JB1" t="inlineStr">
        <is>
          <t>MarksOnLead_Diff</t>
        </is>
      </c>
      <c r="JC1" t="inlineStr">
        <is>
          <t>Goals_Diff</t>
        </is>
      </c>
      <c r="JD1" t="inlineStr">
        <is>
          <t>Behinds_Diff</t>
        </is>
      </c>
      <c r="JE1" t="inlineStr">
        <is>
          <t>TotalPoints_Diff</t>
        </is>
      </c>
      <c r="JF1" t="inlineStr">
        <is>
          <t>ShotsAtGoal_Diff</t>
        </is>
      </c>
      <c r="JG1" t="inlineStr">
        <is>
          <t>GoalAssists_Diff</t>
        </is>
      </c>
      <c r="JH1" t="inlineStr">
        <is>
          <t>xScore_Diff</t>
        </is>
      </c>
      <c r="JI1" t="inlineStr">
        <is>
          <t>xScoreRating_Diff</t>
        </is>
      </c>
      <c r="JJ1" t="inlineStr">
        <is>
          <t>xScorePerShot_Diff</t>
        </is>
      </c>
      <c r="JK1" t="inlineStr">
        <is>
          <t>PointsFromKickIn_Diff</t>
        </is>
      </c>
      <c r="JL1" t="inlineStr">
        <is>
          <t>PointsFromStoppage_Diff</t>
        </is>
      </c>
      <c r="JM1" t="inlineStr">
        <is>
          <t>PointsFromTurnover_Diff</t>
        </is>
      </c>
      <c r="JN1" t="inlineStr">
        <is>
          <t>PointsFromDefensiveHalf_Diff</t>
        </is>
      </c>
      <c r="JO1" t="inlineStr">
        <is>
          <t>PointsFromForwardHalf_Diff</t>
        </is>
      </c>
      <c r="JP1" t="inlineStr">
        <is>
          <t>PointsFromCentreBounce_Diff</t>
        </is>
      </c>
      <c r="JQ1" t="inlineStr">
        <is>
          <t>Tackles_Diff</t>
        </is>
      </c>
      <c r="JR1" t="inlineStr">
        <is>
          <t>TacklesInside50_Diff</t>
        </is>
      </c>
      <c r="JS1" t="inlineStr">
        <is>
          <t>PressureActs_Diff</t>
        </is>
      </c>
      <c r="JT1" t="inlineStr">
        <is>
          <t>PressureActsDefensiveHalf_Diff</t>
        </is>
      </c>
      <c r="JU1" t="inlineStr">
        <is>
          <t>Spoils_Diff</t>
        </is>
      </c>
      <c r="JV1" t="inlineStr">
        <is>
          <t>Hitouts_Diff</t>
        </is>
      </c>
      <c r="JW1" t="inlineStr">
        <is>
          <t>HitoutsToAdvantage_Diff</t>
        </is>
      </c>
      <c r="JX1" t="inlineStr">
        <is>
          <t>RuckHardBallGets_Diff</t>
        </is>
      </c>
      <c r="JY1" t="inlineStr">
        <is>
          <t>Bounces_Diff</t>
        </is>
      </c>
      <c r="JZ1" t="inlineStr">
        <is>
          <t>OnePercenters_Diff</t>
        </is>
      </c>
      <c r="KA1" t="inlineStr">
        <is>
          <t>InterchangeCount_Diff</t>
        </is>
      </c>
    </row>
    <row r="2">
      <c r="A2" t="inlineStr">
        <is>
          <t>Carlton</t>
        </is>
      </c>
      <c r="B2" t="inlineStr">
        <is>
          <t>Carl</t>
        </is>
      </c>
      <c r="C2" t="n">
        <v>5</v>
      </c>
      <c r="D2" t="n">
        <v>30</v>
      </c>
      <c r="E2" t="n">
        <v>25.317</v>
      </c>
      <c r="F2" t="n">
        <v>99.13</v>
      </c>
      <c r="G2" t="n">
        <v>199.48</v>
      </c>
      <c r="H2" t="n">
        <v>1662.8</v>
      </c>
      <c r="I2" t="n">
        <v>1498.4</v>
      </c>
      <c r="J2" t="n">
        <v>15.2</v>
      </c>
      <c r="K2" t="n">
        <v>52.359</v>
      </c>
      <c r="L2" t="n">
        <v>40.4</v>
      </c>
      <c r="M2" t="n">
        <v>205.2</v>
      </c>
      <c r="N2" t="n">
        <v>153.4</v>
      </c>
      <c r="O2" t="n">
        <v>358.6</v>
      </c>
      <c r="P2" t="n">
        <v>72.44799999999999</v>
      </c>
      <c r="Q2" t="n">
        <v>63.743</v>
      </c>
      <c r="R2" t="n">
        <v>84.09399999999999</v>
      </c>
      <c r="S2" t="n">
        <v>57.223</v>
      </c>
      <c r="T2" t="n">
        <v>5.534</v>
      </c>
      <c r="U2" t="n">
        <v>52</v>
      </c>
      <c r="V2" t="n">
        <v>31.6</v>
      </c>
      <c r="W2" t="n">
        <v>71.818</v>
      </c>
      <c r="X2" t="n">
        <v>5569.2</v>
      </c>
      <c r="Y2" t="n">
        <v>15.53</v>
      </c>
      <c r="Z2" t="n">
        <v>5264.238</v>
      </c>
      <c r="AA2" t="n">
        <v>25.78</v>
      </c>
      <c r="AB2" t="n">
        <v>149.67</v>
      </c>
      <c r="AC2" t="n">
        <v>0.978</v>
      </c>
      <c r="AD2" t="n">
        <v>59.2</v>
      </c>
      <c r="AE2" t="n">
        <v>6.057</v>
      </c>
      <c r="AF2" t="n">
        <v>62.8</v>
      </c>
      <c r="AG2" t="n">
        <v>5.71</v>
      </c>
      <c r="AH2" t="n">
        <v>71.02200000000001</v>
      </c>
      <c r="AI2" t="n">
        <v>47.345</v>
      </c>
      <c r="AJ2" t="n">
        <v>24.432</v>
      </c>
      <c r="AK2" t="n">
        <v>-3.263</v>
      </c>
      <c r="AL2" t="n">
        <v>55.294</v>
      </c>
      <c r="AM2" t="n">
        <v>1.899</v>
      </c>
      <c r="AN2" t="n">
        <v>134.4</v>
      </c>
      <c r="AO2" t="n">
        <v>222.6</v>
      </c>
      <c r="AP2" t="n">
        <v>357</v>
      </c>
      <c r="AQ2" t="n">
        <v>37.647</v>
      </c>
      <c r="AR2" t="n">
        <v>59.8</v>
      </c>
      <c r="AS2" t="n">
        <v>85.8</v>
      </c>
      <c r="AT2" t="n">
        <v>17.6</v>
      </c>
      <c r="AU2" t="n">
        <v>24</v>
      </c>
      <c r="AV2" t="n">
        <v>61.8</v>
      </c>
      <c r="AW2" t="n">
        <v>79.2</v>
      </c>
      <c r="AX2" t="n">
        <v>54.8</v>
      </c>
      <c r="AY2" t="n">
        <v>10.6</v>
      </c>
      <c r="AZ2" t="n">
        <v>23.4</v>
      </c>
      <c r="BA2" t="n">
        <v>125</v>
      </c>
      <c r="BB2" t="n">
        <v>15.8</v>
      </c>
      <c r="BC2" t="n">
        <v>23.4</v>
      </c>
      <c r="BD2" t="n">
        <v>39.2</v>
      </c>
      <c r="BE2" t="n">
        <v>43.8</v>
      </c>
      <c r="BF2" t="n">
        <v>73.51600000000001</v>
      </c>
      <c r="BG2" t="n">
        <v>85.59999999999999</v>
      </c>
      <c r="BH2" t="n">
        <v>11.4</v>
      </c>
      <c r="BI2" t="n">
        <v>12.6</v>
      </c>
      <c r="BJ2" t="n">
        <v>24.231</v>
      </c>
      <c r="BK2" t="n">
        <v>14.8</v>
      </c>
      <c r="BL2" t="n">
        <v>9.4</v>
      </c>
      <c r="BM2" t="n">
        <v>18</v>
      </c>
      <c r="BN2" t="n">
        <v>7.8</v>
      </c>
      <c r="BO2" t="n">
        <v>12.2</v>
      </c>
      <c r="BP2" t="n">
        <v>8.800000000000001</v>
      </c>
      <c r="BQ2" t="n">
        <v>82</v>
      </c>
      <c r="BR2" t="n">
        <v>1.6</v>
      </c>
      <c r="BS2" t="n">
        <v>23.4</v>
      </c>
      <c r="BT2" t="n">
        <v>8.800000000000001</v>
      </c>
      <c r="BU2" t="n">
        <v>52.137</v>
      </c>
      <c r="BV2" t="n">
        <v>23.462</v>
      </c>
      <c r="BW2" t="n">
        <v>40.385</v>
      </c>
      <c r="BX2" t="n">
        <v>45</v>
      </c>
      <c r="BY2" t="n">
        <v>10.4</v>
      </c>
      <c r="BZ2" t="n">
        <v>42.308</v>
      </c>
      <c r="CA2" t="n">
        <v>2.319</v>
      </c>
      <c r="CB2" t="n">
        <v>-0.319</v>
      </c>
      <c r="CC2" t="n">
        <v>78.322</v>
      </c>
      <c r="CD2" t="n">
        <v>2.078</v>
      </c>
      <c r="CE2" t="n">
        <v>3.347</v>
      </c>
      <c r="CF2" t="n">
        <v>0.089</v>
      </c>
      <c r="CG2" t="n">
        <v>3.648</v>
      </c>
      <c r="CH2" t="n">
        <v>0.381</v>
      </c>
      <c r="CI2" t="n">
        <v>2.915</v>
      </c>
      <c r="CJ2" t="n">
        <v>-0.332</v>
      </c>
      <c r="CK2" t="n">
        <v>4</v>
      </c>
      <c r="CL2" t="n">
        <v>35.6</v>
      </c>
      <c r="CM2" t="n">
        <v>42.4</v>
      </c>
      <c r="CN2" t="n">
        <v>28.8</v>
      </c>
      <c r="CO2" t="n">
        <v>39.8</v>
      </c>
      <c r="CP2" t="n">
        <v>13.4</v>
      </c>
      <c r="CQ2" t="n">
        <v>19.361</v>
      </c>
      <c r="CR2" t="n">
        <v>26.582</v>
      </c>
      <c r="CS2" t="n">
        <v>8.228</v>
      </c>
      <c r="CT2" t="n">
        <v>32.313</v>
      </c>
      <c r="CU2" t="n">
        <v>11.565</v>
      </c>
      <c r="CV2" t="n">
        <v>7.8</v>
      </c>
      <c r="CW2" t="n">
        <v>23.077</v>
      </c>
      <c r="CX2" t="n">
        <v>61.8</v>
      </c>
      <c r="CY2" t="n">
        <v>13.2</v>
      </c>
      <c r="CZ2" t="n">
        <v>270.8</v>
      </c>
      <c r="DA2" t="n">
        <v>117.2</v>
      </c>
      <c r="DB2" t="n">
        <v>26.6</v>
      </c>
      <c r="DC2" t="n">
        <v>95.59999999999999</v>
      </c>
      <c r="DD2" t="n">
        <v>33.6</v>
      </c>
      <c r="DE2" t="n">
        <v>35.146</v>
      </c>
      <c r="DF2" t="n">
        <v>10.8</v>
      </c>
      <c r="DG2" t="n">
        <v>32.143</v>
      </c>
      <c r="DH2" t="n">
        <v>5.6</v>
      </c>
      <c r="DI2" t="n">
        <v>47.024</v>
      </c>
      <c r="DJ2" t="n">
        <v>44.048</v>
      </c>
      <c r="DK2" t="n">
        <v>20.4</v>
      </c>
      <c r="DL2" t="n">
        <v>20.8</v>
      </c>
      <c r="DM2" t="n">
        <v>-0.4</v>
      </c>
      <c r="DN2" t="n">
        <v>8.800000000000001</v>
      </c>
      <c r="DO2" t="n">
        <v>72.727</v>
      </c>
      <c r="DP2" t="n">
        <v>4.8</v>
      </c>
      <c r="DQ2" t="n">
        <v>37.8</v>
      </c>
      <c r="DR2" t="n">
        <v>69.2</v>
      </c>
      <c r="DS2" t="n">
        <v>195.92</v>
      </c>
      <c r="DT2" t="n">
        <v>1638</v>
      </c>
      <c r="DU2" t="n">
        <v>1478.2</v>
      </c>
      <c r="DV2" t="n">
        <v>14.8</v>
      </c>
      <c r="DW2" t="n">
        <v>42.6</v>
      </c>
      <c r="DX2" t="n">
        <v>193.2</v>
      </c>
      <c r="DY2" t="n">
        <v>150.2</v>
      </c>
      <c r="DZ2" t="n">
        <v>343.4</v>
      </c>
      <c r="EA2" t="n">
        <v>72.51000000000001</v>
      </c>
      <c r="EB2" t="n">
        <v>67.081</v>
      </c>
      <c r="EC2" t="n">
        <v>79.494</v>
      </c>
      <c r="ED2" t="n">
        <v>5.557</v>
      </c>
      <c r="EE2" t="n">
        <v>44</v>
      </c>
      <c r="EF2" t="n">
        <v>39.6</v>
      </c>
      <c r="EG2" t="n">
        <v>76.154</v>
      </c>
      <c r="EH2" t="n">
        <v>5576.4</v>
      </c>
      <c r="EI2" t="n">
        <v>16.239</v>
      </c>
      <c r="EJ2" t="n">
        <v>5201.43</v>
      </c>
      <c r="EK2" t="n">
        <v>27.091</v>
      </c>
      <c r="EL2" t="n">
        <v>256.298</v>
      </c>
      <c r="EM2" t="n">
        <v>1.716</v>
      </c>
      <c r="EN2" t="n">
        <v>58.2</v>
      </c>
      <c r="EO2" t="n">
        <v>5.9</v>
      </c>
      <c r="EP2" t="n">
        <v>59.6</v>
      </c>
      <c r="EQ2" t="n">
        <v>5.762</v>
      </c>
      <c r="ER2" t="n">
        <v>70.485</v>
      </c>
      <c r="ES2" t="n">
        <v>48.469</v>
      </c>
      <c r="ET2" t="n">
        <v>23.304</v>
      </c>
      <c r="EU2" t="n">
        <v>-0.436</v>
      </c>
      <c r="EV2" t="n">
        <v>55.513</v>
      </c>
      <c r="EW2" t="n">
        <v>1.224</v>
      </c>
      <c r="EX2" t="n">
        <v>127.6</v>
      </c>
      <c r="EY2" t="n">
        <v>212.6</v>
      </c>
      <c r="EZ2" t="n">
        <v>340.2</v>
      </c>
      <c r="FA2" t="n">
        <v>37.507</v>
      </c>
      <c r="FB2" t="n">
        <v>62.8</v>
      </c>
      <c r="FC2" t="n">
        <v>83</v>
      </c>
      <c r="FD2" t="n">
        <v>12.6</v>
      </c>
      <c r="FE2" t="n">
        <v>20.2</v>
      </c>
      <c r="FF2" t="n">
        <v>62.8</v>
      </c>
      <c r="FG2" t="n">
        <v>77.40000000000001</v>
      </c>
      <c r="FH2" t="n">
        <v>52</v>
      </c>
      <c r="FI2" t="n">
        <v>8.6</v>
      </c>
      <c r="FJ2" t="n">
        <v>21.2</v>
      </c>
      <c r="FK2" t="n">
        <v>116.6</v>
      </c>
      <c r="FL2" t="n">
        <v>7.8</v>
      </c>
      <c r="FM2" t="n">
        <v>26.2</v>
      </c>
      <c r="FN2" t="n">
        <v>34</v>
      </c>
      <c r="FO2" t="n">
        <v>37.8</v>
      </c>
      <c r="FP2" t="n">
        <v>72.48699999999999</v>
      </c>
      <c r="FQ2" t="n">
        <v>87.59999999999999</v>
      </c>
      <c r="FR2" t="n">
        <v>10.6</v>
      </c>
      <c r="FS2" t="n">
        <v>12.4</v>
      </c>
      <c r="FT2" t="n">
        <v>28.182</v>
      </c>
      <c r="FU2" t="n">
        <v>16.2</v>
      </c>
      <c r="FV2" t="n">
        <v>7.6</v>
      </c>
      <c r="FW2" t="n">
        <v>11.6</v>
      </c>
      <c r="FX2" t="n">
        <v>8.800000000000001</v>
      </c>
      <c r="FY2" t="n">
        <v>78.40000000000001</v>
      </c>
      <c r="FZ2" t="n">
        <v>1.6</v>
      </c>
      <c r="GA2" t="n">
        <v>22.2</v>
      </c>
      <c r="GB2" t="n">
        <v>8.6</v>
      </c>
      <c r="GC2" t="n">
        <v>52.252</v>
      </c>
      <c r="GD2" t="n">
        <v>26.364</v>
      </c>
      <c r="GE2" t="n">
        <v>46.364</v>
      </c>
      <c r="GF2" t="n">
        <v>50.455</v>
      </c>
      <c r="GG2" t="n">
        <v>78.164</v>
      </c>
      <c r="GH2" t="n">
        <v>-1.364</v>
      </c>
      <c r="GI2" t="n">
        <v>3.521</v>
      </c>
      <c r="GJ2" t="n">
        <v>-0.061</v>
      </c>
      <c r="GK2" t="n">
        <v>3.701</v>
      </c>
      <c r="GL2" t="n">
        <v>-0.048</v>
      </c>
      <c r="GM2" t="n">
        <v>3.189</v>
      </c>
      <c r="GN2" t="n">
        <v>-0.08599999999999999</v>
      </c>
      <c r="GO2" t="n">
        <v>5.6</v>
      </c>
      <c r="GP2" t="n">
        <v>35.6</v>
      </c>
      <c r="GQ2" t="n">
        <v>37.2</v>
      </c>
      <c r="GR2" t="n">
        <v>31.6</v>
      </c>
      <c r="GS2" t="n">
        <v>36.2</v>
      </c>
      <c r="GT2" t="n">
        <v>10.6</v>
      </c>
      <c r="GU2" t="n">
        <v>19.417</v>
      </c>
      <c r="GV2" t="n">
        <v>25.616</v>
      </c>
      <c r="GW2" t="n">
        <v>10.345</v>
      </c>
      <c r="GX2" t="n">
        <v>30.058</v>
      </c>
      <c r="GY2" t="n">
        <v>11.014</v>
      </c>
      <c r="GZ2" t="n">
        <v>64.8</v>
      </c>
      <c r="HA2" t="n">
        <v>9.800000000000001</v>
      </c>
      <c r="HB2" t="n">
        <v>279</v>
      </c>
      <c r="HC2" t="n">
        <v>147.4</v>
      </c>
      <c r="HD2" t="n">
        <v>28</v>
      </c>
      <c r="HE2" t="n">
        <v>39.8</v>
      </c>
      <c r="HF2" t="n">
        <v>41.632</v>
      </c>
      <c r="HG2" t="n">
        <v>10.2</v>
      </c>
      <c r="HH2" t="n">
        <v>25.628</v>
      </c>
      <c r="HI2" t="n">
        <v>1.8</v>
      </c>
      <c r="HJ2" t="n">
        <v>41.206</v>
      </c>
      <c r="HK2" t="n">
        <v>36.181</v>
      </c>
      <c r="HL2" t="n">
        <v>8.800000000000001</v>
      </c>
      <c r="HM2" t="n">
        <v>97.727</v>
      </c>
      <c r="HN2" t="n">
        <v>7.8</v>
      </c>
      <c r="HO2" t="n">
        <v>40.8</v>
      </c>
      <c r="HP2" t="n">
        <v>72</v>
      </c>
      <c r="HQ2" t="n">
        <v>3.56</v>
      </c>
      <c r="HR2" t="n">
        <v>24.8</v>
      </c>
      <c r="HS2" t="n">
        <v>20.2</v>
      </c>
      <c r="HT2" t="n">
        <v>0.4</v>
      </c>
      <c r="HU2" t="n">
        <v>-2.2</v>
      </c>
      <c r="HV2" t="n">
        <v>12</v>
      </c>
      <c r="HW2" t="n">
        <v>3.2</v>
      </c>
      <c r="HX2" t="n">
        <v>15.2</v>
      </c>
      <c r="HY2" t="n">
        <v>8</v>
      </c>
      <c r="HZ2" t="n">
        <v>-7.2</v>
      </c>
      <c r="IA2" t="n">
        <v>62.808</v>
      </c>
      <c r="IB2" t="n">
        <v>-106.628</v>
      </c>
      <c r="IC2" t="n">
        <v>1</v>
      </c>
      <c r="ID2" t="n">
        <v>3.2</v>
      </c>
      <c r="IE2" t="n">
        <v>-2.826</v>
      </c>
      <c r="IF2" t="n">
        <v>0.675</v>
      </c>
      <c r="IG2" t="n">
        <v>6.8</v>
      </c>
      <c r="IH2" t="n">
        <v>10</v>
      </c>
      <c r="II2" t="n">
        <v>16.8</v>
      </c>
      <c r="IJ2" t="n">
        <v>-3</v>
      </c>
      <c r="IK2" t="n">
        <v>2.8</v>
      </c>
      <c r="IL2" t="n">
        <v>5</v>
      </c>
      <c r="IM2" t="n">
        <v>3.8</v>
      </c>
      <c r="IN2" t="n">
        <v>-1</v>
      </c>
      <c r="IO2" t="n">
        <v>1.8</v>
      </c>
      <c r="IP2" t="n">
        <v>2.8</v>
      </c>
      <c r="IQ2" t="n">
        <v>2</v>
      </c>
      <c r="IR2" t="n">
        <v>2.2</v>
      </c>
      <c r="IS2" t="n">
        <v>8.4</v>
      </c>
      <c r="IT2" t="n">
        <v>8</v>
      </c>
      <c r="IU2" t="n">
        <v>-2.8</v>
      </c>
      <c r="IV2" t="n">
        <v>5.2</v>
      </c>
      <c r="IW2" t="n">
        <v>6</v>
      </c>
      <c r="IX2" t="n">
        <v>-2</v>
      </c>
      <c r="IY2" t="n">
        <v>0.8</v>
      </c>
      <c r="IZ2" t="n">
        <v>0.2</v>
      </c>
      <c r="JA2" t="n">
        <v>-1.4</v>
      </c>
      <c r="JB2" t="n">
        <v>1.8</v>
      </c>
      <c r="JC2" t="n">
        <v>0.6</v>
      </c>
      <c r="JD2" t="n">
        <v>0</v>
      </c>
      <c r="JE2" t="n">
        <v>3.6</v>
      </c>
      <c r="JF2" t="n">
        <v>1.2</v>
      </c>
      <c r="JG2" t="n">
        <v>0.2</v>
      </c>
      <c r="JH2" t="n">
        <v>0.157</v>
      </c>
      <c r="JI2" t="n">
        <v>3.443</v>
      </c>
      <c r="JJ2" t="n">
        <v>-0.174</v>
      </c>
      <c r="JK2" t="n">
        <v>-1.6</v>
      </c>
      <c r="JL2" t="n">
        <v>0</v>
      </c>
      <c r="JM2" t="n">
        <v>5.2</v>
      </c>
      <c r="JN2" t="n">
        <v>-2.8</v>
      </c>
      <c r="JO2" t="n">
        <v>3.6</v>
      </c>
      <c r="JP2" t="n">
        <v>2.8</v>
      </c>
      <c r="JQ2" t="n">
        <v>-3</v>
      </c>
      <c r="JR2" t="n">
        <v>3.4</v>
      </c>
      <c r="JS2" t="n">
        <v>-8.199999999999999</v>
      </c>
      <c r="JT2" t="n">
        <v>-30.2</v>
      </c>
      <c r="JU2" t="n">
        <v>-1.4</v>
      </c>
      <c r="JV2" t="n">
        <v>-6.2</v>
      </c>
      <c r="JW2" t="n">
        <v>0.6</v>
      </c>
      <c r="JX2" t="n">
        <v>3.8</v>
      </c>
      <c r="JY2" t="n">
        <v>-3</v>
      </c>
      <c r="JZ2" t="n">
        <v>-3</v>
      </c>
      <c r="KA2" t="n">
        <v>-2.8</v>
      </c>
    </row>
    <row r="3">
      <c r="A3" t="inlineStr">
        <is>
          <t>Sydney</t>
        </is>
      </c>
      <c r="B3" t="inlineStr">
        <is>
          <t>Syd</t>
        </is>
      </c>
      <c r="C3" t="n">
        <v>5</v>
      </c>
      <c r="D3" t="n">
        <v>30</v>
      </c>
      <c r="E3" t="n">
        <v>26.596</v>
      </c>
      <c r="F3" t="n">
        <v>132.156</v>
      </c>
      <c r="G3" t="n">
        <v>192.84</v>
      </c>
      <c r="H3" t="n">
        <v>1686.6</v>
      </c>
      <c r="I3" t="n">
        <v>1537.4</v>
      </c>
      <c r="J3" t="n">
        <v>15.8</v>
      </c>
      <c r="K3" t="n">
        <v>52.074</v>
      </c>
      <c r="L3" t="n">
        <v>42.2</v>
      </c>
      <c r="M3" t="n">
        <v>210.2</v>
      </c>
      <c r="N3" t="n">
        <v>164.2</v>
      </c>
      <c r="O3" t="n">
        <v>374.4</v>
      </c>
      <c r="P3" t="n">
        <v>73.184</v>
      </c>
      <c r="Q3" t="n">
        <v>66.127</v>
      </c>
      <c r="R3" t="n">
        <v>82.217</v>
      </c>
      <c r="S3" t="n">
        <v>56.143</v>
      </c>
      <c r="T3" t="n">
        <v>6.933</v>
      </c>
      <c r="U3" t="n">
        <v>51.6</v>
      </c>
      <c r="V3" t="n">
        <v>38</v>
      </c>
      <c r="W3" t="n">
        <v>73.643</v>
      </c>
      <c r="X3" t="n">
        <v>5738</v>
      </c>
      <c r="Y3" t="n">
        <v>15.326</v>
      </c>
      <c r="Z3" t="n">
        <v>5405.146</v>
      </c>
      <c r="AA3" t="n">
        <v>25.813</v>
      </c>
      <c r="AB3" t="n">
        <v>203.706</v>
      </c>
      <c r="AC3" t="n">
        <v>1.247</v>
      </c>
      <c r="AD3" t="n">
        <v>58.2</v>
      </c>
      <c r="AE3" t="n">
        <v>6.433</v>
      </c>
      <c r="AF3" t="n">
        <v>61.4</v>
      </c>
      <c r="AG3" t="n">
        <v>6.098</v>
      </c>
      <c r="AH3" t="n">
        <v>73.009</v>
      </c>
      <c r="AI3" t="n">
        <v>48.416</v>
      </c>
      <c r="AJ3" t="n">
        <v>24.374</v>
      </c>
      <c r="AK3" t="n">
        <v>1.748</v>
      </c>
      <c r="AL3" t="n">
        <v>58.194</v>
      </c>
      <c r="AM3" t="n">
        <v>4.637</v>
      </c>
      <c r="AN3" t="n">
        <v>125.2</v>
      </c>
      <c r="AO3" t="n">
        <v>241.2</v>
      </c>
      <c r="AP3" t="n">
        <v>366.4</v>
      </c>
      <c r="AQ3" t="n">
        <v>34.17</v>
      </c>
      <c r="AR3" t="n">
        <v>59</v>
      </c>
      <c r="AS3" t="n">
        <v>83.40000000000001</v>
      </c>
      <c r="AT3" t="n">
        <v>13.8</v>
      </c>
      <c r="AU3" t="n">
        <v>24.2</v>
      </c>
      <c r="AV3" t="n">
        <v>59.2</v>
      </c>
      <c r="AW3" t="n">
        <v>77.40000000000001</v>
      </c>
      <c r="AX3" t="n">
        <v>55.4</v>
      </c>
      <c r="AY3" t="n">
        <v>9.4</v>
      </c>
      <c r="AZ3" t="n">
        <v>22.2</v>
      </c>
      <c r="BA3" t="n">
        <v>131.8</v>
      </c>
      <c r="BB3" t="n">
        <v>12.6</v>
      </c>
      <c r="BC3" t="n">
        <v>22.8</v>
      </c>
      <c r="BD3" t="n">
        <v>35.4</v>
      </c>
      <c r="BE3" t="n">
        <v>40.2</v>
      </c>
      <c r="BF3" t="n">
        <v>75.124</v>
      </c>
      <c r="BG3" t="n">
        <v>98.2</v>
      </c>
      <c r="BH3" t="n">
        <v>9.6</v>
      </c>
      <c r="BI3" t="n">
        <v>14</v>
      </c>
      <c r="BJ3" t="n">
        <v>27.132</v>
      </c>
      <c r="BK3" t="n">
        <v>14</v>
      </c>
      <c r="BL3" t="n">
        <v>9.4</v>
      </c>
      <c r="BM3" t="n">
        <v>17</v>
      </c>
      <c r="BN3" t="n">
        <v>7.4</v>
      </c>
      <c r="BO3" t="n">
        <v>11.6</v>
      </c>
      <c r="BP3" t="n">
        <v>11.2</v>
      </c>
      <c r="BQ3" t="n">
        <v>80.8</v>
      </c>
      <c r="BR3" t="n">
        <v>1.6</v>
      </c>
      <c r="BS3" t="n">
        <v>26</v>
      </c>
      <c r="BT3" t="n">
        <v>9.199999999999999</v>
      </c>
      <c r="BU3" t="n">
        <v>44.615</v>
      </c>
      <c r="BV3" t="n">
        <v>22.481</v>
      </c>
      <c r="BW3" t="n">
        <v>44.186</v>
      </c>
      <c r="BX3" t="n">
        <v>50.388</v>
      </c>
      <c r="BY3" t="n">
        <v>11.6</v>
      </c>
      <c r="BZ3" t="n">
        <v>31.034</v>
      </c>
      <c r="CA3" t="n">
        <v>2.585</v>
      </c>
      <c r="CB3" t="n">
        <v>0.415</v>
      </c>
      <c r="CC3" t="n">
        <v>83.843</v>
      </c>
      <c r="CD3" t="n">
        <v>-4.643</v>
      </c>
      <c r="CE3" t="n">
        <v>3.225</v>
      </c>
      <c r="CF3" t="n">
        <v>-0.179</v>
      </c>
      <c r="CG3" t="n">
        <v>3.56</v>
      </c>
      <c r="CH3" t="n">
        <v>-0.124</v>
      </c>
      <c r="CI3" t="n">
        <v>2.722</v>
      </c>
      <c r="CJ3" t="n">
        <v>-0.261</v>
      </c>
      <c r="CK3" t="n">
        <v>6.4</v>
      </c>
      <c r="CL3" t="n">
        <v>25</v>
      </c>
      <c r="CM3" t="n">
        <v>49.4</v>
      </c>
      <c r="CN3" t="n">
        <v>37.6</v>
      </c>
      <c r="CO3" t="n">
        <v>35.4</v>
      </c>
      <c r="CP3" t="n">
        <v>7.8</v>
      </c>
      <c r="CQ3" t="n">
        <v>21.374</v>
      </c>
      <c r="CR3" t="n">
        <v>34.239</v>
      </c>
      <c r="CS3" t="n">
        <v>14.674</v>
      </c>
      <c r="CT3" t="n">
        <v>38.095</v>
      </c>
      <c r="CU3" t="n">
        <v>15.238</v>
      </c>
      <c r="CV3" t="n">
        <v>7.8</v>
      </c>
      <c r="CW3" t="n">
        <v>43.59</v>
      </c>
      <c r="CX3" t="n">
        <v>52.4</v>
      </c>
      <c r="CY3" t="n">
        <v>6.6</v>
      </c>
      <c r="CZ3" t="n">
        <v>228.4</v>
      </c>
      <c r="DA3" t="n">
        <v>106</v>
      </c>
      <c r="DB3" t="n">
        <v>25.8</v>
      </c>
      <c r="DC3" t="n">
        <v>88.2</v>
      </c>
      <c r="DD3" t="n">
        <v>40.8</v>
      </c>
      <c r="DE3" t="n">
        <v>46.259</v>
      </c>
      <c r="DF3" t="n">
        <v>10.6</v>
      </c>
      <c r="DG3" t="n">
        <v>25.98</v>
      </c>
      <c r="DH3" t="n">
        <v>4.6</v>
      </c>
      <c r="DI3" t="n">
        <v>42.157</v>
      </c>
      <c r="DJ3" t="n">
        <v>38.235</v>
      </c>
      <c r="DK3" t="n">
        <v>15.4</v>
      </c>
      <c r="DL3" t="n">
        <v>20.4</v>
      </c>
      <c r="DM3" t="n">
        <v>-5</v>
      </c>
      <c r="DN3" t="n">
        <v>11.4</v>
      </c>
      <c r="DO3" t="n">
        <v>94.73699999999999</v>
      </c>
      <c r="DP3" t="n">
        <v>8</v>
      </c>
      <c r="DQ3" t="n">
        <v>36.2</v>
      </c>
      <c r="DR3" t="n">
        <v>69.40000000000001</v>
      </c>
      <c r="DS3" t="n">
        <v>189.06</v>
      </c>
      <c r="DT3" t="n">
        <v>1613.8</v>
      </c>
      <c r="DU3" t="n">
        <v>1460.2</v>
      </c>
      <c r="DV3" t="n">
        <v>14.2</v>
      </c>
      <c r="DW3" t="n">
        <v>41</v>
      </c>
      <c r="DX3" t="n">
        <v>207.4</v>
      </c>
      <c r="DY3" t="n">
        <v>128.2</v>
      </c>
      <c r="DZ3" t="n">
        <v>335.6</v>
      </c>
      <c r="EA3" t="n">
        <v>71.812</v>
      </c>
      <c r="EB3" t="n">
        <v>65.863</v>
      </c>
      <c r="EC3" t="n">
        <v>81.435</v>
      </c>
      <c r="ED3" t="n">
        <v>6.405</v>
      </c>
      <c r="EE3" t="n">
        <v>51.6</v>
      </c>
      <c r="EF3" t="n">
        <v>39.6</v>
      </c>
      <c r="EG3" t="n">
        <v>76.744</v>
      </c>
      <c r="EH3" t="n">
        <v>5717</v>
      </c>
      <c r="EI3" t="n">
        <v>17.035</v>
      </c>
      <c r="EJ3" t="n">
        <v>5435.57</v>
      </c>
      <c r="EK3" t="n">
        <v>26.386</v>
      </c>
      <c r="EL3" t="n">
        <v>111.466</v>
      </c>
      <c r="EM3" t="n">
        <v>0.872</v>
      </c>
      <c r="EN3" t="n">
        <v>47.8</v>
      </c>
      <c r="EO3" t="n">
        <v>7.021</v>
      </c>
      <c r="EP3" t="n">
        <v>59</v>
      </c>
      <c r="EQ3" t="n">
        <v>5.688</v>
      </c>
      <c r="ER3" t="n">
        <v>69.70099999999999</v>
      </c>
      <c r="ES3" t="n">
        <v>42.857</v>
      </c>
      <c r="ET3" t="n">
        <v>22.224</v>
      </c>
      <c r="EU3" t="n">
        <v>3.447</v>
      </c>
      <c r="EV3" t="n">
        <v>58.666</v>
      </c>
      <c r="EW3" t="n">
        <v>0.96</v>
      </c>
      <c r="EX3" t="n">
        <v>120.2</v>
      </c>
      <c r="EY3" t="n">
        <v>203.4</v>
      </c>
      <c r="EZ3" t="n">
        <v>323.6</v>
      </c>
      <c r="FA3" t="n">
        <v>37.145</v>
      </c>
      <c r="FB3" t="n">
        <v>61.8</v>
      </c>
      <c r="FC3" t="n">
        <v>82.2</v>
      </c>
      <c r="FD3" t="n">
        <v>12</v>
      </c>
      <c r="FE3" t="n">
        <v>17.6</v>
      </c>
      <c r="FF3" t="n">
        <v>64.59999999999999</v>
      </c>
      <c r="FG3" t="n">
        <v>73</v>
      </c>
      <c r="FH3" t="n">
        <v>49.6</v>
      </c>
      <c r="FI3" t="n">
        <v>6</v>
      </c>
      <c r="FJ3" t="n">
        <v>19</v>
      </c>
      <c r="FK3" t="n">
        <v>102</v>
      </c>
      <c r="FL3" t="n">
        <v>11.4</v>
      </c>
      <c r="FM3" t="n">
        <v>23</v>
      </c>
      <c r="FN3" t="n">
        <v>34.4</v>
      </c>
      <c r="FO3" t="n">
        <v>36.2</v>
      </c>
      <c r="FP3" t="n">
        <v>74.586</v>
      </c>
      <c r="FQ3" t="n">
        <v>93.2</v>
      </c>
      <c r="FR3" t="n">
        <v>10.8</v>
      </c>
      <c r="FS3" t="n">
        <v>10.8</v>
      </c>
      <c r="FT3" t="n">
        <v>20.93</v>
      </c>
      <c r="FU3" t="n">
        <v>15.2</v>
      </c>
      <c r="FV3" t="n">
        <v>9.6</v>
      </c>
      <c r="FW3" t="n">
        <v>11.6</v>
      </c>
      <c r="FX3" t="n">
        <v>12</v>
      </c>
      <c r="FY3" t="n">
        <v>81.59999999999999</v>
      </c>
      <c r="FZ3" t="n">
        <v>1.6</v>
      </c>
      <c r="GA3" t="n">
        <v>27.2</v>
      </c>
      <c r="GB3" t="n">
        <v>7.6</v>
      </c>
      <c r="GC3" t="n">
        <v>42.647</v>
      </c>
      <c r="GD3" t="n">
        <v>22.481</v>
      </c>
      <c r="GE3" t="n">
        <v>45.736</v>
      </c>
      <c r="GF3" t="n">
        <v>52.713</v>
      </c>
      <c r="GG3" t="n">
        <v>84.81100000000001</v>
      </c>
      <c r="GH3" t="n">
        <v>-4.811</v>
      </c>
      <c r="GI3" t="n">
        <v>3.118</v>
      </c>
      <c r="GJ3" t="n">
        <v>-0.177</v>
      </c>
      <c r="GK3" t="n">
        <v>3.204</v>
      </c>
      <c r="GL3" t="n">
        <v>-0.042</v>
      </c>
      <c r="GM3" t="n">
        <v>3.015</v>
      </c>
      <c r="GN3" t="n">
        <v>-0.338</v>
      </c>
      <c r="GO3" t="n">
        <v>2.8</v>
      </c>
      <c r="GP3" t="n">
        <v>27.6</v>
      </c>
      <c r="GQ3" t="n">
        <v>51.2</v>
      </c>
      <c r="GR3" t="n">
        <v>30.8</v>
      </c>
      <c r="GS3" t="n">
        <v>39</v>
      </c>
      <c r="GT3" t="n">
        <v>11.8</v>
      </c>
      <c r="GU3" t="n">
        <v>22.137</v>
      </c>
      <c r="GV3" t="n">
        <v>24.747</v>
      </c>
      <c r="GW3" t="n">
        <v>9.694000000000001</v>
      </c>
      <c r="GX3" t="n">
        <v>32.298</v>
      </c>
      <c r="GY3" t="n">
        <v>13.48</v>
      </c>
      <c r="GZ3" t="n">
        <v>54</v>
      </c>
      <c r="HA3" t="n">
        <v>6.8</v>
      </c>
      <c r="HB3" t="n">
        <v>268.6</v>
      </c>
      <c r="HC3" t="n">
        <v>125.4</v>
      </c>
      <c r="HD3" t="n">
        <v>30.2</v>
      </c>
      <c r="HE3" t="n">
        <v>31.8</v>
      </c>
      <c r="HF3" t="n">
        <v>36.054</v>
      </c>
      <c r="HG3" t="n">
        <v>7</v>
      </c>
      <c r="HH3" t="n">
        <v>22.013</v>
      </c>
      <c r="HI3" t="n">
        <v>0.6</v>
      </c>
      <c r="HJ3" t="n">
        <v>39.623</v>
      </c>
      <c r="HK3" t="n">
        <v>37.107</v>
      </c>
      <c r="HL3" t="n">
        <v>11</v>
      </c>
      <c r="HM3" t="n">
        <v>85.455</v>
      </c>
      <c r="HN3" t="n">
        <v>6.8</v>
      </c>
      <c r="HO3" t="n">
        <v>40</v>
      </c>
      <c r="HP3" t="n">
        <v>68.40000000000001</v>
      </c>
      <c r="HQ3" t="n">
        <v>3.78</v>
      </c>
      <c r="HR3" t="n">
        <v>72.8</v>
      </c>
      <c r="HS3" t="n">
        <v>77.2</v>
      </c>
      <c r="HT3" t="n">
        <v>1.6</v>
      </c>
      <c r="HU3" t="n">
        <v>1.2</v>
      </c>
      <c r="HV3" t="n">
        <v>2.8</v>
      </c>
      <c r="HW3" t="n">
        <v>36</v>
      </c>
      <c r="HX3" t="n">
        <v>38.8</v>
      </c>
      <c r="HY3" t="n">
        <v>0</v>
      </c>
      <c r="HZ3" t="n">
        <v>21</v>
      </c>
      <c r="IA3" t="n">
        <v>-30.424</v>
      </c>
      <c r="IB3" t="n">
        <v>92.23999999999999</v>
      </c>
      <c r="IC3" t="n">
        <v>10.4</v>
      </c>
      <c r="ID3" t="n">
        <v>2.4</v>
      </c>
      <c r="IE3" t="n">
        <v>-1.699</v>
      </c>
      <c r="IF3" t="n">
        <v>3.677</v>
      </c>
      <c r="IG3" t="n">
        <v>5</v>
      </c>
      <c r="IH3" t="n">
        <v>37.8</v>
      </c>
      <c r="II3" t="n">
        <v>42.8</v>
      </c>
      <c r="IJ3" t="n">
        <v>-2.8</v>
      </c>
      <c r="IK3" t="n">
        <v>1.2</v>
      </c>
      <c r="IL3" t="n">
        <v>1.8</v>
      </c>
      <c r="IM3" t="n">
        <v>6.6</v>
      </c>
      <c r="IN3" t="n">
        <v>-5.4</v>
      </c>
      <c r="IO3" t="n">
        <v>4.4</v>
      </c>
      <c r="IP3" t="n">
        <v>5.8</v>
      </c>
      <c r="IQ3" t="n">
        <v>3.4</v>
      </c>
      <c r="IR3" t="n">
        <v>3.2</v>
      </c>
      <c r="IS3" t="n">
        <v>29.8</v>
      </c>
      <c r="IT3" t="n">
        <v>1.2</v>
      </c>
      <c r="IU3" t="n">
        <v>-0.2</v>
      </c>
      <c r="IV3" t="n">
        <v>1</v>
      </c>
      <c r="IW3" t="n">
        <v>4</v>
      </c>
      <c r="IX3" t="n">
        <v>5</v>
      </c>
      <c r="IY3" t="n">
        <v>-1.2</v>
      </c>
      <c r="IZ3" t="n">
        <v>3.2</v>
      </c>
      <c r="JA3" t="n">
        <v>-1.2</v>
      </c>
      <c r="JB3" t="n">
        <v>-0.2</v>
      </c>
      <c r="JC3" t="n">
        <v>0</v>
      </c>
      <c r="JD3" t="n">
        <v>-0.8</v>
      </c>
      <c r="JE3" t="n">
        <v>-0.8</v>
      </c>
      <c r="JF3" t="n">
        <v>-1.2</v>
      </c>
      <c r="JG3" t="n">
        <v>1.6</v>
      </c>
      <c r="JH3" t="n">
        <v>-0.968</v>
      </c>
      <c r="JI3" t="n">
        <v>0.168</v>
      </c>
      <c r="JJ3" t="n">
        <v>0.107</v>
      </c>
      <c r="JK3" t="n">
        <v>3.6</v>
      </c>
      <c r="JL3" t="n">
        <v>-2.6</v>
      </c>
      <c r="JM3" t="n">
        <v>-1.8</v>
      </c>
      <c r="JN3" t="n">
        <v>6.8</v>
      </c>
      <c r="JO3" t="n">
        <v>-3.6</v>
      </c>
      <c r="JP3" t="n">
        <v>-4</v>
      </c>
      <c r="JQ3" t="n">
        <v>-1.6</v>
      </c>
      <c r="JR3" t="n">
        <v>-0.2</v>
      </c>
      <c r="JS3" t="n">
        <v>-40.2</v>
      </c>
      <c r="JT3" t="n">
        <v>-19.4</v>
      </c>
      <c r="JU3" t="n">
        <v>-4.4</v>
      </c>
      <c r="JV3" t="n">
        <v>9</v>
      </c>
      <c r="JW3" t="n">
        <v>3.6</v>
      </c>
      <c r="JX3" t="n">
        <v>4</v>
      </c>
      <c r="JY3" t="n">
        <v>1.2</v>
      </c>
      <c r="JZ3" t="n">
        <v>-3.8</v>
      </c>
      <c r="KA3" t="n">
        <v>1</v>
      </c>
    </row>
    <row r="4">
      <c r="A4" t="inlineStr">
        <is>
          <t>Western Bulldogs</t>
        </is>
      </c>
      <c r="B4" t="inlineStr">
        <is>
          <t>WB</t>
        </is>
      </c>
      <c r="C4" t="n">
        <v>5</v>
      </c>
      <c r="D4" t="n">
        <v>26</v>
      </c>
      <c r="E4" t="n">
        <v>26.031</v>
      </c>
      <c r="F4" t="n">
        <v>104.93</v>
      </c>
      <c r="G4" t="n">
        <v>237.84</v>
      </c>
      <c r="H4" t="n">
        <v>1809.8</v>
      </c>
      <c r="I4" t="n">
        <v>1597</v>
      </c>
      <c r="J4" t="n">
        <v>24.8</v>
      </c>
      <c r="K4" t="n">
        <v>54.534</v>
      </c>
      <c r="L4" t="n">
        <v>45.2</v>
      </c>
      <c r="M4" t="n">
        <v>220.4</v>
      </c>
      <c r="N4" t="n">
        <v>153</v>
      </c>
      <c r="O4" t="n">
        <v>373.4</v>
      </c>
      <c r="P4" t="n">
        <v>76.54000000000001</v>
      </c>
      <c r="Q4" t="n">
        <v>70.599</v>
      </c>
      <c r="R4" t="n">
        <v>85.098</v>
      </c>
      <c r="S4" t="n">
        <v>59.025</v>
      </c>
      <c r="T4" t="n">
        <v>6.416</v>
      </c>
      <c r="U4" t="n">
        <v>57.8</v>
      </c>
      <c r="V4" t="n">
        <v>34.8</v>
      </c>
      <c r="W4" t="n">
        <v>75.983</v>
      </c>
      <c r="X4" t="n">
        <v>6104.2</v>
      </c>
      <c r="Y4" t="n">
        <v>16.348</v>
      </c>
      <c r="Z4" t="n">
        <v>5793.604</v>
      </c>
      <c r="AA4" t="n">
        <v>26.335</v>
      </c>
      <c r="AB4" t="n">
        <v>107.184</v>
      </c>
      <c r="AC4" t="n">
        <v>0.701</v>
      </c>
      <c r="AD4" t="n">
        <v>49.8</v>
      </c>
      <c r="AE4" t="n">
        <v>7.498</v>
      </c>
      <c r="AF4" t="n">
        <v>58.4</v>
      </c>
      <c r="AG4" t="n">
        <v>6.394</v>
      </c>
      <c r="AH4" t="n">
        <v>74.557</v>
      </c>
      <c r="AI4" t="n">
        <v>52.34</v>
      </c>
      <c r="AJ4" t="n">
        <v>24.255</v>
      </c>
      <c r="AK4" t="n">
        <v>8.816000000000001</v>
      </c>
      <c r="AL4" t="n">
        <v>58.983</v>
      </c>
      <c r="AM4" t="n">
        <v>4.909</v>
      </c>
      <c r="AN4" t="n">
        <v>137</v>
      </c>
      <c r="AO4" t="n">
        <v>235.4</v>
      </c>
      <c r="AP4" t="n">
        <v>372.4</v>
      </c>
      <c r="AQ4" t="n">
        <v>36.788</v>
      </c>
      <c r="AR4" t="n">
        <v>61.8</v>
      </c>
      <c r="AS4" t="n">
        <v>89.59999999999999</v>
      </c>
      <c r="AT4" t="n">
        <v>18.4</v>
      </c>
      <c r="AU4" t="n">
        <v>22.2</v>
      </c>
      <c r="AV4" t="n">
        <v>67.40000000000001</v>
      </c>
      <c r="AW4" t="n">
        <v>85.2</v>
      </c>
      <c r="AX4" t="n">
        <v>55</v>
      </c>
      <c r="AY4" t="n">
        <v>8.6</v>
      </c>
      <c r="AZ4" t="n">
        <v>23.6</v>
      </c>
      <c r="BA4" t="n">
        <v>126.6</v>
      </c>
      <c r="BB4" t="n">
        <v>14.2</v>
      </c>
      <c r="BC4" t="n">
        <v>27.4</v>
      </c>
      <c r="BD4" t="n">
        <v>41.6</v>
      </c>
      <c r="BE4" t="n">
        <v>43.6</v>
      </c>
      <c r="BF4" t="n">
        <v>81.193</v>
      </c>
      <c r="BG4" t="n">
        <v>101.6</v>
      </c>
      <c r="BH4" t="n">
        <v>15</v>
      </c>
      <c r="BI4" t="n">
        <v>16.6</v>
      </c>
      <c r="BJ4" t="n">
        <v>28.72</v>
      </c>
      <c r="BK4" t="n">
        <v>14.2</v>
      </c>
      <c r="BL4" t="n">
        <v>11.8</v>
      </c>
      <c r="BM4" t="n">
        <v>19</v>
      </c>
      <c r="BN4" t="n">
        <v>7.8</v>
      </c>
      <c r="BO4" t="n">
        <v>17.8</v>
      </c>
      <c r="BP4" t="n">
        <v>13.8</v>
      </c>
      <c r="BQ4" t="n">
        <v>120.6</v>
      </c>
      <c r="BR4" t="n">
        <v>1.8</v>
      </c>
      <c r="BS4" t="n">
        <v>33.8</v>
      </c>
      <c r="BT4" t="n">
        <v>14.2</v>
      </c>
      <c r="BU4" t="n">
        <v>52.663</v>
      </c>
      <c r="BV4" t="n">
        <v>30.796</v>
      </c>
      <c r="BW4" t="n">
        <v>54.671</v>
      </c>
      <c r="BX4" t="n">
        <v>58.478</v>
      </c>
      <c r="BY4" t="n">
        <v>12.2</v>
      </c>
      <c r="BZ4" t="n">
        <v>34.426</v>
      </c>
      <c r="CA4" t="n">
        <v>3.942</v>
      </c>
      <c r="CB4" t="n">
        <v>0.058</v>
      </c>
      <c r="CC4" t="n">
        <v>115.916</v>
      </c>
      <c r="CD4" t="n">
        <v>2.884</v>
      </c>
      <c r="CE4" t="n">
        <v>3.429</v>
      </c>
      <c r="CF4" t="n">
        <v>0.08500000000000001</v>
      </c>
      <c r="CG4" t="n">
        <v>3.617</v>
      </c>
      <c r="CH4" t="n">
        <v>0.383</v>
      </c>
      <c r="CI4" t="n">
        <v>3.144</v>
      </c>
      <c r="CJ4" t="n">
        <v>-0.368</v>
      </c>
      <c r="CK4" t="n">
        <v>7.2</v>
      </c>
      <c r="CL4" t="n">
        <v>42.6</v>
      </c>
      <c r="CM4" t="n">
        <v>70.8</v>
      </c>
      <c r="CN4" t="n">
        <v>55.6</v>
      </c>
      <c r="CO4" t="n">
        <v>49.2</v>
      </c>
      <c r="CP4" t="n">
        <v>15.8</v>
      </c>
      <c r="CQ4" t="n">
        <v>28.729</v>
      </c>
      <c r="CR4" t="n">
        <v>29.944</v>
      </c>
      <c r="CS4" t="n">
        <v>17.514</v>
      </c>
      <c r="CT4" t="n">
        <v>39.103</v>
      </c>
      <c r="CU4" t="n">
        <v>21.865</v>
      </c>
      <c r="CV4" t="n">
        <v>9.199999999999999</v>
      </c>
      <c r="CW4" t="n">
        <v>19.565</v>
      </c>
      <c r="CX4" t="n">
        <v>51.4</v>
      </c>
      <c r="CY4" t="n">
        <v>13.2</v>
      </c>
      <c r="CZ4" t="n">
        <v>263.8</v>
      </c>
      <c r="DA4" t="n">
        <v>115.4</v>
      </c>
      <c r="DB4" t="n">
        <v>28.8</v>
      </c>
      <c r="DC4" t="n">
        <v>94.59999999999999</v>
      </c>
      <c r="DD4" t="n">
        <v>33.8</v>
      </c>
      <c r="DE4" t="n">
        <v>35.729</v>
      </c>
      <c r="DF4" t="n">
        <v>10.4</v>
      </c>
      <c r="DG4" t="n">
        <v>30.769</v>
      </c>
      <c r="DH4" t="n">
        <v>1.6</v>
      </c>
      <c r="DI4" t="n">
        <v>47.929</v>
      </c>
      <c r="DJ4" t="n">
        <v>43.195</v>
      </c>
      <c r="DK4" t="n">
        <v>18.4</v>
      </c>
      <c r="DL4" t="n">
        <v>17.2</v>
      </c>
      <c r="DM4" t="n">
        <v>1.2</v>
      </c>
      <c r="DN4" t="n">
        <v>8</v>
      </c>
      <c r="DO4" t="n">
        <v>92.5</v>
      </c>
      <c r="DP4" t="n">
        <v>9.800000000000001</v>
      </c>
      <c r="DQ4" t="n">
        <v>46.2</v>
      </c>
      <c r="DR4" t="n">
        <v>72.2</v>
      </c>
      <c r="DS4" t="n">
        <v>178.1</v>
      </c>
      <c r="DT4" t="n">
        <v>1489.8</v>
      </c>
      <c r="DU4" t="n">
        <v>1412</v>
      </c>
      <c r="DV4" t="n">
        <v>5.2</v>
      </c>
      <c r="DW4" t="n">
        <v>37.4</v>
      </c>
      <c r="DX4" t="n">
        <v>189.8</v>
      </c>
      <c r="DY4" t="n">
        <v>147.6</v>
      </c>
      <c r="DZ4" t="n">
        <v>337.4</v>
      </c>
      <c r="EA4" t="n">
        <v>74.096</v>
      </c>
      <c r="EB4" t="n">
        <v>66.807</v>
      </c>
      <c r="EC4" t="n">
        <v>83.46899999999999</v>
      </c>
      <c r="ED4" t="n">
        <v>6.564</v>
      </c>
      <c r="EE4" t="n">
        <v>45.8</v>
      </c>
      <c r="EF4" t="n">
        <v>38.8</v>
      </c>
      <c r="EG4" t="n">
        <v>67.128</v>
      </c>
      <c r="EH4" t="n">
        <v>5259.2</v>
      </c>
      <c r="EI4" t="n">
        <v>15.587</v>
      </c>
      <c r="EJ4" t="n">
        <v>4901.528</v>
      </c>
      <c r="EK4" t="n">
        <v>26.072</v>
      </c>
      <c r="EL4" t="n">
        <v>170.634</v>
      </c>
      <c r="EM4" t="n">
        <v>1.159</v>
      </c>
      <c r="EN4" t="n">
        <v>54.4</v>
      </c>
      <c r="EO4" t="n">
        <v>6.202</v>
      </c>
      <c r="EP4" t="n">
        <v>61.4</v>
      </c>
      <c r="EQ4" t="n">
        <v>5.495</v>
      </c>
      <c r="ER4" t="n">
        <v>70.351</v>
      </c>
      <c r="ES4" t="n">
        <v>44.724</v>
      </c>
      <c r="ET4" t="n">
        <v>22.695</v>
      </c>
      <c r="EU4" t="n">
        <v>-0.555</v>
      </c>
      <c r="EV4" t="n">
        <v>58.045</v>
      </c>
      <c r="EW4" t="n">
        <v>-2.199</v>
      </c>
      <c r="EX4" t="n">
        <v>119.2</v>
      </c>
      <c r="EY4" t="n">
        <v>210.2</v>
      </c>
      <c r="EZ4" t="n">
        <v>329.4</v>
      </c>
      <c r="FA4" t="n">
        <v>36.187</v>
      </c>
      <c r="FB4" t="n">
        <v>58.4</v>
      </c>
      <c r="FC4" t="n">
        <v>75.59999999999999</v>
      </c>
      <c r="FD4" t="n">
        <v>9.4</v>
      </c>
      <c r="FE4" t="n">
        <v>16.8</v>
      </c>
      <c r="FF4" t="n">
        <v>58.8</v>
      </c>
      <c r="FG4" t="n">
        <v>74.59999999999999</v>
      </c>
      <c r="FH4" t="n">
        <v>51.8</v>
      </c>
      <c r="FI4" t="n">
        <v>10.4</v>
      </c>
      <c r="FJ4" t="n">
        <v>20</v>
      </c>
      <c r="FK4" t="n">
        <v>119.4</v>
      </c>
      <c r="FL4" t="n">
        <v>12.6</v>
      </c>
      <c r="FM4" t="n">
        <v>19.4</v>
      </c>
      <c r="FN4" t="n">
        <v>32</v>
      </c>
      <c r="FO4" t="n">
        <v>37.6</v>
      </c>
      <c r="FP4" t="n">
        <v>72.34</v>
      </c>
      <c r="FQ4" t="n">
        <v>80.8</v>
      </c>
      <c r="FR4" t="n">
        <v>8.4</v>
      </c>
      <c r="FS4" t="n">
        <v>10.2</v>
      </c>
      <c r="FT4" t="n">
        <v>22.271</v>
      </c>
      <c r="FU4" t="n">
        <v>13.6</v>
      </c>
      <c r="FV4" t="n">
        <v>9</v>
      </c>
      <c r="FW4" t="n">
        <v>9.800000000000001</v>
      </c>
      <c r="FX4" t="n">
        <v>8.6</v>
      </c>
      <c r="FY4" t="n">
        <v>67.40000000000001</v>
      </c>
      <c r="FZ4" t="n">
        <v>1.4</v>
      </c>
      <c r="GA4" t="n">
        <v>21.2</v>
      </c>
      <c r="GB4" t="n">
        <v>8</v>
      </c>
      <c r="GC4" t="n">
        <v>46.226</v>
      </c>
      <c r="GD4" t="n">
        <v>21.397</v>
      </c>
      <c r="GE4" t="n">
        <v>40.175</v>
      </c>
      <c r="GF4" t="n">
        <v>46.288</v>
      </c>
      <c r="GG4" t="n">
        <v>70.946</v>
      </c>
      <c r="GH4" t="n">
        <v>-4.946</v>
      </c>
      <c r="GI4" t="n">
        <v>3.347</v>
      </c>
      <c r="GJ4" t="n">
        <v>-0.233</v>
      </c>
      <c r="GK4" t="n">
        <v>3.414</v>
      </c>
      <c r="GL4" t="n">
        <v>-0.059</v>
      </c>
      <c r="GM4" t="n">
        <v>3.252</v>
      </c>
      <c r="GN4" t="n">
        <v>-0.479</v>
      </c>
      <c r="GO4" t="n">
        <v>6.4</v>
      </c>
      <c r="GP4" t="n">
        <v>21.8</v>
      </c>
      <c r="GQ4" t="n">
        <v>39.2</v>
      </c>
      <c r="GR4" t="n">
        <v>34.2</v>
      </c>
      <c r="GS4" t="n">
        <v>26</v>
      </c>
      <c r="GT4" t="n">
        <v>7.2</v>
      </c>
      <c r="GU4" t="n">
        <v>17.934</v>
      </c>
      <c r="GV4" t="n">
        <v>24.88</v>
      </c>
      <c r="GW4" t="n">
        <v>8.612</v>
      </c>
      <c r="GX4" t="n">
        <v>29.573</v>
      </c>
      <c r="GY4" t="n">
        <v>12.5</v>
      </c>
      <c r="GZ4" t="n">
        <v>58.2</v>
      </c>
      <c r="HA4" t="n">
        <v>12.6</v>
      </c>
      <c r="HB4" t="n">
        <v>277.2</v>
      </c>
      <c r="HC4" t="n">
        <v>143.2</v>
      </c>
      <c r="HD4" t="n">
        <v>31.8</v>
      </c>
      <c r="HE4" t="n">
        <v>44.2</v>
      </c>
      <c r="HF4" t="n">
        <v>46.526</v>
      </c>
      <c r="HG4" t="n">
        <v>11.2</v>
      </c>
      <c r="HH4" t="n">
        <v>25.339</v>
      </c>
      <c r="HI4" t="n">
        <v>4</v>
      </c>
      <c r="HJ4" t="n">
        <v>40.271</v>
      </c>
      <c r="HK4" t="n">
        <v>36.199</v>
      </c>
      <c r="HL4" t="n">
        <v>13.4</v>
      </c>
      <c r="HM4" t="n">
        <v>94.03</v>
      </c>
      <c r="HN4" t="n">
        <v>6.4</v>
      </c>
      <c r="HO4" t="n">
        <v>43.4</v>
      </c>
      <c r="HP4" t="n">
        <v>71.8</v>
      </c>
      <c r="HQ4" t="n">
        <v>59.74</v>
      </c>
      <c r="HR4" t="n">
        <v>320</v>
      </c>
      <c r="HS4" t="n">
        <v>185</v>
      </c>
      <c r="HT4" t="n">
        <v>19.6</v>
      </c>
      <c r="HU4" t="n">
        <v>7.8</v>
      </c>
      <c r="HV4" t="n">
        <v>30.6</v>
      </c>
      <c r="HW4" t="n">
        <v>5.4</v>
      </c>
      <c r="HX4" t="n">
        <v>36</v>
      </c>
      <c r="HY4" t="n">
        <v>12</v>
      </c>
      <c r="HZ4" t="n">
        <v>845</v>
      </c>
      <c r="IA4" t="n">
        <v>892.076</v>
      </c>
      <c r="IB4" t="n">
        <v>-63.45</v>
      </c>
      <c r="IC4" t="n">
        <v>-4.6</v>
      </c>
      <c r="ID4" t="n">
        <v>-3</v>
      </c>
      <c r="IE4" t="n">
        <v>9.372</v>
      </c>
      <c r="IF4" t="n">
        <v>7.108</v>
      </c>
      <c r="IG4" t="n">
        <v>17.8</v>
      </c>
      <c r="IH4" t="n">
        <v>25.2</v>
      </c>
      <c r="II4" t="n">
        <v>43</v>
      </c>
      <c r="IJ4" t="n">
        <v>3.4</v>
      </c>
      <c r="IK4" t="n">
        <v>14</v>
      </c>
      <c r="IL4" t="n">
        <v>9</v>
      </c>
      <c r="IM4" t="n">
        <v>5.4</v>
      </c>
      <c r="IN4" t="n">
        <v>8.6</v>
      </c>
      <c r="IO4" t="n">
        <v>10.6</v>
      </c>
      <c r="IP4" t="n">
        <v>3.2</v>
      </c>
      <c r="IQ4" t="n">
        <v>-1.8</v>
      </c>
      <c r="IR4" t="n">
        <v>3.6</v>
      </c>
      <c r="IS4" t="n">
        <v>7.2</v>
      </c>
      <c r="IT4" t="n">
        <v>1.6</v>
      </c>
      <c r="IU4" t="n">
        <v>8</v>
      </c>
      <c r="IV4" t="n">
        <v>9.6</v>
      </c>
      <c r="IW4" t="n">
        <v>6</v>
      </c>
      <c r="IX4" t="n">
        <v>20.8</v>
      </c>
      <c r="IY4" t="n">
        <v>6.6</v>
      </c>
      <c r="IZ4" t="n">
        <v>6.4</v>
      </c>
      <c r="JA4" t="n">
        <v>0.6</v>
      </c>
      <c r="JB4" t="n">
        <v>2.8</v>
      </c>
      <c r="JC4" t="n">
        <v>8</v>
      </c>
      <c r="JD4" t="n">
        <v>5.2</v>
      </c>
      <c r="JE4" t="n">
        <v>53.2</v>
      </c>
      <c r="JF4" t="n">
        <v>12.6</v>
      </c>
      <c r="JG4" t="n">
        <v>6.2</v>
      </c>
      <c r="JH4" t="n">
        <v>44.97</v>
      </c>
      <c r="JI4" t="n">
        <v>7.83</v>
      </c>
      <c r="JJ4" t="n">
        <v>0.083</v>
      </c>
      <c r="JK4" t="n">
        <v>0.8</v>
      </c>
      <c r="JL4" t="n">
        <v>20.8</v>
      </c>
      <c r="JM4" t="n">
        <v>31.6</v>
      </c>
      <c r="JN4" t="n">
        <v>21.4</v>
      </c>
      <c r="JO4" t="n">
        <v>23.2</v>
      </c>
      <c r="JP4" t="n">
        <v>8.6</v>
      </c>
      <c r="JQ4" t="n">
        <v>-6.8</v>
      </c>
      <c r="JR4" t="n">
        <v>0.6</v>
      </c>
      <c r="JS4" t="n">
        <v>-13.4</v>
      </c>
      <c r="JT4" t="n">
        <v>-27.8</v>
      </c>
      <c r="JU4" t="n">
        <v>-3</v>
      </c>
      <c r="JV4" t="n">
        <v>-10.4</v>
      </c>
      <c r="JW4" t="n">
        <v>-0.8</v>
      </c>
      <c r="JX4" t="n">
        <v>-2.4</v>
      </c>
      <c r="JY4" t="n">
        <v>3.4</v>
      </c>
      <c r="JZ4" t="n">
        <v>2.8</v>
      </c>
      <c r="KA4" t="n">
        <v>0.4</v>
      </c>
    </row>
    <row r="5">
      <c r="A5" t="inlineStr">
        <is>
          <t>Port Adelaide</t>
        </is>
      </c>
      <c r="B5" t="inlineStr">
        <is>
          <t>Port</t>
        </is>
      </c>
      <c r="C5" t="n">
        <v>5</v>
      </c>
      <c r="D5" t="n">
        <v>32</v>
      </c>
      <c r="E5" t="n">
        <v>25.412</v>
      </c>
      <c r="F5" t="n">
        <v>94.59099999999999</v>
      </c>
      <c r="G5" t="n">
        <v>160.16</v>
      </c>
      <c r="H5" t="n">
        <v>1504.6</v>
      </c>
      <c r="I5" t="n">
        <v>1386</v>
      </c>
      <c r="J5" t="n">
        <v>8.4</v>
      </c>
      <c r="K5" t="n">
        <v>44.163</v>
      </c>
      <c r="L5" t="n">
        <v>40.4</v>
      </c>
      <c r="M5" t="n">
        <v>196.4</v>
      </c>
      <c r="N5" t="n">
        <v>125.8</v>
      </c>
      <c r="O5" t="n">
        <v>322.2</v>
      </c>
      <c r="P5" t="n">
        <v>66.791</v>
      </c>
      <c r="Q5" t="n">
        <v>59.878</v>
      </c>
      <c r="R5" t="n">
        <v>77.583</v>
      </c>
      <c r="S5" t="n">
        <v>60.956</v>
      </c>
      <c r="T5" t="n">
        <v>5.299</v>
      </c>
      <c r="U5" t="n">
        <v>41.6</v>
      </c>
      <c r="V5" t="n">
        <v>43.6</v>
      </c>
      <c r="W5" t="n">
        <v>71.242</v>
      </c>
      <c r="X5" t="n">
        <v>5321.8</v>
      </c>
      <c r="Y5" t="n">
        <v>16.517</v>
      </c>
      <c r="Z5" t="n">
        <v>4993.368</v>
      </c>
      <c r="AA5" t="n">
        <v>25.713</v>
      </c>
      <c r="AB5" t="n">
        <v>188.572</v>
      </c>
      <c r="AC5" t="n">
        <v>1.504</v>
      </c>
      <c r="AD5" t="n">
        <v>59.6</v>
      </c>
      <c r="AE5" t="n">
        <v>5.406</v>
      </c>
      <c r="AF5" t="n">
        <v>70</v>
      </c>
      <c r="AG5" t="n">
        <v>4.603</v>
      </c>
      <c r="AH5" t="n">
        <v>65.399</v>
      </c>
      <c r="AI5" t="n">
        <v>48.045</v>
      </c>
      <c r="AJ5" t="n">
        <v>22.477</v>
      </c>
      <c r="AK5" t="n">
        <v>-0.061</v>
      </c>
      <c r="AL5" t="n">
        <v>56.84</v>
      </c>
      <c r="AM5" t="n">
        <v>-3.29</v>
      </c>
      <c r="AN5" t="n">
        <v>127.2</v>
      </c>
      <c r="AO5" t="n">
        <v>179.8</v>
      </c>
      <c r="AP5" t="n">
        <v>307</v>
      </c>
      <c r="AQ5" t="n">
        <v>41.433</v>
      </c>
      <c r="AR5" t="n">
        <v>65.2</v>
      </c>
      <c r="AS5" t="n">
        <v>83.40000000000001</v>
      </c>
      <c r="AT5" t="n">
        <v>12.6</v>
      </c>
      <c r="AU5" t="n">
        <v>21.6</v>
      </c>
      <c r="AV5" t="n">
        <v>61.8</v>
      </c>
      <c r="AW5" t="n">
        <v>78.8</v>
      </c>
      <c r="AX5" t="n">
        <v>56</v>
      </c>
      <c r="AY5" t="n">
        <v>9.4</v>
      </c>
      <c r="AZ5" t="n">
        <v>22.4</v>
      </c>
      <c r="BA5" t="n">
        <v>94</v>
      </c>
      <c r="BB5" t="n">
        <v>10.6</v>
      </c>
      <c r="BC5" t="n">
        <v>22.6</v>
      </c>
      <c r="BD5" t="n">
        <v>33.2</v>
      </c>
      <c r="BE5" t="n">
        <v>39</v>
      </c>
      <c r="BF5" t="n">
        <v>67.69199999999999</v>
      </c>
      <c r="BG5" t="n">
        <v>74</v>
      </c>
      <c r="BH5" t="n">
        <v>6.6</v>
      </c>
      <c r="BI5" t="n">
        <v>9</v>
      </c>
      <c r="BJ5" t="n">
        <v>21.635</v>
      </c>
      <c r="BK5" t="n">
        <v>13.2</v>
      </c>
      <c r="BL5" t="n">
        <v>7.8</v>
      </c>
      <c r="BM5" t="n">
        <v>18</v>
      </c>
      <c r="BN5" t="n">
        <v>6.4</v>
      </c>
      <c r="BO5" t="n">
        <v>9.199999999999999</v>
      </c>
      <c r="BP5" t="n">
        <v>9</v>
      </c>
      <c r="BQ5" t="n">
        <v>64.2</v>
      </c>
      <c r="BR5" t="n">
        <v>1.4</v>
      </c>
      <c r="BS5" t="n">
        <v>21</v>
      </c>
      <c r="BT5" t="n">
        <v>6</v>
      </c>
      <c r="BU5" t="n">
        <v>43.81</v>
      </c>
      <c r="BV5" t="n">
        <v>22.115</v>
      </c>
      <c r="BW5" t="n">
        <v>43.75</v>
      </c>
      <c r="BX5" t="n">
        <v>50.481</v>
      </c>
      <c r="BY5" t="n">
        <v>11.8</v>
      </c>
      <c r="BZ5" t="n">
        <v>16.949</v>
      </c>
      <c r="CA5" t="n">
        <v>0.603</v>
      </c>
      <c r="CB5" t="n">
        <v>0.397</v>
      </c>
      <c r="CC5" t="n">
        <v>68.834</v>
      </c>
      <c r="CD5" t="n">
        <v>-6.034</v>
      </c>
      <c r="CE5" t="n">
        <v>3.278</v>
      </c>
      <c r="CF5" t="n">
        <v>-0.287</v>
      </c>
      <c r="CG5" t="n">
        <v>3.435</v>
      </c>
      <c r="CH5" t="n">
        <v>-0.238</v>
      </c>
      <c r="CI5" t="n">
        <v>3.011</v>
      </c>
      <c r="CJ5" t="n">
        <v>-0.37</v>
      </c>
      <c r="CK5" t="n">
        <v>2.8</v>
      </c>
      <c r="CL5" t="n">
        <v>25.4</v>
      </c>
      <c r="CM5" t="n">
        <v>36</v>
      </c>
      <c r="CN5" t="n">
        <v>21.2</v>
      </c>
      <c r="CO5" t="n">
        <v>32.2</v>
      </c>
      <c r="CP5" t="n">
        <v>10.8</v>
      </c>
      <c r="CQ5" t="n">
        <v>16.512</v>
      </c>
      <c r="CR5" t="n">
        <v>16.017</v>
      </c>
      <c r="CS5" t="n">
        <v>6.522</v>
      </c>
      <c r="CT5" t="n">
        <v>24.425</v>
      </c>
      <c r="CU5" t="n">
        <v>8.960000000000001</v>
      </c>
      <c r="CV5" t="n">
        <v>12.6</v>
      </c>
      <c r="CW5" t="n">
        <v>30.159</v>
      </c>
      <c r="CX5" t="n">
        <v>62.4</v>
      </c>
      <c r="CY5" t="n">
        <v>10.8</v>
      </c>
      <c r="CZ5" t="n">
        <v>285.6</v>
      </c>
      <c r="DA5" t="n">
        <v>164.6</v>
      </c>
      <c r="DB5" t="n">
        <v>29.2</v>
      </c>
      <c r="DC5" t="n">
        <v>93</v>
      </c>
      <c r="DD5" t="n">
        <v>42.2</v>
      </c>
      <c r="DE5" t="n">
        <v>45.376</v>
      </c>
      <c r="DF5" t="n">
        <v>11.4</v>
      </c>
      <c r="DG5" t="n">
        <v>27.014</v>
      </c>
      <c r="DH5" t="n">
        <v>2.4</v>
      </c>
      <c r="DI5" t="n">
        <v>40.284</v>
      </c>
      <c r="DJ5" t="n">
        <v>38.863</v>
      </c>
      <c r="DK5" t="n">
        <v>23.2</v>
      </c>
      <c r="DL5" t="n">
        <v>18.2</v>
      </c>
      <c r="DM5" t="n">
        <v>5</v>
      </c>
      <c r="DN5" t="n">
        <v>13</v>
      </c>
      <c r="DO5" t="n">
        <v>95.38500000000001</v>
      </c>
      <c r="DP5" t="n">
        <v>3.6</v>
      </c>
      <c r="DQ5" t="n">
        <v>39.8</v>
      </c>
      <c r="DR5" t="n">
        <v>68.8</v>
      </c>
      <c r="DS5" t="n">
        <v>217.22</v>
      </c>
      <c r="DT5" t="n">
        <v>1795.8</v>
      </c>
      <c r="DU5" t="n">
        <v>1529.6</v>
      </c>
      <c r="DV5" t="n">
        <v>21.6</v>
      </c>
      <c r="DW5" t="n">
        <v>42.8</v>
      </c>
      <c r="DX5" t="n">
        <v>218.8</v>
      </c>
      <c r="DY5" t="n">
        <v>145</v>
      </c>
      <c r="DZ5" t="n">
        <v>363.8</v>
      </c>
      <c r="EA5" t="n">
        <v>70.753</v>
      </c>
      <c r="EB5" t="n">
        <v>62.797</v>
      </c>
      <c r="EC5" t="n">
        <v>82.759</v>
      </c>
      <c r="ED5" t="n">
        <v>5.83</v>
      </c>
      <c r="EE5" t="n">
        <v>61.2</v>
      </c>
      <c r="EF5" t="n">
        <v>31.4</v>
      </c>
      <c r="EG5" t="n">
        <v>75.48099999999999</v>
      </c>
      <c r="EH5" t="n">
        <v>6123</v>
      </c>
      <c r="EI5" t="n">
        <v>16.831</v>
      </c>
      <c r="EJ5" t="n">
        <v>5796.762</v>
      </c>
      <c r="EK5" t="n">
        <v>26.615</v>
      </c>
      <c r="EL5" t="n">
        <v>173.926</v>
      </c>
      <c r="EM5" t="n">
        <v>1.204</v>
      </c>
      <c r="EN5" t="n">
        <v>60.4</v>
      </c>
      <c r="EO5" t="n">
        <v>6.023</v>
      </c>
      <c r="EP5" t="n">
        <v>65</v>
      </c>
      <c r="EQ5" t="n">
        <v>5.597</v>
      </c>
      <c r="ER5" t="n">
        <v>70.517</v>
      </c>
      <c r="ES5" t="n">
        <v>54.297</v>
      </c>
      <c r="ET5" t="n">
        <v>24.897</v>
      </c>
      <c r="EU5" t="n">
        <v>4.57</v>
      </c>
      <c r="EV5" t="n">
        <v>54.441</v>
      </c>
      <c r="EW5" t="n">
        <v>2.752</v>
      </c>
      <c r="EX5" t="n">
        <v>142.8</v>
      </c>
      <c r="EY5" t="n">
        <v>212.4</v>
      </c>
      <c r="EZ5" t="n">
        <v>355.2</v>
      </c>
      <c r="FA5" t="n">
        <v>40.203</v>
      </c>
      <c r="FB5" t="n">
        <v>70</v>
      </c>
      <c r="FC5" t="n">
        <v>98</v>
      </c>
      <c r="FD5" t="n">
        <v>19.8</v>
      </c>
      <c r="FE5" t="n">
        <v>29.2</v>
      </c>
      <c r="FF5" t="n">
        <v>68.8</v>
      </c>
      <c r="FG5" t="n">
        <v>93.2</v>
      </c>
      <c r="FH5" t="n">
        <v>65.59999999999999</v>
      </c>
      <c r="FI5" t="n">
        <v>9</v>
      </c>
      <c r="FJ5" t="n">
        <v>26.4</v>
      </c>
      <c r="FK5" t="n">
        <v>118.6</v>
      </c>
      <c r="FL5" t="n">
        <v>15.2</v>
      </c>
      <c r="FM5" t="n">
        <v>25.2</v>
      </c>
      <c r="FN5" t="n">
        <v>40.4</v>
      </c>
      <c r="FO5" t="n">
        <v>41.8</v>
      </c>
      <c r="FP5" t="n">
        <v>78.947</v>
      </c>
      <c r="FQ5" t="n">
        <v>82</v>
      </c>
      <c r="FR5" t="n">
        <v>13.2</v>
      </c>
      <c r="FS5" t="n">
        <v>16.4</v>
      </c>
      <c r="FT5" t="n">
        <v>26.797</v>
      </c>
      <c r="FU5" t="n">
        <v>14</v>
      </c>
      <c r="FV5" t="n">
        <v>8.800000000000001</v>
      </c>
      <c r="FW5" t="n">
        <v>16.6</v>
      </c>
      <c r="FX5" t="n">
        <v>13</v>
      </c>
      <c r="FY5" t="n">
        <v>112.6</v>
      </c>
      <c r="FZ5" t="n">
        <v>2</v>
      </c>
      <c r="GA5" t="n">
        <v>33</v>
      </c>
      <c r="GB5" t="n">
        <v>12.8</v>
      </c>
      <c r="GC5" t="n">
        <v>50.303</v>
      </c>
      <c r="GD5" t="n">
        <v>27.124</v>
      </c>
      <c r="GE5" t="n">
        <v>48.366</v>
      </c>
      <c r="GF5" t="n">
        <v>53.922</v>
      </c>
      <c r="GG5" t="n">
        <v>115.467</v>
      </c>
      <c r="GH5" t="n">
        <v>-4.867</v>
      </c>
      <c r="GI5" t="n">
        <v>3.499</v>
      </c>
      <c r="GJ5" t="n">
        <v>-0.147</v>
      </c>
      <c r="GK5" t="n">
        <v>3.893</v>
      </c>
      <c r="GL5" t="n">
        <v>-0.001</v>
      </c>
      <c r="GM5" t="n">
        <v>3.003</v>
      </c>
      <c r="GN5" t="n">
        <v>-0.332</v>
      </c>
      <c r="GO5" t="n">
        <v>3.6</v>
      </c>
      <c r="GP5" t="n">
        <v>42.6</v>
      </c>
      <c r="GQ5" t="n">
        <v>66.40000000000001</v>
      </c>
      <c r="GR5" t="n">
        <v>35.2</v>
      </c>
      <c r="GS5" t="n">
        <v>61.8</v>
      </c>
      <c r="GT5" t="n">
        <v>15.6</v>
      </c>
      <c r="GU5" t="n">
        <v>24.788</v>
      </c>
      <c r="GV5" t="n">
        <v>18.293</v>
      </c>
      <c r="GW5" t="n">
        <v>9.816000000000001</v>
      </c>
      <c r="GX5" t="n">
        <v>29.293</v>
      </c>
      <c r="GY5" t="n">
        <v>12.162</v>
      </c>
      <c r="GZ5" t="n">
        <v>60.8</v>
      </c>
      <c r="HA5" t="n">
        <v>14.4</v>
      </c>
      <c r="HB5" t="n">
        <v>249.6</v>
      </c>
      <c r="HC5" t="n">
        <v>112.8</v>
      </c>
      <c r="HD5" t="n">
        <v>29.6</v>
      </c>
      <c r="HE5" t="n">
        <v>34.8</v>
      </c>
      <c r="HF5" t="n">
        <v>37.419</v>
      </c>
      <c r="HG5" t="n">
        <v>9.800000000000001</v>
      </c>
      <c r="HH5" t="n">
        <v>28.161</v>
      </c>
      <c r="HI5" t="n">
        <v>3</v>
      </c>
      <c r="HJ5" t="n">
        <v>44.253</v>
      </c>
      <c r="HK5" t="n">
        <v>46.552</v>
      </c>
      <c r="HL5" t="n">
        <v>9</v>
      </c>
      <c r="HM5" t="n">
        <v>84.444</v>
      </c>
      <c r="HN5" t="n">
        <v>5.8</v>
      </c>
      <c r="HO5" t="n">
        <v>41.8</v>
      </c>
      <c r="HP5" t="n">
        <v>71.8</v>
      </c>
      <c r="HQ5" t="n">
        <v>-57.06</v>
      </c>
      <c r="HR5" t="n">
        <v>-291.2</v>
      </c>
      <c r="HS5" t="n">
        <v>-143.6</v>
      </c>
      <c r="HT5" t="n">
        <v>-13.2</v>
      </c>
      <c r="HU5" t="n">
        <v>-2.4</v>
      </c>
      <c r="HV5" t="n">
        <v>-22.4</v>
      </c>
      <c r="HW5" t="n">
        <v>-19.2</v>
      </c>
      <c r="HX5" t="n">
        <v>-41.6</v>
      </c>
      <c r="HY5" t="n">
        <v>-19.6</v>
      </c>
      <c r="HZ5" t="n">
        <v>-801.2</v>
      </c>
      <c r="IA5" t="n">
        <v>-803.394</v>
      </c>
      <c r="IB5" t="n">
        <v>14.646</v>
      </c>
      <c r="IC5" t="n">
        <v>-0.8</v>
      </c>
      <c r="ID5" t="n">
        <v>5</v>
      </c>
      <c r="IE5" t="n">
        <v>-4.631</v>
      </c>
      <c r="IF5" t="n">
        <v>-6.042</v>
      </c>
      <c r="IG5" t="n">
        <v>-15.6</v>
      </c>
      <c r="IH5" t="n">
        <v>-32.6</v>
      </c>
      <c r="II5" t="n">
        <v>-48.2</v>
      </c>
      <c r="IJ5" t="n">
        <v>-4.8</v>
      </c>
      <c r="IK5" t="n">
        <v>-14.6</v>
      </c>
      <c r="IL5" t="n">
        <v>-7.2</v>
      </c>
      <c r="IM5" t="n">
        <v>-7.6</v>
      </c>
      <c r="IN5" t="n">
        <v>-7</v>
      </c>
      <c r="IO5" t="n">
        <v>-14.4</v>
      </c>
      <c r="IP5" t="n">
        <v>-9.6</v>
      </c>
      <c r="IQ5" t="n">
        <v>0.4</v>
      </c>
      <c r="IR5" t="n">
        <v>-4</v>
      </c>
      <c r="IS5" t="n">
        <v>-24.6</v>
      </c>
      <c r="IT5" t="n">
        <v>-4.6</v>
      </c>
      <c r="IU5" t="n">
        <v>-2.6</v>
      </c>
      <c r="IV5" t="n">
        <v>-7.2</v>
      </c>
      <c r="IW5" t="n">
        <v>-2.8</v>
      </c>
      <c r="IX5" t="n">
        <v>-8</v>
      </c>
      <c r="IY5" t="n">
        <v>-6.6</v>
      </c>
      <c r="IZ5" t="n">
        <v>-7.4</v>
      </c>
      <c r="JA5" t="n">
        <v>-0.8</v>
      </c>
      <c r="JB5" t="n">
        <v>-1</v>
      </c>
      <c r="JC5" t="n">
        <v>-7.4</v>
      </c>
      <c r="JD5" t="n">
        <v>-4</v>
      </c>
      <c r="JE5" t="n">
        <v>-48.4</v>
      </c>
      <c r="JF5" t="n">
        <v>-12</v>
      </c>
      <c r="JG5" t="n">
        <v>-6.8</v>
      </c>
      <c r="JH5" t="n">
        <v>-46.633</v>
      </c>
      <c r="JI5" t="n">
        <v>-1.167</v>
      </c>
      <c r="JJ5" t="n">
        <v>-0.221</v>
      </c>
      <c r="JK5" t="n">
        <v>-0.8</v>
      </c>
      <c r="JL5" t="n">
        <v>-17.2</v>
      </c>
      <c r="JM5" t="n">
        <v>-30.4</v>
      </c>
      <c r="JN5" t="n">
        <v>-14</v>
      </c>
      <c r="JO5" t="n">
        <v>-29.6</v>
      </c>
      <c r="JP5" t="n">
        <v>-4.8</v>
      </c>
      <c r="JQ5" t="n">
        <v>1.6</v>
      </c>
      <c r="JR5" t="n">
        <v>-3.6</v>
      </c>
      <c r="JS5" t="n">
        <v>36</v>
      </c>
      <c r="JT5" t="n">
        <v>51.8</v>
      </c>
      <c r="JU5" t="n">
        <v>-0.4</v>
      </c>
      <c r="JV5" t="n">
        <v>7.4</v>
      </c>
      <c r="JW5" t="n">
        <v>1.6</v>
      </c>
      <c r="JX5" t="n">
        <v>-0.6</v>
      </c>
      <c r="JY5" t="n">
        <v>-2.2</v>
      </c>
      <c r="JZ5" t="n">
        <v>-2</v>
      </c>
      <c r="KA5" t="n">
        <v>-3</v>
      </c>
    </row>
    <row r="6">
      <c r="A6" t="inlineStr">
        <is>
          <t>North Melbourne</t>
        </is>
      </c>
      <c r="B6" t="inlineStr">
        <is>
          <t>NM</t>
        </is>
      </c>
      <c r="C6" t="n">
        <v>5</v>
      </c>
      <c r="D6" t="n">
        <v>32</v>
      </c>
      <c r="E6" t="n">
        <v>24.3</v>
      </c>
      <c r="F6" t="n">
        <v>85.687</v>
      </c>
      <c r="G6" t="n">
        <v>191.12</v>
      </c>
      <c r="H6" t="n">
        <v>1622.6</v>
      </c>
      <c r="I6" t="n">
        <v>1537.4</v>
      </c>
      <c r="J6" t="n">
        <v>11.4</v>
      </c>
      <c r="K6" t="n">
        <v>45.304</v>
      </c>
      <c r="L6" t="n">
        <v>41.4</v>
      </c>
      <c r="M6" t="n">
        <v>206.6</v>
      </c>
      <c r="N6" t="n">
        <v>158.2</v>
      </c>
      <c r="O6" t="n">
        <v>364.8</v>
      </c>
      <c r="P6" t="n">
        <v>74.836</v>
      </c>
      <c r="Q6" t="n">
        <v>66.893</v>
      </c>
      <c r="R6" t="n">
        <v>85.209</v>
      </c>
      <c r="S6" t="n">
        <v>56.634</v>
      </c>
      <c r="T6" t="n">
        <v>5.903</v>
      </c>
      <c r="U6" t="n">
        <v>46.8</v>
      </c>
      <c r="V6" t="n">
        <v>37.8</v>
      </c>
      <c r="W6" t="n">
        <v>68.23099999999999</v>
      </c>
      <c r="X6" t="n">
        <v>5386.2</v>
      </c>
      <c r="Y6" t="n">
        <v>14.765</v>
      </c>
      <c r="Z6" t="n">
        <v>5140.724</v>
      </c>
      <c r="AA6" t="n">
        <v>25.028</v>
      </c>
      <c r="AB6" t="n">
        <v>55.642</v>
      </c>
      <c r="AC6" t="n">
        <v>0.352</v>
      </c>
      <c r="AD6" t="n">
        <v>53.2</v>
      </c>
      <c r="AE6" t="n">
        <v>6.857</v>
      </c>
      <c r="AF6" t="n">
        <v>55.2</v>
      </c>
      <c r="AG6" t="n">
        <v>6.609</v>
      </c>
      <c r="AH6" t="n">
        <v>72.967</v>
      </c>
      <c r="AI6" t="n">
        <v>47.09</v>
      </c>
      <c r="AJ6" t="n">
        <v>22.867</v>
      </c>
      <c r="AK6" t="n">
        <v>1.414</v>
      </c>
      <c r="AL6" t="n">
        <v>59.887</v>
      </c>
      <c r="AM6" t="n">
        <v>0.642</v>
      </c>
      <c r="AN6" t="n">
        <v>126.8</v>
      </c>
      <c r="AO6" t="n">
        <v>233</v>
      </c>
      <c r="AP6" t="n">
        <v>359.8</v>
      </c>
      <c r="AQ6" t="n">
        <v>35.242</v>
      </c>
      <c r="AR6" t="n">
        <v>54</v>
      </c>
      <c r="AS6" t="n">
        <v>81.8</v>
      </c>
      <c r="AT6" t="n">
        <v>11.4</v>
      </c>
      <c r="AU6" t="n">
        <v>19.4</v>
      </c>
      <c r="AV6" t="n">
        <v>62.4</v>
      </c>
      <c r="AW6" t="n">
        <v>73.2</v>
      </c>
      <c r="AX6" t="n">
        <v>49.2</v>
      </c>
      <c r="AY6" t="n">
        <v>9.4</v>
      </c>
      <c r="AZ6" t="n">
        <v>19.2</v>
      </c>
      <c r="BA6" t="n">
        <v>132</v>
      </c>
      <c r="BB6" t="n">
        <v>14.2</v>
      </c>
      <c r="BC6" t="n">
        <v>26</v>
      </c>
      <c r="BD6" t="n">
        <v>40.2</v>
      </c>
      <c r="BE6" t="n">
        <v>44.4</v>
      </c>
      <c r="BF6" t="n">
        <v>77.477</v>
      </c>
      <c r="BG6" t="n">
        <v>95.2</v>
      </c>
      <c r="BH6" t="n">
        <v>10.6</v>
      </c>
      <c r="BI6" t="n">
        <v>11.6</v>
      </c>
      <c r="BJ6" t="n">
        <v>24.786</v>
      </c>
      <c r="BK6" t="n">
        <v>12.8</v>
      </c>
      <c r="BL6" t="n">
        <v>7.2</v>
      </c>
      <c r="BM6" t="n">
        <v>21</v>
      </c>
      <c r="BN6" t="n">
        <v>8</v>
      </c>
      <c r="BO6" t="n">
        <v>12.8</v>
      </c>
      <c r="BP6" t="n">
        <v>9.6</v>
      </c>
      <c r="BQ6" t="n">
        <v>86.40000000000001</v>
      </c>
      <c r="BR6" t="n">
        <v>1.4</v>
      </c>
      <c r="BS6" t="n">
        <v>25</v>
      </c>
      <c r="BT6" t="n">
        <v>9.4</v>
      </c>
      <c r="BU6" t="n">
        <v>51.2</v>
      </c>
      <c r="BV6" t="n">
        <v>27.35</v>
      </c>
      <c r="BW6" t="n">
        <v>47.863</v>
      </c>
      <c r="BX6" t="n">
        <v>53.419</v>
      </c>
      <c r="BY6" t="n">
        <v>7.8</v>
      </c>
      <c r="BZ6" t="n">
        <v>25.641</v>
      </c>
      <c r="CA6" t="n">
        <v>1.908</v>
      </c>
      <c r="CB6" t="n">
        <v>-0.908</v>
      </c>
      <c r="CC6" t="n">
        <v>85.852</v>
      </c>
      <c r="CD6" t="n">
        <v>-0.852</v>
      </c>
      <c r="CE6" t="n">
        <v>3.434</v>
      </c>
      <c r="CF6" t="n">
        <v>-0.034</v>
      </c>
      <c r="CG6" t="n">
        <v>3.665</v>
      </c>
      <c r="CH6" t="n">
        <v>0.279</v>
      </c>
      <c r="CI6" t="n">
        <v>3.13</v>
      </c>
      <c r="CJ6" t="n">
        <v>-0.445</v>
      </c>
      <c r="CK6" t="n">
        <v>5.2</v>
      </c>
      <c r="CL6" t="n">
        <v>38.6</v>
      </c>
      <c r="CM6" t="n">
        <v>42.6</v>
      </c>
      <c r="CN6" t="n">
        <v>26.8</v>
      </c>
      <c r="CO6" t="n">
        <v>40</v>
      </c>
      <c r="CP6" t="n">
        <v>19.6</v>
      </c>
      <c r="CQ6" t="n">
        <v>21.429</v>
      </c>
      <c r="CR6" t="n">
        <v>22.404</v>
      </c>
      <c r="CS6" t="n">
        <v>8.743</v>
      </c>
      <c r="CT6" t="n">
        <v>29.299</v>
      </c>
      <c r="CU6" t="n">
        <v>10.863</v>
      </c>
      <c r="CV6" t="n">
        <v>8.800000000000001</v>
      </c>
      <c r="CW6" t="n">
        <v>45.455</v>
      </c>
      <c r="CX6" t="n">
        <v>58.6</v>
      </c>
      <c r="CY6" t="n">
        <v>9.199999999999999</v>
      </c>
      <c r="CZ6" t="n">
        <v>260.4</v>
      </c>
      <c r="DA6" t="n">
        <v>128.2</v>
      </c>
      <c r="DB6" t="n">
        <v>24</v>
      </c>
      <c r="DC6" t="n">
        <v>102</v>
      </c>
      <c r="DD6" t="n">
        <v>36.2</v>
      </c>
      <c r="DE6" t="n">
        <v>35.49</v>
      </c>
      <c r="DF6" t="n">
        <v>10.4</v>
      </c>
      <c r="DG6" t="n">
        <v>28.729</v>
      </c>
      <c r="DH6" t="n">
        <v>5.4</v>
      </c>
      <c r="DI6" t="n">
        <v>44.751</v>
      </c>
      <c r="DJ6" t="n">
        <v>42.541</v>
      </c>
      <c r="DK6" t="n">
        <v>19.4</v>
      </c>
      <c r="DL6" t="n">
        <v>19.8</v>
      </c>
      <c r="DM6" t="n">
        <v>-0.4</v>
      </c>
      <c r="DN6" t="n">
        <v>12.2</v>
      </c>
      <c r="DO6" t="n">
        <v>81.967</v>
      </c>
      <c r="DP6" t="n">
        <v>8.4</v>
      </c>
      <c r="DQ6" t="n">
        <v>34</v>
      </c>
      <c r="DR6" t="n">
        <v>72.59999999999999</v>
      </c>
      <c r="DS6" t="n">
        <v>210.36</v>
      </c>
      <c r="DT6" t="n">
        <v>1668.8</v>
      </c>
      <c r="DU6" t="n">
        <v>1475.4</v>
      </c>
      <c r="DV6" t="n">
        <v>18.6</v>
      </c>
      <c r="DW6" t="n">
        <v>40.4</v>
      </c>
      <c r="DX6" t="n">
        <v>193</v>
      </c>
      <c r="DY6" t="n">
        <v>142</v>
      </c>
      <c r="DZ6" t="n">
        <v>335</v>
      </c>
      <c r="EA6" t="n">
        <v>74.806</v>
      </c>
      <c r="EB6" t="n">
        <v>70.56999999999999</v>
      </c>
      <c r="EC6" t="n">
        <v>80.563</v>
      </c>
      <c r="ED6" t="n">
        <v>5.717</v>
      </c>
      <c r="EE6" t="n">
        <v>55.4</v>
      </c>
      <c r="EF6" t="n">
        <v>33.2</v>
      </c>
      <c r="EG6" t="n">
        <v>70.94</v>
      </c>
      <c r="EH6" t="n">
        <v>5695.2</v>
      </c>
      <c r="EI6" t="n">
        <v>17.001</v>
      </c>
      <c r="EJ6" t="n">
        <v>5467.004</v>
      </c>
      <c r="EK6" t="n">
        <v>28.415</v>
      </c>
      <c r="EL6" t="n">
        <v>136.776</v>
      </c>
      <c r="EM6" t="n">
        <v>0.966</v>
      </c>
      <c r="EN6" t="n">
        <v>54</v>
      </c>
      <c r="EO6" t="n">
        <v>6.204</v>
      </c>
      <c r="EP6" t="n">
        <v>53.8</v>
      </c>
      <c r="EQ6" t="n">
        <v>6.227</v>
      </c>
      <c r="ER6" t="n">
        <v>72.01000000000001</v>
      </c>
      <c r="ES6" t="n">
        <v>58.369</v>
      </c>
      <c r="ET6" t="n">
        <v>24.524</v>
      </c>
      <c r="EU6" t="n">
        <v>7.377</v>
      </c>
      <c r="EV6" t="n">
        <v>54.356</v>
      </c>
      <c r="EW6" t="n">
        <v>7.754</v>
      </c>
      <c r="EX6" t="n">
        <v>126.2</v>
      </c>
      <c r="EY6" t="n">
        <v>201.6</v>
      </c>
      <c r="EZ6" t="n">
        <v>327.8</v>
      </c>
      <c r="FA6" t="n">
        <v>38.499</v>
      </c>
      <c r="FB6" t="n">
        <v>55.2</v>
      </c>
      <c r="FC6" t="n">
        <v>80</v>
      </c>
      <c r="FD6" t="n">
        <v>12</v>
      </c>
      <c r="FE6" t="n">
        <v>20.2</v>
      </c>
      <c r="FF6" t="n">
        <v>59.8</v>
      </c>
      <c r="FG6" t="n">
        <v>75</v>
      </c>
      <c r="FH6" t="n">
        <v>48.6</v>
      </c>
      <c r="FI6" t="n">
        <v>8.800000000000001</v>
      </c>
      <c r="FJ6" t="n">
        <v>17.8</v>
      </c>
      <c r="FK6" t="n">
        <v>112</v>
      </c>
      <c r="FL6" t="n">
        <v>13.6</v>
      </c>
      <c r="FM6" t="n">
        <v>23.8</v>
      </c>
      <c r="FN6" t="n">
        <v>37.4</v>
      </c>
      <c r="FO6" t="n">
        <v>41</v>
      </c>
      <c r="FP6" t="n">
        <v>75.61</v>
      </c>
      <c r="FQ6" t="n">
        <v>84.40000000000001</v>
      </c>
      <c r="FR6" t="n">
        <v>12.2</v>
      </c>
      <c r="FS6" t="n">
        <v>16.8</v>
      </c>
      <c r="FT6" t="n">
        <v>30.325</v>
      </c>
      <c r="FU6" t="n">
        <v>15</v>
      </c>
      <c r="FV6" t="n">
        <v>7.4</v>
      </c>
      <c r="FW6" t="n">
        <v>16.6</v>
      </c>
      <c r="FX6" t="n">
        <v>12.6</v>
      </c>
      <c r="FY6" t="n">
        <v>112.2</v>
      </c>
      <c r="FZ6" t="n">
        <v>1.8</v>
      </c>
      <c r="GA6" t="n">
        <v>30.6</v>
      </c>
      <c r="GB6" t="n">
        <v>12.6</v>
      </c>
      <c r="GC6" t="n">
        <v>54.248</v>
      </c>
      <c r="GD6" t="n">
        <v>29.964</v>
      </c>
      <c r="GE6" t="n">
        <v>52.708</v>
      </c>
      <c r="GF6" t="n">
        <v>55.235</v>
      </c>
      <c r="GG6" t="n">
        <v>106.422</v>
      </c>
      <c r="GH6" t="n">
        <v>3.978</v>
      </c>
      <c r="GI6" t="n">
        <v>3.478</v>
      </c>
      <c r="GJ6" t="n">
        <v>0.13</v>
      </c>
      <c r="GK6" t="n">
        <v>3.739</v>
      </c>
      <c r="GL6" t="n">
        <v>0.043</v>
      </c>
      <c r="GM6" t="n">
        <v>3.039</v>
      </c>
      <c r="GN6" t="n">
        <v>0.277</v>
      </c>
      <c r="GO6" t="n">
        <v>5.2</v>
      </c>
      <c r="GP6" t="n">
        <v>45</v>
      </c>
      <c r="GQ6" t="n">
        <v>62</v>
      </c>
      <c r="GR6" t="n">
        <v>36.8</v>
      </c>
      <c r="GS6" t="n">
        <v>60.4</v>
      </c>
      <c r="GT6" t="n">
        <v>15</v>
      </c>
      <c r="GU6" t="n">
        <v>28.486</v>
      </c>
      <c r="GV6" t="n">
        <v>27.647</v>
      </c>
      <c r="GW6" t="n">
        <v>14.118</v>
      </c>
      <c r="GX6" t="n">
        <v>36.918</v>
      </c>
      <c r="GY6" t="n">
        <v>17.69</v>
      </c>
      <c r="GZ6" t="n">
        <v>61.8</v>
      </c>
      <c r="HA6" t="n">
        <v>10.4</v>
      </c>
      <c r="HB6" t="n">
        <v>266.2</v>
      </c>
      <c r="HC6" t="n">
        <v>119.8</v>
      </c>
      <c r="HD6" t="n">
        <v>25.4</v>
      </c>
      <c r="HE6" t="n">
        <v>40</v>
      </c>
      <c r="HF6" t="n">
        <v>39.139</v>
      </c>
      <c r="HG6" t="n">
        <v>9.6</v>
      </c>
      <c r="HH6" t="n">
        <v>24</v>
      </c>
      <c r="HI6" t="n">
        <v>3</v>
      </c>
      <c r="HJ6" t="n">
        <v>43.5</v>
      </c>
      <c r="HK6" t="n">
        <v>39</v>
      </c>
      <c r="HL6" t="n">
        <v>9.4</v>
      </c>
      <c r="HM6" t="n">
        <v>91.489</v>
      </c>
      <c r="HN6" t="n">
        <v>7.2</v>
      </c>
      <c r="HO6" t="n">
        <v>36.6</v>
      </c>
      <c r="HP6" t="n">
        <v>72.59999999999999</v>
      </c>
      <c r="HQ6" t="n">
        <v>-19.24</v>
      </c>
      <c r="HR6" t="n">
        <v>-46.2</v>
      </c>
      <c r="HS6" t="n">
        <v>62</v>
      </c>
      <c r="HT6" t="n">
        <v>-7.2</v>
      </c>
      <c r="HU6" t="n">
        <v>1</v>
      </c>
      <c r="HV6" t="n">
        <v>13.6</v>
      </c>
      <c r="HW6" t="n">
        <v>16.2</v>
      </c>
      <c r="HX6" t="n">
        <v>29.8</v>
      </c>
      <c r="HY6" t="n">
        <v>-8.6</v>
      </c>
      <c r="HZ6" t="n">
        <v>-309</v>
      </c>
      <c r="IA6" t="n">
        <v>-326.28</v>
      </c>
      <c r="IB6" t="n">
        <v>-81.134</v>
      </c>
      <c r="IC6" t="n">
        <v>-0.8</v>
      </c>
      <c r="ID6" t="n">
        <v>1.4</v>
      </c>
      <c r="IE6" t="n">
        <v>-5.963</v>
      </c>
      <c r="IF6" t="n">
        <v>-7.112</v>
      </c>
      <c r="IG6" t="n">
        <v>0.6</v>
      </c>
      <c r="IH6" t="n">
        <v>31.4</v>
      </c>
      <c r="II6" t="n">
        <v>32</v>
      </c>
      <c r="IJ6" t="n">
        <v>-1.2</v>
      </c>
      <c r="IK6" t="n">
        <v>1.8</v>
      </c>
      <c r="IL6" t="n">
        <v>-0.6</v>
      </c>
      <c r="IM6" t="n">
        <v>-0.8</v>
      </c>
      <c r="IN6" t="n">
        <v>2.6</v>
      </c>
      <c r="IO6" t="n">
        <v>-1.8</v>
      </c>
      <c r="IP6" t="n">
        <v>0.6</v>
      </c>
      <c r="IQ6" t="n">
        <v>0.6</v>
      </c>
      <c r="IR6" t="n">
        <v>1.4</v>
      </c>
      <c r="IS6" t="n">
        <v>20</v>
      </c>
      <c r="IT6" t="n">
        <v>0.6</v>
      </c>
      <c r="IU6" t="n">
        <v>2.2</v>
      </c>
      <c r="IV6" t="n">
        <v>2.8</v>
      </c>
      <c r="IW6" t="n">
        <v>3.4</v>
      </c>
      <c r="IX6" t="n">
        <v>10.8</v>
      </c>
      <c r="IY6" t="n">
        <v>-1.6</v>
      </c>
      <c r="IZ6" t="n">
        <v>-5.2</v>
      </c>
      <c r="JA6" t="n">
        <v>-2.2</v>
      </c>
      <c r="JB6" t="n">
        <v>-0.2</v>
      </c>
      <c r="JC6" t="n">
        <v>-3.8</v>
      </c>
      <c r="JD6" t="n">
        <v>-3</v>
      </c>
      <c r="JE6" t="n">
        <v>-25.8</v>
      </c>
      <c r="JF6" t="n">
        <v>-5.6</v>
      </c>
      <c r="JG6" t="n">
        <v>-3.2</v>
      </c>
      <c r="JH6" t="n">
        <v>-20.57</v>
      </c>
      <c r="JI6" t="n">
        <v>-4.83</v>
      </c>
      <c r="JJ6" t="n">
        <v>-0.044</v>
      </c>
      <c r="JK6" t="n">
        <v>0</v>
      </c>
      <c r="JL6" t="n">
        <v>-6.4</v>
      </c>
      <c r="JM6" t="n">
        <v>-19.4</v>
      </c>
      <c r="JN6" t="n">
        <v>-10</v>
      </c>
      <c r="JO6" t="n">
        <v>-20.4</v>
      </c>
      <c r="JP6" t="n">
        <v>4.6</v>
      </c>
      <c r="JQ6" t="n">
        <v>-3.2</v>
      </c>
      <c r="JR6" t="n">
        <v>-1.2</v>
      </c>
      <c r="JS6" t="n">
        <v>-5.8</v>
      </c>
      <c r="JT6" t="n">
        <v>8.4</v>
      </c>
      <c r="JU6" t="n">
        <v>-1.4</v>
      </c>
      <c r="JV6" t="n">
        <v>-3.8</v>
      </c>
      <c r="JW6" t="n">
        <v>0.8</v>
      </c>
      <c r="JX6" t="n">
        <v>2.4</v>
      </c>
      <c r="JY6" t="n">
        <v>1.2</v>
      </c>
      <c r="JZ6" t="n">
        <v>-2.6</v>
      </c>
      <c r="KA6" t="n">
        <v>0</v>
      </c>
    </row>
    <row r="7">
      <c r="A7" t="inlineStr">
        <is>
          <t>West Coast</t>
        </is>
      </c>
      <c r="B7" t="inlineStr">
        <is>
          <t>WC</t>
        </is>
      </c>
      <c r="C7" t="n">
        <v>5</v>
      </c>
      <c r="D7" t="n">
        <v>31</v>
      </c>
      <c r="E7" t="n">
        <v>24.145</v>
      </c>
      <c r="F7" t="n">
        <v>70.40000000000001</v>
      </c>
      <c r="G7" t="n">
        <v>157.46</v>
      </c>
      <c r="H7" t="n">
        <v>1477.2</v>
      </c>
      <c r="I7" t="n">
        <v>1346</v>
      </c>
      <c r="J7" t="n">
        <v>1.8</v>
      </c>
      <c r="K7" t="n">
        <v>45.092</v>
      </c>
      <c r="L7" t="n">
        <v>39.8</v>
      </c>
      <c r="M7" t="n">
        <v>180</v>
      </c>
      <c r="N7" t="n">
        <v>132.8</v>
      </c>
      <c r="O7" t="n">
        <v>312.8</v>
      </c>
      <c r="P7" t="n">
        <v>71.419</v>
      </c>
      <c r="Q7" t="n">
        <v>65</v>
      </c>
      <c r="R7" t="n">
        <v>80.12</v>
      </c>
      <c r="S7" t="n">
        <v>57.545</v>
      </c>
      <c r="T7" t="n">
        <v>5.566</v>
      </c>
      <c r="U7" t="n">
        <v>40.8</v>
      </c>
      <c r="V7" t="n">
        <v>37.2</v>
      </c>
      <c r="W7" t="n">
        <v>67.148</v>
      </c>
      <c r="X7" t="n">
        <v>4965.4</v>
      </c>
      <c r="Y7" t="n">
        <v>15.874</v>
      </c>
      <c r="Z7" t="n">
        <v>4640.058</v>
      </c>
      <c r="AA7" t="n">
        <v>26.009</v>
      </c>
      <c r="AB7" t="n">
        <v>172.068</v>
      </c>
      <c r="AC7" t="n">
        <v>1.298</v>
      </c>
      <c r="AD7" t="n">
        <v>52.8</v>
      </c>
      <c r="AE7" t="n">
        <v>5.924</v>
      </c>
      <c r="AF7" t="n">
        <v>61.8</v>
      </c>
      <c r="AG7" t="n">
        <v>5.061</v>
      </c>
      <c r="AH7" t="n">
        <v>68.123</v>
      </c>
      <c r="AI7" t="n">
        <v>40.223</v>
      </c>
      <c r="AJ7" t="n">
        <v>22.486</v>
      </c>
      <c r="AK7" t="n">
        <v>-4.525</v>
      </c>
      <c r="AL7" t="n">
        <v>58.775</v>
      </c>
      <c r="AM7" t="n">
        <v>-3.744</v>
      </c>
      <c r="AN7" t="n">
        <v>115.4</v>
      </c>
      <c r="AO7" t="n">
        <v>192.6</v>
      </c>
      <c r="AP7" t="n">
        <v>308</v>
      </c>
      <c r="AQ7" t="n">
        <v>37.468</v>
      </c>
      <c r="AR7" t="n">
        <v>59.6</v>
      </c>
      <c r="AS7" t="n">
        <v>75</v>
      </c>
      <c r="AT7" t="n">
        <v>6.8</v>
      </c>
      <c r="AU7" t="n">
        <v>15.6</v>
      </c>
      <c r="AV7" t="n">
        <v>59.4</v>
      </c>
      <c r="AW7" t="n">
        <v>68.59999999999999</v>
      </c>
      <c r="AX7" t="n">
        <v>45.6</v>
      </c>
      <c r="AY7" t="n">
        <v>8.800000000000001</v>
      </c>
      <c r="AZ7" t="n">
        <v>18.8</v>
      </c>
      <c r="BA7" t="n">
        <v>102.8</v>
      </c>
      <c r="BB7" t="n">
        <v>10.6</v>
      </c>
      <c r="BC7" t="n">
        <v>22</v>
      </c>
      <c r="BD7" t="n">
        <v>32.6</v>
      </c>
      <c r="BE7" t="n">
        <v>35.8</v>
      </c>
      <c r="BF7" t="n">
        <v>72.06699999999999</v>
      </c>
      <c r="BG7" t="n">
        <v>81.8</v>
      </c>
      <c r="BH7" t="n">
        <v>8</v>
      </c>
      <c r="BI7" t="n">
        <v>10.4</v>
      </c>
      <c r="BJ7" t="n">
        <v>25.49</v>
      </c>
      <c r="BK7" t="n">
        <v>11.6</v>
      </c>
      <c r="BL7" t="n">
        <v>10</v>
      </c>
      <c r="BM7" t="n">
        <v>18</v>
      </c>
      <c r="BN7" t="n">
        <v>6.4</v>
      </c>
      <c r="BO7" t="n">
        <v>8.6</v>
      </c>
      <c r="BP7" t="n">
        <v>7.2</v>
      </c>
      <c r="BQ7" t="n">
        <v>58.8</v>
      </c>
      <c r="BR7" t="n">
        <v>1.2</v>
      </c>
      <c r="BS7" t="n">
        <v>16.8</v>
      </c>
      <c r="BT7" t="n">
        <v>6</v>
      </c>
      <c r="BU7" t="n">
        <v>51.19</v>
      </c>
      <c r="BV7" t="n">
        <v>21.078</v>
      </c>
      <c r="BW7" t="n">
        <v>38.725</v>
      </c>
      <c r="BX7" t="n">
        <v>41.176</v>
      </c>
      <c r="BY7" t="n">
        <v>8.199999999999999</v>
      </c>
      <c r="BZ7" t="n">
        <v>21.951</v>
      </c>
      <c r="CA7" t="n">
        <v>0.08400000000000001</v>
      </c>
      <c r="CB7" t="n">
        <v>-0.08400000000000001</v>
      </c>
      <c r="CC7" t="n">
        <v>57.606</v>
      </c>
      <c r="CD7" t="n">
        <v>-0.006</v>
      </c>
      <c r="CE7" t="n">
        <v>3.429</v>
      </c>
      <c r="CF7" t="n">
        <v>0</v>
      </c>
      <c r="CG7" t="n">
        <v>3.714</v>
      </c>
      <c r="CH7" t="n">
        <v>0.057</v>
      </c>
      <c r="CI7" t="n">
        <v>2.673</v>
      </c>
      <c r="CJ7" t="n">
        <v>-0.151</v>
      </c>
      <c r="CK7" t="n">
        <v>1.4</v>
      </c>
      <c r="CL7" t="n">
        <v>20.2</v>
      </c>
      <c r="CM7" t="n">
        <v>37.2</v>
      </c>
      <c r="CN7" t="n">
        <v>23.6</v>
      </c>
      <c r="CO7" t="n">
        <v>29.6</v>
      </c>
      <c r="CP7" t="n">
        <v>5.6</v>
      </c>
      <c r="CQ7" t="n">
        <v>15.49</v>
      </c>
      <c r="CR7" t="n">
        <v>18.367</v>
      </c>
      <c r="CS7" t="n">
        <v>5.67</v>
      </c>
      <c r="CT7" t="n">
        <v>26.807</v>
      </c>
      <c r="CU7" t="n">
        <v>10.03</v>
      </c>
      <c r="CV7" t="n">
        <v>7.6</v>
      </c>
      <c r="CW7" t="n">
        <v>44.737</v>
      </c>
      <c r="CX7" t="n">
        <v>59</v>
      </c>
      <c r="CY7" t="n">
        <v>9.800000000000001</v>
      </c>
      <c r="CZ7" t="n">
        <v>264.2</v>
      </c>
      <c r="DA7" t="n">
        <v>130.4</v>
      </c>
      <c r="DB7" t="n">
        <v>32.2</v>
      </c>
      <c r="DC7" t="n">
        <v>95.2</v>
      </c>
      <c r="DD7" t="n">
        <v>35.8</v>
      </c>
      <c r="DE7" t="n">
        <v>37.605</v>
      </c>
      <c r="DF7" t="n">
        <v>9.199999999999999</v>
      </c>
      <c r="DG7" t="n">
        <v>25.698</v>
      </c>
      <c r="DH7" t="n">
        <v>1</v>
      </c>
      <c r="DI7" t="n">
        <v>41.899</v>
      </c>
      <c r="DJ7" t="n">
        <v>38.547</v>
      </c>
      <c r="DK7" t="n">
        <v>20.2</v>
      </c>
      <c r="DL7" t="n">
        <v>18.2</v>
      </c>
      <c r="DM7" t="n">
        <v>2</v>
      </c>
      <c r="DN7" t="n">
        <v>12.4</v>
      </c>
      <c r="DO7" t="n">
        <v>91.935</v>
      </c>
      <c r="DP7" t="n">
        <v>9.199999999999999</v>
      </c>
      <c r="DQ7" t="n">
        <v>43.4</v>
      </c>
      <c r="DR7" t="n">
        <v>73.2</v>
      </c>
      <c r="DS7" t="n">
        <v>224.72</v>
      </c>
      <c r="DT7" t="n">
        <v>1822.6</v>
      </c>
      <c r="DU7" t="n">
        <v>1576</v>
      </c>
      <c r="DV7" t="n">
        <v>28.2</v>
      </c>
      <c r="DW7" t="n">
        <v>42.8</v>
      </c>
      <c r="DX7" t="n">
        <v>211.2</v>
      </c>
      <c r="DY7" t="n">
        <v>155.6</v>
      </c>
      <c r="DZ7" t="n">
        <v>366.8</v>
      </c>
      <c r="EA7" t="n">
        <v>74.864</v>
      </c>
      <c r="EB7" t="n">
        <v>68.087</v>
      </c>
      <c r="EC7" t="n">
        <v>84.062</v>
      </c>
      <c r="ED7" t="n">
        <v>6.217</v>
      </c>
      <c r="EE7" t="n">
        <v>55.4</v>
      </c>
      <c r="EF7" t="n">
        <v>31</v>
      </c>
      <c r="EG7" t="n">
        <v>75.98</v>
      </c>
      <c r="EH7" t="n">
        <v>5843.8</v>
      </c>
      <c r="EI7" t="n">
        <v>15.932</v>
      </c>
      <c r="EJ7" t="n">
        <v>5675.24</v>
      </c>
      <c r="EK7" t="n">
        <v>26.999</v>
      </c>
      <c r="EL7" t="n">
        <v>122.658</v>
      </c>
      <c r="EM7" t="n">
        <v>0.789</v>
      </c>
      <c r="EN7" t="n">
        <v>55.8</v>
      </c>
      <c r="EO7" t="n">
        <v>6.573</v>
      </c>
      <c r="EP7" t="n">
        <v>59.4</v>
      </c>
      <c r="EQ7" t="n">
        <v>6.175</v>
      </c>
      <c r="ER7" t="n">
        <v>73.443</v>
      </c>
      <c r="ES7" t="n">
        <v>54.545</v>
      </c>
      <c r="ET7" t="n">
        <v>24.518</v>
      </c>
      <c r="EU7" t="n">
        <v>7.049</v>
      </c>
      <c r="EV7" t="n">
        <v>57.369</v>
      </c>
      <c r="EW7" t="n">
        <v>3.762</v>
      </c>
      <c r="EX7" t="n">
        <v>135</v>
      </c>
      <c r="EY7" t="n">
        <v>233.4</v>
      </c>
      <c r="EZ7" t="n">
        <v>368.4</v>
      </c>
      <c r="FA7" t="n">
        <v>36.645</v>
      </c>
      <c r="FB7" t="n">
        <v>62</v>
      </c>
      <c r="FC7" t="n">
        <v>85.59999999999999</v>
      </c>
      <c r="FD7" t="n">
        <v>17.8</v>
      </c>
      <c r="FE7" t="n">
        <v>23</v>
      </c>
      <c r="FF7" t="n">
        <v>62.6</v>
      </c>
      <c r="FG7" t="n">
        <v>79</v>
      </c>
      <c r="FH7" t="n">
        <v>52.8</v>
      </c>
      <c r="FI7" t="n">
        <v>13.2</v>
      </c>
      <c r="FJ7" t="n">
        <v>23</v>
      </c>
      <c r="FK7" t="n">
        <v>128.6</v>
      </c>
      <c r="FL7" t="n">
        <v>15.2</v>
      </c>
      <c r="FM7" t="n">
        <v>26.6</v>
      </c>
      <c r="FN7" t="n">
        <v>41.8</v>
      </c>
      <c r="FO7" t="n">
        <v>45.8</v>
      </c>
      <c r="FP7" t="n">
        <v>77.729</v>
      </c>
      <c r="FQ7" t="n">
        <v>94.8</v>
      </c>
      <c r="FR7" t="n">
        <v>11.6</v>
      </c>
      <c r="FS7" t="n">
        <v>15</v>
      </c>
      <c r="FT7" t="n">
        <v>27.076</v>
      </c>
      <c r="FU7" t="n">
        <v>18.6</v>
      </c>
      <c r="FV7" t="n">
        <v>9.4</v>
      </c>
      <c r="FW7" t="n">
        <v>17.8</v>
      </c>
      <c r="FX7" t="n">
        <v>12.4</v>
      </c>
      <c r="FY7" t="n">
        <v>119.2</v>
      </c>
      <c r="FZ7" t="n">
        <v>1.6</v>
      </c>
      <c r="GA7" t="n">
        <v>33.6</v>
      </c>
      <c r="GB7" t="n">
        <v>13.8</v>
      </c>
      <c r="GC7" t="n">
        <v>52.976</v>
      </c>
      <c r="GD7" t="n">
        <v>32.13</v>
      </c>
      <c r="GE7" t="n">
        <v>54.513</v>
      </c>
      <c r="GF7" t="n">
        <v>60.65</v>
      </c>
      <c r="GG7" t="n">
        <v>110.633</v>
      </c>
      <c r="GH7" t="n">
        <v>6.967</v>
      </c>
      <c r="GI7" t="n">
        <v>3.293</v>
      </c>
      <c r="GJ7" t="n">
        <v>0.207</v>
      </c>
      <c r="GK7" t="n">
        <v>3.559</v>
      </c>
      <c r="GL7" t="n">
        <v>0.374</v>
      </c>
      <c r="GM7" t="n">
        <v>2.985</v>
      </c>
      <c r="GN7" t="n">
        <v>0.015</v>
      </c>
      <c r="GO7" t="n">
        <v>7.8</v>
      </c>
      <c r="GP7" t="n">
        <v>50.4</v>
      </c>
      <c r="GQ7" t="n">
        <v>61</v>
      </c>
      <c r="GR7" t="n">
        <v>46.2</v>
      </c>
      <c r="GS7" t="n">
        <v>57</v>
      </c>
      <c r="GT7" t="n">
        <v>16</v>
      </c>
      <c r="GU7" t="n">
        <v>27.656</v>
      </c>
      <c r="GV7" t="n">
        <v>24.675</v>
      </c>
      <c r="GW7" t="n">
        <v>16.234</v>
      </c>
      <c r="GX7" t="n">
        <v>32.423</v>
      </c>
      <c r="GY7" t="n">
        <v>17.466</v>
      </c>
      <c r="GZ7" t="n">
        <v>56.2</v>
      </c>
      <c r="HA7" t="n">
        <v>12</v>
      </c>
      <c r="HB7" t="n">
        <v>235</v>
      </c>
      <c r="HC7" t="n">
        <v>97.40000000000001</v>
      </c>
      <c r="HD7" t="n">
        <v>27.2</v>
      </c>
      <c r="HE7" t="n">
        <v>46.8</v>
      </c>
      <c r="HF7" t="n">
        <v>49.367</v>
      </c>
      <c r="HG7" t="n">
        <v>14.6</v>
      </c>
      <c r="HH7" t="n">
        <v>31.197</v>
      </c>
      <c r="HI7" t="n">
        <v>3</v>
      </c>
      <c r="HJ7" t="n">
        <v>48.718</v>
      </c>
      <c r="HK7" t="n">
        <v>44.444</v>
      </c>
      <c r="HL7" t="n">
        <v>7</v>
      </c>
      <c r="HM7" t="n">
        <v>94.286</v>
      </c>
      <c r="HN7" t="n">
        <v>10.8</v>
      </c>
      <c r="HO7" t="n">
        <v>42</v>
      </c>
      <c r="HP7" t="n">
        <v>73.59999999999999</v>
      </c>
      <c r="HQ7" t="n">
        <v>-67.26000000000001</v>
      </c>
      <c r="HR7" t="n">
        <v>-345.4</v>
      </c>
      <c r="HS7" t="n">
        <v>-230</v>
      </c>
      <c r="HT7" t="n">
        <v>-26.4</v>
      </c>
      <c r="HU7" t="n">
        <v>-3</v>
      </c>
      <c r="HV7" t="n">
        <v>-31.2</v>
      </c>
      <c r="HW7" t="n">
        <v>-22.8</v>
      </c>
      <c r="HX7" t="n">
        <v>-54</v>
      </c>
      <c r="HY7" t="n">
        <v>-14.6</v>
      </c>
      <c r="HZ7" t="n">
        <v>-878.4</v>
      </c>
      <c r="IA7" t="n">
        <v>-1035.182</v>
      </c>
      <c r="IB7" t="n">
        <v>49.41</v>
      </c>
      <c r="IC7" t="n">
        <v>-3</v>
      </c>
      <c r="ID7" t="n">
        <v>2.4</v>
      </c>
      <c r="IE7" t="n">
        <v>-11.573</v>
      </c>
      <c r="IF7" t="n">
        <v>-7.505</v>
      </c>
      <c r="IG7" t="n">
        <v>-19.6</v>
      </c>
      <c r="IH7" t="n">
        <v>-40.8</v>
      </c>
      <c r="II7" t="n">
        <v>-60.4</v>
      </c>
      <c r="IJ7" t="n">
        <v>-2.4</v>
      </c>
      <c r="IK7" t="n">
        <v>-10.6</v>
      </c>
      <c r="IL7" t="n">
        <v>-11</v>
      </c>
      <c r="IM7" t="n">
        <v>-7.4</v>
      </c>
      <c r="IN7" t="n">
        <v>-3.2</v>
      </c>
      <c r="IO7" t="n">
        <v>-10.4</v>
      </c>
      <c r="IP7" t="n">
        <v>-7.2</v>
      </c>
      <c r="IQ7" t="n">
        <v>-4.4</v>
      </c>
      <c r="IR7" t="n">
        <v>-4.2</v>
      </c>
      <c r="IS7" t="n">
        <v>-25.8</v>
      </c>
      <c r="IT7" t="n">
        <v>-4.6</v>
      </c>
      <c r="IU7" t="n">
        <v>-4.6</v>
      </c>
      <c r="IV7" t="n">
        <v>-9.199999999999999</v>
      </c>
      <c r="IW7" t="n">
        <v>-10</v>
      </c>
      <c r="IX7" t="n">
        <v>-13</v>
      </c>
      <c r="IY7" t="n">
        <v>-3.6</v>
      </c>
      <c r="IZ7" t="n">
        <v>-4.6</v>
      </c>
      <c r="JA7" t="n">
        <v>-7</v>
      </c>
      <c r="JB7" t="n">
        <v>0.6</v>
      </c>
      <c r="JC7" t="n">
        <v>-9.199999999999999</v>
      </c>
      <c r="JD7" t="n">
        <v>-5.2</v>
      </c>
      <c r="JE7" t="n">
        <v>-60.4</v>
      </c>
      <c r="JF7" t="n">
        <v>-16.8</v>
      </c>
      <c r="JG7" t="n">
        <v>-7.8</v>
      </c>
      <c r="JH7" t="n">
        <v>-53.027</v>
      </c>
      <c r="JI7" t="n">
        <v>-6.973</v>
      </c>
      <c r="JJ7" t="n">
        <v>0.136</v>
      </c>
      <c r="JK7" t="n">
        <v>-6.4</v>
      </c>
      <c r="JL7" t="n">
        <v>-30.2</v>
      </c>
      <c r="JM7" t="n">
        <v>-23.8</v>
      </c>
      <c r="JN7" t="n">
        <v>-22.6</v>
      </c>
      <c r="JO7" t="n">
        <v>-27.4</v>
      </c>
      <c r="JP7" t="n">
        <v>-10.4</v>
      </c>
      <c r="JQ7" t="n">
        <v>2.8</v>
      </c>
      <c r="JR7" t="n">
        <v>-2.2</v>
      </c>
      <c r="JS7" t="n">
        <v>29.2</v>
      </c>
      <c r="JT7" t="n">
        <v>33</v>
      </c>
      <c r="JU7" t="n">
        <v>5</v>
      </c>
      <c r="JV7" t="n">
        <v>-11</v>
      </c>
      <c r="JW7" t="n">
        <v>-5.4</v>
      </c>
      <c r="JX7" t="n">
        <v>-2</v>
      </c>
      <c r="JY7" t="n">
        <v>-1.6</v>
      </c>
      <c r="JZ7" t="n">
        <v>1.4</v>
      </c>
      <c r="KA7" t="n">
        <v>-0.4</v>
      </c>
    </row>
    <row r="8">
      <c r="A8" t="inlineStr">
        <is>
          <t>St Kilda</t>
        </is>
      </c>
      <c r="B8" t="inlineStr">
        <is>
          <t>St K</t>
        </is>
      </c>
      <c r="C8" t="n">
        <v>5</v>
      </c>
      <c r="D8" t="n">
        <v>31</v>
      </c>
      <c r="E8" t="n">
        <v>25.116</v>
      </c>
      <c r="F8" t="n">
        <v>101.07</v>
      </c>
      <c r="G8" t="n">
        <v>190.1</v>
      </c>
      <c r="H8" t="n">
        <v>1637.8</v>
      </c>
      <c r="I8" t="n">
        <v>1513.6</v>
      </c>
      <c r="J8" t="n">
        <v>16.4</v>
      </c>
      <c r="K8" t="n">
        <v>48.814</v>
      </c>
      <c r="L8" t="n">
        <v>41.2</v>
      </c>
      <c r="M8" t="n">
        <v>207.2</v>
      </c>
      <c r="N8" t="n">
        <v>139.8</v>
      </c>
      <c r="O8" t="n">
        <v>347</v>
      </c>
      <c r="P8" t="n">
        <v>75.274</v>
      </c>
      <c r="Q8" t="n">
        <v>70.56</v>
      </c>
      <c r="R8" t="n">
        <v>82.26000000000001</v>
      </c>
      <c r="S8" t="n">
        <v>59.712</v>
      </c>
      <c r="T8" t="n">
        <v>5.942</v>
      </c>
      <c r="U8" t="n">
        <v>46.6</v>
      </c>
      <c r="V8" t="n">
        <v>32.8</v>
      </c>
      <c r="W8" t="n">
        <v>73.874</v>
      </c>
      <c r="X8" t="n">
        <v>5330.4</v>
      </c>
      <c r="Y8" t="n">
        <v>15.361</v>
      </c>
      <c r="Z8" t="n">
        <v>5250.156</v>
      </c>
      <c r="AA8" t="n">
        <v>25.486</v>
      </c>
      <c r="AB8" t="n">
        <v>1.96</v>
      </c>
      <c r="AC8" t="n">
        <v>0.014</v>
      </c>
      <c r="AD8" t="n">
        <v>52.2</v>
      </c>
      <c r="AE8" t="n">
        <v>6.648</v>
      </c>
      <c r="AF8" t="n">
        <v>56.4</v>
      </c>
      <c r="AG8" t="n">
        <v>6.152</v>
      </c>
      <c r="AH8" t="n">
        <v>71.956</v>
      </c>
      <c r="AI8" t="n">
        <v>50</v>
      </c>
      <c r="AJ8" t="n">
        <v>23.584</v>
      </c>
      <c r="AK8" t="n">
        <v>1.56</v>
      </c>
      <c r="AL8" t="n">
        <v>58.322</v>
      </c>
      <c r="AM8" t="n">
        <v>5.115</v>
      </c>
      <c r="AN8" t="n">
        <v>121</v>
      </c>
      <c r="AO8" t="n">
        <v>216.8</v>
      </c>
      <c r="AP8" t="n">
        <v>337.8</v>
      </c>
      <c r="AQ8" t="n">
        <v>35.82</v>
      </c>
      <c r="AR8" t="n">
        <v>54.4</v>
      </c>
      <c r="AS8" t="n">
        <v>83.59999999999999</v>
      </c>
      <c r="AT8" t="n">
        <v>13.4</v>
      </c>
      <c r="AU8" t="n">
        <v>19.8</v>
      </c>
      <c r="AV8" t="n">
        <v>63.8</v>
      </c>
      <c r="AW8" t="n">
        <v>71.8</v>
      </c>
      <c r="AX8" t="n">
        <v>49.4</v>
      </c>
      <c r="AY8" t="n">
        <v>7.8</v>
      </c>
      <c r="AZ8" t="n">
        <v>21</v>
      </c>
      <c r="BA8" t="n">
        <v>112.2</v>
      </c>
      <c r="BB8" t="n">
        <v>10</v>
      </c>
      <c r="BC8" t="n">
        <v>25.8</v>
      </c>
      <c r="BD8" t="n">
        <v>35.8</v>
      </c>
      <c r="BE8" t="n">
        <v>43</v>
      </c>
      <c r="BF8" t="n">
        <v>72.55800000000001</v>
      </c>
      <c r="BG8" t="n">
        <v>96.8</v>
      </c>
      <c r="BH8" t="n">
        <v>8.6</v>
      </c>
      <c r="BI8" t="n">
        <v>13.2</v>
      </c>
      <c r="BJ8" t="n">
        <v>28.326</v>
      </c>
      <c r="BK8" t="n">
        <v>9.6</v>
      </c>
      <c r="BL8" t="n">
        <v>9.800000000000001</v>
      </c>
      <c r="BM8" t="n">
        <v>20</v>
      </c>
      <c r="BN8" t="n">
        <v>7</v>
      </c>
      <c r="BO8" t="n">
        <v>11.8</v>
      </c>
      <c r="BP8" t="n">
        <v>9.199999999999999</v>
      </c>
      <c r="BQ8" t="n">
        <v>80</v>
      </c>
      <c r="BR8" t="n">
        <v>1.4</v>
      </c>
      <c r="BS8" t="n">
        <v>23.8</v>
      </c>
      <c r="BT8" t="n">
        <v>9.4</v>
      </c>
      <c r="BU8" t="n">
        <v>49.58</v>
      </c>
      <c r="BV8" t="n">
        <v>25.322</v>
      </c>
      <c r="BW8" t="n">
        <v>45.064</v>
      </c>
      <c r="BX8" t="n">
        <v>51.073</v>
      </c>
      <c r="BY8" t="n">
        <v>11</v>
      </c>
      <c r="BZ8" t="n">
        <v>34.545</v>
      </c>
      <c r="CA8" t="n">
        <v>3.129</v>
      </c>
      <c r="CB8" t="n">
        <v>0.871</v>
      </c>
      <c r="CC8" t="n">
        <v>81.51300000000001</v>
      </c>
      <c r="CD8" t="n">
        <v>-2.913</v>
      </c>
      <c r="CE8" t="n">
        <v>3.425</v>
      </c>
      <c r="CF8" t="n">
        <v>-0.122</v>
      </c>
      <c r="CG8" t="n">
        <v>3.615</v>
      </c>
      <c r="CH8" t="n">
        <v>-0.101</v>
      </c>
      <c r="CI8" t="n">
        <v>3.112</v>
      </c>
      <c r="CJ8" t="n">
        <v>-0.157</v>
      </c>
      <c r="CK8" t="n">
        <v>2.8</v>
      </c>
      <c r="CL8" t="n">
        <v>29.2</v>
      </c>
      <c r="CM8" t="n">
        <v>48</v>
      </c>
      <c r="CN8" t="n">
        <v>35.2</v>
      </c>
      <c r="CO8" t="n">
        <v>35.6</v>
      </c>
      <c r="CP8" t="n">
        <v>9.199999999999999</v>
      </c>
      <c r="CQ8" t="n">
        <v>20.935</v>
      </c>
      <c r="CR8" t="n">
        <v>20.904</v>
      </c>
      <c r="CS8" t="n">
        <v>6.78</v>
      </c>
      <c r="CT8" t="n">
        <v>34.603</v>
      </c>
      <c r="CU8" t="n">
        <v>14.603</v>
      </c>
      <c r="CV8" t="n">
        <v>8.800000000000001</v>
      </c>
      <c r="CW8" t="n">
        <v>27.273</v>
      </c>
      <c r="CX8" t="n">
        <v>61.8</v>
      </c>
      <c r="CY8" t="n">
        <v>11.2</v>
      </c>
      <c r="CZ8" t="n">
        <v>248.2</v>
      </c>
      <c r="DA8" t="n">
        <v>119.6</v>
      </c>
      <c r="DB8" t="n">
        <v>32.8</v>
      </c>
      <c r="DC8" t="n">
        <v>102.6</v>
      </c>
      <c r="DD8" t="n">
        <v>33.2</v>
      </c>
      <c r="DE8" t="n">
        <v>32.359</v>
      </c>
      <c r="DF8" t="n">
        <v>8.4</v>
      </c>
      <c r="DG8" t="n">
        <v>25.301</v>
      </c>
      <c r="DH8" t="n">
        <v>2.2</v>
      </c>
      <c r="DI8" t="n">
        <v>44.578</v>
      </c>
      <c r="DJ8" t="n">
        <v>33.735</v>
      </c>
      <c r="DK8" t="n">
        <v>18.8</v>
      </c>
      <c r="DL8" t="n">
        <v>18.6</v>
      </c>
      <c r="DM8" t="n">
        <v>0.2</v>
      </c>
      <c r="DN8" t="n">
        <v>10.6</v>
      </c>
      <c r="DO8" t="n">
        <v>98.113</v>
      </c>
      <c r="DP8" t="n">
        <v>8</v>
      </c>
      <c r="DQ8" t="n">
        <v>41.2</v>
      </c>
      <c r="DR8" t="n">
        <v>69.40000000000001</v>
      </c>
      <c r="DS8" t="n">
        <v>184.48</v>
      </c>
      <c r="DT8" t="n">
        <v>1662</v>
      </c>
      <c r="DU8" t="n">
        <v>1538</v>
      </c>
      <c r="DV8" t="n">
        <v>13.6</v>
      </c>
      <c r="DW8" t="n">
        <v>40.2</v>
      </c>
      <c r="DX8" t="n">
        <v>208.8</v>
      </c>
      <c r="DY8" t="n">
        <v>140.2</v>
      </c>
      <c r="DZ8" t="n">
        <v>349</v>
      </c>
      <c r="EA8" t="n">
        <v>75.81699999999999</v>
      </c>
      <c r="EB8" t="n">
        <v>71.169</v>
      </c>
      <c r="EC8" t="n">
        <v>82.739</v>
      </c>
      <c r="ED8" t="n">
        <v>5.647</v>
      </c>
      <c r="EE8" t="n">
        <v>44.4</v>
      </c>
      <c r="EF8" t="n">
        <v>34.2</v>
      </c>
      <c r="EG8" t="n">
        <v>73.39100000000001</v>
      </c>
      <c r="EH8" t="n">
        <v>5377.8</v>
      </c>
      <c r="EI8" t="n">
        <v>15.409</v>
      </c>
      <c r="EJ8" t="n">
        <v>5153.912</v>
      </c>
      <c r="EK8" t="n">
        <v>24.802</v>
      </c>
      <c r="EL8" t="n">
        <v>92.188</v>
      </c>
      <c r="EM8" t="n">
        <v>0.659</v>
      </c>
      <c r="EN8" t="n">
        <v>47.6</v>
      </c>
      <c r="EO8" t="n">
        <v>7.332</v>
      </c>
      <c r="EP8" t="n">
        <v>53.6</v>
      </c>
      <c r="EQ8" t="n">
        <v>6.511</v>
      </c>
      <c r="ER8" t="n">
        <v>71.913</v>
      </c>
      <c r="ES8" t="n">
        <v>51.295</v>
      </c>
      <c r="ET8" t="n">
        <v>22.325</v>
      </c>
      <c r="EU8" t="n">
        <v>0.57</v>
      </c>
      <c r="EV8" t="n">
        <v>59.722</v>
      </c>
      <c r="EW8" t="n">
        <v>1.557</v>
      </c>
      <c r="EX8" t="n">
        <v>120.8</v>
      </c>
      <c r="EY8" t="n">
        <v>223.2</v>
      </c>
      <c r="EZ8" t="n">
        <v>344</v>
      </c>
      <c r="FA8" t="n">
        <v>35.116</v>
      </c>
      <c r="FB8" t="n">
        <v>56.6</v>
      </c>
      <c r="FC8" t="n">
        <v>72.8</v>
      </c>
      <c r="FD8" t="n">
        <v>15.4</v>
      </c>
      <c r="FE8" t="n">
        <v>17.2</v>
      </c>
      <c r="FF8" t="n">
        <v>55.6</v>
      </c>
      <c r="FG8" t="n">
        <v>71.2</v>
      </c>
      <c r="FH8" t="n">
        <v>46.6</v>
      </c>
      <c r="FI8" t="n">
        <v>12</v>
      </c>
      <c r="FJ8" t="n">
        <v>17.8</v>
      </c>
      <c r="FK8" t="n">
        <v>113.4</v>
      </c>
      <c r="FL8" t="n">
        <v>10.6</v>
      </c>
      <c r="FM8" t="n">
        <v>25.4</v>
      </c>
      <c r="FN8" t="n">
        <v>36</v>
      </c>
      <c r="FO8" t="n">
        <v>38.2</v>
      </c>
      <c r="FP8" t="n">
        <v>76.44</v>
      </c>
      <c r="FQ8" t="n">
        <v>103.8</v>
      </c>
      <c r="FR8" t="n">
        <v>11.4</v>
      </c>
      <c r="FS8" t="n">
        <v>13</v>
      </c>
      <c r="FT8" t="n">
        <v>29.279</v>
      </c>
      <c r="FU8" t="n">
        <v>15.8</v>
      </c>
      <c r="FV8" t="n">
        <v>10.8</v>
      </c>
      <c r="FW8" t="n">
        <v>11.2</v>
      </c>
      <c r="FX8" t="n">
        <v>10.8</v>
      </c>
      <c r="FY8" t="n">
        <v>78</v>
      </c>
      <c r="FZ8" t="n">
        <v>2</v>
      </c>
      <c r="GA8" t="n">
        <v>23.2</v>
      </c>
      <c r="GB8" t="n">
        <v>9.199999999999999</v>
      </c>
      <c r="GC8" t="n">
        <v>48.276</v>
      </c>
      <c r="GD8" t="n">
        <v>25.225</v>
      </c>
      <c r="GE8" t="n">
        <v>49.55</v>
      </c>
      <c r="GF8" t="n">
        <v>52.252</v>
      </c>
      <c r="GG8" t="n">
        <v>73.97499999999999</v>
      </c>
      <c r="GH8" t="n">
        <v>2.025</v>
      </c>
      <c r="GI8" t="n">
        <v>3.189</v>
      </c>
      <c r="GJ8" t="n">
        <v>0.08699999999999999</v>
      </c>
      <c r="GK8" t="n">
        <v>3.246</v>
      </c>
      <c r="GL8" t="n">
        <v>0.142</v>
      </c>
      <c r="GM8" t="n">
        <v>3.11</v>
      </c>
      <c r="GN8" t="n">
        <v>0.012</v>
      </c>
      <c r="GO8" t="n">
        <v>4.4</v>
      </c>
      <c r="GP8" t="n">
        <v>36.2</v>
      </c>
      <c r="GQ8" t="n">
        <v>37.4</v>
      </c>
      <c r="GR8" t="n">
        <v>26.8</v>
      </c>
      <c r="GS8" t="n">
        <v>39</v>
      </c>
      <c r="GT8" t="n">
        <v>12.2</v>
      </c>
      <c r="GU8" t="n">
        <v>21.357</v>
      </c>
      <c r="GV8" t="n">
        <v>24.419</v>
      </c>
      <c r="GW8" t="n">
        <v>12.209</v>
      </c>
      <c r="GX8" t="n">
        <v>25.43</v>
      </c>
      <c r="GY8" t="n">
        <v>11.684</v>
      </c>
      <c r="GZ8" t="n">
        <v>58.4</v>
      </c>
      <c r="HA8" t="n">
        <v>10.2</v>
      </c>
      <c r="HB8" t="n">
        <v>250</v>
      </c>
      <c r="HC8" t="n">
        <v>103.4</v>
      </c>
      <c r="HD8" t="n">
        <v>23.8</v>
      </c>
      <c r="HE8" t="n">
        <v>46.8</v>
      </c>
      <c r="HF8" t="n">
        <v>45.437</v>
      </c>
      <c r="HG8" t="n">
        <v>13.8</v>
      </c>
      <c r="HH8" t="n">
        <v>29.487</v>
      </c>
      <c r="HI8" t="n">
        <v>4.4</v>
      </c>
      <c r="HJ8" t="n">
        <v>40.598</v>
      </c>
      <c r="HK8" t="n">
        <v>36.325</v>
      </c>
      <c r="HL8" t="n">
        <v>9.199999999999999</v>
      </c>
      <c r="HM8" t="n">
        <v>93.47799999999999</v>
      </c>
      <c r="HN8" t="n">
        <v>6</v>
      </c>
      <c r="HO8" t="n">
        <v>35.8</v>
      </c>
      <c r="HP8" t="n">
        <v>68.8</v>
      </c>
      <c r="HQ8" t="n">
        <v>5.62</v>
      </c>
      <c r="HR8" t="n">
        <v>-24.2</v>
      </c>
      <c r="HS8" t="n">
        <v>-24.4</v>
      </c>
      <c r="HT8" t="n">
        <v>2.8</v>
      </c>
      <c r="HU8" t="n">
        <v>1</v>
      </c>
      <c r="HV8" t="n">
        <v>-1.6</v>
      </c>
      <c r="HW8" t="n">
        <v>-0.4</v>
      </c>
      <c r="HX8" t="n">
        <v>-2</v>
      </c>
      <c r="HY8" t="n">
        <v>2.2</v>
      </c>
      <c r="HZ8" t="n">
        <v>-47.4</v>
      </c>
      <c r="IA8" t="n">
        <v>96.244</v>
      </c>
      <c r="IB8" t="n">
        <v>-90.22799999999999</v>
      </c>
      <c r="IC8" t="n">
        <v>4.6</v>
      </c>
      <c r="ID8" t="n">
        <v>2.8</v>
      </c>
      <c r="IE8" t="n">
        <v>0.99</v>
      </c>
      <c r="IF8" t="n">
        <v>3.558</v>
      </c>
      <c r="IG8" t="n">
        <v>0.2</v>
      </c>
      <c r="IH8" t="n">
        <v>-6.4</v>
      </c>
      <c r="II8" t="n">
        <v>-6.2</v>
      </c>
      <c r="IJ8" t="n">
        <v>-2.2</v>
      </c>
      <c r="IK8" t="n">
        <v>10.8</v>
      </c>
      <c r="IL8" t="n">
        <v>-2</v>
      </c>
      <c r="IM8" t="n">
        <v>2.6</v>
      </c>
      <c r="IN8" t="n">
        <v>8.199999999999999</v>
      </c>
      <c r="IO8" t="n">
        <v>0.6</v>
      </c>
      <c r="IP8" t="n">
        <v>2.8</v>
      </c>
      <c r="IQ8" t="n">
        <v>-4.2</v>
      </c>
      <c r="IR8" t="n">
        <v>3.2</v>
      </c>
      <c r="IS8" t="n">
        <v>-1.2</v>
      </c>
      <c r="IT8" t="n">
        <v>-0.6</v>
      </c>
      <c r="IU8" t="n">
        <v>0.4</v>
      </c>
      <c r="IV8" t="n">
        <v>-0.2</v>
      </c>
      <c r="IW8" t="n">
        <v>4.8</v>
      </c>
      <c r="IX8" t="n">
        <v>-7</v>
      </c>
      <c r="IY8" t="n">
        <v>-2.8</v>
      </c>
      <c r="IZ8" t="n">
        <v>0.2</v>
      </c>
      <c r="JA8" t="n">
        <v>-6.2</v>
      </c>
      <c r="JB8" t="n">
        <v>-1</v>
      </c>
      <c r="JC8" t="n">
        <v>0.6</v>
      </c>
      <c r="JD8" t="n">
        <v>-1.6</v>
      </c>
      <c r="JE8" t="n">
        <v>2</v>
      </c>
      <c r="JF8" t="n">
        <v>0.6</v>
      </c>
      <c r="JG8" t="n">
        <v>0.2</v>
      </c>
      <c r="JH8" t="n">
        <v>7.538</v>
      </c>
      <c r="JI8" t="n">
        <v>-4.938</v>
      </c>
      <c r="JJ8" t="n">
        <v>0.236</v>
      </c>
      <c r="JK8" t="n">
        <v>-1.6</v>
      </c>
      <c r="JL8" t="n">
        <v>-7</v>
      </c>
      <c r="JM8" t="n">
        <v>10.6</v>
      </c>
      <c r="JN8" t="n">
        <v>8.4</v>
      </c>
      <c r="JO8" t="n">
        <v>-3.4</v>
      </c>
      <c r="JP8" t="n">
        <v>-3</v>
      </c>
      <c r="JQ8" t="n">
        <v>3.4</v>
      </c>
      <c r="JR8" t="n">
        <v>1</v>
      </c>
      <c r="JS8" t="n">
        <v>-1.8</v>
      </c>
      <c r="JT8" t="n">
        <v>16.2</v>
      </c>
      <c r="JU8" t="n">
        <v>9</v>
      </c>
      <c r="JV8" t="n">
        <v>-13.6</v>
      </c>
      <c r="JW8" t="n">
        <v>-5.4</v>
      </c>
      <c r="JX8" t="n">
        <v>-2.2</v>
      </c>
      <c r="JY8" t="n">
        <v>2</v>
      </c>
      <c r="JZ8" t="n">
        <v>5.4</v>
      </c>
      <c r="KA8" t="n">
        <v>0.6</v>
      </c>
    </row>
    <row r="9">
      <c r="A9" t="inlineStr">
        <is>
          <t>Melbourne</t>
        </is>
      </c>
      <c r="B9" t="inlineStr">
        <is>
          <t>Melb</t>
        </is>
      </c>
      <c r="C9" t="n">
        <v>5</v>
      </c>
      <c r="D9" t="n">
        <v>27</v>
      </c>
      <c r="E9" t="n">
        <v>26.307</v>
      </c>
      <c r="F9" t="n">
        <v>127.13</v>
      </c>
      <c r="G9" t="n">
        <v>212.06</v>
      </c>
      <c r="H9" t="n">
        <v>1667.6</v>
      </c>
      <c r="I9" t="n">
        <v>1574</v>
      </c>
      <c r="J9" t="n">
        <v>14</v>
      </c>
      <c r="K9" t="n">
        <v>51.674</v>
      </c>
      <c r="L9" t="n">
        <v>40</v>
      </c>
      <c r="M9" t="n">
        <v>216.2</v>
      </c>
      <c r="N9" t="n">
        <v>155</v>
      </c>
      <c r="O9" t="n">
        <v>371.2</v>
      </c>
      <c r="P9" t="n">
        <v>74.13800000000001</v>
      </c>
      <c r="Q9" t="n">
        <v>68.27</v>
      </c>
      <c r="R9" t="n">
        <v>82.32299999999999</v>
      </c>
      <c r="S9" t="n">
        <v>58.244</v>
      </c>
      <c r="T9" t="n">
        <v>7.111</v>
      </c>
      <c r="U9" t="n">
        <v>53.6</v>
      </c>
      <c r="V9" t="n">
        <v>37</v>
      </c>
      <c r="W9" t="n">
        <v>73.705</v>
      </c>
      <c r="X9" t="n">
        <v>5914.4</v>
      </c>
      <c r="Y9" t="n">
        <v>15.933</v>
      </c>
      <c r="Z9" t="n">
        <v>5497.334</v>
      </c>
      <c r="AA9" t="n">
        <v>25.593</v>
      </c>
      <c r="AB9" t="n">
        <v>157.55</v>
      </c>
      <c r="AC9" t="n">
        <v>1.02</v>
      </c>
      <c r="AD9" t="n">
        <v>57.2</v>
      </c>
      <c r="AE9" t="n">
        <v>6.49</v>
      </c>
      <c r="AF9" t="n">
        <v>62.4</v>
      </c>
      <c r="AG9" t="n">
        <v>5.949</v>
      </c>
      <c r="AH9" t="n">
        <v>71.498</v>
      </c>
      <c r="AI9" t="n">
        <v>49.782</v>
      </c>
      <c r="AJ9" t="n">
        <v>23.155</v>
      </c>
      <c r="AK9" t="n">
        <v>1.621</v>
      </c>
      <c r="AL9" t="n">
        <v>56.878</v>
      </c>
      <c r="AM9" t="n">
        <v>2.385</v>
      </c>
      <c r="AN9" t="n">
        <v>137.2</v>
      </c>
      <c r="AO9" t="n">
        <v>227.8</v>
      </c>
      <c r="AP9" t="n">
        <v>365</v>
      </c>
      <c r="AQ9" t="n">
        <v>37.589</v>
      </c>
      <c r="AR9" t="n">
        <v>62.8</v>
      </c>
      <c r="AS9" t="n">
        <v>88.2</v>
      </c>
      <c r="AT9" t="n">
        <v>15.6</v>
      </c>
      <c r="AU9" t="n">
        <v>20.2</v>
      </c>
      <c r="AV9" t="n">
        <v>68</v>
      </c>
      <c r="AW9" t="n">
        <v>85</v>
      </c>
      <c r="AX9" t="n">
        <v>59.2</v>
      </c>
      <c r="AY9" t="n">
        <v>11.4</v>
      </c>
      <c r="AZ9" t="n">
        <v>21</v>
      </c>
      <c r="BA9" t="n">
        <v>124</v>
      </c>
      <c r="BB9" t="n">
        <v>13.8</v>
      </c>
      <c r="BC9" t="n">
        <v>24</v>
      </c>
      <c r="BD9" t="n">
        <v>37.8</v>
      </c>
      <c r="BE9" t="n">
        <v>42.6</v>
      </c>
      <c r="BF9" t="n">
        <v>72.3</v>
      </c>
      <c r="BG9" t="n">
        <v>93</v>
      </c>
      <c r="BH9" t="n">
        <v>11.6</v>
      </c>
      <c r="BI9" t="n">
        <v>12</v>
      </c>
      <c r="BJ9" t="n">
        <v>22.388</v>
      </c>
      <c r="BK9" t="n">
        <v>17.4</v>
      </c>
      <c r="BL9" t="n">
        <v>7.2</v>
      </c>
      <c r="BM9" t="n">
        <v>17</v>
      </c>
      <c r="BN9" t="n">
        <v>9</v>
      </c>
      <c r="BO9" t="n">
        <v>13.6</v>
      </c>
      <c r="BP9" t="n">
        <v>10.4</v>
      </c>
      <c r="BQ9" t="n">
        <v>92</v>
      </c>
      <c r="BR9" t="n">
        <v>2</v>
      </c>
      <c r="BS9" t="n">
        <v>26</v>
      </c>
      <c r="BT9" t="n">
        <v>10.4</v>
      </c>
      <c r="BU9" t="n">
        <v>52.308</v>
      </c>
      <c r="BV9" t="n">
        <v>25.373</v>
      </c>
      <c r="BW9" t="n">
        <v>44.776</v>
      </c>
      <c r="BX9" t="n">
        <v>48.507</v>
      </c>
      <c r="BY9" t="n">
        <v>9</v>
      </c>
      <c r="BZ9" t="n">
        <v>40</v>
      </c>
      <c r="CA9" t="n">
        <v>2.118</v>
      </c>
      <c r="CB9" t="n">
        <v>-1.118</v>
      </c>
      <c r="CC9" t="n">
        <v>88.024</v>
      </c>
      <c r="CD9" t="n">
        <v>1.976</v>
      </c>
      <c r="CE9" t="n">
        <v>3.386</v>
      </c>
      <c r="CF9" t="n">
        <v>0.076</v>
      </c>
      <c r="CG9" t="n">
        <v>3.413</v>
      </c>
      <c r="CH9" t="n">
        <v>0.513</v>
      </c>
      <c r="CI9" t="n">
        <v>3.355</v>
      </c>
      <c r="CJ9" t="n">
        <v>-0.404</v>
      </c>
      <c r="CK9" t="n">
        <v>9.4</v>
      </c>
      <c r="CL9" t="n">
        <v>34.4</v>
      </c>
      <c r="CM9" t="n">
        <v>48.2</v>
      </c>
      <c r="CN9" t="n">
        <v>38</v>
      </c>
      <c r="CO9" t="n">
        <v>41.4</v>
      </c>
      <c r="CP9" t="n">
        <v>12.6</v>
      </c>
      <c r="CQ9" t="n">
        <v>21.715</v>
      </c>
      <c r="CR9" t="n">
        <v>23</v>
      </c>
      <c r="CS9" t="n">
        <v>11.5</v>
      </c>
      <c r="CT9" t="n">
        <v>29.63</v>
      </c>
      <c r="CU9" t="n">
        <v>13.889</v>
      </c>
      <c r="CV9" t="n">
        <v>10.6</v>
      </c>
      <c r="CW9" t="n">
        <v>28.302</v>
      </c>
      <c r="CX9" t="n">
        <v>58.2</v>
      </c>
      <c r="CY9" t="n">
        <v>12.4</v>
      </c>
      <c r="CZ9" t="n">
        <v>265.2</v>
      </c>
      <c r="DA9" t="n">
        <v>115.2</v>
      </c>
      <c r="DB9" t="n">
        <v>29.4</v>
      </c>
      <c r="DC9" t="n">
        <v>94.59999999999999</v>
      </c>
      <c r="DD9" t="n">
        <v>43.2</v>
      </c>
      <c r="DE9" t="n">
        <v>45.666</v>
      </c>
      <c r="DF9" t="n">
        <v>12.8</v>
      </c>
      <c r="DG9" t="n">
        <v>29.63</v>
      </c>
      <c r="DH9" t="n">
        <v>5.4</v>
      </c>
      <c r="DI9" t="n">
        <v>44.907</v>
      </c>
      <c r="DJ9" t="n">
        <v>41.667</v>
      </c>
      <c r="DK9" t="n">
        <v>18.4</v>
      </c>
      <c r="DL9" t="n">
        <v>16.2</v>
      </c>
      <c r="DM9" t="n">
        <v>2.2</v>
      </c>
      <c r="DN9" t="n">
        <v>11.2</v>
      </c>
      <c r="DO9" t="n">
        <v>98.214</v>
      </c>
      <c r="DP9" t="n">
        <v>5.2</v>
      </c>
      <c r="DQ9" t="n">
        <v>41.8</v>
      </c>
      <c r="DR9" t="n">
        <v>72</v>
      </c>
      <c r="DS9" t="n">
        <v>206.66</v>
      </c>
      <c r="DT9" t="n">
        <v>1633</v>
      </c>
      <c r="DU9" t="n">
        <v>1528.8</v>
      </c>
      <c r="DV9" t="n">
        <v>16</v>
      </c>
      <c r="DW9" t="n">
        <v>42.4</v>
      </c>
      <c r="DX9" t="n">
        <v>214.2</v>
      </c>
      <c r="DY9" t="n">
        <v>147.4</v>
      </c>
      <c r="DZ9" t="n">
        <v>361.6</v>
      </c>
      <c r="EA9" t="n">
        <v>73.617</v>
      </c>
      <c r="EB9" t="n">
        <v>68.627</v>
      </c>
      <c r="EC9" t="n">
        <v>80.86799999999999</v>
      </c>
      <c r="ED9" t="n">
        <v>6.213</v>
      </c>
      <c r="EE9" t="n">
        <v>50.2</v>
      </c>
      <c r="EF9" t="n">
        <v>39.2</v>
      </c>
      <c r="EG9" t="n">
        <v>73.134</v>
      </c>
      <c r="EH9" t="n">
        <v>5806.2</v>
      </c>
      <c r="EI9" t="n">
        <v>16.057</v>
      </c>
      <c r="EJ9" t="n">
        <v>5588.184</v>
      </c>
      <c r="EK9" t="n">
        <v>26.236</v>
      </c>
      <c r="EL9" t="n">
        <v>127.586</v>
      </c>
      <c r="EM9" t="n">
        <v>0.868</v>
      </c>
      <c r="EN9" t="n">
        <v>53.6</v>
      </c>
      <c r="EO9" t="n">
        <v>6.746</v>
      </c>
      <c r="EP9" t="n">
        <v>62.8</v>
      </c>
      <c r="EQ9" t="n">
        <v>5.758</v>
      </c>
      <c r="ER9" t="n">
        <v>71.191</v>
      </c>
      <c r="ES9" t="n">
        <v>49.77</v>
      </c>
      <c r="ET9" t="n">
        <v>24.11</v>
      </c>
      <c r="EU9" t="n">
        <v>1.992</v>
      </c>
      <c r="EV9" t="n">
        <v>58.173</v>
      </c>
      <c r="EW9" t="n">
        <v>3.183</v>
      </c>
      <c r="EX9" t="n">
        <v>122.8</v>
      </c>
      <c r="EY9" t="n">
        <v>229.4</v>
      </c>
      <c r="EZ9" t="n">
        <v>352.2</v>
      </c>
      <c r="FA9" t="n">
        <v>34.867</v>
      </c>
      <c r="FB9" t="n">
        <v>63</v>
      </c>
      <c r="FC9" t="n">
        <v>86.2</v>
      </c>
      <c r="FD9" t="n">
        <v>17</v>
      </c>
      <c r="FE9" t="n">
        <v>19.6</v>
      </c>
      <c r="FF9" t="n">
        <v>66.59999999999999</v>
      </c>
      <c r="FG9" t="n">
        <v>75</v>
      </c>
      <c r="FH9" t="n">
        <v>52</v>
      </c>
      <c r="FI9" t="n">
        <v>7.6</v>
      </c>
      <c r="FJ9" t="n">
        <v>21</v>
      </c>
      <c r="FK9" t="n">
        <v>115.6</v>
      </c>
      <c r="FL9" t="n">
        <v>11.4</v>
      </c>
      <c r="FM9" t="n">
        <v>24.2</v>
      </c>
      <c r="FN9" t="n">
        <v>35.6</v>
      </c>
      <c r="FO9" t="n">
        <v>37.4</v>
      </c>
      <c r="FP9" t="n">
        <v>74.866</v>
      </c>
      <c r="FQ9" t="n">
        <v>101.8</v>
      </c>
      <c r="FR9" t="n">
        <v>8.199999999999999</v>
      </c>
      <c r="FS9" t="n">
        <v>16</v>
      </c>
      <c r="FT9" t="n">
        <v>31.873</v>
      </c>
      <c r="FU9" t="n">
        <v>14.2</v>
      </c>
      <c r="FV9" t="n">
        <v>13.2</v>
      </c>
      <c r="FW9" t="n">
        <v>12.4</v>
      </c>
      <c r="FX9" t="n">
        <v>11.8</v>
      </c>
      <c r="FY9" t="n">
        <v>86.2</v>
      </c>
      <c r="FZ9" t="n">
        <v>1.8</v>
      </c>
      <c r="GA9" t="n">
        <v>25</v>
      </c>
      <c r="GB9" t="n">
        <v>10.8</v>
      </c>
      <c r="GC9" t="n">
        <v>49.6</v>
      </c>
      <c r="GD9" t="n">
        <v>24.701</v>
      </c>
      <c r="GE9" t="n">
        <v>48.207</v>
      </c>
      <c r="GF9" t="n">
        <v>49.801</v>
      </c>
      <c r="GG9" t="n">
        <v>84.063</v>
      </c>
      <c r="GH9" t="n">
        <v>0.337</v>
      </c>
      <c r="GI9" t="n">
        <v>3.363</v>
      </c>
      <c r="GJ9" t="n">
        <v>0.013</v>
      </c>
      <c r="GK9" t="n">
        <v>3.438</v>
      </c>
      <c r="GL9" t="n">
        <v>0.135</v>
      </c>
      <c r="GM9" t="n">
        <v>3.219</v>
      </c>
      <c r="GN9" t="n">
        <v>-0.219</v>
      </c>
      <c r="GO9" t="n">
        <v>5.2</v>
      </c>
      <c r="GP9" t="n">
        <v>33.6</v>
      </c>
      <c r="GQ9" t="n">
        <v>47.4</v>
      </c>
      <c r="GR9" t="n">
        <v>40.4</v>
      </c>
      <c r="GS9" t="n">
        <v>37</v>
      </c>
      <c r="GT9" t="n">
        <v>8.800000000000001</v>
      </c>
      <c r="GU9" t="n">
        <v>22.056</v>
      </c>
      <c r="GV9" t="n">
        <v>28.643</v>
      </c>
      <c r="GW9" t="n">
        <v>9.596</v>
      </c>
      <c r="GX9" t="n">
        <v>37.685</v>
      </c>
      <c r="GY9" t="n">
        <v>15.476</v>
      </c>
      <c r="GZ9" t="n">
        <v>52.2</v>
      </c>
      <c r="HA9" t="n">
        <v>9.199999999999999</v>
      </c>
      <c r="HB9" t="n">
        <v>268.8</v>
      </c>
      <c r="HC9" t="n">
        <v>134.2</v>
      </c>
      <c r="HD9" t="n">
        <v>30</v>
      </c>
      <c r="HE9" t="n">
        <v>31.8</v>
      </c>
      <c r="HF9" t="n">
        <v>33.615</v>
      </c>
      <c r="HG9" t="n">
        <v>8.4</v>
      </c>
      <c r="HH9" t="n">
        <v>26.415</v>
      </c>
      <c r="HI9" t="n">
        <v>1.2</v>
      </c>
      <c r="HJ9" t="n">
        <v>41.509</v>
      </c>
      <c r="HK9" t="n">
        <v>35.22</v>
      </c>
      <c r="HL9" t="n">
        <v>10</v>
      </c>
      <c r="HM9" t="n">
        <v>94</v>
      </c>
      <c r="HN9" t="n">
        <v>5.6</v>
      </c>
      <c r="HO9" t="n">
        <v>44.6</v>
      </c>
      <c r="HP9" t="n">
        <v>70.59999999999999</v>
      </c>
      <c r="HQ9" t="n">
        <v>5.4</v>
      </c>
      <c r="HR9" t="n">
        <v>34.6</v>
      </c>
      <c r="HS9" t="n">
        <v>45.2</v>
      </c>
      <c r="HT9" t="n">
        <v>-2</v>
      </c>
      <c r="HU9" t="n">
        <v>-2.4</v>
      </c>
      <c r="HV9" t="n">
        <v>2</v>
      </c>
      <c r="HW9" t="n">
        <v>7.6</v>
      </c>
      <c r="HX9" t="n">
        <v>9.6</v>
      </c>
      <c r="HY9" t="n">
        <v>3.4</v>
      </c>
      <c r="HZ9" t="n">
        <v>108.2</v>
      </c>
      <c r="IA9" t="n">
        <v>-90.84999999999999</v>
      </c>
      <c r="IB9" t="n">
        <v>29.964</v>
      </c>
      <c r="IC9" t="n">
        <v>3.6</v>
      </c>
      <c r="ID9" t="n">
        <v>-0.4</v>
      </c>
      <c r="IE9" t="n">
        <v>-0.37</v>
      </c>
      <c r="IF9" t="n">
        <v>-0.798</v>
      </c>
      <c r="IG9" t="n">
        <v>14.4</v>
      </c>
      <c r="IH9" t="n">
        <v>-1.6</v>
      </c>
      <c r="II9" t="n">
        <v>12.8</v>
      </c>
      <c r="IJ9" t="n">
        <v>-0.2</v>
      </c>
      <c r="IK9" t="n">
        <v>2</v>
      </c>
      <c r="IL9" t="n">
        <v>-1.4</v>
      </c>
      <c r="IM9" t="n">
        <v>0.6</v>
      </c>
      <c r="IN9" t="n">
        <v>1.4</v>
      </c>
      <c r="IO9" t="n">
        <v>10</v>
      </c>
      <c r="IP9" t="n">
        <v>7.2</v>
      </c>
      <c r="IQ9" t="n">
        <v>3.8</v>
      </c>
      <c r="IR9" t="n">
        <v>0</v>
      </c>
      <c r="IS9" t="n">
        <v>8.4</v>
      </c>
      <c r="IT9" t="n">
        <v>2.4</v>
      </c>
      <c r="IU9" t="n">
        <v>-0.2</v>
      </c>
      <c r="IV9" t="n">
        <v>2.2</v>
      </c>
      <c r="IW9" t="n">
        <v>5.2</v>
      </c>
      <c r="IX9" t="n">
        <v>-8.800000000000001</v>
      </c>
      <c r="IY9" t="n">
        <v>3.4</v>
      </c>
      <c r="IZ9" t="n">
        <v>-4</v>
      </c>
      <c r="JA9" t="n">
        <v>3.2</v>
      </c>
      <c r="JB9" t="n">
        <v>-6</v>
      </c>
      <c r="JC9" t="n">
        <v>1.2</v>
      </c>
      <c r="JD9" t="n">
        <v>-1.4</v>
      </c>
      <c r="JE9" t="n">
        <v>5.8</v>
      </c>
      <c r="JF9" t="n">
        <v>1</v>
      </c>
      <c r="JG9" t="n">
        <v>-0.4</v>
      </c>
      <c r="JH9" t="n">
        <v>3.961</v>
      </c>
      <c r="JI9" t="n">
        <v>1.639</v>
      </c>
      <c r="JJ9" t="n">
        <v>0.023</v>
      </c>
      <c r="JK9" t="n">
        <v>4.2</v>
      </c>
      <c r="JL9" t="n">
        <v>0.8</v>
      </c>
      <c r="JM9" t="n">
        <v>0.8</v>
      </c>
      <c r="JN9" t="n">
        <v>-2.4</v>
      </c>
      <c r="JO9" t="n">
        <v>4.4</v>
      </c>
      <c r="JP9" t="n">
        <v>3.8</v>
      </c>
      <c r="JQ9" t="n">
        <v>6</v>
      </c>
      <c r="JR9" t="n">
        <v>3.2</v>
      </c>
      <c r="JS9" t="n">
        <v>-3.6</v>
      </c>
      <c r="JT9" t="n">
        <v>-19</v>
      </c>
      <c r="JU9" t="n">
        <v>-0.6</v>
      </c>
      <c r="JV9" t="n">
        <v>11.4</v>
      </c>
      <c r="JW9" t="n">
        <v>4.4</v>
      </c>
      <c r="JX9" t="n">
        <v>4.2</v>
      </c>
      <c r="JY9" t="n">
        <v>-0.4</v>
      </c>
      <c r="JZ9" t="n">
        <v>-2.8</v>
      </c>
      <c r="KA9" t="n">
        <v>1.4</v>
      </c>
    </row>
    <row r="10">
      <c r="A10" t="inlineStr">
        <is>
          <t>Richmond</t>
        </is>
      </c>
      <c r="B10" t="inlineStr">
        <is>
          <t>Rich</t>
        </is>
      </c>
      <c r="C10" t="n">
        <v>5</v>
      </c>
      <c r="D10" t="n">
        <v>28</v>
      </c>
      <c r="E10" t="n">
        <v>25.457</v>
      </c>
      <c r="F10" t="n">
        <v>95.104</v>
      </c>
      <c r="G10" t="n">
        <v>172.46</v>
      </c>
      <c r="H10" t="n">
        <v>1446.8</v>
      </c>
      <c r="I10" t="n">
        <v>1378.2</v>
      </c>
      <c r="J10" t="n">
        <v>3</v>
      </c>
      <c r="K10" t="n">
        <v>47.015</v>
      </c>
      <c r="L10" t="n">
        <v>37.8</v>
      </c>
      <c r="M10" t="n">
        <v>191.2</v>
      </c>
      <c r="N10" t="n">
        <v>146.4</v>
      </c>
      <c r="O10" t="n">
        <v>337.6</v>
      </c>
      <c r="P10" t="n">
        <v>71.919</v>
      </c>
      <c r="Q10" t="n">
        <v>65.90000000000001</v>
      </c>
      <c r="R10" t="n">
        <v>79.78100000000001</v>
      </c>
      <c r="S10" t="n">
        <v>56.635</v>
      </c>
      <c r="T10" t="n">
        <v>5.325</v>
      </c>
      <c r="U10" t="n">
        <v>42.8</v>
      </c>
      <c r="V10" t="n">
        <v>39.8</v>
      </c>
      <c r="W10" t="n">
        <v>73.16200000000001</v>
      </c>
      <c r="X10" t="n">
        <v>5443</v>
      </c>
      <c r="Y10" t="n">
        <v>16.123</v>
      </c>
      <c r="Z10" t="n">
        <v>5157.854</v>
      </c>
      <c r="AA10" t="n">
        <v>27.118</v>
      </c>
      <c r="AB10" t="n">
        <v>177.784</v>
      </c>
      <c r="AC10" t="n">
        <v>1.219</v>
      </c>
      <c r="AD10" t="n">
        <v>54</v>
      </c>
      <c r="AE10" t="n">
        <v>6.252</v>
      </c>
      <c r="AF10" t="n">
        <v>66</v>
      </c>
      <c r="AG10" t="n">
        <v>5.115</v>
      </c>
      <c r="AH10" t="n">
        <v>69.596</v>
      </c>
      <c r="AI10" t="n">
        <v>44.134</v>
      </c>
      <c r="AJ10" t="n">
        <v>21.93</v>
      </c>
      <c r="AK10" t="n">
        <v>1.109</v>
      </c>
      <c r="AL10" t="n">
        <v>56.332</v>
      </c>
      <c r="AM10" t="n">
        <v>1.879</v>
      </c>
      <c r="AN10" t="n">
        <v>120</v>
      </c>
      <c r="AO10" t="n">
        <v>210.2</v>
      </c>
      <c r="AP10" t="n">
        <v>330.2</v>
      </c>
      <c r="AQ10" t="n">
        <v>36.342</v>
      </c>
      <c r="AR10" t="n">
        <v>58</v>
      </c>
      <c r="AS10" t="n">
        <v>81.8</v>
      </c>
      <c r="AT10" t="n">
        <v>10</v>
      </c>
      <c r="AU10" t="n">
        <v>20.6</v>
      </c>
      <c r="AV10" t="n">
        <v>61.2</v>
      </c>
      <c r="AW10" t="n">
        <v>74.59999999999999</v>
      </c>
      <c r="AX10" t="n">
        <v>52.8</v>
      </c>
      <c r="AY10" t="n">
        <v>7.6</v>
      </c>
      <c r="AZ10" t="n">
        <v>19.4</v>
      </c>
      <c r="BA10" t="n">
        <v>112.8</v>
      </c>
      <c r="BB10" t="n">
        <v>9.4</v>
      </c>
      <c r="BC10" t="n">
        <v>22</v>
      </c>
      <c r="BD10" t="n">
        <v>31.4</v>
      </c>
      <c r="BE10" t="n">
        <v>36.4</v>
      </c>
      <c r="BF10" t="n">
        <v>70.33</v>
      </c>
      <c r="BG10" t="n">
        <v>88.8</v>
      </c>
      <c r="BH10" t="n">
        <v>9.800000000000001</v>
      </c>
      <c r="BI10" t="n">
        <v>10</v>
      </c>
      <c r="BJ10" t="n">
        <v>23.364</v>
      </c>
      <c r="BK10" t="n">
        <v>14.4</v>
      </c>
      <c r="BL10" t="n">
        <v>5.4</v>
      </c>
      <c r="BM10" t="n">
        <v>15</v>
      </c>
      <c r="BN10" t="n">
        <v>5.4</v>
      </c>
      <c r="BO10" t="n">
        <v>7.8</v>
      </c>
      <c r="BP10" t="n">
        <v>9.800000000000001</v>
      </c>
      <c r="BQ10" t="n">
        <v>56.6</v>
      </c>
      <c r="BR10" t="n">
        <v>2</v>
      </c>
      <c r="BS10" t="n">
        <v>19.2</v>
      </c>
      <c r="BT10" t="n">
        <v>5.8</v>
      </c>
      <c r="BU10" t="n">
        <v>40.625</v>
      </c>
      <c r="BV10" t="n">
        <v>18.224</v>
      </c>
      <c r="BW10" t="n">
        <v>41.121</v>
      </c>
      <c r="BX10" t="n">
        <v>44.86</v>
      </c>
      <c r="BY10" t="n">
        <v>9.6</v>
      </c>
      <c r="BZ10" t="n">
        <v>33.333</v>
      </c>
      <c r="CA10" t="n">
        <v>0.358</v>
      </c>
      <c r="CB10" t="n">
        <v>-0.358</v>
      </c>
      <c r="CC10" t="n">
        <v>59.93</v>
      </c>
      <c r="CD10" t="n">
        <v>-5.33</v>
      </c>
      <c r="CE10" t="n">
        <v>3.121</v>
      </c>
      <c r="CF10" t="n">
        <v>-0.278</v>
      </c>
      <c r="CG10" t="n">
        <v>3.214</v>
      </c>
      <c r="CH10" t="n">
        <v>-0.181</v>
      </c>
      <c r="CI10" t="n">
        <v>2.973</v>
      </c>
      <c r="CJ10" t="n">
        <v>-0.432</v>
      </c>
      <c r="CK10" t="n">
        <v>2.4</v>
      </c>
      <c r="CL10" t="n">
        <v>24.2</v>
      </c>
      <c r="CM10" t="n">
        <v>30</v>
      </c>
      <c r="CN10" t="n">
        <v>23.2</v>
      </c>
      <c r="CO10" t="n">
        <v>25.6</v>
      </c>
      <c r="CP10" t="n">
        <v>7.8</v>
      </c>
      <c r="CQ10" t="n">
        <v>16.765</v>
      </c>
      <c r="CR10" t="n">
        <v>22.843</v>
      </c>
      <c r="CS10" t="n">
        <v>8.629</v>
      </c>
      <c r="CT10" t="n">
        <v>29.08</v>
      </c>
      <c r="CU10" t="n">
        <v>10.682</v>
      </c>
      <c r="CV10" t="n">
        <v>12.6</v>
      </c>
      <c r="CW10" t="n">
        <v>23.81</v>
      </c>
      <c r="CX10" t="n">
        <v>47</v>
      </c>
      <c r="CY10" t="n">
        <v>6.6</v>
      </c>
      <c r="CZ10" t="n">
        <v>275.4</v>
      </c>
      <c r="DA10" t="n">
        <v>135</v>
      </c>
      <c r="DB10" t="n">
        <v>30.2</v>
      </c>
      <c r="DC10" t="n">
        <v>89.59999999999999</v>
      </c>
      <c r="DD10" t="n">
        <v>37.2</v>
      </c>
      <c r="DE10" t="n">
        <v>41.518</v>
      </c>
      <c r="DF10" t="n">
        <v>8.199999999999999</v>
      </c>
      <c r="DG10" t="n">
        <v>22.043</v>
      </c>
      <c r="DH10" t="n">
        <v>3.4</v>
      </c>
      <c r="DI10" t="n">
        <v>40.323</v>
      </c>
      <c r="DJ10" t="n">
        <v>35.484</v>
      </c>
      <c r="DK10" t="n">
        <v>16.6</v>
      </c>
      <c r="DL10" t="n">
        <v>17</v>
      </c>
      <c r="DM10" t="n">
        <v>-0.4</v>
      </c>
      <c r="DN10" t="n">
        <v>13.4</v>
      </c>
      <c r="DO10" t="n">
        <v>80.59699999999999</v>
      </c>
      <c r="DP10" t="n">
        <v>3.2</v>
      </c>
      <c r="DQ10" t="n">
        <v>41.2</v>
      </c>
      <c r="DR10" t="n">
        <v>69.8</v>
      </c>
      <c r="DS10" t="n">
        <v>226.06</v>
      </c>
      <c r="DT10" t="n">
        <v>1845.2</v>
      </c>
      <c r="DU10" t="n">
        <v>1708.8</v>
      </c>
      <c r="DV10" t="n">
        <v>27</v>
      </c>
      <c r="DW10" t="n">
        <v>44.6</v>
      </c>
      <c r="DX10" t="n">
        <v>226.6</v>
      </c>
      <c r="DY10" t="n">
        <v>175.4</v>
      </c>
      <c r="DZ10" t="n">
        <v>402</v>
      </c>
      <c r="EA10" t="n">
        <v>75.871</v>
      </c>
      <c r="EB10" t="n">
        <v>69.285</v>
      </c>
      <c r="EC10" t="n">
        <v>84.379</v>
      </c>
      <c r="ED10" t="n">
        <v>8.553000000000001</v>
      </c>
      <c r="EE10" t="n">
        <v>54.4</v>
      </c>
      <c r="EF10" t="n">
        <v>34.2</v>
      </c>
      <c r="EG10" t="n">
        <v>79.907</v>
      </c>
      <c r="EH10" t="n">
        <v>6149.2</v>
      </c>
      <c r="EI10" t="n">
        <v>15.297</v>
      </c>
      <c r="EJ10" t="n">
        <v>5706.004</v>
      </c>
      <c r="EK10" t="n">
        <v>25.337</v>
      </c>
      <c r="EL10" t="n">
        <v>214.424</v>
      </c>
      <c r="EM10" t="n">
        <v>1.227</v>
      </c>
      <c r="EN10" t="n">
        <v>50.6</v>
      </c>
      <c r="EO10" t="n">
        <v>7.945</v>
      </c>
      <c r="EP10" t="n">
        <v>58</v>
      </c>
      <c r="EQ10" t="n">
        <v>6.931</v>
      </c>
      <c r="ER10" t="n">
        <v>74.82599999999999</v>
      </c>
      <c r="ES10" t="n">
        <v>50.877</v>
      </c>
      <c r="ET10" t="n">
        <v>24.699</v>
      </c>
      <c r="EU10" t="n">
        <v>2.01</v>
      </c>
      <c r="EV10" t="n">
        <v>59.535</v>
      </c>
      <c r="EW10" t="n">
        <v>4.888</v>
      </c>
      <c r="EX10" t="n">
        <v>130</v>
      </c>
      <c r="EY10" t="n">
        <v>266</v>
      </c>
      <c r="EZ10" t="n">
        <v>396</v>
      </c>
      <c r="FA10" t="n">
        <v>32.828</v>
      </c>
      <c r="FB10" t="n">
        <v>66</v>
      </c>
      <c r="FC10" t="n">
        <v>89.40000000000001</v>
      </c>
      <c r="FD10" t="n">
        <v>16.8</v>
      </c>
      <c r="FE10" t="n">
        <v>21.4</v>
      </c>
      <c r="FF10" t="n">
        <v>68</v>
      </c>
      <c r="FG10" t="n">
        <v>81.59999999999999</v>
      </c>
      <c r="FH10" t="n">
        <v>56.8</v>
      </c>
      <c r="FI10" t="n">
        <v>6.8</v>
      </c>
      <c r="FJ10" t="n">
        <v>19.6</v>
      </c>
      <c r="FK10" t="n">
        <v>144.8</v>
      </c>
      <c r="FL10" t="n">
        <v>10.4</v>
      </c>
      <c r="FM10" t="n">
        <v>25</v>
      </c>
      <c r="FN10" t="n">
        <v>35.4</v>
      </c>
      <c r="FO10" t="n">
        <v>37.8</v>
      </c>
      <c r="FP10" t="n">
        <v>76.19</v>
      </c>
      <c r="FQ10" t="n">
        <v>109.2</v>
      </c>
      <c r="FR10" t="n">
        <v>10.4</v>
      </c>
      <c r="FS10" t="n">
        <v>16</v>
      </c>
      <c r="FT10" t="n">
        <v>29.412</v>
      </c>
      <c r="FU10" t="n">
        <v>15.6</v>
      </c>
      <c r="FV10" t="n">
        <v>9.4</v>
      </c>
      <c r="FW10" t="n">
        <v>14.2</v>
      </c>
      <c r="FX10" t="n">
        <v>13.6</v>
      </c>
      <c r="FY10" t="n">
        <v>98.8</v>
      </c>
      <c r="FZ10" t="n">
        <v>2.8</v>
      </c>
      <c r="GA10" t="n">
        <v>29</v>
      </c>
      <c r="GB10" t="n">
        <v>10.4</v>
      </c>
      <c r="GC10" t="n">
        <v>48.966</v>
      </c>
      <c r="GD10" t="n">
        <v>26.103</v>
      </c>
      <c r="GE10" t="n">
        <v>51.103</v>
      </c>
      <c r="GF10" t="n">
        <v>53.309</v>
      </c>
      <c r="GG10" t="n">
        <v>89.881</v>
      </c>
      <c r="GH10" t="n">
        <v>6.119</v>
      </c>
      <c r="GI10" t="n">
        <v>3.099</v>
      </c>
      <c r="GJ10" t="n">
        <v>0.211</v>
      </c>
      <c r="GK10" t="n">
        <v>3.315</v>
      </c>
      <c r="GL10" t="n">
        <v>-0.179</v>
      </c>
      <c r="GM10" t="n">
        <v>2.826</v>
      </c>
      <c r="GN10" t="n">
        <v>0.705</v>
      </c>
      <c r="GO10" t="n">
        <v>5.2</v>
      </c>
      <c r="GP10" t="n">
        <v>37.4</v>
      </c>
      <c r="GQ10" t="n">
        <v>56.2</v>
      </c>
      <c r="GR10" t="n">
        <v>35.6</v>
      </c>
      <c r="GS10" t="n">
        <v>50.8</v>
      </c>
      <c r="GT10" t="n">
        <v>12.4</v>
      </c>
      <c r="GU10" t="n">
        <v>25.556</v>
      </c>
      <c r="GV10" t="n">
        <v>27.528</v>
      </c>
      <c r="GW10" t="n">
        <v>12.36</v>
      </c>
      <c r="GX10" t="n">
        <v>39.13</v>
      </c>
      <c r="GY10" t="n">
        <v>18.069</v>
      </c>
      <c r="GZ10" t="n">
        <v>63.4</v>
      </c>
      <c r="HA10" t="n">
        <v>8.800000000000001</v>
      </c>
      <c r="HB10" t="n">
        <v>256.6</v>
      </c>
      <c r="HC10" t="n">
        <v>119.6</v>
      </c>
      <c r="HD10" t="n">
        <v>25.8</v>
      </c>
      <c r="HE10" t="n">
        <v>33.8</v>
      </c>
      <c r="HF10" t="n">
        <v>37.556</v>
      </c>
      <c r="HG10" t="n">
        <v>7.8</v>
      </c>
      <c r="HH10" t="n">
        <v>23.077</v>
      </c>
      <c r="HI10" t="n">
        <v>3.6</v>
      </c>
      <c r="HJ10" t="n">
        <v>36.686</v>
      </c>
      <c r="HK10" t="n">
        <v>35.503</v>
      </c>
      <c r="HL10" t="n">
        <v>9.6</v>
      </c>
      <c r="HM10" t="n">
        <v>91.667</v>
      </c>
      <c r="HN10" t="n">
        <v>8.6</v>
      </c>
      <c r="HO10" t="n">
        <v>37.8</v>
      </c>
      <c r="HP10" t="n">
        <v>68.2</v>
      </c>
      <c r="HQ10" t="n">
        <v>-53.6</v>
      </c>
      <c r="HR10" t="n">
        <v>-398.4</v>
      </c>
      <c r="HS10" t="n">
        <v>-330.6</v>
      </c>
      <c r="HT10" t="n">
        <v>-24</v>
      </c>
      <c r="HU10" t="n">
        <v>-6.8</v>
      </c>
      <c r="HV10" t="n">
        <v>-35.4</v>
      </c>
      <c r="HW10" t="n">
        <v>-29</v>
      </c>
      <c r="HX10" t="n">
        <v>-64.40000000000001</v>
      </c>
      <c r="HY10" t="n">
        <v>-11.6</v>
      </c>
      <c r="HZ10" t="n">
        <v>-706.2</v>
      </c>
      <c r="IA10" t="n">
        <v>-548.15</v>
      </c>
      <c r="IB10" t="n">
        <v>-36.64</v>
      </c>
      <c r="IC10" t="n">
        <v>3.4</v>
      </c>
      <c r="ID10" t="n">
        <v>8</v>
      </c>
      <c r="IE10" t="n">
        <v>-0.901</v>
      </c>
      <c r="IF10" t="n">
        <v>-3.009</v>
      </c>
      <c r="IG10" t="n">
        <v>-10</v>
      </c>
      <c r="IH10" t="n">
        <v>-55.8</v>
      </c>
      <c r="II10" t="n">
        <v>-65.8</v>
      </c>
      <c r="IJ10" t="n">
        <v>-8</v>
      </c>
      <c r="IK10" t="n">
        <v>-7.6</v>
      </c>
      <c r="IL10" t="n">
        <v>-6.8</v>
      </c>
      <c r="IM10" t="n">
        <v>-0.8</v>
      </c>
      <c r="IN10" t="n">
        <v>-6.8</v>
      </c>
      <c r="IO10" t="n">
        <v>-7</v>
      </c>
      <c r="IP10" t="n">
        <v>-4</v>
      </c>
      <c r="IQ10" t="n">
        <v>0.8</v>
      </c>
      <c r="IR10" t="n">
        <v>-0.2</v>
      </c>
      <c r="IS10" t="n">
        <v>-32</v>
      </c>
      <c r="IT10" t="n">
        <v>-1</v>
      </c>
      <c r="IU10" t="n">
        <v>-3</v>
      </c>
      <c r="IV10" t="n">
        <v>-4</v>
      </c>
      <c r="IW10" t="n">
        <v>-1.4</v>
      </c>
      <c r="IX10" t="n">
        <v>-20.4</v>
      </c>
      <c r="IY10" t="n">
        <v>-0.6</v>
      </c>
      <c r="IZ10" t="n">
        <v>-6</v>
      </c>
      <c r="JA10" t="n">
        <v>-1.2</v>
      </c>
      <c r="JB10" t="n">
        <v>-4</v>
      </c>
      <c r="JC10" t="n">
        <v>-6.4</v>
      </c>
      <c r="JD10" t="n">
        <v>-3.8</v>
      </c>
      <c r="JE10" t="n">
        <v>-42.2</v>
      </c>
      <c r="JF10" t="n">
        <v>-9.800000000000001</v>
      </c>
      <c r="JG10" t="n">
        <v>-4.6</v>
      </c>
      <c r="JH10" t="n">
        <v>-29.951</v>
      </c>
      <c r="JI10" t="n">
        <v>-11.449</v>
      </c>
      <c r="JJ10" t="n">
        <v>0.022</v>
      </c>
      <c r="JK10" t="n">
        <v>-2.8</v>
      </c>
      <c r="JL10" t="n">
        <v>-13.2</v>
      </c>
      <c r="JM10" t="n">
        <v>-26.2</v>
      </c>
      <c r="JN10" t="n">
        <v>-12.4</v>
      </c>
      <c r="JO10" t="n">
        <v>-25.2</v>
      </c>
      <c r="JP10" t="n">
        <v>-4.6</v>
      </c>
      <c r="JQ10" t="n">
        <v>-16.4</v>
      </c>
      <c r="JR10" t="n">
        <v>-2.2</v>
      </c>
      <c r="JS10" t="n">
        <v>18.8</v>
      </c>
      <c r="JT10" t="n">
        <v>15.4</v>
      </c>
      <c r="JU10" t="n">
        <v>4.4</v>
      </c>
      <c r="JV10" t="n">
        <v>3.4</v>
      </c>
      <c r="JW10" t="n">
        <v>0.4</v>
      </c>
      <c r="JX10" t="n">
        <v>-0.2</v>
      </c>
      <c r="JY10" t="n">
        <v>-5.4</v>
      </c>
      <c r="JZ10" t="n">
        <v>3.4</v>
      </c>
      <c r="KA10" t="n">
        <v>1.6</v>
      </c>
    </row>
    <row r="11">
      <c r="A11" t="inlineStr">
        <is>
          <t>Greater Western Sydney</t>
        </is>
      </c>
      <c r="B11" t="inlineStr">
        <is>
          <t>GWS</t>
        </is>
      </c>
      <c r="C11" t="n">
        <v>5</v>
      </c>
      <c r="D11" t="n">
        <v>27</v>
      </c>
      <c r="E11" t="n">
        <v>25.155</v>
      </c>
      <c r="F11" t="n">
        <v>99.687</v>
      </c>
      <c r="G11" t="n">
        <v>205.76</v>
      </c>
      <c r="H11" t="n">
        <v>1673.4</v>
      </c>
      <c r="I11" t="n">
        <v>1505.2</v>
      </c>
      <c r="J11" t="n">
        <v>17.6</v>
      </c>
      <c r="K11" t="n">
        <v>48.23</v>
      </c>
      <c r="L11" t="n">
        <v>40.4</v>
      </c>
      <c r="M11" t="n">
        <v>200.2</v>
      </c>
      <c r="N11" t="n">
        <v>149.2</v>
      </c>
      <c r="O11" t="n">
        <v>349.4</v>
      </c>
      <c r="P11" t="n">
        <v>73.61199999999999</v>
      </c>
      <c r="Q11" t="n">
        <v>68.831</v>
      </c>
      <c r="R11" t="n">
        <v>80.027</v>
      </c>
      <c r="S11" t="n">
        <v>57.298</v>
      </c>
      <c r="T11" t="n">
        <v>6.151</v>
      </c>
      <c r="U11" t="n">
        <v>53.2</v>
      </c>
      <c r="V11" t="n">
        <v>36.6</v>
      </c>
      <c r="W11" t="n">
        <v>70.11499999999999</v>
      </c>
      <c r="X11" t="n">
        <v>5863.8</v>
      </c>
      <c r="Y11" t="n">
        <v>16.782</v>
      </c>
      <c r="Z11" t="n">
        <v>5373.204</v>
      </c>
      <c r="AA11" t="n">
        <v>27.028</v>
      </c>
      <c r="AB11" t="n">
        <v>224.31</v>
      </c>
      <c r="AC11" t="n">
        <v>1.505</v>
      </c>
      <c r="AD11" t="n">
        <v>57.2</v>
      </c>
      <c r="AE11" t="n">
        <v>6.108</v>
      </c>
      <c r="AF11" t="n">
        <v>57</v>
      </c>
      <c r="AG11" t="n">
        <v>6.13</v>
      </c>
      <c r="AH11" t="n">
        <v>71.101</v>
      </c>
      <c r="AI11" t="n">
        <v>50.222</v>
      </c>
      <c r="AJ11" t="n">
        <v>23.438</v>
      </c>
      <c r="AK11" t="n">
        <v>3.55</v>
      </c>
      <c r="AL11" t="n">
        <v>58.075</v>
      </c>
      <c r="AM11" t="n">
        <v>1.805</v>
      </c>
      <c r="AN11" t="n">
        <v>128.6</v>
      </c>
      <c r="AO11" t="n">
        <v>213.8</v>
      </c>
      <c r="AP11" t="n">
        <v>342.4</v>
      </c>
      <c r="AQ11" t="n">
        <v>37.558</v>
      </c>
      <c r="AR11" t="n">
        <v>54.4</v>
      </c>
      <c r="AS11" t="n">
        <v>82.8</v>
      </c>
      <c r="AT11" t="n">
        <v>15</v>
      </c>
      <c r="AU11" t="n">
        <v>20</v>
      </c>
      <c r="AV11" t="n">
        <v>62.8</v>
      </c>
      <c r="AW11" t="n">
        <v>73</v>
      </c>
      <c r="AX11" t="n">
        <v>50</v>
      </c>
      <c r="AY11" t="n">
        <v>11</v>
      </c>
      <c r="AZ11" t="n">
        <v>19</v>
      </c>
      <c r="BA11" t="n">
        <v>116.6</v>
      </c>
      <c r="BB11" t="n">
        <v>13.2</v>
      </c>
      <c r="BC11" t="n">
        <v>27</v>
      </c>
      <c r="BD11" t="n">
        <v>40.2</v>
      </c>
      <c r="BE11" t="n">
        <v>43.4</v>
      </c>
      <c r="BF11" t="n">
        <v>76.03700000000001</v>
      </c>
      <c r="BG11" t="n">
        <v>87.8</v>
      </c>
      <c r="BH11" t="n">
        <v>8.800000000000001</v>
      </c>
      <c r="BI11" t="n">
        <v>12</v>
      </c>
      <c r="BJ11" t="n">
        <v>22.556</v>
      </c>
      <c r="BK11" t="n">
        <v>13</v>
      </c>
      <c r="BL11" t="n">
        <v>12</v>
      </c>
      <c r="BM11" t="n">
        <v>19</v>
      </c>
      <c r="BN11" t="n">
        <v>8</v>
      </c>
      <c r="BO11" t="n">
        <v>14.2</v>
      </c>
      <c r="BP11" t="n">
        <v>10.8</v>
      </c>
      <c r="BQ11" t="n">
        <v>96</v>
      </c>
      <c r="BR11" t="n">
        <v>2</v>
      </c>
      <c r="BS11" t="n">
        <v>27</v>
      </c>
      <c r="BT11" t="n">
        <v>10.8</v>
      </c>
      <c r="BU11" t="n">
        <v>52.593</v>
      </c>
      <c r="BV11" t="n">
        <v>26.692</v>
      </c>
      <c r="BW11" t="n">
        <v>46.992</v>
      </c>
      <c r="BX11" t="n">
        <v>50.752</v>
      </c>
      <c r="BY11" t="n">
        <v>9.6</v>
      </c>
      <c r="BZ11" t="n">
        <v>18.75</v>
      </c>
      <c r="CA11" t="n">
        <v>3.153</v>
      </c>
      <c r="CB11" t="n">
        <v>-0.153</v>
      </c>
      <c r="CC11" t="n">
        <v>88.95099999999999</v>
      </c>
      <c r="CD11" t="n">
        <v>5.049</v>
      </c>
      <c r="CE11" t="n">
        <v>3.294</v>
      </c>
      <c r="CF11" t="n">
        <v>0.187</v>
      </c>
      <c r="CG11" t="n">
        <v>3.599</v>
      </c>
      <c r="CH11" t="n">
        <v>0.374</v>
      </c>
      <c r="CI11" t="n">
        <v>2.947</v>
      </c>
      <c r="CJ11" t="n">
        <v>-0.026</v>
      </c>
      <c r="CK11" t="n">
        <v>8.6</v>
      </c>
      <c r="CL11" t="n">
        <v>49.4</v>
      </c>
      <c r="CM11" t="n">
        <v>38</v>
      </c>
      <c r="CN11" t="n">
        <v>35.2</v>
      </c>
      <c r="CO11" t="n">
        <v>44</v>
      </c>
      <c r="CP11" t="n">
        <v>16.8</v>
      </c>
      <c r="CQ11" t="n">
        <v>23.992</v>
      </c>
      <c r="CR11" t="n">
        <v>26.519</v>
      </c>
      <c r="CS11" t="n">
        <v>13.812</v>
      </c>
      <c r="CT11" t="n">
        <v>31.757</v>
      </c>
      <c r="CU11" t="n">
        <v>15.593</v>
      </c>
      <c r="CV11" t="n">
        <v>13.2</v>
      </c>
      <c r="CW11" t="n">
        <v>30.303</v>
      </c>
      <c r="CX11" t="n">
        <v>64.40000000000001</v>
      </c>
      <c r="CY11" t="n">
        <v>11.6</v>
      </c>
      <c r="CZ11" t="n">
        <v>256.4</v>
      </c>
      <c r="DA11" t="n">
        <v>131</v>
      </c>
      <c r="DB11" t="n">
        <v>24.2</v>
      </c>
      <c r="DC11" t="n">
        <v>105</v>
      </c>
      <c r="DD11" t="n">
        <v>41</v>
      </c>
      <c r="DE11" t="n">
        <v>39.048</v>
      </c>
      <c r="DF11" t="n">
        <v>12</v>
      </c>
      <c r="DG11" t="n">
        <v>29.268</v>
      </c>
      <c r="DH11" t="n">
        <v>3.8</v>
      </c>
      <c r="DI11" t="n">
        <v>46.341</v>
      </c>
      <c r="DJ11" t="n">
        <v>40.976</v>
      </c>
      <c r="DK11" t="n">
        <v>19.2</v>
      </c>
      <c r="DL11" t="n">
        <v>23</v>
      </c>
      <c r="DM11" t="n">
        <v>-3.8</v>
      </c>
      <c r="DN11" t="n">
        <v>11</v>
      </c>
      <c r="DO11" t="n">
        <v>92.727</v>
      </c>
      <c r="DP11" t="n">
        <v>13.2</v>
      </c>
      <c r="DQ11" t="n">
        <v>33.8</v>
      </c>
      <c r="DR11" t="n">
        <v>69</v>
      </c>
      <c r="DS11" t="n">
        <v>208.28</v>
      </c>
      <c r="DT11" t="n">
        <v>1627.8</v>
      </c>
      <c r="DU11" t="n">
        <v>1419</v>
      </c>
      <c r="DV11" t="n">
        <v>12.4</v>
      </c>
      <c r="DW11" t="n">
        <v>41.2</v>
      </c>
      <c r="DX11" t="n">
        <v>192.6</v>
      </c>
      <c r="DY11" t="n">
        <v>138.4</v>
      </c>
      <c r="DZ11" t="n">
        <v>331</v>
      </c>
      <c r="EA11" t="n">
        <v>74.199</v>
      </c>
      <c r="EB11" t="n">
        <v>68.224</v>
      </c>
      <c r="EC11" t="n">
        <v>82.514</v>
      </c>
      <c r="ED11" t="n">
        <v>5.14</v>
      </c>
      <c r="EE11" t="n">
        <v>52.2</v>
      </c>
      <c r="EF11" t="n">
        <v>38.2</v>
      </c>
      <c r="EG11" t="n">
        <v>71.80500000000001</v>
      </c>
      <c r="EH11" t="n">
        <v>5804.2</v>
      </c>
      <c r="EI11" t="n">
        <v>17.535</v>
      </c>
      <c r="EJ11" t="n">
        <v>5427.68</v>
      </c>
      <c r="EK11" t="n">
        <v>28.358</v>
      </c>
      <c r="EL11" t="n">
        <v>108.548</v>
      </c>
      <c r="EM11" t="n">
        <v>0.787</v>
      </c>
      <c r="EN11" t="n">
        <v>50.6</v>
      </c>
      <c r="EO11" t="n">
        <v>6.542</v>
      </c>
      <c r="EP11" t="n">
        <v>54.4</v>
      </c>
      <c r="EQ11" t="n">
        <v>6.085</v>
      </c>
      <c r="ER11" t="n">
        <v>69.8</v>
      </c>
      <c r="ES11" t="n">
        <v>52.381</v>
      </c>
      <c r="ET11" t="n">
        <v>24.081</v>
      </c>
      <c r="EU11" t="n">
        <v>3.676</v>
      </c>
      <c r="EV11" t="n">
        <v>55.552</v>
      </c>
      <c r="EW11" t="n">
        <v>1.609</v>
      </c>
      <c r="EX11" t="n">
        <v>130.2</v>
      </c>
      <c r="EY11" t="n">
        <v>197</v>
      </c>
      <c r="EZ11" t="n">
        <v>327.2</v>
      </c>
      <c r="FA11" t="n">
        <v>39.792</v>
      </c>
      <c r="FB11" t="n">
        <v>57.6</v>
      </c>
      <c r="FC11" t="n">
        <v>82.2</v>
      </c>
      <c r="FD11" t="n">
        <v>17</v>
      </c>
      <c r="FE11" t="n">
        <v>18</v>
      </c>
      <c r="FF11" t="n">
        <v>64.2</v>
      </c>
      <c r="FG11" t="n">
        <v>75.40000000000001</v>
      </c>
      <c r="FH11" t="n">
        <v>50</v>
      </c>
      <c r="FI11" t="n">
        <v>10.8</v>
      </c>
      <c r="FJ11" t="n">
        <v>18</v>
      </c>
      <c r="FK11" t="n">
        <v>110.6</v>
      </c>
      <c r="FL11" t="n">
        <v>14.4</v>
      </c>
      <c r="FM11" t="n">
        <v>26.8</v>
      </c>
      <c r="FN11" t="n">
        <v>41.2</v>
      </c>
      <c r="FO11" t="n">
        <v>47</v>
      </c>
      <c r="FP11" t="n">
        <v>77.021</v>
      </c>
      <c r="FQ11" t="n">
        <v>78.40000000000001</v>
      </c>
      <c r="FR11" t="n">
        <v>10.4</v>
      </c>
      <c r="FS11" t="n">
        <v>12.2</v>
      </c>
      <c r="FT11" t="n">
        <v>23.372</v>
      </c>
      <c r="FU11" t="n">
        <v>12.6</v>
      </c>
      <c r="FV11" t="n">
        <v>8</v>
      </c>
      <c r="FW11" t="n">
        <v>14.4</v>
      </c>
      <c r="FX11" t="n">
        <v>11</v>
      </c>
      <c r="FY11" t="n">
        <v>97.40000000000001</v>
      </c>
      <c r="FZ11" t="n">
        <v>1.6</v>
      </c>
      <c r="GA11" t="n">
        <v>27.4</v>
      </c>
      <c r="GB11" t="n">
        <v>10.6</v>
      </c>
      <c r="GC11" t="n">
        <v>52.555</v>
      </c>
      <c r="GD11" t="n">
        <v>27.586</v>
      </c>
      <c r="GE11" t="n">
        <v>48.659</v>
      </c>
      <c r="GF11" t="n">
        <v>52.49</v>
      </c>
      <c r="GG11" t="n">
        <v>89.393</v>
      </c>
      <c r="GH11" t="n">
        <v>6.407</v>
      </c>
      <c r="GI11" t="n">
        <v>3.263</v>
      </c>
      <c r="GJ11" t="n">
        <v>0.234</v>
      </c>
      <c r="GK11" t="n">
        <v>3.518</v>
      </c>
      <c r="GL11" t="n">
        <v>0.457</v>
      </c>
      <c r="GM11" t="n">
        <v>2.904</v>
      </c>
      <c r="GN11" t="n">
        <v>-0.08</v>
      </c>
      <c r="GO11" t="n">
        <v>3.2</v>
      </c>
      <c r="GP11" t="n">
        <v>36.8</v>
      </c>
      <c r="GQ11" t="n">
        <v>57.4</v>
      </c>
      <c r="GR11" t="n">
        <v>31.4</v>
      </c>
      <c r="GS11" t="n">
        <v>51.2</v>
      </c>
      <c r="GT11" t="n">
        <v>14.8</v>
      </c>
      <c r="GU11" t="n">
        <v>23.962</v>
      </c>
      <c r="GV11" t="n">
        <v>20.652</v>
      </c>
      <c r="GW11" t="n">
        <v>9.782999999999999</v>
      </c>
      <c r="GX11" t="n">
        <v>30.844</v>
      </c>
      <c r="GY11" t="n">
        <v>13.636</v>
      </c>
      <c r="GZ11" t="n">
        <v>56.8</v>
      </c>
      <c r="HA11" t="n">
        <v>13.6</v>
      </c>
      <c r="HB11" t="n">
        <v>259</v>
      </c>
      <c r="HC11" t="n">
        <v>118.4</v>
      </c>
      <c r="HD11" t="n">
        <v>30.2</v>
      </c>
      <c r="HE11" t="n">
        <v>40.8</v>
      </c>
      <c r="HF11" t="n">
        <v>39.006</v>
      </c>
      <c r="HG11" t="n">
        <v>12.2</v>
      </c>
      <c r="HH11" t="n">
        <v>29.902</v>
      </c>
      <c r="HI11" t="n">
        <v>3.4</v>
      </c>
      <c r="HJ11" t="n">
        <v>48.039</v>
      </c>
      <c r="HK11" t="n">
        <v>44.118</v>
      </c>
      <c r="HL11" t="n">
        <v>10.4</v>
      </c>
      <c r="HM11" t="n">
        <v>96.154</v>
      </c>
      <c r="HN11" t="n">
        <v>9</v>
      </c>
      <c r="HO11" t="n">
        <v>37.8</v>
      </c>
      <c r="HP11" t="n">
        <v>73.2</v>
      </c>
      <c r="HQ11" t="n">
        <v>-2.52</v>
      </c>
      <c r="HR11" t="n">
        <v>45.6</v>
      </c>
      <c r="HS11" t="n">
        <v>86.2</v>
      </c>
      <c r="HT11" t="n">
        <v>5.2</v>
      </c>
      <c r="HU11" t="n">
        <v>-0.8</v>
      </c>
      <c r="HV11" t="n">
        <v>7.6</v>
      </c>
      <c r="HW11" t="n">
        <v>10.8</v>
      </c>
      <c r="HX11" t="n">
        <v>18.4</v>
      </c>
      <c r="HY11" t="n">
        <v>1</v>
      </c>
      <c r="HZ11" t="n">
        <v>59.6</v>
      </c>
      <c r="IA11" t="n">
        <v>-54.476</v>
      </c>
      <c r="IB11" t="n">
        <v>115.762</v>
      </c>
      <c r="IC11" t="n">
        <v>6.6</v>
      </c>
      <c r="ID11" t="n">
        <v>2.6</v>
      </c>
      <c r="IE11" t="n">
        <v>-0.126</v>
      </c>
      <c r="IF11" t="n">
        <v>0.196</v>
      </c>
      <c r="IG11" t="n">
        <v>-1.6</v>
      </c>
      <c r="IH11" t="n">
        <v>16.8</v>
      </c>
      <c r="II11" t="n">
        <v>15.2</v>
      </c>
      <c r="IJ11" t="n">
        <v>-3.2</v>
      </c>
      <c r="IK11" t="n">
        <v>0.6</v>
      </c>
      <c r="IL11" t="n">
        <v>-2</v>
      </c>
      <c r="IM11" t="n">
        <v>2</v>
      </c>
      <c r="IN11" t="n">
        <v>-1.4</v>
      </c>
      <c r="IO11" t="n">
        <v>-2.4</v>
      </c>
      <c r="IP11" t="n">
        <v>0</v>
      </c>
      <c r="IQ11" t="n">
        <v>0.2</v>
      </c>
      <c r="IR11" t="n">
        <v>1</v>
      </c>
      <c r="IS11" t="n">
        <v>6</v>
      </c>
      <c r="IT11" t="n">
        <v>-1.2</v>
      </c>
      <c r="IU11" t="n">
        <v>0.2</v>
      </c>
      <c r="IV11" t="n">
        <v>-1</v>
      </c>
      <c r="IW11" t="n">
        <v>-3.6</v>
      </c>
      <c r="IX11" t="n">
        <v>9.4</v>
      </c>
      <c r="IY11" t="n">
        <v>-1.6</v>
      </c>
      <c r="IZ11" t="n">
        <v>-0.2</v>
      </c>
      <c r="JA11" t="n">
        <v>0.4</v>
      </c>
      <c r="JB11" t="n">
        <v>4</v>
      </c>
      <c r="JC11" t="n">
        <v>-0.2</v>
      </c>
      <c r="JD11" t="n">
        <v>-0.2</v>
      </c>
      <c r="JE11" t="n">
        <v>-1.4</v>
      </c>
      <c r="JF11" t="n">
        <v>-0.4</v>
      </c>
      <c r="JG11" t="n">
        <v>0.2</v>
      </c>
      <c r="JH11" t="n">
        <v>-0.442</v>
      </c>
      <c r="JI11" t="n">
        <v>-1.358</v>
      </c>
      <c r="JJ11" t="n">
        <v>0.032</v>
      </c>
      <c r="JK11" t="n">
        <v>5.4</v>
      </c>
      <c r="JL11" t="n">
        <v>12.6</v>
      </c>
      <c r="JM11" t="n">
        <v>-19.4</v>
      </c>
      <c r="JN11" t="n">
        <v>3.8</v>
      </c>
      <c r="JO11" t="n">
        <v>-7.2</v>
      </c>
      <c r="JP11" t="n">
        <v>2</v>
      </c>
      <c r="JQ11" t="n">
        <v>7.6</v>
      </c>
      <c r="JR11" t="n">
        <v>-2</v>
      </c>
      <c r="JS11" t="n">
        <v>-2.6</v>
      </c>
      <c r="JT11" t="n">
        <v>12.6</v>
      </c>
      <c r="JU11" t="n">
        <v>-6</v>
      </c>
      <c r="JV11" t="n">
        <v>0.2</v>
      </c>
      <c r="JW11" t="n">
        <v>-0.2</v>
      </c>
      <c r="JX11" t="n">
        <v>0.4</v>
      </c>
      <c r="JY11" t="n">
        <v>4.2</v>
      </c>
      <c r="JZ11" t="n">
        <v>-4</v>
      </c>
      <c r="KA11" t="n">
        <v>-4.2</v>
      </c>
    </row>
    <row r="12">
      <c r="A12" t="inlineStr">
        <is>
          <t>Essendon</t>
        </is>
      </c>
      <c r="B12" t="inlineStr">
        <is>
          <t>Ess</t>
        </is>
      </c>
      <c r="C12" t="n">
        <v>5</v>
      </c>
      <c r="D12" t="n">
        <v>28</v>
      </c>
      <c r="E12" t="n">
        <v>24.997</v>
      </c>
      <c r="F12" t="n">
        <v>93.696</v>
      </c>
      <c r="G12" t="n">
        <v>169.88</v>
      </c>
      <c r="H12" t="n">
        <v>1500.6</v>
      </c>
      <c r="I12" t="n">
        <v>1414.6</v>
      </c>
      <c r="J12" t="n">
        <v>6.4</v>
      </c>
      <c r="K12" t="n">
        <v>44.28</v>
      </c>
      <c r="L12" t="n">
        <v>38.8</v>
      </c>
      <c r="M12" t="n">
        <v>196.4</v>
      </c>
      <c r="N12" t="n">
        <v>145</v>
      </c>
      <c r="O12" t="n">
        <v>341.4</v>
      </c>
      <c r="P12" t="n">
        <v>74.16500000000001</v>
      </c>
      <c r="Q12" t="n">
        <v>67.821</v>
      </c>
      <c r="R12" t="n">
        <v>82.759</v>
      </c>
      <c r="S12" t="n">
        <v>57.528</v>
      </c>
      <c r="T12" t="n">
        <v>7.025</v>
      </c>
      <c r="U12" t="n">
        <v>44.4</v>
      </c>
      <c r="V12" t="n">
        <v>41.2</v>
      </c>
      <c r="W12" t="n">
        <v>73.31</v>
      </c>
      <c r="X12" t="n">
        <v>5448.4</v>
      </c>
      <c r="Y12" t="n">
        <v>15.959</v>
      </c>
      <c r="Z12" t="n">
        <v>5137.734</v>
      </c>
      <c r="AA12" t="n">
        <v>26.267</v>
      </c>
      <c r="AB12" t="n">
        <v>103.56</v>
      </c>
      <c r="AC12" t="n">
        <v>0.72</v>
      </c>
      <c r="AD12" t="n">
        <v>56.8</v>
      </c>
      <c r="AE12" t="n">
        <v>6.011</v>
      </c>
      <c r="AF12" t="n">
        <v>61.4</v>
      </c>
      <c r="AG12" t="n">
        <v>5.56</v>
      </c>
      <c r="AH12" t="n">
        <v>71.31100000000001</v>
      </c>
      <c r="AI12" t="n">
        <v>42.564</v>
      </c>
      <c r="AJ12" t="n">
        <v>21.721</v>
      </c>
      <c r="AK12" t="n">
        <v>-3.119</v>
      </c>
      <c r="AL12" t="n">
        <v>57.529</v>
      </c>
      <c r="AM12" t="n">
        <v>1.001</v>
      </c>
      <c r="AN12" t="n">
        <v>118</v>
      </c>
      <c r="AO12" t="n">
        <v>209.6</v>
      </c>
      <c r="AP12" t="n">
        <v>327.6</v>
      </c>
      <c r="AQ12" t="n">
        <v>36.02</v>
      </c>
      <c r="AR12" t="n">
        <v>56.2</v>
      </c>
      <c r="AS12" t="n">
        <v>82.59999999999999</v>
      </c>
      <c r="AT12" t="n">
        <v>12</v>
      </c>
      <c r="AU12" t="n">
        <v>18.6</v>
      </c>
      <c r="AV12" t="n">
        <v>64</v>
      </c>
      <c r="AW12" t="n">
        <v>75.40000000000001</v>
      </c>
      <c r="AX12" t="n">
        <v>53</v>
      </c>
      <c r="AY12" t="n">
        <v>6.4</v>
      </c>
      <c r="AZ12" t="n">
        <v>20.6</v>
      </c>
      <c r="BA12" t="n">
        <v>117.4</v>
      </c>
      <c r="BB12" t="n">
        <v>9</v>
      </c>
      <c r="BC12" t="n">
        <v>20.8</v>
      </c>
      <c r="BD12" t="n">
        <v>29.8</v>
      </c>
      <c r="BE12" t="n">
        <v>34.8</v>
      </c>
      <c r="BF12" t="n">
        <v>72.989</v>
      </c>
      <c r="BG12" t="n">
        <v>85.59999999999999</v>
      </c>
      <c r="BH12" t="n">
        <v>7.6</v>
      </c>
      <c r="BI12" t="n">
        <v>9</v>
      </c>
      <c r="BJ12" t="n">
        <v>20.27</v>
      </c>
      <c r="BK12" t="n">
        <v>13</v>
      </c>
      <c r="BL12" t="n">
        <v>7.8</v>
      </c>
      <c r="BM12" t="n">
        <v>18</v>
      </c>
      <c r="BN12" t="n">
        <v>6.2</v>
      </c>
      <c r="BO12" t="n">
        <v>8.800000000000001</v>
      </c>
      <c r="BP12" t="n">
        <v>8.800000000000001</v>
      </c>
      <c r="BQ12" t="n">
        <v>61.6</v>
      </c>
      <c r="BR12" t="n">
        <v>2</v>
      </c>
      <c r="BS12" t="n">
        <v>18.6</v>
      </c>
      <c r="BT12" t="n">
        <v>5.6</v>
      </c>
      <c r="BU12" t="n">
        <v>47.312</v>
      </c>
      <c r="BV12" t="n">
        <v>19.82</v>
      </c>
      <c r="BW12" t="n">
        <v>39.64</v>
      </c>
      <c r="BX12" t="n">
        <v>41.892</v>
      </c>
      <c r="BY12" t="n">
        <v>9</v>
      </c>
      <c r="BZ12" t="n">
        <v>33.333</v>
      </c>
      <c r="CA12" t="n">
        <v>0.349</v>
      </c>
      <c r="CB12" t="n">
        <v>-0.349</v>
      </c>
      <c r="CC12" t="n">
        <v>63.228</v>
      </c>
      <c r="CD12" t="n">
        <v>-3.628</v>
      </c>
      <c r="CE12" t="n">
        <v>3.399</v>
      </c>
      <c r="CF12" t="n">
        <v>-0.195</v>
      </c>
      <c r="CG12" t="n">
        <v>3.624</v>
      </c>
      <c r="CH12" t="n">
        <v>-0.461</v>
      </c>
      <c r="CI12" t="n">
        <v>3.074</v>
      </c>
      <c r="CJ12" t="n">
        <v>0.19</v>
      </c>
      <c r="CK12" t="n">
        <v>4.2</v>
      </c>
      <c r="CL12" t="n">
        <v>26</v>
      </c>
      <c r="CM12" t="n">
        <v>31.4</v>
      </c>
      <c r="CN12" t="n">
        <v>22.4</v>
      </c>
      <c r="CO12" t="n">
        <v>32</v>
      </c>
      <c r="CP12" t="n">
        <v>7.2</v>
      </c>
      <c r="CQ12" t="n">
        <v>17.587</v>
      </c>
      <c r="CR12" t="n">
        <v>18.537</v>
      </c>
      <c r="CS12" t="n">
        <v>7.317</v>
      </c>
      <c r="CT12" t="n">
        <v>25.962</v>
      </c>
      <c r="CU12" t="n">
        <v>8.359999999999999</v>
      </c>
      <c r="CV12" t="n">
        <v>8.800000000000001</v>
      </c>
      <c r="CW12" t="n">
        <v>31.818</v>
      </c>
      <c r="CX12" t="n">
        <v>55.2</v>
      </c>
      <c r="CY12" t="n">
        <v>9.4</v>
      </c>
      <c r="CZ12" t="n">
        <v>268.2</v>
      </c>
      <c r="DA12" t="n">
        <v>136.4</v>
      </c>
      <c r="DB12" t="n">
        <v>22.6</v>
      </c>
      <c r="DC12" t="n">
        <v>86.8</v>
      </c>
      <c r="DD12" t="n">
        <v>31.4</v>
      </c>
      <c r="DE12" t="n">
        <v>36.175</v>
      </c>
      <c r="DF12" t="n">
        <v>7</v>
      </c>
      <c r="DG12" t="n">
        <v>22.293</v>
      </c>
      <c r="DH12" t="n">
        <v>0.8</v>
      </c>
      <c r="DI12" t="n">
        <v>39.49</v>
      </c>
      <c r="DJ12" t="n">
        <v>29.299</v>
      </c>
      <c r="DK12" t="n">
        <v>20.2</v>
      </c>
      <c r="DL12" t="n">
        <v>18</v>
      </c>
      <c r="DM12" t="n">
        <v>2.2</v>
      </c>
      <c r="DN12" t="n">
        <v>14</v>
      </c>
      <c r="DO12" t="n">
        <v>92.857</v>
      </c>
      <c r="DP12" t="n">
        <v>7</v>
      </c>
      <c r="DQ12" t="n">
        <v>29.8</v>
      </c>
      <c r="DR12" t="n">
        <v>67.8</v>
      </c>
      <c r="DS12" t="n">
        <v>211.56</v>
      </c>
      <c r="DT12" t="n">
        <v>1801.6</v>
      </c>
      <c r="DU12" t="n">
        <v>1577</v>
      </c>
      <c r="DV12" t="n">
        <v>23.6</v>
      </c>
      <c r="DW12" t="n">
        <v>44.8</v>
      </c>
      <c r="DX12" t="n">
        <v>216.4</v>
      </c>
      <c r="DY12" t="n">
        <v>163.2</v>
      </c>
      <c r="DZ12" t="n">
        <v>379.6</v>
      </c>
      <c r="EA12" t="n">
        <v>75.44799999999999</v>
      </c>
      <c r="EB12" t="n">
        <v>68.577</v>
      </c>
      <c r="EC12" t="n">
        <v>84.559</v>
      </c>
      <c r="ED12" t="n">
        <v>6.877</v>
      </c>
      <c r="EE12" t="n">
        <v>56.2</v>
      </c>
      <c r="EF12" t="n">
        <v>34.6</v>
      </c>
      <c r="EG12" t="n">
        <v>77.928</v>
      </c>
      <c r="EH12" t="n">
        <v>6043.6</v>
      </c>
      <c r="EI12" t="n">
        <v>15.921</v>
      </c>
      <c r="EJ12" t="n">
        <v>5714.484</v>
      </c>
      <c r="EK12" t="n">
        <v>26.48</v>
      </c>
      <c r="EL12" t="n">
        <v>229.038</v>
      </c>
      <c r="EM12" t="n">
        <v>1.407</v>
      </c>
      <c r="EN12" t="n">
        <v>55.2</v>
      </c>
      <c r="EO12" t="n">
        <v>6.877</v>
      </c>
      <c r="EP12" t="n">
        <v>55.8</v>
      </c>
      <c r="EQ12" t="n">
        <v>6.803</v>
      </c>
      <c r="ER12" t="n">
        <v>74.22199999999999</v>
      </c>
      <c r="ES12" t="n">
        <v>54.43</v>
      </c>
      <c r="ET12" t="n">
        <v>25.146</v>
      </c>
      <c r="EU12" t="n">
        <v>6.827</v>
      </c>
      <c r="EV12" t="n">
        <v>58.08</v>
      </c>
      <c r="EW12" t="n">
        <v>7.793</v>
      </c>
      <c r="EX12" t="n">
        <v>123.6</v>
      </c>
      <c r="EY12" t="n">
        <v>250.8</v>
      </c>
      <c r="EZ12" t="n">
        <v>374.4</v>
      </c>
      <c r="FA12" t="n">
        <v>33.013</v>
      </c>
      <c r="FB12" t="n">
        <v>61.6</v>
      </c>
      <c r="FC12" t="n">
        <v>78.40000000000001</v>
      </c>
      <c r="FD12" t="n">
        <v>15.2</v>
      </c>
      <c r="FE12" t="n">
        <v>19.6</v>
      </c>
      <c r="FF12" t="n">
        <v>58.8</v>
      </c>
      <c r="FG12" t="n">
        <v>77</v>
      </c>
      <c r="FH12" t="n">
        <v>51.6</v>
      </c>
      <c r="FI12" t="n">
        <v>11</v>
      </c>
      <c r="FJ12" t="n">
        <v>21.4</v>
      </c>
      <c r="FK12" t="n">
        <v>135.4</v>
      </c>
      <c r="FL12" t="n">
        <v>14</v>
      </c>
      <c r="FM12" t="n">
        <v>21.8</v>
      </c>
      <c r="FN12" t="n">
        <v>35.8</v>
      </c>
      <c r="FO12" t="n">
        <v>39</v>
      </c>
      <c r="FP12" t="n">
        <v>77.43600000000001</v>
      </c>
      <c r="FQ12" t="n">
        <v>105.2</v>
      </c>
      <c r="FR12" t="n">
        <v>11.4</v>
      </c>
      <c r="FS12" t="n">
        <v>18.6</v>
      </c>
      <c r="FT12" t="n">
        <v>33.096</v>
      </c>
      <c r="FU12" t="n">
        <v>16.8</v>
      </c>
      <c r="FV12" t="n">
        <v>13.6</v>
      </c>
      <c r="FW12" t="n">
        <v>14.2</v>
      </c>
      <c r="FX12" t="n">
        <v>14.2</v>
      </c>
      <c r="FY12" t="n">
        <v>99.40000000000001</v>
      </c>
      <c r="FZ12" t="n">
        <v>2.2</v>
      </c>
      <c r="GA12" t="n">
        <v>31.8</v>
      </c>
      <c r="GB12" t="n">
        <v>11.4</v>
      </c>
      <c r="GC12" t="n">
        <v>44.654</v>
      </c>
      <c r="GD12" t="n">
        <v>25.267</v>
      </c>
      <c r="GE12" t="n">
        <v>50.534</v>
      </c>
      <c r="GF12" t="n">
        <v>56.584</v>
      </c>
      <c r="GG12" t="n">
        <v>101.365</v>
      </c>
      <c r="GH12" t="n">
        <v>-4.165</v>
      </c>
      <c r="GI12" t="n">
        <v>3.188</v>
      </c>
      <c r="GJ12" t="n">
        <v>-0.131</v>
      </c>
      <c r="GK12" t="n">
        <v>3.381</v>
      </c>
      <c r="GL12" t="n">
        <v>-0.144</v>
      </c>
      <c r="GM12" t="n">
        <v>2.885</v>
      </c>
      <c r="GN12" t="n">
        <v>-0.111</v>
      </c>
      <c r="GO12" t="n">
        <v>3</v>
      </c>
      <c r="GP12" t="n">
        <v>24.2</v>
      </c>
      <c r="GQ12" t="n">
        <v>72.2</v>
      </c>
      <c r="GR12" t="n">
        <v>46</v>
      </c>
      <c r="GS12" t="n">
        <v>43.8</v>
      </c>
      <c r="GT12" t="n">
        <v>9.6</v>
      </c>
      <c r="GU12" t="n">
        <v>26.628</v>
      </c>
      <c r="GV12" t="n">
        <v>36.471</v>
      </c>
      <c r="GW12" t="n">
        <v>14.706</v>
      </c>
      <c r="GX12" t="n">
        <v>43.493</v>
      </c>
      <c r="GY12" t="n">
        <v>20.548</v>
      </c>
      <c r="GZ12" t="n">
        <v>48.6</v>
      </c>
      <c r="HA12" t="n">
        <v>13.2</v>
      </c>
      <c r="HB12" t="n">
        <v>241.8</v>
      </c>
      <c r="HC12" t="n">
        <v>106.2</v>
      </c>
      <c r="HD12" t="n">
        <v>26.4</v>
      </c>
      <c r="HE12" t="n">
        <v>36.8</v>
      </c>
      <c r="HF12" t="n">
        <v>42.202</v>
      </c>
      <c r="HG12" t="n">
        <v>11.8</v>
      </c>
      <c r="HH12" t="n">
        <v>32.065</v>
      </c>
      <c r="HI12" t="n">
        <v>3.6</v>
      </c>
      <c r="HJ12" t="n">
        <v>46.739</v>
      </c>
      <c r="HK12" t="n">
        <v>38.043</v>
      </c>
      <c r="HL12" t="n">
        <v>8.800000000000001</v>
      </c>
      <c r="HM12" t="n">
        <v>86.364</v>
      </c>
      <c r="HN12" t="n">
        <v>7</v>
      </c>
      <c r="HO12" t="n">
        <v>34.6</v>
      </c>
      <c r="HP12" t="n">
        <v>71.2</v>
      </c>
      <c r="HQ12" t="n">
        <v>-41.68</v>
      </c>
      <c r="HR12" t="n">
        <v>-301</v>
      </c>
      <c r="HS12" t="n">
        <v>-162.4</v>
      </c>
      <c r="HT12" t="n">
        <v>-17.2</v>
      </c>
      <c r="HU12" t="n">
        <v>-6</v>
      </c>
      <c r="HV12" t="n">
        <v>-20</v>
      </c>
      <c r="HW12" t="n">
        <v>-18.2</v>
      </c>
      <c r="HX12" t="n">
        <v>-38.2</v>
      </c>
      <c r="HY12" t="n">
        <v>-11.8</v>
      </c>
      <c r="HZ12" t="n">
        <v>-595.2</v>
      </c>
      <c r="IA12" t="n">
        <v>-576.75</v>
      </c>
      <c r="IB12" t="n">
        <v>-125.478</v>
      </c>
      <c r="IC12" t="n">
        <v>1.6</v>
      </c>
      <c r="ID12" t="n">
        <v>5.6</v>
      </c>
      <c r="IE12" t="n">
        <v>-9.946</v>
      </c>
      <c r="IF12" t="n">
        <v>-6.791</v>
      </c>
      <c r="IG12" t="n">
        <v>-5.6</v>
      </c>
      <c r="IH12" t="n">
        <v>-41.2</v>
      </c>
      <c r="II12" t="n">
        <v>-46.8</v>
      </c>
      <c r="IJ12" t="n">
        <v>-5.4</v>
      </c>
      <c r="IK12" t="n">
        <v>4.2</v>
      </c>
      <c r="IL12" t="n">
        <v>-3.2</v>
      </c>
      <c r="IM12" t="n">
        <v>-1</v>
      </c>
      <c r="IN12" t="n">
        <v>5.2</v>
      </c>
      <c r="IO12" t="n">
        <v>-1.6</v>
      </c>
      <c r="IP12" t="n">
        <v>1.4</v>
      </c>
      <c r="IQ12" t="n">
        <v>-4.6</v>
      </c>
      <c r="IR12" t="n">
        <v>-0.8</v>
      </c>
      <c r="IS12" t="n">
        <v>-18</v>
      </c>
      <c r="IT12" t="n">
        <v>-5</v>
      </c>
      <c r="IU12" t="n">
        <v>-1</v>
      </c>
      <c r="IV12" t="n">
        <v>-6</v>
      </c>
      <c r="IW12" t="n">
        <v>-4.2</v>
      </c>
      <c r="IX12" t="n">
        <v>-19.6</v>
      </c>
      <c r="IY12" t="n">
        <v>-3.8</v>
      </c>
      <c r="IZ12" t="n">
        <v>-9.6</v>
      </c>
      <c r="JA12" t="n">
        <v>-3.8</v>
      </c>
      <c r="JB12" t="n">
        <v>-5.8</v>
      </c>
      <c r="JC12" t="n">
        <v>-5.4</v>
      </c>
      <c r="JD12" t="n">
        <v>-5.4</v>
      </c>
      <c r="JE12" t="n">
        <v>-37.8</v>
      </c>
      <c r="JF12" t="n">
        <v>-13.2</v>
      </c>
      <c r="JG12" t="n">
        <v>-5.8</v>
      </c>
      <c r="JH12" t="n">
        <v>-38.137</v>
      </c>
      <c r="JI12" t="n">
        <v>0.537</v>
      </c>
      <c r="JJ12" t="n">
        <v>0.212</v>
      </c>
      <c r="JK12" t="n">
        <v>1.2</v>
      </c>
      <c r="JL12" t="n">
        <v>1.8</v>
      </c>
      <c r="JM12" t="n">
        <v>-40.8</v>
      </c>
      <c r="JN12" t="n">
        <v>-23.6</v>
      </c>
      <c r="JO12" t="n">
        <v>-11.8</v>
      </c>
      <c r="JP12" t="n">
        <v>-2.4</v>
      </c>
      <c r="JQ12" t="n">
        <v>6.6</v>
      </c>
      <c r="JR12" t="n">
        <v>-3.8</v>
      </c>
      <c r="JS12" t="n">
        <v>26.4</v>
      </c>
      <c r="JT12" t="n">
        <v>30.2</v>
      </c>
      <c r="JU12" t="n">
        <v>-3.8</v>
      </c>
      <c r="JV12" t="n">
        <v>-5.4</v>
      </c>
      <c r="JW12" t="n">
        <v>-4.8</v>
      </c>
      <c r="JX12" t="n">
        <v>-2.8</v>
      </c>
      <c r="JY12" t="n">
        <v>0</v>
      </c>
      <c r="JZ12" t="n">
        <v>-4.8</v>
      </c>
      <c r="KA12" t="n">
        <v>-3.4</v>
      </c>
    </row>
    <row r="13">
      <c r="A13" t="inlineStr">
        <is>
          <t>Fremantle</t>
        </is>
      </c>
      <c r="B13" t="inlineStr">
        <is>
          <t>Frem</t>
        </is>
      </c>
      <c r="C13" t="n">
        <v>5</v>
      </c>
      <c r="D13" t="n">
        <v>26</v>
      </c>
      <c r="E13" t="n">
        <v>25.493</v>
      </c>
      <c r="F13" t="n">
        <v>102.635</v>
      </c>
      <c r="G13" t="n">
        <v>205.98</v>
      </c>
      <c r="H13" t="n">
        <v>1597</v>
      </c>
      <c r="I13" t="n">
        <v>1351.6</v>
      </c>
      <c r="J13" t="n">
        <v>12.6</v>
      </c>
      <c r="K13" t="n">
        <v>49.335</v>
      </c>
      <c r="L13" t="n">
        <v>40</v>
      </c>
      <c r="M13" t="n">
        <v>184.6</v>
      </c>
      <c r="N13" t="n">
        <v>138.8</v>
      </c>
      <c r="O13" t="n">
        <v>323.4</v>
      </c>
      <c r="P13" t="n">
        <v>71.48999999999999</v>
      </c>
      <c r="Q13" t="n">
        <v>63.814</v>
      </c>
      <c r="R13" t="n">
        <v>81.7</v>
      </c>
      <c r="S13" t="n">
        <v>57.081</v>
      </c>
      <c r="T13" t="n">
        <v>5.267</v>
      </c>
      <c r="U13" t="n">
        <v>52.6</v>
      </c>
      <c r="V13" t="n">
        <v>36</v>
      </c>
      <c r="W13" t="n">
        <v>72.874</v>
      </c>
      <c r="X13" t="n">
        <v>5774.6</v>
      </c>
      <c r="Y13" t="n">
        <v>17.856</v>
      </c>
      <c r="Z13" t="n">
        <v>5502.994</v>
      </c>
      <c r="AA13" t="n">
        <v>30.005</v>
      </c>
      <c r="AB13" t="n">
        <v>161.994</v>
      </c>
      <c r="AC13" t="n">
        <v>1.167</v>
      </c>
      <c r="AD13" t="n">
        <v>54</v>
      </c>
      <c r="AE13" t="n">
        <v>5.989</v>
      </c>
      <c r="AF13" t="n">
        <v>67</v>
      </c>
      <c r="AG13" t="n">
        <v>4.827</v>
      </c>
      <c r="AH13" t="n">
        <v>67.184</v>
      </c>
      <c r="AI13" t="n">
        <v>46.296</v>
      </c>
      <c r="AJ13" t="n">
        <v>23.196</v>
      </c>
      <c r="AK13" t="n">
        <v>-2.334</v>
      </c>
      <c r="AL13" t="n">
        <v>52.32</v>
      </c>
      <c r="AM13" t="n">
        <v>-4.137</v>
      </c>
      <c r="AN13" t="n">
        <v>136.8</v>
      </c>
      <c r="AO13" t="n">
        <v>184.8</v>
      </c>
      <c r="AP13" t="n">
        <v>321.6</v>
      </c>
      <c r="AQ13" t="n">
        <v>42.537</v>
      </c>
      <c r="AR13" t="n">
        <v>65</v>
      </c>
      <c r="AS13" t="n">
        <v>89.8</v>
      </c>
      <c r="AT13" t="n">
        <v>12.4</v>
      </c>
      <c r="AU13" t="n">
        <v>20.4</v>
      </c>
      <c r="AV13" t="n">
        <v>69.40000000000001</v>
      </c>
      <c r="AW13" t="n">
        <v>84.59999999999999</v>
      </c>
      <c r="AX13" t="n">
        <v>58.8</v>
      </c>
      <c r="AY13" t="n">
        <v>10.4</v>
      </c>
      <c r="AZ13" t="n">
        <v>21</v>
      </c>
      <c r="BA13" t="n">
        <v>110</v>
      </c>
      <c r="BB13" t="n">
        <v>13.8</v>
      </c>
      <c r="BC13" t="n">
        <v>26.4</v>
      </c>
      <c r="BD13" t="n">
        <v>40.2</v>
      </c>
      <c r="BE13" t="n">
        <v>41.2</v>
      </c>
      <c r="BF13" t="n">
        <v>79.126</v>
      </c>
      <c r="BG13" t="n">
        <v>65.40000000000001</v>
      </c>
      <c r="BH13" t="n">
        <v>10.6</v>
      </c>
      <c r="BI13" t="n">
        <v>10.4</v>
      </c>
      <c r="BJ13" t="n">
        <v>19.772</v>
      </c>
      <c r="BK13" t="n">
        <v>14.8</v>
      </c>
      <c r="BL13" t="n">
        <v>6.6</v>
      </c>
      <c r="BM13" t="n">
        <v>14</v>
      </c>
      <c r="BN13" t="n">
        <v>7</v>
      </c>
      <c r="BO13" t="n">
        <v>12.4</v>
      </c>
      <c r="BP13" t="n">
        <v>9.800000000000001</v>
      </c>
      <c r="BQ13" t="n">
        <v>84.2</v>
      </c>
      <c r="BR13" t="n">
        <v>2</v>
      </c>
      <c r="BS13" t="n">
        <v>25.6</v>
      </c>
      <c r="BT13" t="n">
        <v>9.199999999999999</v>
      </c>
      <c r="BU13" t="n">
        <v>48.438</v>
      </c>
      <c r="BV13" t="n">
        <v>23.574</v>
      </c>
      <c r="BW13" t="n">
        <v>42.205</v>
      </c>
      <c r="BX13" t="n">
        <v>48.669</v>
      </c>
      <c r="BY13" t="n">
        <v>11.2</v>
      </c>
      <c r="BZ13" t="n">
        <v>30.357</v>
      </c>
      <c r="CA13" t="n">
        <v>3.109</v>
      </c>
      <c r="CB13" t="n">
        <v>-0.109</v>
      </c>
      <c r="CC13" t="n">
        <v>85.905</v>
      </c>
      <c r="CD13" t="n">
        <v>-3.705</v>
      </c>
      <c r="CE13" t="n">
        <v>3.356</v>
      </c>
      <c r="CF13" t="n">
        <v>-0.145</v>
      </c>
      <c r="CG13" t="n">
        <v>3.657</v>
      </c>
      <c r="CH13" t="n">
        <v>-0.06</v>
      </c>
      <c r="CI13" t="n">
        <v>3.024</v>
      </c>
      <c r="CJ13" t="n">
        <v>-0.237</v>
      </c>
      <c r="CK13" t="n">
        <v>2.6</v>
      </c>
      <c r="CL13" t="n">
        <v>34.6</v>
      </c>
      <c r="CM13" t="n">
        <v>47</v>
      </c>
      <c r="CN13" t="n">
        <v>32.2</v>
      </c>
      <c r="CO13" t="n">
        <v>41.2</v>
      </c>
      <c r="CP13" t="n">
        <v>10.8</v>
      </c>
      <c r="CQ13" t="n">
        <v>19.577</v>
      </c>
      <c r="CR13" t="n">
        <v>20</v>
      </c>
      <c r="CS13" t="n">
        <v>7.368</v>
      </c>
      <c r="CT13" t="n">
        <v>27.778</v>
      </c>
      <c r="CU13" t="n">
        <v>10.557</v>
      </c>
      <c r="CV13" t="n">
        <v>11.2</v>
      </c>
      <c r="CW13" t="n">
        <v>21.429</v>
      </c>
      <c r="CX13" t="n">
        <v>62.4</v>
      </c>
      <c r="CY13" t="n">
        <v>9.199999999999999</v>
      </c>
      <c r="CZ13" t="n">
        <v>270.4</v>
      </c>
      <c r="DA13" t="n">
        <v>137.6</v>
      </c>
      <c r="DB13" t="n">
        <v>36.4</v>
      </c>
      <c r="DC13" t="n">
        <v>95.8</v>
      </c>
      <c r="DD13" t="n">
        <v>36.2</v>
      </c>
      <c r="DE13" t="n">
        <v>37.787</v>
      </c>
      <c r="DF13" t="n">
        <v>10.4</v>
      </c>
      <c r="DG13" t="n">
        <v>28.729</v>
      </c>
      <c r="DH13" t="n">
        <v>3</v>
      </c>
      <c r="DI13" t="n">
        <v>41.989</v>
      </c>
      <c r="DJ13" t="n">
        <v>41.436</v>
      </c>
      <c r="DK13" t="n">
        <v>18.4</v>
      </c>
      <c r="DL13" t="n">
        <v>20.8</v>
      </c>
      <c r="DM13" t="n">
        <v>-2.4</v>
      </c>
      <c r="DN13" t="n">
        <v>10.4</v>
      </c>
      <c r="DO13" t="n">
        <v>98.077</v>
      </c>
      <c r="DP13" t="n">
        <v>5.4</v>
      </c>
      <c r="DQ13" t="n">
        <v>51</v>
      </c>
      <c r="DR13" t="n">
        <v>71.8</v>
      </c>
      <c r="DS13" t="n">
        <v>205.3</v>
      </c>
      <c r="DT13" t="n">
        <v>1702.6</v>
      </c>
      <c r="DU13" t="n">
        <v>1558.6</v>
      </c>
      <c r="DV13" t="n">
        <v>17.4</v>
      </c>
      <c r="DW13" t="n">
        <v>42.6</v>
      </c>
      <c r="DX13" t="n">
        <v>214.4</v>
      </c>
      <c r="DY13" t="n">
        <v>148.2</v>
      </c>
      <c r="DZ13" t="n">
        <v>362.6</v>
      </c>
      <c r="EA13" t="n">
        <v>72.642</v>
      </c>
      <c r="EB13" t="n">
        <v>66.41800000000001</v>
      </c>
      <c r="EC13" t="n">
        <v>81.646</v>
      </c>
      <c r="ED13" t="n">
        <v>5.811</v>
      </c>
      <c r="EE13" t="n">
        <v>49.4</v>
      </c>
      <c r="EF13" t="n">
        <v>38.6</v>
      </c>
      <c r="EG13" t="n">
        <v>73.384</v>
      </c>
      <c r="EH13" t="n">
        <v>5811.6</v>
      </c>
      <c r="EI13" t="n">
        <v>16.028</v>
      </c>
      <c r="EJ13" t="n">
        <v>5467.704</v>
      </c>
      <c r="EK13" t="n">
        <v>25.574</v>
      </c>
      <c r="EL13" t="n">
        <v>164.834</v>
      </c>
      <c r="EM13" t="n">
        <v>1.114</v>
      </c>
      <c r="EN13" t="n">
        <v>56.4</v>
      </c>
      <c r="EO13" t="n">
        <v>6.429</v>
      </c>
      <c r="EP13" t="n">
        <v>65</v>
      </c>
      <c r="EQ13" t="n">
        <v>5.578</v>
      </c>
      <c r="ER13" t="n">
        <v>70.143</v>
      </c>
      <c r="ES13" t="n">
        <v>51.196</v>
      </c>
      <c r="ET13" t="n">
        <v>23.022</v>
      </c>
      <c r="EU13" t="n">
        <v>0.594</v>
      </c>
      <c r="EV13" t="n">
        <v>58.439</v>
      </c>
      <c r="EW13" t="n">
        <v>-1.715</v>
      </c>
      <c r="EX13" t="n">
        <v>138.2</v>
      </c>
      <c r="EY13" t="n">
        <v>217.4</v>
      </c>
      <c r="EZ13" t="n">
        <v>355.6</v>
      </c>
      <c r="FA13" t="n">
        <v>38.864</v>
      </c>
      <c r="FB13" t="n">
        <v>67</v>
      </c>
      <c r="FC13" t="n">
        <v>92.2</v>
      </c>
      <c r="FD13" t="n">
        <v>18</v>
      </c>
      <c r="FE13" t="n">
        <v>22.4</v>
      </c>
      <c r="FF13" t="n">
        <v>69.8</v>
      </c>
      <c r="FG13" t="n">
        <v>87.2</v>
      </c>
      <c r="FH13" t="n">
        <v>60.8</v>
      </c>
      <c r="FI13" t="n">
        <v>10</v>
      </c>
      <c r="FJ13" t="n">
        <v>28</v>
      </c>
      <c r="FK13" t="n">
        <v>117.2</v>
      </c>
      <c r="FL13" t="n">
        <v>11.4</v>
      </c>
      <c r="FM13" t="n">
        <v>25.2</v>
      </c>
      <c r="FN13" t="n">
        <v>36.6</v>
      </c>
      <c r="FO13" t="n">
        <v>42.4</v>
      </c>
      <c r="FP13" t="n">
        <v>74.52800000000001</v>
      </c>
      <c r="FQ13" t="n">
        <v>94.59999999999999</v>
      </c>
      <c r="FR13" t="n">
        <v>12</v>
      </c>
      <c r="FS13" t="n">
        <v>10.6</v>
      </c>
      <c r="FT13" t="n">
        <v>21.457</v>
      </c>
      <c r="FU13" t="n">
        <v>15</v>
      </c>
      <c r="FV13" t="n">
        <v>8.199999999999999</v>
      </c>
      <c r="FW13" t="n">
        <v>12.6</v>
      </c>
      <c r="FX13" t="n">
        <v>10.6</v>
      </c>
      <c r="FY13" t="n">
        <v>86.2</v>
      </c>
      <c r="FZ13" t="n">
        <v>1.8</v>
      </c>
      <c r="GA13" t="n">
        <v>25</v>
      </c>
      <c r="GB13" t="n">
        <v>7.4</v>
      </c>
      <c r="GC13" t="n">
        <v>50.4</v>
      </c>
      <c r="GD13" t="n">
        <v>25.506</v>
      </c>
      <c r="GE13" t="n">
        <v>46.964</v>
      </c>
      <c r="GF13" t="n">
        <v>50.607</v>
      </c>
      <c r="GG13" t="n">
        <v>80.575</v>
      </c>
      <c r="GH13" t="n">
        <v>3.825</v>
      </c>
      <c r="GI13" t="n">
        <v>3.223</v>
      </c>
      <c r="GJ13" t="n">
        <v>0.153</v>
      </c>
      <c r="GK13" t="n">
        <v>3.513</v>
      </c>
      <c r="GL13" t="n">
        <v>0.159</v>
      </c>
      <c r="GM13" t="n">
        <v>2.888</v>
      </c>
      <c r="GN13" t="n">
        <v>0.146</v>
      </c>
      <c r="GO13" t="n">
        <v>3.4</v>
      </c>
      <c r="GP13" t="n">
        <v>33.8</v>
      </c>
      <c r="GQ13" t="n">
        <v>49</v>
      </c>
      <c r="GR13" t="n">
        <v>27.2</v>
      </c>
      <c r="GS13" t="n">
        <v>47</v>
      </c>
      <c r="GT13" t="n">
        <v>12</v>
      </c>
      <c r="GU13" t="n">
        <v>20.939</v>
      </c>
      <c r="GV13" t="n">
        <v>21.762</v>
      </c>
      <c r="GW13" t="n">
        <v>12.435</v>
      </c>
      <c r="GX13" t="n">
        <v>26.524</v>
      </c>
      <c r="GY13" t="n">
        <v>12.5</v>
      </c>
      <c r="GZ13" t="n">
        <v>61.4</v>
      </c>
      <c r="HA13" t="n">
        <v>13.6</v>
      </c>
      <c r="HB13" t="n">
        <v>267</v>
      </c>
      <c r="HC13" t="n">
        <v>123.4</v>
      </c>
      <c r="HD13" t="n">
        <v>33.4</v>
      </c>
      <c r="HE13" t="n">
        <v>39.6</v>
      </c>
      <c r="HF13" t="n">
        <v>41.336</v>
      </c>
      <c r="HG13" t="n">
        <v>10.4</v>
      </c>
      <c r="HH13" t="n">
        <v>26.263</v>
      </c>
      <c r="HI13" t="n">
        <v>3.4</v>
      </c>
      <c r="HJ13" t="n">
        <v>41.919</v>
      </c>
      <c r="HK13" t="n">
        <v>36.869</v>
      </c>
      <c r="HL13" t="n">
        <v>9.4</v>
      </c>
      <c r="HM13" t="n">
        <v>76.596</v>
      </c>
      <c r="HN13" t="n">
        <v>7.2</v>
      </c>
      <c r="HO13" t="n">
        <v>44.6</v>
      </c>
      <c r="HP13" t="n">
        <v>70.2</v>
      </c>
      <c r="HQ13" t="n">
        <v>0.68</v>
      </c>
      <c r="HR13" t="n">
        <v>-105.6</v>
      </c>
      <c r="HS13" t="n">
        <v>-207</v>
      </c>
      <c r="HT13" t="n">
        <v>-4.8</v>
      </c>
      <c r="HU13" t="n">
        <v>-2.6</v>
      </c>
      <c r="HV13" t="n">
        <v>-29.8</v>
      </c>
      <c r="HW13" t="n">
        <v>-9.4</v>
      </c>
      <c r="HX13" t="n">
        <v>-39.2</v>
      </c>
      <c r="HY13" t="n">
        <v>3.2</v>
      </c>
      <c r="HZ13" t="n">
        <v>-37</v>
      </c>
      <c r="IA13" t="n">
        <v>35.29</v>
      </c>
      <c r="IB13" t="n">
        <v>-2.84</v>
      </c>
      <c r="IC13" t="n">
        <v>-2.4</v>
      </c>
      <c r="ID13" t="n">
        <v>2</v>
      </c>
      <c r="IE13" t="n">
        <v>-2.929</v>
      </c>
      <c r="IF13" t="n">
        <v>-2.421</v>
      </c>
      <c r="IG13" t="n">
        <v>-1.4</v>
      </c>
      <c r="IH13" t="n">
        <v>-32.6</v>
      </c>
      <c r="II13" t="n">
        <v>-34</v>
      </c>
      <c r="IJ13" t="n">
        <v>-2</v>
      </c>
      <c r="IK13" t="n">
        <v>-2.4</v>
      </c>
      <c r="IL13" t="n">
        <v>-5.6</v>
      </c>
      <c r="IM13" t="n">
        <v>-2</v>
      </c>
      <c r="IN13" t="n">
        <v>-0.4</v>
      </c>
      <c r="IO13" t="n">
        <v>-2.6</v>
      </c>
      <c r="IP13" t="n">
        <v>-2</v>
      </c>
      <c r="IQ13" t="n">
        <v>0.4</v>
      </c>
      <c r="IR13" t="n">
        <v>-7</v>
      </c>
      <c r="IS13" t="n">
        <v>-7.2</v>
      </c>
      <c r="IT13" t="n">
        <v>2.4</v>
      </c>
      <c r="IU13" t="n">
        <v>1.2</v>
      </c>
      <c r="IV13" t="n">
        <v>3.6</v>
      </c>
      <c r="IW13" t="n">
        <v>-1.2</v>
      </c>
      <c r="IX13" t="n">
        <v>-29.2</v>
      </c>
      <c r="IY13" t="n">
        <v>-1.4</v>
      </c>
      <c r="IZ13" t="n">
        <v>-0.2</v>
      </c>
      <c r="JA13" t="n">
        <v>-0.2</v>
      </c>
      <c r="JB13" t="n">
        <v>-1.6</v>
      </c>
      <c r="JC13" t="n">
        <v>-0.2</v>
      </c>
      <c r="JD13" t="n">
        <v>-0.8</v>
      </c>
      <c r="JE13" t="n">
        <v>-2</v>
      </c>
      <c r="JF13" t="n">
        <v>0.6</v>
      </c>
      <c r="JG13" t="n">
        <v>1.8</v>
      </c>
      <c r="JH13" t="n">
        <v>5.33</v>
      </c>
      <c r="JI13" t="n">
        <v>-7.53</v>
      </c>
      <c r="JJ13" t="n">
        <v>0.133</v>
      </c>
      <c r="JK13" t="n">
        <v>-0.8</v>
      </c>
      <c r="JL13" t="n">
        <v>0.8</v>
      </c>
      <c r="JM13" t="n">
        <v>-2</v>
      </c>
      <c r="JN13" t="n">
        <v>5</v>
      </c>
      <c r="JO13" t="n">
        <v>-5.8</v>
      </c>
      <c r="JP13" t="n">
        <v>-1.2</v>
      </c>
      <c r="JQ13" t="n">
        <v>1</v>
      </c>
      <c r="JR13" t="n">
        <v>-4.4</v>
      </c>
      <c r="JS13" t="n">
        <v>3.4</v>
      </c>
      <c r="JT13" t="n">
        <v>14.2</v>
      </c>
      <c r="JU13" t="n">
        <v>3</v>
      </c>
      <c r="JV13" t="n">
        <v>-3.4</v>
      </c>
      <c r="JW13" t="n">
        <v>0</v>
      </c>
      <c r="JX13" t="n">
        <v>-0.4</v>
      </c>
      <c r="JY13" t="n">
        <v>-1.8</v>
      </c>
      <c r="JZ13" t="n">
        <v>6.4</v>
      </c>
      <c r="KA13" t="n">
        <v>1.6</v>
      </c>
    </row>
    <row r="14">
      <c r="A14" t="inlineStr">
        <is>
          <t>Collingwood</t>
        </is>
      </c>
      <c r="B14" t="inlineStr">
        <is>
          <t>Coll</t>
        </is>
      </c>
      <c r="C14" t="n">
        <v>5</v>
      </c>
      <c r="D14" t="n">
        <v>28</v>
      </c>
      <c r="E14" t="n">
        <v>29.055</v>
      </c>
      <c r="F14" t="n">
        <v>169.904</v>
      </c>
      <c r="G14" t="n">
        <v>192.52</v>
      </c>
      <c r="H14" t="n">
        <v>1604.4</v>
      </c>
      <c r="I14" t="n">
        <v>1452.6</v>
      </c>
      <c r="J14" t="n">
        <v>13</v>
      </c>
      <c r="K14" t="n">
        <v>52.277</v>
      </c>
      <c r="L14" t="n">
        <v>42</v>
      </c>
      <c r="M14" t="n">
        <v>204</v>
      </c>
      <c r="N14" t="n">
        <v>135.8</v>
      </c>
      <c r="O14" t="n">
        <v>339.8</v>
      </c>
      <c r="P14" t="n">
        <v>70.747</v>
      </c>
      <c r="Q14" t="n">
        <v>66.471</v>
      </c>
      <c r="R14" t="n">
        <v>77.172</v>
      </c>
      <c r="S14" t="n">
        <v>60.035</v>
      </c>
      <c r="T14" t="n">
        <v>6.316</v>
      </c>
      <c r="U14" t="n">
        <v>53.4</v>
      </c>
      <c r="V14" t="n">
        <v>36.8</v>
      </c>
      <c r="W14" t="n">
        <v>74.194</v>
      </c>
      <c r="X14" t="n">
        <v>6022.4</v>
      </c>
      <c r="Y14" t="n">
        <v>17.723</v>
      </c>
      <c r="Z14" t="n">
        <v>5537.508</v>
      </c>
      <c r="AA14" t="n">
        <v>27.278</v>
      </c>
      <c r="AB14" t="n">
        <v>302.128</v>
      </c>
      <c r="AC14" t="n">
        <v>2.225</v>
      </c>
      <c r="AD14" t="n">
        <v>60.4</v>
      </c>
      <c r="AE14" t="n">
        <v>5.626</v>
      </c>
      <c r="AF14" t="n">
        <v>67</v>
      </c>
      <c r="AG14" t="n">
        <v>5.072</v>
      </c>
      <c r="AH14" t="n">
        <v>65.901</v>
      </c>
      <c r="AI14" t="n">
        <v>40.991</v>
      </c>
      <c r="AJ14" t="n">
        <v>25.276</v>
      </c>
      <c r="AK14" t="n">
        <v>-5.444</v>
      </c>
      <c r="AL14" t="n">
        <v>55.737</v>
      </c>
      <c r="AM14" t="n">
        <v>-0.6889999999999999</v>
      </c>
      <c r="AN14" t="n">
        <v>122</v>
      </c>
      <c r="AO14" t="n">
        <v>206.4</v>
      </c>
      <c r="AP14" t="n">
        <v>328.4</v>
      </c>
      <c r="AQ14" t="n">
        <v>37.15</v>
      </c>
      <c r="AR14" t="n">
        <v>70.59999999999999</v>
      </c>
      <c r="AS14" t="n">
        <v>81.59999999999999</v>
      </c>
      <c r="AT14" t="n">
        <v>14.4</v>
      </c>
      <c r="AU14" t="n">
        <v>20.4</v>
      </c>
      <c r="AV14" t="n">
        <v>61.2</v>
      </c>
      <c r="AW14" t="n">
        <v>71.59999999999999</v>
      </c>
      <c r="AX14" t="n">
        <v>50.4</v>
      </c>
      <c r="AY14" t="n">
        <v>9.4</v>
      </c>
      <c r="AZ14" t="n">
        <v>17.2</v>
      </c>
      <c r="BA14" t="n">
        <v>100.2</v>
      </c>
      <c r="BB14" t="n">
        <v>11.6</v>
      </c>
      <c r="BC14" t="n">
        <v>23.8</v>
      </c>
      <c r="BD14" t="n">
        <v>35.4</v>
      </c>
      <c r="BE14" t="n">
        <v>42.4</v>
      </c>
      <c r="BF14" t="n">
        <v>71.69799999999999</v>
      </c>
      <c r="BG14" t="n">
        <v>89.8</v>
      </c>
      <c r="BH14" t="n">
        <v>8.199999999999999</v>
      </c>
      <c r="BI14" t="n">
        <v>13</v>
      </c>
      <c r="BJ14" t="n">
        <v>24.345</v>
      </c>
      <c r="BK14" t="n">
        <v>22.2</v>
      </c>
      <c r="BL14" t="n">
        <v>9.800000000000001</v>
      </c>
      <c r="BM14" t="n">
        <v>15</v>
      </c>
      <c r="BN14" t="n">
        <v>6.4</v>
      </c>
      <c r="BO14" t="n">
        <v>9.4</v>
      </c>
      <c r="BP14" t="n">
        <v>10.4</v>
      </c>
      <c r="BQ14" t="n">
        <v>66.8</v>
      </c>
      <c r="BR14" t="n">
        <v>1.2</v>
      </c>
      <c r="BS14" t="n">
        <v>22.4</v>
      </c>
      <c r="BT14" t="n">
        <v>7.4</v>
      </c>
      <c r="BU14" t="n">
        <v>41.964</v>
      </c>
      <c r="BV14" t="n">
        <v>17.603</v>
      </c>
      <c r="BW14" t="n">
        <v>37.079</v>
      </c>
      <c r="BX14" t="n">
        <v>41.948</v>
      </c>
      <c r="BY14" t="n">
        <v>10.6</v>
      </c>
      <c r="BZ14" t="n">
        <v>15.094</v>
      </c>
      <c r="CA14" t="n">
        <v>2.463</v>
      </c>
      <c r="CB14" t="n">
        <v>-0.463</v>
      </c>
      <c r="CC14" t="n">
        <v>69.04000000000001</v>
      </c>
      <c r="CD14" t="n">
        <v>-3.44</v>
      </c>
      <c r="CE14" t="n">
        <v>3.082</v>
      </c>
      <c r="CF14" t="n">
        <v>-0.154</v>
      </c>
      <c r="CG14" t="n">
        <v>3.27</v>
      </c>
      <c r="CH14" t="n">
        <v>-0.004</v>
      </c>
      <c r="CI14" t="n">
        <v>2.865</v>
      </c>
      <c r="CJ14" t="n">
        <v>-0.326</v>
      </c>
      <c r="CK14" t="n">
        <v>2.4</v>
      </c>
      <c r="CL14" t="n">
        <v>25</v>
      </c>
      <c r="CM14" t="n">
        <v>39.4</v>
      </c>
      <c r="CN14" t="n">
        <v>21</v>
      </c>
      <c r="CO14" t="n">
        <v>37.2</v>
      </c>
      <c r="CP14" t="n">
        <v>8.6</v>
      </c>
      <c r="CQ14" t="n">
        <v>17.469</v>
      </c>
      <c r="CR14" t="n">
        <v>25.946</v>
      </c>
      <c r="CS14" t="n">
        <v>5.946</v>
      </c>
      <c r="CT14" t="n">
        <v>32.37</v>
      </c>
      <c r="CU14" t="n">
        <v>8.696</v>
      </c>
      <c r="CV14" t="n">
        <v>8.4</v>
      </c>
      <c r="CW14" t="n">
        <v>33.333</v>
      </c>
      <c r="CX14" t="n">
        <v>61.2</v>
      </c>
      <c r="CY14" t="n">
        <v>14.2</v>
      </c>
      <c r="CZ14" t="n">
        <v>266.2</v>
      </c>
      <c r="DA14" t="n">
        <v>119.4</v>
      </c>
      <c r="DB14" t="n">
        <v>29.8</v>
      </c>
      <c r="DC14" t="n">
        <v>93.40000000000001</v>
      </c>
      <c r="DD14" t="n">
        <v>33.2</v>
      </c>
      <c r="DE14" t="n">
        <v>35.546</v>
      </c>
      <c r="DF14" t="n">
        <v>10.2</v>
      </c>
      <c r="DG14" t="n">
        <v>30.723</v>
      </c>
      <c r="DH14" t="n">
        <v>2</v>
      </c>
      <c r="DI14" t="n">
        <v>48.795</v>
      </c>
      <c r="DJ14" t="n">
        <v>40.361</v>
      </c>
      <c r="DK14" t="n">
        <v>18.4</v>
      </c>
      <c r="DL14" t="n">
        <v>20.8</v>
      </c>
      <c r="DM14" t="n">
        <v>-2.4</v>
      </c>
      <c r="DN14" t="n">
        <v>7.6</v>
      </c>
      <c r="DO14" t="n">
        <v>89.474</v>
      </c>
      <c r="DP14" t="n">
        <v>4.2</v>
      </c>
      <c r="DQ14" t="n">
        <v>43</v>
      </c>
      <c r="DR14" t="n">
        <v>66.8</v>
      </c>
      <c r="DS14" t="n">
        <v>202.38</v>
      </c>
      <c r="DT14" t="n">
        <v>1696.2</v>
      </c>
      <c r="DU14" t="n">
        <v>1554.4</v>
      </c>
      <c r="DV14" t="n">
        <v>17</v>
      </c>
      <c r="DW14" t="n">
        <v>41.2</v>
      </c>
      <c r="DX14" t="n">
        <v>227</v>
      </c>
      <c r="DY14" t="n">
        <v>138.8</v>
      </c>
      <c r="DZ14" t="n">
        <v>365.8</v>
      </c>
      <c r="EA14" t="n">
        <v>72.06100000000001</v>
      </c>
      <c r="EB14" t="n">
        <v>65.639</v>
      </c>
      <c r="EC14" t="n">
        <v>82.565</v>
      </c>
      <c r="ED14" t="n">
        <v>5.977</v>
      </c>
      <c r="EE14" t="n">
        <v>49.6</v>
      </c>
      <c r="EF14" t="n">
        <v>42.8</v>
      </c>
      <c r="EG14" t="n">
        <v>80.15000000000001</v>
      </c>
      <c r="EH14" t="n">
        <v>6044.2</v>
      </c>
      <c r="EI14" t="n">
        <v>16.523</v>
      </c>
      <c r="EJ14" t="n">
        <v>5784.664</v>
      </c>
      <c r="EK14" t="n">
        <v>25.664</v>
      </c>
      <c r="EL14" t="n">
        <v>102.724</v>
      </c>
      <c r="EM14" t="n">
        <v>0.742</v>
      </c>
      <c r="EN14" t="n">
        <v>62</v>
      </c>
      <c r="EO14" t="n">
        <v>5.9</v>
      </c>
      <c r="EP14" t="n">
        <v>70.40000000000001</v>
      </c>
      <c r="EQ14" t="n">
        <v>5.196</v>
      </c>
      <c r="ER14" t="n">
        <v>70.411</v>
      </c>
      <c r="ES14" t="n">
        <v>47.867</v>
      </c>
      <c r="ET14" t="n">
        <v>22.393</v>
      </c>
      <c r="EU14" t="n">
        <v>-0.6899999999999999</v>
      </c>
      <c r="EV14" t="n">
        <v>57.447</v>
      </c>
      <c r="EW14" t="n">
        <v>0.497</v>
      </c>
      <c r="EX14" t="n">
        <v>136.4</v>
      </c>
      <c r="EY14" t="n">
        <v>222.4</v>
      </c>
      <c r="EZ14" t="n">
        <v>358.8</v>
      </c>
      <c r="FA14" t="n">
        <v>38.016</v>
      </c>
      <c r="FB14" t="n">
        <v>67</v>
      </c>
      <c r="FC14" t="n">
        <v>90</v>
      </c>
      <c r="FD14" t="n">
        <v>11.8</v>
      </c>
      <c r="FE14" t="n">
        <v>22.8</v>
      </c>
      <c r="FF14" t="n">
        <v>67.2</v>
      </c>
      <c r="FG14" t="n">
        <v>87</v>
      </c>
      <c r="FH14" t="n">
        <v>59.4</v>
      </c>
      <c r="FI14" t="n">
        <v>9.800000000000001</v>
      </c>
      <c r="FJ14" t="n">
        <v>21.6</v>
      </c>
      <c r="FK14" t="n">
        <v>112.4</v>
      </c>
      <c r="FL14" t="n">
        <v>11</v>
      </c>
      <c r="FM14" t="n">
        <v>27.2</v>
      </c>
      <c r="FN14" t="n">
        <v>38.2</v>
      </c>
      <c r="FO14" t="n">
        <v>37.4</v>
      </c>
      <c r="FP14" t="n">
        <v>78.61</v>
      </c>
      <c r="FQ14" t="n">
        <v>98.59999999999999</v>
      </c>
      <c r="FR14" t="n">
        <v>11.6</v>
      </c>
      <c r="FS14" t="n">
        <v>11.6</v>
      </c>
      <c r="FT14" t="n">
        <v>23.387</v>
      </c>
      <c r="FU14" t="n">
        <v>16.2</v>
      </c>
      <c r="FV14" t="n">
        <v>6</v>
      </c>
      <c r="FW14" t="n">
        <v>12</v>
      </c>
      <c r="FX14" t="n">
        <v>8</v>
      </c>
      <c r="FY14" t="n">
        <v>80</v>
      </c>
      <c r="FZ14" t="n">
        <v>2</v>
      </c>
      <c r="GA14" t="n">
        <v>22.6</v>
      </c>
      <c r="GB14" t="n">
        <v>8.199999999999999</v>
      </c>
      <c r="GC14" t="n">
        <v>53.097</v>
      </c>
      <c r="GD14" t="n">
        <v>24.194</v>
      </c>
      <c r="GE14" t="n">
        <v>40.323</v>
      </c>
      <c r="GF14" t="n">
        <v>45.565</v>
      </c>
      <c r="GG14" t="n">
        <v>74.279</v>
      </c>
      <c r="GH14" t="n">
        <v>3.721</v>
      </c>
      <c r="GI14" t="n">
        <v>3.287</v>
      </c>
      <c r="GJ14" t="n">
        <v>0.165</v>
      </c>
      <c r="GK14" t="n">
        <v>3.504</v>
      </c>
      <c r="GL14" t="n">
        <v>0.213</v>
      </c>
      <c r="GM14" t="n">
        <v>2.971</v>
      </c>
      <c r="GN14" t="n">
        <v>0.094</v>
      </c>
      <c r="GO14" t="n">
        <v>1.6</v>
      </c>
      <c r="GP14" t="n">
        <v>42.2</v>
      </c>
      <c r="GQ14" t="n">
        <v>36.2</v>
      </c>
      <c r="GR14" t="n">
        <v>31.4</v>
      </c>
      <c r="GS14" t="n">
        <v>39</v>
      </c>
      <c r="GT14" t="n">
        <v>9.6</v>
      </c>
      <c r="GU14" t="n">
        <v>17.73</v>
      </c>
      <c r="GV14" t="n">
        <v>21.287</v>
      </c>
      <c r="GW14" t="n">
        <v>8.416</v>
      </c>
      <c r="GX14" t="n">
        <v>30.959</v>
      </c>
      <c r="GY14" t="n">
        <v>11.538</v>
      </c>
      <c r="GZ14" t="n">
        <v>53.8</v>
      </c>
      <c r="HA14" t="n">
        <v>6</v>
      </c>
      <c r="HB14" t="n">
        <v>254</v>
      </c>
      <c r="HC14" t="n">
        <v>130</v>
      </c>
      <c r="HD14" t="n">
        <v>30.2</v>
      </c>
      <c r="HE14" t="n">
        <v>41.2</v>
      </c>
      <c r="HF14" t="n">
        <v>44.111</v>
      </c>
      <c r="HG14" t="n">
        <v>10.4</v>
      </c>
      <c r="HH14" t="n">
        <v>25.243</v>
      </c>
      <c r="HI14" t="n">
        <v>2.6</v>
      </c>
      <c r="HJ14" t="n">
        <v>44.175</v>
      </c>
      <c r="HK14" t="n">
        <v>46.117</v>
      </c>
      <c r="HL14" t="n">
        <v>10</v>
      </c>
      <c r="HM14" t="n">
        <v>94</v>
      </c>
      <c r="HN14" t="n">
        <v>4.2</v>
      </c>
      <c r="HO14" t="n">
        <v>43</v>
      </c>
      <c r="HP14" t="n">
        <v>68.2</v>
      </c>
      <c r="HQ14" t="n">
        <v>-9.859999999999999</v>
      </c>
      <c r="HR14" t="n">
        <v>-91.8</v>
      </c>
      <c r="HS14" t="n">
        <v>-101.8</v>
      </c>
      <c r="HT14" t="n">
        <v>-4</v>
      </c>
      <c r="HU14" t="n">
        <v>0.8</v>
      </c>
      <c r="HV14" t="n">
        <v>-23</v>
      </c>
      <c r="HW14" t="n">
        <v>-3</v>
      </c>
      <c r="HX14" t="n">
        <v>-26</v>
      </c>
      <c r="HY14" t="n">
        <v>3.8</v>
      </c>
      <c r="HZ14" t="n">
        <v>-21.8</v>
      </c>
      <c r="IA14" t="n">
        <v>-247.156</v>
      </c>
      <c r="IB14" t="n">
        <v>199.404</v>
      </c>
      <c r="IC14" t="n">
        <v>-1.6</v>
      </c>
      <c r="ID14" t="n">
        <v>-3.4</v>
      </c>
      <c r="IE14" t="n">
        <v>-4.754</v>
      </c>
      <c r="IF14" t="n">
        <v>-1.186</v>
      </c>
      <c r="IG14" t="n">
        <v>-14.4</v>
      </c>
      <c r="IH14" t="n">
        <v>-16</v>
      </c>
      <c r="II14" t="n">
        <v>-30.4</v>
      </c>
      <c r="IJ14" t="n">
        <v>3.6</v>
      </c>
      <c r="IK14" t="n">
        <v>-8.4</v>
      </c>
      <c r="IL14" t="n">
        <v>2.6</v>
      </c>
      <c r="IM14" t="n">
        <v>-2.4</v>
      </c>
      <c r="IN14" t="n">
        <v>-6</v>
      </c>
      <c r="IO14" t="n">
        <v>-15.4</v>
      </c>
      <c r="IP14" t="n">
        <v>-9</v>
      </c>
      <c r="IQ14" t="n">
        <v>-0.4</v>
      </c>
      <c r="IR14" t="n">
        <v>-4.4</v>
      </c>
      <c r="IS14" t="n">
        <v>-12.2</v>
      </c>
      <c r="IT14" t="n">
        <v>0.6</v>
      </c>
      <c r="IU14" t="n">
        <v>-3.4</v>
      </c>
      <c r="IV14" t="n">
        <v>-2.8</v>
      </c>
      <c r="IW14" t="n">
        <v>5</v>
      </c>
      <c r="IX14" t="n">
        <v>-8.800000000000001</v>
      </c>
      <c r="IY14" t="n">
        <v>-3.4</v>
      </c>
      <c r="IZ14" t="n">
        <v>1.4</v>
      </c>
      <c r="JA14" t="n">
        <v>6</v>
      </c>
      <c r="JB14" t="n">
        <v>3.8</v>
      </c>
      <c r="JC14" t="n">
        <v>-2.6</v>
      </c>
      <c r="JD14" t="n">
        <v>2.4</v>
      </c>
      <c r="JE14" t="n">
        <v>-13.2</v>
      </c>
      <c r="JF14" t="n">
        <v>-0.2</v>
      </c>
      <c r="JG14" t="n">
        <v>-0.8</v>
      </c>
      <c r="JH14" t="n">
        <v>-5.239</v>
      </c>
      <c r="JI14" t="n">
        <v>-7.161</v>
      </c>
      <c r="JJ14" t="n">
        <v>-0.205</v>
      </c>
      <c r="JK14" t="n">
        <v>0.8</v>
      </c>
      <c r="JL14" t="n">
        <v>-17.2</v>
      </c>
      <c r="JM14" t="n">
        <v>3.2</v>
      </c>
      <c r="JN14" t="n">
        <v>-10.4</v>
      </c>
      <c r="JO14" t="n">
        <v>-1.8</v>
      </c>
      <c r="JP14" t="n">
        <v>-1</v>
      </c>
      <c r="JQ14" t="n">
        <v>7.4</v>
      </c>
      <c r="JR14" t="n">
        <v>8.199999999999999</v>
      </c>
      <c r="JS14" t="n">
        <v>12.2</v>
      </c>
      <c r="JT14" t="n">
        <v>-10.6</v>
      </c>
      <c r="JU14" t="n">
        <v>-0.4</v>
      </c>
      <c r="JV14" t="n">
        <v>-8</v>
      </c>
      <c r="JW14" t="n">
        <v>-0.2</v>
      </c>
      <c r="JX14" t="n">
        <v>-0.6</v>
      </c>
      <c r="JY14" t="n">
        <v>0</v>
      </c>
      <c r="JZ14" t="n">
        <v>0</v>
      </c>
      <c r="KA14" t="n">
        <v>-1.4</v>
      </c>
    </row>
    <row r="15">
      <c r="A15" t="inlineStr">
        <is>
          <t>Adelaide</t>
        </is>
      </c>
      <c r="B15" t="inlineStr">
        <is>
          <t>Adel</t>
        </is>
      </c>
      <c r="C15" t="n">
        <v>5</v>
      </c>
      <c r="D15" t="n">
        <v>31</v>
      </c>
      <c r="E15" t="n">
        <v>26.089</v>
      </c>
      <c r="F15" t="n">
        <v>106.33</v>
      </c>
      <c r="G15" t="n">
        <v>184.14</v>
      </c>
      <c r="H15" t="n">
        <v>1594.8</v>
      </c>
      <c r="I15" t="n">
        <v>1441.6</v>
      </c>
      <c r="J15" t="n">
        <v>9.800000000000001</v>
      </c>
      <c r="K15" t="n">
        <v>47.163</v>
      </c>
      <c r="L15" t="n">
        <v>38.2</v>
      </c>
      <c r="M15" t="n">
        <v>205</v>
      </c>
      <c r="N15" t="n">
        <v>122</v>
      </c>
      <c r="O15" t="n">
        <v>327</v>
      </c>
      <c r="P15" t="n">
        <v>70.581</v>
      </c>
      <c r="Q15" t="n">
        <v>65.366</v>
      </c>
      <c r="R15" t="n">
        <v>79.34399999999999</v>
      </c>
      <c r="S15" t="n">
        <v>62.691</v>
      </c>
      <c r="T15" t="n">
        <v>4.895</v>
      </c>
      <c r="U15" t="n">
        <v>45.8</v>
      </c>
      <c r="V15" t="n">
        <v>41.6</v>
      </c>
      <c r="W15" t="n">
        <v>76.19</v>
      </c>
      <c r="X15" t="n">
        <v>5632.8</v>
      </c>
      <c r="Y15" t="n">
        <v>17.226</v>
      </c>
      <c r="Z15" t="n">
        <v>5483.778</v>
      </c>
      <c r="AA15" t="n">
        <v>26.961</v>
      </c>
      <c r="AB15" t="n">
        <v>38.148</v>
      </c>
      <c r="AC15" t="n">
        <v>0.314</v>
      </c>
      <c r="AD15" t="n">
        <v>59.2</v>
      </c>
      <c r="AE15" t="n">
        <v>5.524</v>
      </c>
      <c r="AF15" t="n">
        <v>70.2</v>
      </c>
      <c r="AG15" t="n">
        <v>4.658</v>
      </c>
      <c r="AH15" t="n">
        <v>67.29900000000001</v>
      </c>
      <c r="AI15" t="n">
        <v>48.187</v>
      </c>
      <c r="AJ15" t="n">
        <v>22.2</v>
      </c>
      <c r="AK15" t="n">
        <v>1.234</v>
      </c>
      <c r="AL15" t="n">
        <v>56.094</v>
      </c>
      <c r="AM15" t="n">
        <v>0.054</v>
      </c>
      <c r="AN15" t="n">
        <v>128.8</v>
      </c>
      <c r="AO15" t="n">
        <v>191.6</v>
      </c>
      <c r="AP15" t="n">
        <v>320.4</v>
      </c>
      <c r="AQ15" t="n">
        <v>40.2</v>
      </c>
      <c r="AR15" t="n">
        <v>66</v>
      </c>
      <c r="AS15" t="n">
        <v>85.8</v>
      </c>
      <c r="AT15" t="n">
        <v>13.2</v>
      </c>
      <c r="AU15" t="n">
        <v>24.6</v>
      </c>
      <c r="AV15" t="n">
        <v>61.2</v>
      </c>
      <c r="AW15" t="n">
        <v>80.59999999999999</v>
      </c>
      <c r="AX15" t="n">
        <v>54.8</v>
      </c>
      <c r="AY15" t="n">
        <v>9.800000000000001</v>
      </c>
      <c r="AZ15" t="n">
        <v>17.8</v>
      </c>
      <c r="BA15" t="n">
        <v>95</v>
      </c>
      <c r="BB15" t="n">
        <v>11.6</v>
      </c>
      <c r="BC15" t="n">
        <v>23.2</v>
      </c>
      <c r="BD15" t="n">
        <v>34.8</v>
      </c>
      <c r="BE15" t="n">
        <v>38.4</v>
      </c>
      <c r="BF15" t="n">
        <v>75</v>
      </c>
      <c r="BG15" t="n">
        <v>85.8</v>
      </c>
      <c r="BH15" t="n">
        <v>10.4</v>
      </c>
      <c r="BI15" t="n">
        <v>8.800000000000001</v>
      </c>
      <c r="BJ15" t="n">
        <v>19.214</v>
      </c>
      <c r="BK15" t="n">
        <v>15.8</v>
      </c>
      <c r="BL15" t="n">
        <v>5.4</v>
      </c>
      <c r="BM15" t="n">
        <v>17</v>
      </c>
      <c r="BN15" t="n">
        <v>7.4</v>
      </c>
      <c r="BO15" t="n">
        <v>11.4</v>
      </c>
      <c r="BP15" t="n">
        <v>7.8</v>
      </c>
      <c r="BQ15" t="n">
        <v>76.2</v>
      </c>
      <c r="BR15" t="n">
        <v>2.2</v>
      </c>
      <c r="BS15" t="n">
        <v>21.8</v>
      </c>
      <c r="BT15" t="n">
        <v>8</v>
      </c>
      <c r="BU15" t="n">
        <v>52.294</v>
      </c>
      <c r="BV15" t="n">
        <v>24.891</v>
      </c>
      <c r="BW15" t="n">
        <v>41.921</v>
      </c>
      <c r="BX15" t="n">
        <v>47.598</v>
      </c>
      <c r="BY15" t="n">
        <v>9</v>
      </c>
      <c r="BZ15" t="n">
        <v>48.889</v>
      </c>
      <c r="CA15" t="n">
        <v>1.635</v>
      </c>
      <c r="CB15" t="n">
        <v>1.365</v>
      </c>
      <c r="CC15" t="n">
        <v>67.97499999999999</v>
      </c>
      <c r="CD15" t="n">
        <v>6.025</v>
      </c>
      <c r="CE15" t="n">
        <v>3.118</v>
      </c>
      <c r="CF15" t="n">
        <v>0.276</v>
      </c>
      <c r="CG15" t="n">
        <v>3.555</v>
      </c>
      <c r="CH15" t="n">
        <v>0.276</v>
      </c>
      <c r="CI15" t="n">
        <v>2.603</v>
      </c>
      <c r="CJ15" t="n">
        <v>0.277</v>
      </c>
      <c r="CK15" t="n">
        <v>2.8</v>
      </c>
      <c r="CL15" t="n">
        <v>34.2</v>
      </c>
      <c r="CM15" t="n">
        <v>39.2</v>
      </c>
      <c r="CN15" t="n">
        <v>30.4</v>
      </c>
      <c r="CO15" t="n">
        <v>39.4</v>
      </c>
      <c r="CP15" t="n">
        <v>6.4</v>
      </c>
      <c r="CQ15" t="n">
        <v>17.304</v>
      </c>
      <c r="CR15" t="n">
        <v>22.33</v>
      </c>
      <c r="CS15" t="n">
        <v>9.223000000000001</v>
      </c>
      <c r="CT15" t="n">
        <v>27.666</v>
      </c>
      <c r="CU15" t="n">
        <v>10.663</v>
      </c>
      <c r="CV15" t="n">
        <v>10.6</v>
      </c>
      <c r="CW15" t="n">
        <v>18.868</v>
      </c>
      <c r="CX15" t="n">
        <v>61</v>
      </c>
      <c r="CY15" t="n">
        <v>7.4</v>
      </c>
      <c r="CZ15" t="n">
        <v>273.6</v>
      </c>
      <c r="DA15" t="n">
        <v>137.2</v>
      </c>
      <c r="DB15" t="n">
        <v>32</v>
      </c>
      <c r="DC15" t="n">
        <v>99.8</v>
      </c>
      <c r="DD15" t="n">
        <v>46.6</v>
      </c>
      <c r="DE15" t="n">
        <v>46.693</v>
      </c>
      <c r="DF15" t="n">
        <v>10.8</v>
      </c>
      <c r="DG15" t="n">
        <v>23.176</v>
      </c>
      <c r="DH15" t="n">
        <v>1.4</v>
      </c>
      <c r="DI15" t="n">
        <v>41.631</v>
      </c>
      <c r="DJ15" t="n">
        <v>37.768</v>
      </c>
      <c r="DK15" t="n">
        <v>20.6</v>
      </c>
      <c r="DL15" t="n">
        <v>20</v>
      </c>
      <c r="DM15" t="n">
        <v>0.6</v>
      </c>
      <c r="DN15" t="n">
        <v>10.8</v>
      </c>
      <c r="DO15" t="n">
        <v>88.889</v>
      </c>
      <c r="DP15" t="n">
        <v>4.2</v>
      </c>
      <c r="DQ15" t="n">
        <v>44</v>
      </c>
      <c r="DR15" t="n">
        <v>69</v>
      </c>
      <c r="DS15" t="n">
        <v>201.82</v>
      </c>
      <c r="DT15" t="n">
        <v>1705</v>
      </c>
      <c r="DU15" t="n">
        <v>1507.8</v>
      </c>
      <c r="DV15" t="n">
        <v>20.2</v>
      </c>
      <c r="DW15" t="n">
        <v>43.4</v>
      </c>
      <c r="DX15" t="n">
        <v>209.2</v>
      </c>
      <c r="DY15" t="n">
        <v>140</v>
      </c>
      <c r="DZ15" t="n">
        <v>349.2</v>
      </c>
      <c r="EA15" t="n">
        <v>70.10299999999999</v>
      </c>
      <c r="EB15" t="n">
        <v>63.098</v>
      </c>
      <c r="EC15" t="n">
        <v>80.571</v>
      </c>
      <c r="ED15" t="n">
        <v>5.725</v>
      </c>
      <c r="EE15" t="n">
        <v>54.6</v>
      </c>
      <c r="EF15" t="n">
        <v>34</v>
      </c>
      <c r="EG15" t="n">
        <v>74.236</v>
      </c>
      <c r="EH15" t="n">
        <v>5966.2</v>
      </c>
      <c r="EI15" t="n">
        <v>17.085</v>
      </c>
      <c r="EJ15" t="n">
        <v>5534.352</v>
      </c>
      <c r="EK15" t="n">
        <v>26.762</v>
      </c>
      <c r="EL15" t="n">
        <v>195.904</v>
      </c>
      <c r="EM15" t="n">
        <v>1.405</v>
      </c>
      <c r="EN15" t="n">
        <v>54.6</v>
      </c>
      <c r="EO15" t="n">
        <v>6.396</v>
      </c>
      <c r="EP15" t="n">
        <v>66</v>
      </c>
      <c r="EQ15" t="n">
        <v>5.291</v>
      </c>
      <c r="ER15" t="n">
        <v>67.223</v>
      </c>
      <c r="ES15" t="n">
        <v>41.818</v>
      </c>
      <c r="ET15" t="n">
        <v>25.16</v>
      </c>
      <c r="EU15" t="n">
        <v>-3.959</v>
      </c>
      <c r="EV15" t="n">
        <v>55.96</v>
      </c>
      <c r="EW15" t="n">
        <v>-4.488</v>
      </c>
      <c r="EX15" t="n">
        <v>136.4</v>
      </c>
      <c r="EY15" t="n">
        <v>207.4</v>
      </c>
      <c r="EZ15" t="n">
        <v>343.8</v>
      </c>
      <c r="FA15" t="n">
        <v>39.674</v>
      </c>
      <c r="FB15" t="n">
        <v>70.40000000000001</v>
      </c>
      <c r="FC15" t="n">
        <v>89.59999999999999</v>
      </c>
      <c r="FD15" t="n">
        <v>15.4</v>
      </c>
      <c r="FE15" t="n">
        <v>21.6</v>
      </c>
      <c r="FF15" t="n">
        <v>68</v>
      </c>
      <c r="FG15" t="n">
        <v>82</v>
      </c>
      <c r="FH15" t="n">
        <v>55</v>
      </c>
      <c r="FI15" t="n">
        <v>9.800000000000001</v>
      </c>
      <c r="FJ15" t="n">
        <v>19.2</v>
      </c>
      <c r="FK15" t="n">
        <v>109.2</v>
      </c>
      <c r="FL15" t="n">
        <v>12.4</v>
      </c>
      <c r="FM15" t="n">
        <v>28</v>
      </c>
      <c r="FN15" t="n">
        <v>40.4</v>
      </c>
      <c r="FO15" t="n">
        <v>45</v>
      </c>
      <c r="FP15" t="n">
        <v>74.667</v>
      </c>
      <c r="FQ15" t="n">
        <v>86.2</v>
      </c>
      <c r="FR15" t="n">
        <v>10.2</v>
      </c>
      <c r="FS15" t="n">
        <v>12.4</v>
      </c>
      <c r="FT15" t="n">
        <v>22.711</v>
      </c>
      <c r="FU15" t="n">
        <v>19.4</v>
      </c>
      <c r="FV15" t="n">
        <v>8.199999999999999</v>
      </c>
      <c r="FW15" t="n">
        <v>12</v>
      </c>
      <c r="FX15" t="n">
        <v>10.8</v>
      </c>
      <c r="FY15" t="n">
        <v>82.8</v>
      </c>
      <c r="FZ15" t="n">
        <v>1.6</v>
      </c>
      <c r="GA15" t="n">
        <v>25.8</v>
      </c>
      <c r="GB15" t="n">
        <v>8.800000000000001</v>
      </c>
      <c r="GC15" t="n">
        <v>46.512</v>
      </c>
      <c r="GD15" t="n">
        <v>21.978</v>
      </c>
      <c r="GE15" t="n">
        <v>41.758</v>
      </c>
      <c r="GF15" t="n">
        <v>47.253</v>
      </c>
      <c r="GG15" t="n">
        <v>81.46899999999999</v>
      </c>
      <c r="GH15" t="n">
        <v>-0.269</v>
      </c>
      <c r="GI15" t="n">
        <v>3.158</v>
      </c>
      <c r="GJ15" t="n">
        <v>-0.01</v>
      </c>
      <c r="GK15" t="n">
        <v>3.351</v>
      </c>
      <c r="GL15" t="n">
        <v>0.08</v>
      </c>
      <c r="GM15" t="n">
        <v>2.914</v>
      </c>
      <c r="GN15" t="n">
        <v>-0.124</v>
      </c>
      <c r="GO15" t="n">
        <v>0</v>
      </c>
      <c r="GP15" t="n">
        <v>34.2</v>
      </c>
      <c r="GQ15" t="n">
        <v>48.6</v>
      </c>
      <c r="GR15" t="n">
        <v>22.2</v>
      </c>
      <c r="GS15" t="n">
        <v>49.6</v>
      </c>
      <c r="GT15" t="n">
        <v>11</v>
      </c>
      <c r="GU15" t="n">
        <v>19.723</v>
      </c>
      <c r="GV15" t="n">
        <v>15.244</v>
      </c>
      <c r="GW15" t="n">
        <v>4.878</v>
      </c>
      <c r="GX15" t="n">
        <v>28.882</v>
      </c>
      <c r="GY15" t="n">
        <v>9.627000000000001</v>
      </c>
      <c r="GZ15" t="n">
        <v>66.8</v>
      </c>
      <c r="HA15" t="n">
        <v>16.2</v>
      </c>
      <c r="HB15" t="n">
        <v>256</v>
      </c>
      <c r="HC15" t="n">
        <v>115</v>
      </c>
      <c r="HD15" t="n">
        <v>33</v>
      </c>
      <c r="HE15" t="n">
        <v>35</v>
      </c>
      <c r="HF15" t="n">
        <v>35.07</v>
      </c>
      <c r="HG15" t="n">
        <v>10.4</v>
      </c>
      <c r="HH15" t="n">
        <v>29.714</v>
      </c>
      <c r="HI15" t="n">
        <v>2.6</v>
      </c>
      <c r="HJ15" t="n">
        <v>48.571</v>
      </c>
      <c r="HK15" t="n">
        <v>44</v>
      </c>
      <c r="HL15" t="n">
        <v>7.6</v>
      </c>
      <c r="HM15" t="n">
        <v>89.474</v>
      </c>
      <c r="HN15" t="n">
        <v>6.2</v>
      </c>
      <c r="HO15" t="n">
        <v>46</v>
      </c>
      <c r="HP15" t="n">
        <v>68.2</v>
      </c>
      <c r="HQ15" t="n">
        <v>-17.68</v>
      </c>
      <c r="HR15" t="n">
        <v>-110.2</v>
      </c>
      <c r="HS15" t="n">
        <v>-66.2</v>
      </c>
      <c r="HT15" t="n">
        <v>-10.4</v>
      </c>
      <c r="HU15" t="n">
        <v>-5.2</v>
      </c>
      <c r="HV15" t="n">
        <v>-4.2</v>
      </c>
      <c r="HW15" t="n">
        <v>-18</v>
      </c>
      <c r="HX15" t="n">
        <v>-22.2</v>
      </c>
      <c r="HY15" t="n">
        <v>-8.800000000000001</v>
      </c>
      <c r="HZ15" t="n">
        <v>-333.4</v>
      </c>
      <c r="IA15" t="n">
        <v>-50.574</v>
      </c>
      <c r="IB15" t="n">
        <v>-157.756</v>
      </c>
      <c r="IC15" t="n">
        <v>4.6</v>
      </c>
      <c r="ID15" t="n">
        <v>4.2</v>
      </c>
      <c r="IE15" t="n">
        <v>5.193</v>
      </c>
      <c r="IF15" t="n">
        <v>4.542</v>
      </c>
      <c r="IG15" t="n">
        <v>-7.6</v>
      </c>
      <c r="IH15" t="n">
        <v>-15.8</v>
      </c>
      <c r="II15" t="n">
        <v>-23.4</v>
      </c>
      <c r="IJ15" t="n">
        <v>-4.4</v>
      </c>
      <c r="IK15" t="n">
        <v>-3.8</v>
      </c>
      <c r="IL15" t="n">
        <v>-2.2</v>
      </c>
      <c r="IM15" t="n">
        <v>3</v>
      </c>
      <c r="IN15" t="n">
        <v>-6.8</v>
      </c>
      <c r="IO15" t="n">
        <v>-1.4</v>
      </c>
      <c r="IP15" t="n">
        <v>-0.2</v>
      </c>
      <c r="IQ15" t="n">
        <v>0</v>
      </c>
      <c r="IR15" t="n">
        <v>-1.4</v>
      </c>
      <c r="IS15" t="n">
        <v>-14.2</v>
      </c>
      <c r="IT15" t="n">
        <v>-0.8</v>
      </c>
      <c r="IU15" t="n">
        <v>-4.8</v>
      </c>
      <c r="IV15" t="n">
        <v>-5.6</v>
      </c>
      <c r="IW15" t="n">
        <v>-6.6</v>
      </c>
      <c r="IX15" t="n">
        <v>-0.4</v>
      </c>
      <c r="IY15" t="n">
        <v>0.2</v>
      </c>
      <c r="IZ15" t="n">
        <v>-3.6</v>
      </c>
      <c r="JA15" t="n">
        <v>-3.6</v>
      </c>
      <c r="JB15" t="n">
        <v>-2.8</v>
      </c>
      <c r="JC15" t="n">
        <v>-0.6</v>
      </c>
      <c r="JD15" t="n">
        <v>-3</v>
      </c>
      <c r="JE15" t="n">
        <v>-6.6</v>
      </c>
      <c r="JF15" t="n">
        <v>-4</v>
      </c>
      <c r="JG15" t="n">
        <v>-0.8</v>
      </c>
      <c r="JH15" t="n">
        <v>-13.493</v>
      </c>
      <c r="JI15" t="n">
        <v>6.293</v>
      </c>
      <c r="JJ15" t="n">
        <v>-0.04</v>
      </c>
      <c r="JK15" t="n">
        <v>2.8</v>
      </c>
      <c r="JL15" t="n">
        <v>0</v>
      </c>
      <c r="JM15" t="n">
        <v>-9.4</v>
      </c>
      <c r="JN15" t="n">
        <v>8.199999999999999</v>
      </c>
      <c r="JO15" t="n">
        <v>-10.2</v>
      </c>
      <c r="JP15" t="n">
        <v>-4.6</v>
      </c>
      <c r="JQ15" t="n">
        <v>-5.8</v>
      </c>
      <c r="JR15" t="n">
        <v>-8.800000000000001</v>
      </c>
      <c r="JS15" t="n">
        <v>17.6</v>
      </c>
      <c r="JT15" t="n">
        <v>22.2</v>
      </c>
      <c r="JU15" t="n">
        <v>-1</v>
      </c>
      <c r="JV15" t="n">
        <v>11.6</v>
      </c>
      <c r="JW15" t="n">
        <v>0.4</v>
      </c>
      <c r="JX15" t="n">
        <v>-1.2</v>
      </c>
      <c r="JY15" t="n">
        <v>-2</v>
      </c>
      <c r="JZ15" t="n">
        <v>-2</v>
      </c>
      <c r="KA15" t="n">
        <v>0.8</v>
      </c>
    </row>
    <row r="16">
      <c r="A16" t="inlineStr">
        <is>
          <t>Hawthorn</t>
        </is>
      </c>
      <c r="B16" t="inlineStr">
        <is>
          <t>Haw</t>
        </is>
      </c>
      <c r="C16" t="n">
        <v>5</v>
      </c>
      <c r="D16" t="n">
        <v>25</v>
      </c>
      <c r="E16" t="n">
        <v>26.398</v>
      </c>
      <c r="F16" t="n">
        <v>122.696</v>
      </c>
      <c r="G16" t="n">
        <v>222.74</v>
      </c>
      <c r="H16" t="n">
        <v>1676.4</v>
      </c>
      <c r="I16" t="n">
        <v>1505.8</v>
      </c>
      <c r="J16" t="n">
        <v>14.6</v>
      </c>
      <c r="K16" t="n">
        <v>49.94</v>
      </c>
      <c r="L16" t="n">
        <v>41</v>
      </c>
      <c r="M16" t="n">
        <v>206.4</v>
      </c>
      <c r="N16" t="n">
        <v>157</v>
      </c>
      <c r="O16" t="n">
        <v>363.4</v>
      </c>
      <c r="P16" t="n">
        <v>69.95</v>
      </c>
      <c r="Q16" t="n">
        <v>62.112</v>
      </c>
      <c r="R16" t="n">
        <v>80.255</v>
      </c>
      <c r="S16" t="n">
        <v>56.797</v>
      </c>
      <c r="T16" t="n">
        <v>5.44</v>
      </c>
      <c r="U16" t="n">
        <v>52.8</v>
      </c>
      <c r="V16" t="n">
        <v>47.2</v>
      </c>
      <c r="W16" t="n">
        <v>78.667</v>
      </c>
      <c r="X16" t="n">
        <v>6271.4</v>
      </c>
      <c r="Y16" t="n">
        <v>17.258</v>
      </c>
      <c r="Z16" t="n">
        <v>5748.382</v>
      </c>
      <c r="AA16" t="n">
        <v>28.234</v>
      </c>
      <c r="AB16" t="n">
        <v>229.188</v>
      </c>
      <c r="AC16" t="n">
        <v>1.465</v>
      </c>
      <c r="AD16" t="n">
        <v>60.2</v>
      </c>
      <c r="AE16" t="n">
        <v>6.037</v>
      </c>
      <c r="AF16" t="n">
        <v>66.40000000000001</v>
      </c>
      <c r="AG16" t="n">
        <v>5.473</v>
      </c>
      <c r="AH16" t="n">
        <v>67.717</v>
      </c>
      <c r="AI16" t="n">
        <v>47.273</v>
      </c>
      <c r="AJ16" t="n">
        <v>23.729</v>
      </c>
      <c r="AK16" t="n">
        <v>2.228</v>
      </c>
      <c r="AL16" t="n">
        <v>52.536</v>
      </c>
      <c r="AM16" t="n">
        <v>-1.459</v>
      </c>
      <c r="AN16" t="n">
        <v>138.2</v>
      </c>
      <c r="AO16" t="n">
        <v>216.4</v>
      </c>
      <c r="AP16" t="n">
        <v>354.6</v>
      </c>
      <c r="AQ16" t="n">
        <v>38.973</v>
      </c>
      <c r="AR16" t="n">
        <v>71.40000000000001</v>
      </c>
      <c r="AS16" t="n">
        <v>96.8</v>
      </c>
      <c r="AT16" t="n">
        <v>17.4</v>
      </c>
      <c r="AU16" t="n">
        <v>20.6</v>
      </c>
      <c r="AV16" t="n">
        <v>76.2</v>
      </c>
      <c r="AW16" t="n">
        <v>84.40000000000001</v>
      </c>
      <c r="AX16" t="n">
        <v>61.2</v>
      </c>
      <c r="AY16" t="n">
        <v>9.6</v>
      </c>
      <c r="AZ16" t="n">
        <v>21.4</v>
      </c>
      <c r="BA16" t="n">
        <v>121.8</v>
      </c>
      <c r="BB16" t="n">
        <v>10.6</v>
      </c>
      <c r="BC16" t="n">
        <v>26.8</v>
      </c>
      <c r="BD16" t="n">
        <v>37.4</v>
      </c>
      <c r="BE16" t="n">
        <v>45.2</v>
      </c>
      <c r="BF16" t="n">
        <v>70.354</v>
      </c>
      <c r="BG16" t="n">
        <v>77.59999999999999</v>
      </c>
      <c r="BH16" t="n">
        <v>8</v>
      </c>
      <c r="BI16" t="n">
        <v>14</v>
      </c>
      <c r="BJ16" t="n">
        <v>26.515</v>
      </c>
      <c r="BK16" t="n">
        <v>17</v>
      </c>
      <c r="BL16" t="n">
        <v>8.199999999999999</v>
      </c>
      <c r="BM16" t="n">
        <v>16</v>
      </c>
      <c r="BN16" t="n">
        <v>7.8</v>
      </c>
      <c r="BO16" t="n">
        <v>13.4</v>
      </c>
      <c r="BP16" t="n">
        <v>12.4</v>
      </c>
      <c r="BQ16" t="n">
        <v>92.8</v>
      </c>
      <c r="BR16" t="n">
        <v>2.4</v>
      </c>
      <c r="BS16" t="n">
        <v>26.4</v>
      </c>
      <c r="BT16" t="n">
        <v>10.6</v>
      </c>
      <c r="BU16" t="n">
        <v>50.758</v>
      </c>
      <c r="BV16" t="n">
        <v>25.379</v>
      </c>
      <c r="BW16" t="n">
        <v>48.864</v>
      </c>
      <c r="BX16" t="n">
        <v>50</v>
      </c>
      <c r="BY16" t="n">
        <v>11.6</v>
      </c>
      <c r="BZ16" t="n">
        <v>27.586</v>
      </c>
      <c r="CA16" t="n">
        <v>2.469</v>
      </c>
      <c r="CB16" t="n">
        <v>0.531</v>
      </c>
      <c r="CC16" t="n">
        <v>80.03</v>
      </c>
      <c r="CD16" t="n">
        <v>10.37</v>
      </c>
      <c r="CE16" t="n">
        <v>3.031</v>
      </c>
      <c r="CF16" t="n">
        <v>0.393</v>
      </c>
      <c r="CG16" t="n">
        <v>3.21</v>
      </c>
      <c r="CH16" t="n">
        <v>0.259</v>
      </c>
      <c r="CI16" t="n">
        <v>2.766</v>
      </c>
      <c r="CJ16" t="n">
        <v>0.593</v>
      </c>
      <c r="CK16" t="n">
        <v>3</v>
      </c>
      <c r="CL16" t="n">
        <v>40.6</v>
      </c>
      <c r="CM16" t="n">
        <v>49.2</v>
      </c>
      <c r="CN16" t="n">
        <v>37.6</v>
      </c>
      <c r="CO16" t="n">
        <v>45</v>
      </c>
      <c r="CP16" t="n">
        <v>10.2</v>
      </c>
      <c r="CQ16" t="n">
        <v>21.549</v>
      </c>
      <c r="CR16" t="n">
        <v>21.333</v>
      </c>
      <c r="CS16" t="n">
        <v>8.888999999999999</v>
      </c>
      <c r="CT16" t="n">
        <v>29.223</v>
      </c>
      <c r="CU16" t="n">
        <v>14.209</v>
      </c>
      <c r="CV16" t="n">
        <v>11.6</v>
      </c>
      <c r="CW16" t="n">
        <v>27.586</v>
      </c>
      <c r="CX16" t="n">
        <v>62</v>
      </c>
      <c r="CY16" t="n">
        <v>14.4</v>
      </c>
      <c r="CZ16" t="n">
        <v>280.8</v>
      </c>
      <c r="DA16" t="n">
        <v>146</v>
      </c>
      <c r="DB16" t="n">
        <v>33.8</v>
      </c>
      <c r="DC16" t="n">
        <v>106</v>
      </c>
      <c r="DD16" t="n">
        <v>42.2</v>
      </c>
      <c r="DE16" t="n">
        <v>39.811</v>
      </c>
      <c r="DF16" t="n">
        <v>10.4</v>
      </c>
      <c r="DG16" t="n">
        <v>24.645</v>
      </c>
      <c r="DH16" t="n">
        <v>2.8</v>
      </c>
      <c r="DI16" t="n">
        <v>42.654</v>
      </c>
      <c r="DJ16" t="n">
        <v>35.545</v>
      </c>
      <c r="DK16" t="n">
        <v>16.2</v>
      </c>
      <c r="DL16" t="n">
        <v>19</v>
      </c>
      <c r="DM16" t="n">
        <v>-2.8</v>
      </c>
      <c r="DN16" t="n">
        <v>12</v>
      </c>
      <c r="DO16" t="n">
        <v>96.667</v>
      </c>
      <c r="DP16" t="n">
        <v>10</v>
      </c>
      <c r="DQ16" t="n">
        <v>49.2</v>
      </c>
      <c r="DR16" t="n">
        <v>70.59999999999999</v>
      </c>
      <c r="DS16" t="n">
        <v>210.14</v>
      </c>
      <c r="DT16" t="n">
        <v>1623.2</v>
      </c>
      <c r="DU16" t="n">
        <v>1545.8</v>
      </c>
      <c r="DV16" t="n">
        <v>15.4</v>
      </c>
      <c r="DW16" t="n">
        <v>39</v>
      </c>
      <c r="DX16" t="n">
        <v>216</v>
      </c>
      <c r="DY16" t="n">
        <v>147.2</v>
      </c>
      <c r="DZ16" t="n">
        <v>363.2</v>
      </c>
      <c r="EA16" t="n">
        <v>71.035</v>
      </c>
      <c r="EB16" t="n">
        <v>63.889</v>
      </c>
      <c r="EC16" t="n">
        <v>81.52200000000001</v>
      </c>
      <c r="ED16" t="n">
        <v>5.858</v>
      </c>
      <c r="EE16" t="n">
        <v>60</v>
      </c>
      <c r="EF16" t="n">
        <v>38.2</v>
      </c>
      <c r="EG16" t="n">
        <v>72.348</v>
      </c>
      <c r="EH16" t="n">
        <v>6153.8</v>
      </c>
      <c r="EI16" t="n">
        <v>16.943</v>
      </c>
      <c r="EJ16" t="n">
        <v>5668.14</v>
      </c>
      <c r="EK16" t="n">
        <v>26.437</v>
      </c>
      <c r="EL16" t="n">
        <v>197.208</v>
      </c>
      <c r="EM16" t="n">
        <v>1.343</v>
      </c>
      <c r="EN16" t="n">
        <v>61.4</v>
      </c>
      <c r="EO16" t="n">
        <v>5.915</v>
      </c>
      <c r="EP16" t="n">
        <v>71.40000000000001</v>
      </c>
      <c r="EQ16" t="n">
        <v>5.087</v>
      </c>
      <c r="ER16" t="n">
        <v>67.64100000000001</v>
      </c>
      <c r="ES16" t="n">
        <v>40.816</v>
      </c>
      <c r="ET16" t="n">
        <v>24.05</v>
      </c>
      <c r="EU16" t="n">
        <v>-2.459</v>
      </c>
      <c r="EV16" t="n">
        <v>56.257</v>
      </c>
      <c r="EW16" t="n">
        <v>-1.598</v>
      </c>
      <c r="EX16" t="n">
        <v>137.6</v>
      </c>
      <c r="EY16" t="n">
        <v>214.6</v>
      </c>
      <c r="EZ16" t="n">
        <v>352.2</v>
      </c>
      <c r="FA16" t="n">
        <v>39.069</v>
      </c>
      <c r="FB16" t="n">
        <v>66.40000000000001</v>
      </c>
      <c r="FC16" t="n">
        <v>93.40000000000001</v>
      </c>
      <c r="FD16" t="n">
        <v>17.2</v>
      </c>
      <c r="FE16" t="n">
        <v>22.4</v>
      </c>
      <c r="FF16" t="n">
        <v>71</v>
      </c>
      <c r="FG16" t="n">
        <v>82</v>
      </c>
      <c r="FH16" t="n">
        <v>60</v>
      </c>
      <c r="FI16" t="n">
        <v>11.2</v>
      </c>
      <c r="FJ16" t="n">
        <v>20.2</v>
      </c>
      <c r="FK16" t="n">
        <v>116.8</v>
      </c>
      <c r="FL16" t="n">
        <v>13.6</v>
      </c>
      <c r="FM16" t="n">
        <v>29.8</v>
      </c>
      <c r="FN16" t="n">
        <v>43.4</v>
      </c>
      <c r="FO16" t="n">
        <v>44.8</v>
      </c>
      <c r="FP16" t="n">
        <v>78.125</v>
      </c>
      <c r="FQ16" t="n">
        <v>81.2</v>
      </c>
      <c r="FR16" t="n">
        <v>7.6</v>
      </c>
      <c r="FS16" t="n">
        <v>8.4</v>
      </c>
      <c r="FT16" t="n">
        <v>14</v>
      </c>
      <c r="FU16" t="n">
        <v>14.6</v>
      </c>
      <c r="FV16" t="n">
        <v>6.6</v>
      </c>
      <c r="FW16" t="n">
        <v>11.8</v>
      </c>
      <c r="FX16" t="n">
        <v>12.2</v>
      </c>
      <c r="FY16" t="n">
        <v>83</v>
      </c>
      <c r="FZ16" t="n">
        <v>3</v>
      </c>
      <c r="GA16" t="n">
        <v>26.8</v>
      </c>
      <c r="GB16" t="n">
        <v>8.199999999999999</v>
      </c>
      <c r="GC16" t="n">
        <v>44.03</v>
      </c>
      <c r="GD16" t="n">
        <v>19.667</v>
      </c>
      <c r="GE16" t="n">
        <v>40</v>
      </c>
      <c r="GF16" t="n">
        <v>44.667</v>
      </c>
      <c r="GG16" t="n">
        <v>81.514</v>
      </c>
      <c r="GH16" t="n">
        <v>-1.514</v>
      </c>
      <c r="GI16" t="n">
        <v>3.042</v>
      </c>
      <c r="GJ16" t="n">
        <v>-0.057</v>
      </c>
      <c r="GK16" t="n">
        <v>3.353</v>
      </c>
      <c r="GL16" t="n">
        <v>-0.447</v>
      </c>
      <c r="GM16" t="n">
        <v>2.838</v>
      </c>
      <c r="GN16" t="n">
        <v>0.199</v>
      </c>
      <c r="GO16" t="n">
        <v>2.8</v>
      </c>
      <c r="GP16" t="n">
        <v>43</v>
      </c>
      <c r="GQ16" t="n">
        <v>37.2</v>
      </c>
      <c r="GR16" t="n">
        <v>27.6</v>
      </c>
      <c r="GS16" t="n">
        <v>47</v>
      </c>
      <c r="GT16" t="n">
        <v>8.4</v>
      </c>
      <c r="GU16" t="n">
        <v>19.8</v>
      </c>
      <c r="GV16" t="n">
        <v>23.737</v>
      </c>
      <c r="GW16" t="n">
        <v>7.071</v>
      </c>
      <c r="GX16" t="n">
        <v>31.307</v>
      </c>
      <c r="GY16" t="n">
        <v>11.55</v>
      </c>
      <c r="GZ16" t="n">
        <v>66.8</v>
      </c>
      <c r="HA16" t="n">
        <v>12</v>
      </c>
      <c r="HB16" t="n">
        <v>297.2</v>
      </c>
      <c r="HC16" t="n">
        <v>130.4</v>
      </c>
      <c r="HD16" t="n">
        <v>29</v>
      </c>
      <c r="HE16" t="n">
        <v>42.2</v>
      </c>
      <c r="HF16" t="n">
        <v>39.736</v>
      </c>
      <c r="HG16" t="n">
        <v>11.4</v>
      </c>
      <c r="HH16" t="n">
        <v>27.014</v>
      </c>
      <c r="HI16" t="n">
        <v>4</v>
      </c>
      <c r="HJ16" t="n">
        <v>41.706</v>
      </c>
      <c r="HK16" t="n">
        <v>40.758</v>
      </c>
      <c r="HL16" t="n">
        <v>12</v>
      </c>
      <c r="HM16" t="n">
        <v>93.333</v>
      </c>
      <c r="HN16" t="n">
        <v>9.199999999999999</v>
      </c>
      <c r="HO16" t="n">
        <v>40</v>
      </c>
      <c r="HP16" t="n">
        <v>70.59999999999999</v>
      </c>
      <c r="HQ16" t="n">
        <v>12.6</v>
      </c>
      <c r="HR16" t="n">
        <v>53.2</v>
      </c>
      <c r="HS16" t="n">
        <v>-40</v>
      </c>
      <c r="HT16" t="n">
        <v>-0.8</v>
      </c>
      <c r="HU16" t="n">
        <v>2</v>
      </c>
      <c r="HV16" t="n">
        <v>-9.6</v>
      </c>
      <c r="HW16" t="n">
        <v>9.800000000000001</v>
      </c>
      <c r="HX16" t="n">
        <v>0.2</v>
      </c>
      <c r="HY16" t="n">
        <v>-7.2</v>
      </c>
      <c r="HZ16" t="n">
        <v>117.6</v>
      </c>
      <c r="IA16" t="n">
        <v>80.242</v>
      </c>
      <c r="IB16" t="n">
        <v>31.98</v>
      </c>
      <c r="IC16" t="n">
        <v>-1.2</v>
      </c>
      <c r="ID16" t="n">
        <v>-5</v>
      </c>
      <c r="IE16" t="n">
        <v>4.687</v>
      </c>
      <c r="IF16" t="n">
        <v>0.138</v>
      </c>
      <c r="IG16" t="n">
        <v>0.6</v>
      </c>
      <c r="IH16" t="n">
        <v>1.8</v>
      </c>
      <c r="II16" t="n">
        <v>2.4</v>
      </c>
      <c r="IJ16" t="n">
        <v>5</v>
      </c>
      <c r="IK16" t="n">
        <v>3.4</v>
      </c>
      <c r="IL16" t="n">
        <v>0.2</v>
      </c>
      <c r="IM16" t="n">
        <v>-1.8</v>
      </c>
      <c r="IN16" t="n">
        <v>5.2</v>
      </c>
      <c r="IO16" t="n">
        <v>2.4</v>
      </c>
      <c r="IP16" t="n">
        <v>1.2</v>
      </c>
      <c r="IQ16" t="n">
        <v>-1.6</v>
      </c>
      <c r="IR16" t="n">
        <v>1.2</v>
      </c>
      <c r="IS16" t="n">
        <v>5</v>
      </c>
      <c r="IT16" t="n">
        <v>-3</v>
      </c>
      <c r="IU16" t="n">
        <v>-3</v>
      </c>
      <c r="IV16" t="n">
        <v>-6</v>
      </c>
      <c r="IW16" t="n">
        <v>0.4</v>
      </c>
      <c r="IX16" t="n">
        <v>-3.6</v>
      </c>
      <c r="IY16" t="n">
        <v>0.4</v>
      </c>
      <c r="IZ16" t="n">
        <v>5.6</v>
      </c>
      <c r="JA16" t="n">
        <v>2.4</v>
      </c>
      <c r="JB16" t="n">
        <v>1.6</v>
      </c>
      <c r="JC16" t="n">
        <v>1.6</v>
      </c>
      <c r="JD16" t="n">
        <v>0.2</v>
      </c>
      <c r="JE16" t="n">
        <v>9.800000000000001</v>
      </c>
      <c r="JF16" t="n">
        <v>-0.4</v>
      </c>
      <c r="JG16" t="n">
        <v>2.4</v>
      </c>
      <c r="JH16" t="n">
        <v>-1.484</v>
      </c>
      <c r="JI16" t="n">
        <v>11.884</v>
      </c>
      <c r="JJ16" t="n">
        <v>-0.01</v>
      </c>
      <c r="JK16" t="n">
        <v>0.2</v>
      </c>
      <c r="JL16" t="n">
        <v>-2.4</v>
      </c>
      <c r="JM16" t="n">
        <v>12</v>
      </c>
      <c r="JN16" t="n">
        <v>10</v>
      </c>
      <c r="JO16" t="n">
        <v>-2</v>
      </c>
      <c r="JP16" t="n">
        <v>1.8</v>
      </c>
      <c r="JQ16" t="n">
        <v>-4.8</v>
      </c>
      <c r="JR16" t="n">
        <v>2.4</v>
      </c>
      <c r="JS16" t="n">
        <v>-16.4</v>
      </c>
      <c r="JT16" t="n">
        <v>15.6</v>
      </c>
      <c r="JU16" t="n">
        <v>4.8</v>
      </c>
      <c r="JV16" t="n">
        <v>0</v>
      </c>
      <c r="JW16" t="n">
        <v>-1</v>
      </c>
      <c r="JX16" t="n">
        <v>-1.2</v>
      </c>
      <c r="JY16" t="n">
        <v>0.8</v>
      </c>
      <c r="JZ16" t="n">
        <v>9.199999999999999</v>
      </c>
      <c r="KA16" t="n">
        <v>0</v>
      </c>
    </row>
    <row r="17">
      <c r="A17" t="inlineStr">
        <is>
          <t>Gold Coast</t>
        </is>
      </c>
      <c r="B17" t="inlineStr">
        <is>
          <t>GC</t>
        </is>
      </c>
      <c r="C17" t="n">
        <v>5</v>
      </c>
      <c r="D17" t="n">
        <v>28</v>
      </c>
      <c r="E17" t="n">
        <v>26.14</v>
      </c>
      <c r="F17" t="n">
        <v>108.443</v>
      </c>
      <c r="G17" t="n">
        <v>206.86</v>
      </c>
      <c r="H17" t="n">
        <v>1628.6</v>
      </c>
      <c r="I17" t="n">
        <v>1393.2</v>
      </c>
      <c r="J17" t="n">
        <v>11.2</v>
      </c>
      <c r="K17" t="n">
        <v>52.271</v>
      </c>
      <c r="L17" t="n">
        <v>40.8</v>
      </c>
      <c r="M17" t="n">
        <v>187.2</v>
      </c>
      <c r="N17" t="n">
        <v>156</v>
      </c>
      <c r="O17" t="n">
        <v>343.2</v>
      </c>
      <c r="P17" t="n">
        <v>74.35899999999999</v>
      </c>
      <c r="Q17" t="n">
        <v>67.735</v>
      </c>
      <c r="R17" t="n">
        <v>82.30800000000001</v>
      </c>
      <c r="S17" t="n">
        <v>54.545</v>
      </c>
      <c r="T17" t="n">
        <v>5.553</v>
      </c>
      <c r="U17" t="n">
        <v>53.8</v>
      </c>
      <c r="V17" t="n">
        <v>40.2</v>
      </c>
      <c r="W17" t="n">
        <v>75</v>
      </c>
      <c r="X17" t="n">
        <v>6135.8</v>
      </c>
      <c r="Y17" t="n">
        <v>17.878</v>
      </c>
      <c r="Z17" t="n">
        <v>5518.484</v>
      </c>
      <c r="AA17" t="n">
        <v>29.669</v>
      </c>
      <c r="AB17" t="n">
        <v>322.994</v>
      </c>
      <c r="AC17" t="n">
        <v>2.081</v>
      </c>
      <c r="AD17" t="n">
        <v>57</v>
      </c>
      <c r="AE17" t="n">
        <v>6.021</v>
      </c>
      <c r="AF17" t="n">
        <v>60</v>
      </c>
      <c r="AG17" t="n">
        <v>5.72</v>
      </c>
      <c r="AH17" t="n">
        <v>71.23699999999999</v>
      </c>
      <c r="AI17" t="n">
        <v>53.879</v>
      </c>
      <c r="AJ17" t="n">
        <v>24.272</v>
      </c>
      <c r="AK17" t="n">
        <v>4.939</v>
      </c>
      <c r="AL17" t="n">
        <v>53.813</v>
      </c>
      <c r="AM17" t="n">
        <v>3.423</v>
      </c>
      <c r="AN17" t="n">
        <v>127.8</v>
      </c>
      <c r="AO17" t="n">
        <v>208</v>
      </c>
      <c r="AP17" t="n">
        <v>335.8</v>
      </c>
      <c r="AQ17" t="n">
        <v>38.058</v>
      </c>
      <c r="AR17" t="n">
        <v>61.4</v>
      </c>
      <c r="AS17" t="n">
        <v>84.40000000000001</v>
      </c>
      <c r="AT17" t="n">
        <v>13.6</v>
      </c>
      <c r="AU17" t="n">
        <v>18.4</v>
      </c>
      <c r="AV17" t="n">
        <v>66</v>
      </c>
      <c r="AW17" t="n">
        <v>81</v>
      </c>
      <c r="AX17" t="n">
        <v>56.2</v>
      </c>
      <c r="AY17" t="n">
        <v>11.4</v>
      </c>
      <c r="AZ17" t="n">
        <v>23</v>
      </c>
      <c r="BA17" t="n">
        <v>125.4</v>
      </c>
      <c r="BB17" t="n">
        <v>11.2</v>
      </c>
      <c r="BC17" t="n">
        <v>22.4</v>
      </c>
      <c r="BD17" t="n">
        <v>33.6</v>
      </c>
      <c r="BE17" t="n">
        <v>39.6</v>
      </c>
      <c r="BF17" t="n">
        <v>73.73699999999999</v>
      </c>
      <c r="BG17" t="n">
        <v>74</v>
      </c>
      <c r="BH17" t="n">
        <v>10.2</v>
      </c>
      <c r="BI17" t="n">
        <v>12.4</v>
      </c>
      <c r="BJ17" t="n">
        <v>23.048</v>
      </c>
      <c r="BK17" t="n">
        <v>11.2</v>
      </c>
      <c r="BL17" t="n">
        <v>8.4</v>
      </c>
      <c r="BM17" t="n">
        <v>16</v>
      </c>
      <c r="BN17" t="n">
        <v>7.2</v>
      </c>
      <c r="BO17" t="n">
        <v>12</v>
      </c>
      <c r="BP17" t="n">
        <v>12.6</v>
      </c>
      <c r="BQ17" t="n">
        <v>84.59999999999999</v>
      </c>
      <c r="BR17" t="n">
        <v>2.8</v>
      </c>
      <c r="BS17" t="n">
        <v>26.4</v>
      </c>
      <c r="BT17" t="n">
        <v>8.800000000000001</v>
      </c>
      <c r="BU17" t="n">
        <v>45.455</v>
      </c>
      <c r="BV17" t="n">
        <v>22.305</v>
      </c>
      <c r="BW17" t="n">
        <v>45.725</v>
      </c>
      <c r="BX17" t="n">
        <v>49.071</v>
      </c>
      <c r="BY17" t="n">
        <v>11.4</v>
      </c>
      <c r="BZ17" t="n">
        <v>22.807</v>
      </c>
      <c r="CA17" t="n">
        <v>2.084</v>
      </c>
      <c r="CB17" t="n">
        <v>-0.08400000000000001</v>
      </c>
      <c r="CC17" t="n">
        <v>83.068</v>
      </c>
      <c r="CD17" t="n">
        <v>-1.268</v>
      </c>
      <c r="CE17" t="n">
        <v>3.147</v>
      </c>
      <c r="CF17" t="n">
        <v>-0.048</v>
      </c>
      <c r="CG17" t="n">
        <v>3.456</v>
      </c>
      <c r="CH17" t="n">
        <v>0.238</v>
      </c>
      <c r="CI17" t="n">
        <v>2.775</v>
      </c>
      <c r="CJ17" t="n">
        <v>-0.392</v>
      </c>
      <c r="CK17" t="n">
        <v>2.8</v>
      </c>
      <c r="CL17" t="n">
        <v>25.2</v>
      </c>
      <c r="CM17" t="n">
        <v>56.6</v>
      </c>
      <c r="CN17" t="n">
        <v>35.2</v>
      </c>
      <c r="CO17" t="n">
        <v>40.2</v>
      </c>
      <c r="CP17" t="n">
        <v>9.199999999999999</v>
      </c>
      <c r="CQ17" t="n">
        <v>23.837</v>
      </c>
      <c r="CR17" t="n">
        <v>28.643</v>
      </c>
      <c r="CS17" t="n">
        <v>13.131</v>
      </c>
      <c r="CT17" t="n">
        <v>34.983</v>
      </c>
      <c r="CU17" t="n">
        <v>16.944</v>
      </c>
      <c r="CV17" t="n">
        <v>12.8</v>
      </c>
      <c r="CW17" t="n">
        <v>28.125</v>
      </c>
      <c r="CX17" t="n">
        <v>52.8</v>
      </c>
      <c r="CY17" t="n">
        <v>10</v>
      </c>
      <c r="CZ17" t="n">
        <v>248.4</v>
      </c>
      <c r="DA17" t="n">
        <v>115.8</v>
      </c>
      <c r="DB17" t="n">
        <v>36</v>
      </c>
      <c r="DC17" t="n">
        <v>91</v>
      </c>
      <c r="DD17" t="n">
        <v>46.8</v>
      </c>
      <c r="DE17" t="n">
        <v>51.429</v>
      </c>
      <c r="DF17" t="n">
        <v>12.2</v>
      </c>
      <c r="DG17" t="n">
        <v>26.068</v>
      </c>
      <c r="DH17" t="n">
        <v>2.2</v>
      </c>
      <c r="DI17" t="n">
        <v>44.444</v>
      </c>
      <c r="DJ17" t="n">
        <v>39.316</v>
      </c>
      <c r="DK17" t="n">
        <v>19.6</v>
      </c>
      <c r="DL17" t="n">
        <v>20.6</v>
      </c>
      <c r="DM17" t="n">
        <v>-1</v>
      </c>
      <c r="DN17" t="n">
        <v>10.4</v>
      </c>
      <c r="DO17" t="n">
        <v>94.23099999999999</v>
      </c>
      <c r="DP17" t="n">
        <v>11.8</v>
      </c>
      <c r="DQ17" t="n">
        <v>46.6</v>
      </c>
      <c r="DR17" t="n">
        <v>72</v>
      </c>
      <c r="DS17" t="n">
        <v>210.14</v>
      </c>
      <c r="DT17" t="n">
        <v>1672.6</v>
      </c>
      <c r="DU17" t="n">
        <v>1488.2</v>
      </c>
      <c r="DV17" t="n">
        <v>18.8</v>
      </c>
      <c r="DW17" t="n">
        <v>41.8</v>
      </c>
      <c r="DX17" t="n">
        <v>209</v>
      </c>
      <c r="DY17" t="n">
        <v>139.2</v>
      </c>
      <c r="DZ17" t="n">
        <v>348.2</v>
      </c>
      <c r="EA17" t="n">
        <v>72.545</v>
      </c>
      <c r="EB17" t="n">
        <v>66.60299999999999</v>
      </c>
      <c r="EC17" t="n">
        <v>81.46599999999999</v>
      </c>
      <c r="ED17" t="n">
        <v>6.595</v>
      </c>
      <c r="EE17" t="n">
        <v>53.6</v>
      </c>
      <c r="EF17" t="n">
        <v>41.2</v>
      </c>
      <c r="EG17" t="n">
        <v>76.58</v>
      </c>
      <c r="EH17" t="n">
        <v>6114.4</v>
      </c>
      <c r="EI17" t="n">
        <v>17.56</v>
      </c>
      <c r="EJ17" t="n">
        <v>5567.608</v>
      </c>
      <c r="EK17" t="n">
        <v>26.793</v>
      </c>
      <c r="EL17" t="n">
        <v>211.38</v>
      </c>
      <c r="EM17" t="n">
        <v>1.521</v>
      </c>
      <c r="EN17" t="n">
        <v>56</v>
      </c>
      <c r="EO17" t="n">
        <v>6.218</v>
      </c>
      <c r="EP17" t="n">
        <v>61.4</v>
      </c>
      <c r="EQ17" t="n">
        <v>5.671</v>
      </c>
      <c r="ER17" t="n">
        <v>70.161</v>
      </c>
      <c r="ES17" t="n">
        <v>46.847</v>
      </c>
      <c r="ET17" t="n">
        <v>22.842</v>
      </c>
      <c r="EU17" t="n">
        <v>5.532</v>
      </c>
      <c r="EV17" t="n">
        <v>57.022</v>
      </c>
      <c r="EW17" t="n">
        <v>0.648</v>
      </c>
      <c r="EX17" t="n">
        <v>131.4</v>
      </c>
      <c r="EY17" t="n">
        <v>207.4</v>
      </c>
      <c r="EZ17" t="n">
        <v>338.8</v>
      </c>
      <c r="FA17" t="n">
        <v>38.784</v>
      </c>
      <c r="FB17" t="n">
        <v>60</v>
      </c>
      <c r="FC17" t="n">
        <v>89.40000000000001</v>
      </c>
      <c r="FD17" t="n">
        <v>15.2</v>
      </c>
      <c r="FE17" t="n">
        <v>24</v>
      </c>
      <c r="FF17" t="n">
        <v>65.40000000000001</v>
      </c>
      <c r="FG17" t="n">
        <v>81.59999999999999</v>
      </c>
      <c r="FH17" t="n">
        <v>56.4</v>
      </c>
      <c r="FI17" t="n">
        <v>7.4</v>
      </c>
      <c r="FJ17" t="n">
        <v>19.6</v>
      </c>
      <c r="FK17" t="n">
        <v>109</v>
      </c>
      <c r="FL17" t="n">
        <v>12</v>
      </c>
      <c r="FM17" t="n">
        <v>25.2</v>
      </c>
      <c r="FN17" t="n">
        <v>37.2</v>
      </c>
      <c r="FO17" t="n">
        <v>39.8</v>
      </c>
      <c r="FP17" t="n">
        <v>75.377</v>
      </c>
      <c r="FQ17" t="n">
        <v>87</v>
      </c>
      <c r="FR17" t="n">
        <v>8.800000000000001</v>
      </c>
      <c r="FS17" t="n">
        <v>10.2</v>
      </c>
      <c r="FT17" t="n">
        <v>19.03</v>
      </c>
      <c r="FU17" t="n">
        <v>15</v>
      </c>
      <c r="FV17" t="n">
        <v>10</v>
      </c>
      <c r="FW17" t="n">
        <v>12.2</v>
      </c>
      <c r="FX17" t="n">
        <v>10.6</v>
      </c>
      <c r="FY17" t="n">
        <v>83.8</v>
      </c>
      <c r="FZ17" t="n">
        <v>2.6</v>
      </c>
      <c r="GA17" t="n">
        <v>25.8</v>
      </c>
      <c r="GB17" t="n">
        <v>9</v>
      </c>
      <c r="GC17" t="n">
        <v>47.287</v>
      </c>
      <c r="GD17" t="n">
        <v>22.761</v>
      </c>
      <c r="GE17" t="n">
        <v>42.537</v>
      </c>
      <c r="GF17" t="n">
        <v>48.134</v>
      </c>
      <c r="GG17" t="n">
        <v>82.782</v>
      </c>
      <c r="GH17" t="n">
        <v>-1.582</v>
      </c>
      <c r="GI17" t="n">
        <v>3.209</v>
      </c>
      <c r="GJ17" t="n">
        <v>-0.061</v>
      </c>
      <c r="GK17" t="n">
        <v>3.463</v>
      </c>
      <c r="GL17" t="n">
        <v>0.436</v>
      </c>
      <c r="GM17" t="n">
        <v>2.916</v>
      </c>
      <c r="GN17" t="n">
        <v>-0.633</v>
      </c>
      <c r="GO17" t="n">
        <v>7.6</v>
      </c>
      <c r="GP17" t="n">
        <v>31.6</v>
      </c>
      <c r="GQ17" t="n">
        <v>44.6</v>
      </c>
      <c r="GR17" t="n">
        <v>36.8</v>
      </c>
      <c r="GS17" t="n">
        <v>35.8</v>
      </c>
      <c r="GT17" t="n">
        <v>11.2</v>
      </c>
      <c r="GU17" t="n">
        <v>21.161</v>
      </c>
      <c r="GV17" t="n">
        <v>26.601</v>
      </c>
      <c r="GW17" t="n">
        <v>14.356</v>
      </c>
      <c r="GX17" t="n">
        <v>34.062</v>
      </c>
      <c r="GY17" t="n">
        <v>13.836</v>
      </c>
      <c r="GZ17" t="n">
        <v>61.8</v>
      </c>
      <c r="HA17" t="n">
        <v>13.2</v>
      </c>
      <c r="HB17" t="n">
        <v>260</v>
      </c>
      <c r="HC17" t="n">
        <v>129</v>
      </c>
      <c r="HD17" t="n">
        <v>27.4</v>
      </c>
      <c r="HE17" t="n">
        <v>31.6</v>
      </c>
      <c r="HF17" t="n">
        <v>34.649</v>
      </c>
      <c r="HG17" t="n">
        <v>8.4</v>
      </c>
      <c r="HH17" t="n">
        <v>26.582</v>
      </c>
      <c r="HI17" t="n">
        <v>1.8</v>
      </c>
      <c r="HJ17" t="n">
        <v>46.203</v>
      </c>
      <c r="HK17" t="n">
        <v>44.937</v>
      </c>
      <c r="HL17" t="n">
        <v>12.4</v>
      </c>
      <c r="HM17" t="n">
        <v>95.161</v>
      </c>
      <c r="HN17" t="n">
        <v>7</v>
      </c>
      <c r="HO17" t="n">
        <v>42.2</v>
      </c>
      <c r="HP17" t="n">
        <v>67.8</v>
      </c>
      <c r="HQ17" t="n">
        <v>-3.28</v>
      </c>
      <c r="HR17" t="n">
        <v>-44</v>
      </c>
      <c r="HS17" t="n">
        <v>-95</v>
      </c>
      <c r="HT17" t="n">
        <v>-7.6</v>
      </c>
      <c r="HU17" t="n">
        <v>-1</v>
      </c>
      <c r="HV17" t="n">
        <v>-21.8</v>
      </c>
      <c r="HW17" t="n">
        <v>16.8</v>
      </c>
      <c r="HX17" t="n">
        <v>-5</v>
      </c>
      <c r="HY17" t="n">
        <v>0.2</v>
      </c>
      <c r="HZ17" t="n">
        <v>21.4</v>
      </c>
      <c r="IA17" t="n">
        <v>-49.124</v>
      </c>
      <c r="IB17" t="n">
        <v>111.614</v>
      </c>
      <c r="IC17" t="n">
        <v>1</v>
      </c>
      <c r="ID17" t="n">
        <v>-1.4</v>
      </c>
      <c r="IE17" t="n">
        <v>-0.593</v>
      </c>
      <c r="IF17" t="n">
        <v>2.775</v>
      </c>
      <c r="IG17" t="n">
        <v>-3.6</v>
      </c>
      <c r="IH17" t="n">
        <v>0.6</v>
      </c>
      <c r="II17" t="n">
        <v>-3</v>
      </c>
      <c r="IJ17" t="n">
        <v>1.4</v>
      </c>
      <c r="IK17" t="n">
        <v>-5</v>
      </c>
      <c r="IL17" t="n">
        <v>-1.6</v>
      </c>
      <c r="IM17" t="n">
        <v>-5.6</v>
      </c>
      <c r="IN17" t="n">
        <v>0.6</v>
      </c>
      <c r="IO17" t="n">
        <v>-0.6</v>
      </c>
      <c r="IP17" t="n">
        <v>-0.2</v>
      </c>
      <c r="IQ17" t="n">
        <v>4</v>
      </c>
      <c r="IR17" t="n">
        <v>3.4</v>
      </c>
      <c r="IS17" t="n">
        <v>16.4</v>
      </c>
      <c r="IT17" t="n">
        <v>-0.8</v>
      </c>
      <c r="IU17" t="n">
        <v>-2.8</v>
      </c>
      <c r="IV17" t="n">
        <v>-3.6</v>
      </c>
      <c r="IW17" t="n">
        <v>-0.2</v>
      </c>
      <c r="IX17" t="n">
        <v>-13</v>
      </c>
      <c r="IY17" t="n">
        <v>1.4</v>
      </c>
      <c r="IZ17" t="n">
        <v>2.2</v>
      </c>
      <c r="JA17" t="n">
        <v>-3.8</v>
      </c>
      <c r="JB17" t="n">
        <v>-1.6</v>
      </c>
      <c r="JC17" t="n">
        <v>-0.2</v>
      </c>
      <c r="JD17" t="n">
        <v>2</v>
      </c>
      <c r="JE17" t="n">
        <v>0.8</v>
      </c>
      <c r="JF17" t="n">
        <v>0.6</v>
      </c>
      <c r="JG17" t="n">
        <v>-0.2</v>
      </c>
      <c r="JH17" t="n">
        <v>0.286</v>
      </c>
      <c r="JI17" t="n">
        <v>0.314</v>
      </c>
      <c r="JJ17" t="n">
        <v>-0.062</v>
      </c>
      <c r="JK17" t="n">
        <v>-4.8</v>
      </c>
      <c r="JL17" t="n">
        <v>-6.4</v>
      </c>
      <c r="JM17" t="n">
        <v>12</v>
      </c>
      <c r="JN17" t="n">
        <v>-1.6</v>
      </c>
      <c r="JO17" t="n">
        <v>4.4</v>
      </c>
      <c r="JP17" t="n">
        <v>-2</v>
      </c>
      <c r="JQ17" t="n">
        <v>-9</v>
      </c>
      <c r="JR17" t="n">
        <v>-3.2</v>
      </c>
      <c r="JS17" t="n">
        <v>-11.6</v>
      </c>
      <c r="JT17" t="n">
        <v>-13.2</v>
      </c>
      <c r="JU17" t="n">
        <v>8.6</v>
      </c>
      <c r="JV17" t="n">
        <v>15.2</v>
      </c>
      <c r="JW17" t="n">
        <v>3.8</v>
      </c>
      <c r="JX17" t="n">
        <v>0.4</v>
      </c>
      <c r="JY17" t="n">
        <v>4.8</v>
      </c>
      <c r="JZ17" t="n">
        <v>4.4</v>
      </c>
      <c r="KA17" t="n">
        <v>4.2</v>
      </c>
    </row>
    <row r="18">
      <c r="A18" t="inlineStr">
        <is>
          <t>Geelong</t>
        </is>
      </c>
      <c r="B18" t="inlineStr">
        <is>
          <t>Geel</t>
        </is>
      </c>
      <c r="C18" t="n">
        <v>5</v>
      </c>
      <c r="D18" t="n">
        <v>26</v>
      </c>
      <c r="E18" t="n">
        <v>27.307</v>
      </c>
      <c r="F18" t="n">
        <v>131.383</v>
      </c>
      <c r="G18" t="n">
        <v>225.26</v>
      </c>
      <c r="H18" t="n">
        <v>1711.4</v>
      </c>
      <c r="I18" t="n">
        <v>1541</v>
      </c>
      <c r="J18" t="n">
        <v>23.2</v>
      </c>
      <c r="K18" t="n">
        <v>53.083</v>
      </c>
      <c r="L18" t="n">
        <v>40.8</v>
      </c>
      <c r="M18" t="n">
        <v>213.6</v>
      </c>
      <c r="N18" t="n">
        <v>128.8</v>
      </c>
      <c r="O18" t="n">
        <v>342.4</v>
      </c>
      <c r="P18" t="n">
        <v>71.379</v>
      </c>
      <c r="Q18" t="n">
        <v>67.13500000000001</v>
      </c>
      <c r="R18" t="n">
        <v>78.416</v>
      </c>
      <c r="S18" t="n">
        <v>62.383</v>
      </c>
      <c r="T18" t="n">
        <v>5.333</v>
      </c>
      <c r="U18" t="n">
        <v>57.4</v>
      </c>
      <c r="V18" t="n">
        <v>38.2</v>
      </c>
      <c r="W18" t="n">
        <v>75.197</v>
      </c>
      <c r="X18" t="n">
        <v>6141.4</v>
      </c>
      <c r="Y18" t="n">
        <v>17.936</v>
      </c>
      <c r="Z18" t="n">
        <v>5693.894</v>
      </c>
      <c r="AA18" t="n">
        <v>26.807</v>
      </c>
      <c r="AB18" t="n">
        <v>237.848</v>
      </c>
      <c r="AC18" t="n">
        <v>1.847</v>
      </c>
      <c r="AD18" t="n">
        <v>50.2</v>
      </c>
      <c r="AE18" t="n">
        <v>6.821</v>
      </c>
      <c r="AF18" t="n">
        <v>57.8</v>
      </c>
      <c r="AG18" t="n">
        <v>5.924</v>
      </c>
      <c r="AH18" t="n">
        <v>68.83</v>
      </c>
      <c r="AI18" t="n">
        <v>53.909</v>
      </c>
      <c r="AJ18" t="n">
        <v>23.997</v>
      </c>
      <c r="AK18" t="n">
        <v>8.096</v>
      </c>
      <c r="AL18" t="n">
        <v>55.464</v>
      </c>
      <c r="AM18" t="n">
        <v>4.303</v>
      </c>
      <c r="AN18" t="n">
        <v>134</v>
      </c>
      <c r="AO18" t="n">
        <v>200.6</v>
      </c>
      <c r="AP18" t="n">
        <v>334.6</v>
      </c>
      <c r="AQ18" t="n">
        <v>40.048</v>
      </c>
      <c r="AR18" t="n">
        <v>65.40000000000001</v>
      </c>
      <c r="AS18" t="n">
        <v>94.2</v>
      </c>
      <c r="AT18" t="n">
        <v>17.8</v>
      </c>
      <c r="AU18" t="n">
        <v>27.2</v>
      </c>
      <c r="AV18" t="n">
        <v>67</v>
      </c>
      <c r="AW18" t="n">
        <v>82.8</v>
      </c>
      <c r="AX18" t="n">
        <v>56.6</v>
      </c>
      <c r="AY18" t="n">
        <v>6</v>
      </c>
      <c r="AZ18" t="n">
        <v>18.8</v>
      </c>
      <c r="BA18" t="n">
        <v>99.40000000000001</v>
      </c>
      <c r="BB18" t="n">
        <v>12.6</v>
      </c>
      <c r="BC18" t="n">
        <v>25</v>
      </c>
      <c r="BD18" t="n">
        <v>37.6</v>
      </c>
      <c r="BE18" t="n">
        <v>40</v>
      </c>
      <c r="BF18" t="n">
        <v>69.5</v>
      </c>
      <c r="BG18" t="n">
        <v>89</v>
      </c>
      <c r="BH18" t="n">
        <v>11.6</v>
      </c>
      <c r="BI18" t="n">
        <v>15.2</v>
      </c>
      <c r="BJ18" t="n">
        <v>26.481</v>
      </c>
      <c r="BK18" t="n">
        <v>15.8</v>
      </c>
      <c r="BL18" t="n">
        <v>7.6</v>
      </c>
      <c r="BM18" t="n">
        <v>18</v>
      </c>
      <c r="BN18" t="n">
        <v>9.199999999999999</v>
      </c>
      <c r="BO18" t="n">
        <v>14.8</v>
      </c>
      <c r="BP18" t="n">
        <v>14.4</v>
      </c>
      <c r="BQ18" t="n">
        <v>103.2</v>
      </c>
      <c r="BR18" t="n">
        <v>3.4</v>
      </c>
      <c r="BS18" t="n">
        <v>30.8</v>
      </c>
      <c r="BT18" t="n">
        <v>12.6</v>
      </c>
      <c r="BU18" t="n">
        <v>48.052</v>
      </c>
      <c r="BV18" t="n">
        <v>25.784</v>
      </c>
      <c r="BW18" t="n">
        <v>50.871</v>
      </c>
      <c r="BX18" t="n">
        <v>53.659</v>
      </c>
      <c r="BY18" t="n">
        <v>12.8</v>
      </c>
      <c r="BZ18" t="n">
        <v>29.687</v>
      </c>
      <c r="CA18" t="n">
        <v>3.876</v>
      </c>
      <c r="CB18" t="n">
        <v>0.124</v>
      </c>
      <c r="CC18" t="n">
        <v>93.102</v>
      </c>
      <c r="CD18" t="n">
        <v>6.698</v>
      </c>
      <c r="CE18" t="n">
        <v>3.023</v>
      </c>
      <c r="CF18" t="n">
        <v>0.217</v>
      </c>
      <c r="CG18" t="n">
        <v>3.06</v>
      </c>
      <c r="CH18" t="n">
        <v>0.05</v>
      </c>
      <c r="CI18" t="n">
        <v>2.981</v>
      </c>
      <c r="CJ18" t="n">
        <v>0.408</v>
      </c>
      <c r="CK18" t="n">
        <v>6.2</v>
      </c>
      <c r="CL18" t="n">
        <v>40.8</v>
      </c>
      <c r="CM18" t="n">
        <v>56.2</v>
      </c>
      <c r="CN18" t="n">
        <v>37.8</v>
      </c>
      <c r="CO18" t="n">
        <v>53.4</v>
      </c>
      <c r="CP18" t="n">
        <v>12</v>
      </c>
      <c r="CQ18" t="n">
        <v>26.221</v>
      </c>
      <c r="CR18" t="n">
        <v>29.57</v>
      </c>
      <c r="CS18" t="n">
        <v>13.978</v>
      </c>
      <c r="CT18" t="n">
        <v>36.364</v>
      </c>
      <c r="CU18" t="n">
        <v>17.532</v>
      </c>
      <c r="CV18" t="n">
        <v>10.4</v>
      </c>
      <c r="CW18" t="n">
        <v>21.154</v>
      </c>
      <c r="CX18" t="n">
        <v>65.59999999999999</v>
      </c>
      <c r="CY18" t="n">
        <v>11.2</v>
      </c>
      <c r="CZ18" t="n">
        <v>286.4</v>
      </c>
      <c r="DA18" t="n">
        <v>133</v>
      </c>
      <c r="DB18" t="n">
        <v>25.8</v>
      </c>
      <c r="DC18" t="n">
        <v>107</v>
      </c>
      <c r="DD18" t="n">
        <v>40.2</v>
      </c>
      <c r="DE18" t="n">
        <v>37.57</v>
      </c>
      <c r="DF18" t="n">
        <v>6.4</v>
      </c>
      <c r="DG18" t="n">
        <v>15.92</v>
      </c>
      <c r="DH18" t="n">
        <v>1.4</v>
      </c>
      <c r="DI18" t="n">
        <v>30.348</v>
      </c>
      <c r="DJ18" t="n">
        <v>35.323</v>
      </c>
      <c r="DK18" t="n">
        <v>19.4</v>
      </c>
      <c r="DL18" t="n">
        <v>15.4</v>
      </c>
      <c r="DM18" t="n">
        <v>4</v>
      </c>
      <c r="DN18" t="n">
        <v>9.4</v>
      </c>
      <c r="DO18" t="n">
        <v>85.10599999999999</v>
      </c>
      <c r="DP18" t="n">
        <v>9.4</v>
      </c>
      <c r="DQ18" t="n">
        <v>36</v>
      </c>
      <c r="DR18" t="n">
        <v>69.40000000000001</v>
      </c>
      <c r="DS18" t="n">
        <v>200.78</v>
      </c>
      <c r="DT18" t="n">
        <v>1588.4</v>
      </c>
      <c r="DU18" t="n">
        <v>1543.4</v>
      </c>
      <c r="DV18" t="n">
        <v>9.800000000000001</v>
      </c>
      <c r="DW18" t="n">
        <v>38.8</v>
      </c>
      <c r="DX18" t="n">
        <v>210</v>
      </c>
      <c r="DY18" t="n">
        <v>150.4</v>
      </c>
      <c r="DZ18" t="n">
        <v>360.4</v>
      </c>
      <c r="EA18" t="n">
        <v>70.2</v>
      </c>
      <c r="EB18" t="n">
        <v>64.381</v>
      </c>
      <c r="EC18" t="n">
        <v>78.324</v>
      </c>
      <c r="ED18" t="n">
        <v>5.494</v>
      </c>
      <c r="EE18" t="n">
        <v>50.8</v>
      </c>
      <c r="EF18" t="n">
        <v>41.6</v>
      </c>
      <c r="EG18" t="n">
        <v>72.474</v>
      </c>
      <c r="EH18" t="n">
        <v>5780.8</v>
      </c>
      <c r="EI18" t="n">
        <v>16.04</v>
      </c>
      <c r="EJ18" t="n">
        <v>5321.392</v>
      </c>
      <c r="EK18" t="n">
        <v>25.658</v>
      </c>
      <c r="EL18" t="n">
        <v>246.67</v>
      </c>
      <c r="EM18" t="n">
        <v>1.651</v>
      </c>
      <c r="EN18" t="n">
        <v>61.2</v>
      </c>
      <c r="EO18" t="n">
        <v>5.889</v>
      </c>
      <c r="EP18" t="n">
        <v>65</v>
      </c>
      <c r="EQ18" t="n">
        <v>5.545</v>
      </c>
      <c r="ER18" t="n">
        <v>68.935</v>
      </c>
      <c r="ES18" t="n">
        <v>44.928</v>
      </c>
      <c r="ET18" t="n">
        <v>22.744</v>
      </c>
      <c r="EU18" t="n">
        <v>0.916</v>
      </c>
      <c r="EV18" t="n">
        <v>56.257</v>
      </c>
      <c r="EW18" t="n">
        <v>2.368</v>
      </c>
      <c r="EX18" t="n">
        <v>131.8</v>
      </c>
      <c r="EY18" t="n">
        <v>214.8</v>
      </c>
      <c r="EZ18" t="n">
        <v>346.6</v>
      </c>
      <c r="FA18" t="n">
        <v>38.027</v>
      </c>
      <c r="FB18" t="n">
        <v>58.2</v>
      </c>
      <c r="FC18" t="n">
        <v>93.40000000000001</v>
      </c>
      <c r="FD18" t="n">
        <v>13.6</v>
      </c>
      <c r="FE18" t="n">
        <v>22</v>
      </c>
      <c r="FF18" t="n">
        <v>71.40000000000001</v>
      </c>
      <c r="FG18" t="n">
        <v>74.59999999999999</v>
      </c>
      <c r="FH18" t="n">
        <v>56</v>
      </c>
      <c r="FI18" t="n">
        <v>8.4</v>
      </c>
      <c r="FJ18" t="n">
        <v>19.6</v>
      </c>
      <c r="FK18" t="n">
        <v>112.8</v>
      </c>
      <c r="FL18" t="n">
        <v>10.8</v>
      </c>
      <c r="FM18" t="n">
        <v>28.2</v>
      </c>
      <c r="FN18" t="n">
        <v>39</v>
      </c>
      <c r="FO18" t="n">
        <v>47.4</v>
      </c>
      <c r="FP18" t="n">
        <v>68.354</v>
      </c>
      <c r="FQ18" t="n">
        <v>89.40000000000001</v>
      </c>
      <c r="FR18" t="n">
        <v>8</v>
      </c>
      <c r="FS18" t="n">
        <v>11</v>
      </c>
      <c r="FT18" t="n">
        <v>21.654</v>
      </c>
      <c r="FU18" t="n">
        <v>13.8</v>
      </c>
      <c r="FV18" t="n">
        <v>7.4</v>
      </c>
      <c r="FW18" t="n">
        <v>12.2</v>
      </c>
      <c r="FX18" t="n">
        <v>9.4</v>
      </c>
      <c r="FY18" t="n">
        <v>82.59999999999999</v>
      </c>
      <c r="FZ18" t="n">
        <v>2.2</v>
      </c>
      <c r="GA18" t="n">
        <v>23.6</v>
      </c>
      <c r="GB18" t="n">
        <v>8.800000000000001</v>
      </c>
      <c r="GC18" t="n">
        <v>51.695</v>
      </c>
      <c r="GD18" t="n">
        <v>24.016</v>
      </c>
      <c r="GE18" t="n">
        <v>42.52</v>
      </c>
      <c r="GF18" t="n">
        <v>46.457</v>
      </c>
      <c r="GG18" t="n">
        <v>74.589</v>
      </c>
      <c r="GH18" t="n">
        <v>5.811</v>
      </c>
      <c r="GI18" t="n">
        <v>3.161</v>
      </c>
      <c r="GJ18" t="n">
        <v>0.246</v>
      </c>
      <c r="GK18" t="n">
        <v>3.528</v>
      </c>
      <c r="GL18" t="n">
        <v>0.503</v>
      </c>
      <c r="GM18" t="n">
        <v>2.725</v>
      </c>
      <c r="GN18" t="n">
        <v>-0.058</v>
      </c>
      <c r="GO18" t="n">
        <v>4</v>
      </c>
      <c r="GP18" t="n">
        <v>39</v>
      </c>
      <c r="GQ18" t="n">
        <v>39.6</v>
      </c>
      <c r="GR18" t="n">
        <v>41.4</v>
      </c>
      <c r="GS18" t="n">
        <v>29.4</v>
      </c>
      <c r="GT18" t="n">
        <v>11.8</v>
      </c>
      <c r="GU18" t="n">
        <v>19.817</v>
      </c>
      <c r="GV18" t="n">
        <v>22.5</v>
      </c>
      <c r="GW18" t="n">
        <v>9.5</v>
      </c>
      <c r="GX18" t="n">
        <v>30.882</v>
      </c>
      <c r="GY18" t="n">
        <v>13.824</v>
      </c>
      <c r="GZ18" t="n">
        <v>64.2</v>
      </c>
      <c r="HA18" t="n">
        <v>9.800000000000001</v>
      </c>
      <c r="HB18" t="n">
        <v>269.2</v>
      </c>
      <c r="HC18" t="n">
        <v>140.2</v>
      </c>
      <c r="HD18" t="n">
        <v>29.2</v>
      </c>
      <c r="HE18" t="n">
        <v>50</v>
      </c>
      <c r="HF18" t="n">
        <v>46.816</v>
      </c>
      <c r="HG18" t="n">
        <v>9.4</v>
      </c>
      <c r="HH18" t="n">
        <v>18.8</v>
      </c>
      <c r="HI18" t="n">
        <v>3.8</v>
      </c>
      <c r="HJ18" t="n">
        <v>40</v>
      </c>
      <c r="HK18" t="n">
        <v>38</v>
      </c>
      <c r="HL18" t="n">
        <v>14.2</v>
      </c>
      <c r="HM18" t="n">
        <v>88.732</v>
      </c>
      <c r="HN18" t="n">
        <v>6.4</v>
      </c>
      <c r="HO18" t="n">
        <v>40.2</v>
      </c>
      <c r="HP18" t="n">
        <v>70</v>
      </c>
      <c r="HQ18" t="n">
        <v>24.48</v>
      </c>
      <c r="HR18" t="n">
        <v>123</v>
      </c>
      <c r="HS18" t="n">
        <v>-2.4</v>
      </c>
      <c r="HT18" t="n">
        <v>13.4</v>
      </c>
      <c r="HU18" t="n">
        <v>2</v>
      </c>
      <c r="HV18" t="n">
        <v>3.6</v>
      </c>
      <c r="HW18" t="n">
        <v>-21.6</v>
      </c>
      <c r="HX18" t="n">
        <v>-18</v>
      </c>
      <c r="HY18" t="n">
        <v>6.6</v>
      </c>
      <c r="HZ18" t="n">
        <v>360.6</v>
      </c>
      <c r="IA18" t="n">
        <v>372.502</v>
      </c>
      <c r="IB18" t="n">
        <v>-8.821999999999999</v>
      </c>
      <c r="IC18" t="n">
        <v>-11</v>
      </c>
      <c r="ID18" t="n">
        <v>-7.2</v>
      </c>
      <c r="IE18" t="n">
        <v>7.18</v>
      </c>
      <c r="IF18" t="n">
        <v>1.936</v>
      </c>
      <c r="IG18" t="n">
        <v>2.2</v>
      </c>
      <c r="IH18" t="n">
        <v>-14.2</v>
      </c>
      <c r="II18" t="n">
        <v>-12</v>
      </c>
      <c r="IJ18" t="n">
        <v>7.2</v>
      </c>
      <c r="IK18" t="n">
        <v>0.8</v>
      </c>
      <c r="IL18" t="n">
        <v>4.2</v>
      </c>
      <c r="IM18" t="n">
        <v>5.2</v>
      </c>
      <c r="IN18" t="n">
        <v>-4.4</v>
      </c>
      <c r="IO18" t="n">
        <v>8.199999999999999</v>
      </c>
      <c r="IP18" t="n">
        <v>0.6</v>
      </c>
      <c r="IQ18" t="n">
        <v>-2.4</v>
      </c>
      <c r="IR18" t="n">
        <v>-0.8</v>
      </c>
      <c r="IS18" t="n">
        <v>-13.4</v>
      </c>
      <c r="IT18" t="n">
        <v>1.8</v>
      </c>
      <c r="IU18" t="n">
        <v>-3.2</v>
      </c>
      <c r="IV18" t="n">
        <v>-1.4</v>
      </c>
      <c r="IW18" t="n">
        <v>-7.4</v>
      </c>
      <c r="IX18" t="n">
        <v>-0.4</v>
      </c>
      <c r="IY18" t="n">
        <v>3.6</v>
      </c>
      <c r="IZ18" t="n">
        <v>4.2</v>
      </c>
      <c r="JA18" t="n">
        <v>2</v>
      </c>
      <c r="JB18" t="n">
        <v>0.2</v>
      </c>
      <c r="JC18" t="n">
        <v>2.6</v>
      </c>
      <c r="JD18" t="n">
        <v>5</v>
      </c>
      <c r="JE18" t="n">
        <v>20.6</v>
      </c>
      <c r="JF18" t="n">
        <v>7.2</v>
      </c>
      <c r="JG18" t="n">
        <v>3.8</v>
      </c>
      <c r="JH18" t="n">
        <v>18.514</v>
      </c>
      <c r="JI18" t="n">
        <v>0.886</v>
      </c>
      <c r="JJ18" t="n">
        <v>-0.138</v>
      </c>
      <c r="JK18" t="n">
        <v>2.2</v>
      </c>
      <c r="JL18" t="n">
        <v>1.8</v>
      </c>
      <c r="JM18" t="n">
        <v>16.6</v>
      </c>
      <c r="JN18" t="n">
        <v>-3.6</v>
      </c>
      <c r="JO18" t="n">
        <v>24</v>
      </c>
      <c r="JP18" t="n">
        <v>0.2</v>
      </c>
      <c r="JQ18" t="n">
        <v>1.4</v>
      </c>
      <c r="JR18" t="n">
        <v>1.4</v>
      </c>
      <c r="JS18" t="n">
        <v>17.2</v>
      </c>
      <c r="JT18" t="n">
        <v>-7.2</v>
      </c>
      <c r="JU18" t="n">
        <v>-3.4</v>
      </c>
      <c r="JV18" t="n">
        <v>-9.800000000000001</v>
      </c>
      <c r="JW18" t="n">
        <v>-3</v>
      </c>
      <c r="JX18" t="n">
        <v>-2.4</v>
      </c>
      <c r="JY18" t="n">
        <v>3</v>
      </c>
      <c r="JZ18" t="n">
        <v>-4.2</v>
      </c>
      <c r="KA18" t="n">
        <v>-0.6</v>
      </c>
    </row>
    <row r="19">
      <c r="A19" t="inlineStr">
        <is>
          <t>Brisbane</t>
        </is>
      </c>
      <c r="B19" t="inlineStr">
        <is>
          <t>Bris</t>
        </is>
      </c>
      <c r="C19" t="n">
        <v>5</v>
      </c>
      <c r="D19" t="n">
        <v>26</v>
      </c>
      <c r="E19" t="n">
        <v>26.277</v>
      </c>
      <c r="F19" t="n">
        <v>130.817</v>
      </c>
      <c r="G19" t="n">
        <v>224.42</v>
      </c>
      <c r="H19" t="n">
        <v>1740.4</v>
      </c>
      <c r="I19" t="n">
        <v>1675.6</v>
      </c>
      <c r="J19" t="n">
        <v>26.2</v>
      </c>
      <c r="K19" t="n">
        <v>50.239</v>
      </c>
      <c r="L19" t="n">
        <v>40.8</v>
      </c>
      <c r="M19" t="n">
        <v>233.8</v>
      </c>
      <c r="N19" t="n">
        <v>143.4</v>
      </c>
      <c r="O19" t="n">
        <v>377.2</v>
      </c>
      <c r="P19" t="n">
        <v>72.48099999999999</v>
      </c>
      <c r="Q19" t="n">
        <v>66.38200000000001</v>
      </c>
      <c r="R19" t="n">
        <v>82.42700000000001</v>
      </c>
      <c r="S19" t="n">
        <v>61.983</v>
      </c>
      <c r="T19" t="n">
        <v>6.163</v>
      </c>
      <c r="U19" t="n">
        <v>58.4</v>
      </c>
      <c r="V19" t="n">
        <v>41.2</v>
      </c>
      <c r="W19" t="n">
        <v>77.444</v>
      </c>
      <c r="X19" t="n">
        <v>6328.2</v>
      </c>
      <c r="Y19" t="n">
        <v>16.777</v>
      </c>
      <c r="Z19" t="n">
        <v>5843.004</v>
      </c>
      <c r="AA19" t="n">
        <v>25.164</v>
      </c>
      <c r="AB19" t="n">
        <v>239.57</v>
      </c>
      <c r="AC19" t="n">
        <v>1.673</v>
      </c>
      <c r="AD19" t="n">
        <v>57.2</v>
      </c>
      <c r="AE19" t="n">
        <v>6.594</v>
      </c>
      <c r="AF19" t="n">
        <v>62.4</v>
      </c>
      <c r="AG19" t="n">
        <v>6.045</v>
      </c>
      <c r="AH19" t="n">
        <v>69.697</v>
      </c>
      <c r="AI19" t="n">
        <v>43.983</v>
      </c>
      <c r="AJ19" t="n">
        <v>22.661</v>
      </c>
      <c r="AK19" t="n">
        <v>2.024</v>
      </c>
      <c r="AL19" t="n">
        <v>58.573</v>
      </c>
      <c r="AM19" t="n">
        <v>1.617</v>
      </c>
      <c r="AN19" t="n">
        <v>135</v>
      </c>
      <c r="AO19" t="n">
        <v>230.4</v>
      </c>
      <c r="AP19" t="n">
        <v>365.4</v>
      </c>
      <c r="AQ19" t="n">
        <v>36.946</v>
      </c>
      <c r="AR19" t="n">
        <v>65.2</v>
      </c>
      <c r="AS19" t="n">
        <v>92.40000000000001</v>
      </c>
      <c r="AT19" t="n">
        <v>16.6</v>
      </c>
      <c r="AU19" t="n">
        <v>21.6</v>
      </c>
      <c r="AV19" t="n">
        <v>70.8</v>
      </c>
      <c r="AW19" t="n">
        <v>77.8</v>
      </c>
      <c r="AX19" t="n">
        <v>55.8</v>
      </c>
      <c r="AY19" t="n">
        <v>10.2</v>
      </c>
      <c r="AZ19" t="n">
        <v>19.8</v>
      </c>
      <c r="BA19" t="n">
        <v>113.6</v>
      </c>
      <c r="BB19" t="n">
        <v>11.4</v>
      </c>
      <c r="BC19" t="n">
        <v>32.4</v>
      </c>
      <c r="BD19" t="n">
        <v>43.8</v>
      </c>
      <c r="BE19" t="n">
        <v>46</v>
      </c>
      <c r="BF19" t="n">
        <v>76.087</v>
      </c>
      <c r="BG19" t="n">
        <v>104.8</v>
      </c>
      <c r="BH19" t="n">
        <v>9.199999999999999</v>
      </c>
      <c r="BI19" t="n">
        <v>10.8</v>
      </c>
      <c r="BJ19" t="n">
        <v>18.493</v>
      </c>
      <c r="BK19" t="n">
        <v>16</v>
      </c>
      <c r="BL19" t="n">
        <v>7.6</v>
      </c>
      <c r="BM19" t="n">
        <v>16</v>
      </c>
      <c r="BN19" t="n">
        <v>8.4</v>
      </c>
      <c r="BO19" t="n">
        <v>13.8</v>
      </c>
      <c r="BP19" t="n">
        <v>14.2</v>
      </c>
      <c r="BQ19" t="n">
        <v>97</v>
      </c>
      <c r="BR19" t="n">
        <v>2.6</v>
      </c>
      <c r="BS19" t="n">
        <v>30.2</v>
      </c>
      <c r="BT19" t="n">
        <v>9</v>
      </c>
      <c r="BU19" t="n">
        <v>45.695</v>
      </c>
      <c r="BV19" t="n">
        <v>23.63</v>
      </c>
      <c r="BW19" t="n">
        <v>47.945</v>
      </c>
      <c r="BX19" t="n">
        <v>51.712</v>
      </c>
      <c r="BY19" t="n">
        <v>11.2</v>
      </c>
      <c r="BZ19" t="n">
        <v>19.643</v>
      </c>
      <c r="CA19" t="n">
        <v>3.896</v>
      </c>
      <c r="CB19" t="n">
        <v>0.104</v>
      </c>
      <c r="CC19" t="n">
        <v>96.03400000000001</v>
      </c>
      <c r="CD19" t="n">
        <v>-1.634</v>
      </c>
      <c r="CE19" t="n">
        <v>3.18</v>
      </c>
      <c r="CF19" t="n">
        <v>-0.054</v>
      </c>
      <c r="CG19" t="n">
        <v>3.421</v>
      </c>
      <c r="CH19" t="n">
        <v>-0.083</v>
      </c>
      <c r="CI19" t="n">
        <v>2.966</v>
      </c>
      <c r="CJ19" t="n">
        <v>-0.028</v>
      </c>
      <c r="CK19" t="n">
        <v>4</v>
      </c>
      <c r="CL19" t="n">
        <v>42.6</v>
      </c>
      <c r="CM19" t="n">
        <v>50.4</v>
      </c>
      <c r="CN19" t="n">
        <v>41</v>
      </c>
      <c r="CO19" t="n">
        <v>45</v>
      </c>
      <c r="CP19" t="n">
        <v>11</v>
      </c>
      <c r="CQ19" t="n">
        <v>23.891</v>
      </c>
      <c r="CR19" t="n">
        <v>27.136</v>
      </c>
      <c r="CS19" t="n">
        <v>12.06</v>
      </c>
      <c r="CT19" t="n">
        <v>36.527</v>
      </c>
      <c r="CU19" t="n">
        <v>15.015</v>
      </c>
      <c r="CV19" t="n">
        <v>12.2</v>
      </c>
      <c r="CW19" t="n">
        <v>26.23</v>
      </c>
      <c r="CX19" t="n">
        <v>66.59999999999999</v>
      </c>
      <c r="CY19" t="n">
        <v>10.8</v>
      </c>
      <c r="CZ19" t="n">
        <v>252.2</v>
      </c>
      <c r="DA19" t="n">
        <v>116.6</v>
      </c>
      <c r="DB19" t="n">
        <v>28.6</v>
      </c>
      <c r="DC19" t="n">
        <v>108.6</v>
      </c>
      <c r="DD19" t="n">
        <v>49.8</v>
      </c>
      <c r="DE19" t="n">
        <v>45.856</v>
      </c>
      <c r="DF19" t="n">
        <v>10.8</v>
      </c>
      <c r="DG19" t="n">
        <v>21.687</v>
      </c>
      <c r="DH19" t="n">
        <v>3</v>
      </c>
      <c r="DI19" t="n">
        <v>40.161</v>
      </c>
      <c r="DJ19" t="n">
        <v>42.57</v>
      </c>
      <c r="DK19" t="n">
        <v>17</v>
      </c>
      <c r="DL19" t="n">
        <v>18.2</v>
      </c>
      <c r="DM19" t="n">
        <v>-1.2</v>
      </c>
      <c r="DN19" t="n">
        <v>10.6</v>
      </c>
      <c r="DO19" t="n">
        <v>90.566</v>
      </c>
      <c r="DP19" t="n">
        <v>6.4</v>
      </c>
      <c r="DQ19" t="n">
        <v>43.6</v>
      </c>
      <c r="DR19" t="n">
        <v>69.40000000000001</v>
      </c>
      <c r="DS19" t="n">
        <v>206.4</v>
      </c>
      <c r="DT19" t="n">
        <v>1559.6</v>
      </c>
      <c r="DU19" t="n">
        <v>1413.2</v>
      </c>
      <c r="DV19" t="n">
        <v>6.8</v>
      </c>
      <c r="DW19" t="n">
        <v>39.2</v>
      </c>
      <c r="DX19" t="n">
        <v>195.6</v>
      </c>
      <c r="DY19" t="n">
        <v>129.8</v>
      </c>
      <c r="DZ19" t="n">
        <v>325.4</v>
      </c>
      <c r="EA19" t="n">
        <v>70.498</v>
      </c>
      <c r="EB19" t="n">
        <v>66.053</v>
      </c>
      <c r="EC19" t="n">
        <v>77.196</v>
      </c>
      <c r="ED19" t="n">
        <v>4.886</v>
      </c>
      <c r="EE19" t="n">
        <v>53.2</v>
      </c>
      <c r="EF19" t="n">
        <v>43.6</v>
      </c>
      <c r="EG19" t="n">
        <v>74.658</v>
      </c>
      <c r="EH19" t="n">
        <v>6055.4</v>
      </c>
      <c r="EI19" t="n">
        <v>18.609</v>
      </c>
      <c r="EJ19" t="n">
        <v>5545.202</v>
      </c>
      <c r="EK19" t="n">
        <v>28.466</v>
      </c>
      <c r="EL19" t="n">
        <v>327.826</v>
      </c>
      <c r="EM19" t="n">
        <v>2.533</v>
      </c>
      <c r="EN19" t="n">
        <v>56.2</v>
      </c>
      <c r="EO19" t="n">
        <v>5.79</v>
      </c>
      <c r="EP19" t="n">
        <v>64.8</v>
      </c>
      <c r="EQ19" t="n">
        <v>5.022</v>
      </c>
      <c r="ER19" t="n">
        <v>66.462</v>
      </c>
      <c r="ES19" t="n">
        <v>44.889</v>
      </c>
      <c r="ET19" t="n">
        <v>23.418</v>
      </c>
      <c r="EU19" t="n">
        <v>-0.003</v>
      </c>
      <c r="EV19" t="n">
        <v>52.915</v>
      </c>
      <c r="EW19" t="n">
        <v>3.06</v>
      </c>
      <c r="EX19" t="n">
        <v>129.8</v>
      </c>
      <c r="EY19" t="n">
        <v>185.8</v>
      </c>
      <c r="EZ19" t="n">
        <v>315.6</v>
      </c>
      <c r="FA19" t="n">
        <v>41.128</v>
      </c>
      <c r="FB19" t="n">
        <v>62.4</v>
      </c>
      <c r="FC19" t="n">
        <v>89.8</v>
      </c>
      <c r="FD19" t="n">
        <v>12.6</v>
      </c>
      <c r="FE19" t="n">
        <v>22.4</v>
      </c>
      <c r="FF19" t="n">
        <v>67.40000000000001</v>
      </c>
      <c r="FG19" t="n">
        <v>79.59999999999999</v>
      </c>
      <c r="FH19" t="n">
        <v>55</v>
      </c>
      <c r="FI19" t="n">
        <v>8.6</v>
      </c>
      <c r="FJ19" t="n">
        <v>19</v>
      </c>
      <c r="FK19" t="n">
        <v>96.8</v>
      </c>
      <c r="FL19" t="n">
        <v>11.2</v>
      </c>
      <c r="FM19" t="n">
        <v>22.8</v>
      </c>
      <c r="FN19" t="n">
        <v>34</v>
      </c>
      <c r="FO19" t="n">
        <v>43.2</v>
      </c>
      <c r="FP19" t="n">
        <v>65.741</v>
      </c>
      <c r="FQ19" t="n">
        <v>79.2</v>
      </c>
      <c r="FR19" t="n">
        <v>10</v>
      </c>
      <c r="FS19" t="n">
        <v>12.8</v>
      </c>
      <c r="FT19" t="n">
        <v>24.06</v>
      </c>
      <c r="FU19" t="n">
        <v>13.8</v>
      </c>
      <c r="FV19" t="n">
        <v>8.6</v>
      </c>
      <c r="FW19" t="n">
        <v>11</v>
      </c>
      <c r="FX19" t="n">
        <v>10.8</v>
      </c>
      <c r="FY19" t="n">
        <v>76.8</v>
      </c>
      <c r="FZ19" t="n">
        <v>2.8</v>
      </c>
      <c r="GA19" t="n">
        <v>22.6</v>
      </c>
      <c r="GB19" t="n">
        <v>8.800000000000001</v>
      </c>
      <c r="GC19" t="n">
        <v>48.673</v>
      </c>
      <c r="GD19" t="n">
        <v>20.677</v>
      </c>
      <c r="GE19" t="n">
        <v>40.977</v>
      </c>
      <c r="GF19" t="n">
        <v>42.481</v>
      </c>
      <c r="GG19" t="n">
        <v>72.244</v>
      </c>
      <c r="GH19" t="n">
        <v>1.756</v>
      </c>
      <c r="GI19" t="n">
        <v>3.197</v>
      </c>
      <c r="GJ19" t="n">
        <v>0.078</v>
      </c>
      <c r="GK19" t="n">
        <v>3.283</v>
      </c>
      <c r="GL19" t="n">
        <v>0.128</v>
      </c>
      <c r="GM19" t="n">
        <v>3.065</v>
      </c>
      <c r="GN19" t="n">
        <v>0.001</v>
      </c>
      <c r="GO19" t="n">
        <v>7.4</v>
      </c>
      <c r="GP19" t="n">
        <v>30.6</v>
      </c>
      <c r="GQ19" t="n">
        <v>38.8</v>
      </c>
      <c r="GR19" t="n">
        <v>31.8</v>
      </c>
      <c r="GS19" t="n">
        <v>35.2</v>
      </c>
      <c r="GT19" t="n">
        <v>9.800000000000001</v>
      </c>
      <c r="GU19" t="n">
        <v>20.074</v>
      </c>
      <c r="GV19" t="n">
        <v>29.204</v>
      </c>
      <c r="GW19" t="n">
        <v>9.734999999999999</v>
      </c>
      <c r="GX19" t="n">
        <v>34.181</v>
      </c>
      <c r="GY19" t="n">
        <v>13.92</v>
      </c>
      <c r="GZ19" t="n">
        <v>61.2</v>
      </c>
      <c r="HA19" t="n">
        <v>11.6</v>
      </c>
      <c r="HB19" t="n">
        <v>276.6</v>
      </c>
      <c r="HC19" t="n">
        <v>141.2</v>
      </c>
      <c r="HD19" t="n">
        <v>34.2</v>
      </c>
      <c r="HE19" t="n">
        <v>43.2</v>
      </c>
      <c r="HF19" t="n">
        <v>39.779</v>
      </c>
      <c r="HG19" t="n">
        <v>9.199999999999999</v>
      </c>
      <c r="HH19" t="n">
        <v>21.296</v>
      </c>
      <c r="HI19" t="n">
        <v>1.6</v>
      </c>
      <c r="HJ19" t="n">
        <v>37.037</v>
      </c>
      <c r="HK19" t="n">
        <v>34.259</v>
      </c>
      <c r="HL19" t="n">
        <v>14</v>
      </c>
      <c r="HM19" t="n">
        <v>91.429</v>
      </c>
      <c r="HN19" t="n">
        <v>10.6</v>
      </c>
      <c r="HO19" t="n">
        <v>48.4</v>
      </c>
      <c r="HP19" t="n">
        <v>69.59999999999999</v>
      </c>
      <c r="HQ19" t="n">
        <v>18.02</v>
      </c>
      <c r="HR19" t="n">
        <v>180.8</v>
      </c>
      <c r="HS19" t="n">
        <v>262.4</v>
      </c>
      <c r="HT19" t="n">
        <v>19.4</v>
      </c>
      <c r="HU19" t="n">
        <v>1.6</v>
      </c>
      <c r="HV19" t="n">
        <v>38.2</v>
      </c>
      <c r="HW19" t="n">
        <v>13.6</v>
      </c>
      <c r="HX19" t="n">
        <v>51.8</v>
      </c>
      <c r="HY19" t="n">
        <v>5.2</v>
      </c>
      <c r="HZ19" t="n">
        <v>272.8</v>
      </c>
      <c r="IA19" t="n">
        <v>297.802</v>
      </c>
      <c r="IB19" t="n">
        <v>-88.256</v>
      </c>
      <c r="IC19" t="n">
        <v>1</v>
      </c>
      <c r="ID19" t="n">
        <v>-2.4</v>
      </c>
      <c r="IE19" t="n">
        <v>2.027</v>
      </c>
      <c r="IF19" t="n">
        <v>-1.444</v>
      </c>
      <c r="IG19" t="n">
        <v>5.2</v>
      </c>
      <c r="IH19" t="n">
        <v>44.6</v>
      </c>
      <c r="II19" t="n">
        <v>49.8</v>
      </c>
      <c r="IJ19" t="n">
        <v>2.8</v>
      </c>
      <c r="IK19" t="n">
        <v>2.6</v>
      </c>
      <c r="IL19" t="n">
        <v>4</v>
      </c>
      <c r="IM19" t="n">
        <v>-0.8</v>
      </c>
      <c r="IN19" t="n">
        <v>3.4</v>
      </c>
      <c r="IO19" t="n">
        <v>-1.8</v>
      </c>
      <c r="IP19" t="n">
        <v>0.8</v>
      </c>
      <c r="IQ19" t="n">
        <v>1.6</v>
      </c>
      <c r="IR19" t="n">
        <v>0.8</v>
      </c>
      <c r="IS19" t="n">
        <v>16.8</v>
      </c>
      <c r="IT19" t="n">
        <v>0.2</v>
      </c>
      <c r="IU19" t="n">
        <v>9.6</v>
      </c>
      <c r="IV19" t="n">
        <v>9.800000000000001</v>
      </c>
      <c r="IW19" t="n">
        <v>2.8</v>
      </c>
      <c r="IX19" t="n">
        <v>25.6</v>
      </c>
      <c r="IY19" t="n">
        <v>-0.8</v>
      </c>
      <c r="IZ19" t="n">
        <v>-2</v>
      </c>
      <c r="JA19" t="n">
        <v>2.2</v>
      </c>
      <c r="JB19" t="n">
        <v>-1</v>
      </c>
      <c r="JC19" t="n">
        <v>2.8</v>
      </c>
      <c r="JD19" t="n">
        <v>3.4</v>
      </c>
      <c r="JE19" t="n">
        <v>20.2</v>
      </c>
      <c r="JF19" t="n">
        <v>7.6</v>
      </c>
      <c r="JG19" t="n">
        <v>0.2</v>
      </c>
      <c r="JH19" t="n">
        <v>23.79</v>
      </c>
      <c r="JI19" t="n">
        <v>-3.39</v>
      </c>
      <c r="JJ19" t="n">
        <v>-0.017</v>
      </c>
      <c r="JK19" t="n">
        <v>-3.4</v>
      </c>
      <c r="JL19" t="n">
        <v>12</v>
      </c>
      <c r="JM19" t="n">
        <v>11.6</v>
      </c>
      <c r="JN19" t="n">
        <v>9.199999999999999</v>
      </c>
      <c r="JO19" t="n">
        <v>9.800000000000001</v>
      </c>
      <c r="JP19" t="n">
        <v>1.2</v>
      </c>
      <c r="JQ19" t="n">
        <v>5.4</v>
      </c>
      <c r="JR19" t="n">
        <v>-0.8</v>
      </c>
      <c r="JS19" t="n">
        <v>-24.4</v>
      </c>
      <c r="JT19" t="n">
        <v>-24.6</v>
      </c>
      <c r="JU19" t="n">
        <v>-5.6</v>
      </c>
      <c r="JV19" t="n">
        <v>6.6</v>
      </c>
      <c r="JW19" t="n">
        <v>1.6</v>
      </c>
      <c r="JX19" t="n">
        <v>1.4</v>
      </c>
      <c r="JY19" t="n">
        <v>-4.2</v>
      </c>
      <c r="JZ19" t="n">
        <v>-4.8</v>
      </c>
      <c r="KA19" t="n">
        <v>-0.2</v>
      </c>
    </row>
    <row r="20">
      <c r="A20" t="inlineStr">
        <is>
          <t>Average</t>
        </is>
      </c>
      <c r="B20" t="inlineStr">
        <is>
          <t>AFL</t>
        </is>
      </c>
      <c r="C20" t="n">
        <v>52</v>
      </c>
      <c r="D20" t="n">
        <v>28.444</v>
      </c>
      <c r="E20" t="n">
        <v>25.866</v>
      </c>
      <c r="F20" t="n">
        <v>109.766</v>
      </c>
      <c r="G20" t="n">
        <v>197.282</v>
      </c>
      <c r="H20" t="n">
        <v>1624.6</v>
      </c>
      <c r="I20" t="n">
        <v>1480.511</v>
      </c>
      <c r="J20" t="n">
        <v>13.633</v>
      </c>
      <c r="K20" t="n">
        <v>49.325</v>
      </c>
      <c r="L20" t="n">
        <v>40.622</v>
      </c>
      <c r="M20" t="n">
        <v>203.589</v>
      </c>
      <c r="N20" t="n">
        <v>144.7</v>
      </c>
      <c r="O20" t="n">
        <v>348.289</v>
      </c>
      <c r="P20" t="n">
        <v>72.583</v>
      </c>
      <c r="Q20" t="n">
        <v>66.31</v>
      </c>
      <c r="R20" t="n">
        <v>81.41</v>
      </c>
      <c r="S20" t="n">
        <v>58.454</v>
      </c>
      <c r="T20" t="n">
        <v>5.853</v>
      </c>
      <c r="U20" t="n">
        <v>50.3</v>
      </c>
      <c r="V20" t="n">
        <v>38.422</v>
      </c>
      <c r="W20" t="n">
        <v>73.41800000000001</v>
      </c>
      <c r="X20" t="n">
        <v>5743.967</v>
      </c>
      <c r="Y20" t="n">
        <v>16.492</v>
      </c>
      <c r="Z20" t="n">
        <v>5387.859</v>
      </c>
      <c r="AA20" t="n">
        <v>26.636</v>
      </c>
      <c r="AB20" t="n">
        <v>170.771</v>
      </c>
      <c r="AC20" t="n">
        <v>1.184</v>
      </c>
      <c r="AD20" t="n">
        <v>56.022</v>
      </c>
      <c r="AE20" t="n">
        <v>6.217</v>
      </c>
      <c r="AF20" t="n">
        <v>62.422</v>
      </c>
      <c r="AG20" t="n">
        <v>5.58</v>
      </c>
      <c r="AH20" t="n">
        <v>70.006</v>
      </c>
      <c r="AI20" t="n">
        <v>47.673</v>
      </c>
      <c r="AJ20" t="n">
        <v>23.337</v>
      </c>
      <c r="AK20" t="n">
        <v>1.155</v>
      </c>
      <c r="AL20" t="n">
        <v>56.714</v>
      </c>
      <c r="AM20" t="n">
        <v>1.217</v>
      </c>
      <c r="AN20" t="n">
        <v>128.522</v>
      </c>
      <c r="AO20" t="n">
        <v>212.278</v>
      </c>
      <c r="AP20" t="n">
        <v>340.8</v>
      </c>
      <c r="AQ20" t="n">
        <v>37.712</v>
      </c>
      <c r="AR20" t="n">
        <v>61.678</v>
      </c>
      <c r="AS20" t="n">
        <v>85.72199999999999</v>
      </c>
      <c r="AT20" t="n">
        <v>14</v>
      </c>
      <c r="AU20" t="n">
        <v>21.078</v>
      </c>
      <c r="AV20" t="n">
        <v>64.64400000000001</v>
      </c>
      <c r="AW20" t="n">
        <v>78.056</v>
      </c>
      <c r="AX20" t="n">
        <v>54.122</v>
      </c>
      <c r="AY20" t="n">
        <v>9.289</v>
      </c>
      <c r="AZ20" t="n">
        <v>20.533</v>
      </c>
      <c r="BA20" t="n">
        <v>114.478</v>
      </c>
      <c r="BB20" t="n">
        <v>12.011</v>
      </c>
      <c r="BC20" t="n">
        <v>24.656</v>
      </c>
      <c r="BD20" t="n">
        <v>36.667</v>
      </c>
      <c r="BE20" t="n">
        <v>41.1</v>
      </c>
      <c r="BF20" t="n">
        <v>73.804</v>
      </c>
      <c r="BG20" t="n">
        <v>87.489</v>
      </c>
      <c r="BH20" t="n">
        <v>9.766999999999999</v>
      </c>
      <c r="BI20" t="n">
        <v>11.944</v>
      </c>
      <c r="BJ20" t="n">
        <v>23.746</v>
      </c>
      <c r="BK20" t="n">
        <v>14.489</v>
      </c>
      <c r="BL20" t="n">
        <v>8.411</v>
      </c>
      <c r="BM20" t="n">
        <v>17.333</v>
      </c>
      <c r="BN20" t="n">
        <v>7.378</v>
      </c>
      <c r="BO20" t="n">
        <v>11.978</v>
      </c>
      <c r="BP20" t="n">
        <v>10.567</v>
      </c>
      <c r="BQ20" t="n">
        <v>82.43300000000001</v>
      </c>
      <c r="BR20" t="n">
        <v>1.944</v>
      </c>
      <c r="BS20" t="n">
        <v>24.678</v>
      </c>
      <c r="BT20" t="n">
        <v>8.956</v>
      </c>
      <c r="BU20" t="n">
        <v>48.537</v>
      </c>
      <c r="BV20" t="n">
        <v>23.813</v>
      </c>
      <c r="BW20" t="n">
        <v>44.82</v>
      </c>
      <c r="BX20" t="n">
        <v>49.061</v>
      </c>
      <c r="BY20" t="n">
        <v>10.444</v>
      </c>
      <c r="BZ20" t="n">
        <v>29.043</v>
      </c>
      <c r="CA20" t="n">
        <v/>
      </c>
      <c r="CB20" t="n">
        <v/>
      </c>
      <c r="CC20" t="n">
        <v>80.399</v>
      </c>
      <c r="CD20" t="n">
        <v>0.09</v>
      </c>
      <c r="CE20" t="n">
        <v>3.258</v>
      </c>
      <c r="CF20" t="n">
        <v>0.004</v>
      </c>
      <c r="CG20" t="n">
        <v>3.484</v>
      </c>
      <c r="CH20" t="n">
        <v>0.102</v>
      </c>
      <c r="CI20" t="n">
        <v>2.959</v>
      </c>
      <c r="CJ20" t="n">
        <v>-0.127</v>
      </c>
      <c r="CK20" t="n">
        <v>4.344</v>
      </c>
      <c r="CL20" t="n">
        <v>32.978</v>
      </c>
      <c r="CM20" t="n">
        <v>45.111</v>
      </c>
      <c r="CN20" t="n">
        <v>32.378</v>
      </c>
      <c r="CO20" t="n">
        <v>39.233</v>
      </c>
      <c r="CP20" t="n">
        <v>10.822</v>
      </c>
      <c r="CQ20" t="n">
        <v>20.81</v>
      </c>
      <c r="CR20" t="n">
        <v>23.915</v>
      </c>
      <c r="CS20" t="n">
        <v>9.928000000000001</v>
      </c>
      <c r="CT20" t="n">
        <v>31.323</v>
      </c>
      <c r="CU20" t="n">
        <v>12.984</v>
      </c>
      <c r="CV20" t="n">
        <v>10.278</v>
      </c>
      <c r="CW20" t="n">
        <v>28.541</v>
      </c>
      <c r="CX20" t="n">
        <v>59.1</v>
      </c>
      <c r="CY20" t="n">
        <v>10.622</v>
      </c>
      <c r="CZ20" t="n">
        <v>264.7</v>
      </c>
      <c r="DA20" t="n">
        <v>128.033</v>
      </c>
      <c r="DB20" t="n">
        <v>29.344</v>
      </c>
      <c r="DC20" t="n">
        <v>97.15600000000001</v>
      </c>
      <c r="DD20" t="n">
        <v>39.078</v>
      </c>
      <c r="DE20" t="n">
        <v>40.222</v>
      </c>
      <c r="DF20" t="n">
        <v>10.133</v>
      </c>
      <c r="DG20" t="n">
        <v>25.931</v>
      </c>
      <c r="DH20" t="n">
        <v>2.889</v>
      </c>
      <c r="DI20" t="n">
        <v>42.622</v>
      </c>
      <c r="DJ20" t="n">
        <v>38.925</v>
      </c>
      <c r="DK20" t="n">
        <v>18.878</v>
      </c>
      <c r="DL20" t="n">
        <v>19.011</v>
      </c>
      <c r="DM20" t="n">
        <v>-0.133</v>
      </c>
      <c r="DN20" t="n">
        <v>10.956</v>
      </c>
      <c r="DO20" t="n">
        <v>90.974</v>
      </c>
      <c r="DP20" t="n">
        <v>7.322</v>
      </c>
      <c r="DQ20" t="n">
        <v>41.033</v>
      </c>
      <c r="DR20" t="n">
        <v>70.133</v>
      </c>
      <c r="DS20" t="n">
        <v>204.966</v>
      </c>
      <c r="DT20" t="n">
        <v>1674.778</v>
      </c>
      <c r="DU20" t="n">
        <v>1517.467</v>
      </c>
      <c r="DV20" t="n">
        <v>16.7</v>
      </c>
      <c r="DW20" t="n">
        <v>41.456</v>
      </c>
      <c r="DX20" t="n">
        <v>208.511</v>
      </c>
      <c r="DY20" t="n">
        <v>145.933</v>
      </c>
      <c r="DZ20" t="n">
        <v>354.444</v>
      </c>
      <c r="EA20" t="n">
        <v>72.96599999999999</v>
      </c>
      <c r="EB20" t="n">
        <v>66.818</v>
      </c>
      <c r="EC20" t="n">
        <v>81.75</v>
      </c>
      <c r="ED20" t="n">
        <v>5.997</v>
      </c>
      <c r="EE20" t="n">
        <v>52.333</v>
      </c>
      <c r="EF20" t="n">
        <v>37.444</v>
      </c>
      <c r="EG20" t="n">
        <v>74.44199999999999</v>
      </c>
      <c r="EH20" t="n">
        <v>5851.222</v>
      </c>
      <c r="EI20" t="n">
        <v>16.508</v>
      </c>
      <c r="EJ20" t="n">
        <v>5497.603</v>
      </c>
      <c r="EK20" t="n">
        <v>26.53</v>
      </c>
      <c r="EL20" t="n">
        <v>177.227</v>
      </c>
      <c r="EM20" t="n">
        <v>1.218</v>
      </c>
      <c r="EN20" t="n">
        <v>55.333</v>
      </c>
      <c r="EO20" t="n">
        <v>6.406</v>
      </c>
      <c r="EP20" t="n">
        <v>61.489</v>
      </c>
      <c r="EQ20" t="n">
        <v>5.764</v>
      </c>
      <c r="ER20" t="n">
        <v>70.593</v>
      </c>
      <c r="ES20" t="n">
        <v>48.989</v>
      </c>
      <c r="ET20" t="n">
        <v>23.668</v>
      </c>
      <c r="EU20" t="n">
        <v>1.989</v>
      </c>
      <c r="EV20" t="n">
        <v>56.934</v>
      </c>
      <c r="EW20" t="n">
        <v>1.769</v>
      </c>
      <c r="EX20" t="n">
        <v>130</v>
      </c>
      <c r="EY20" t="n">
        <v>217.211</v>
      </c>
      <c r="EZ20" t="n">
        <v>347.211</v>
      </c>
      <c r="FA20" t="n">
        <v>37.441</v>
      </c>
      <c r="FB20" t="n">
        <v>62.578</v>
      </c>
      <c r="FC20" t="n">
        <v>86.178</v>
      </c>
      <c r="FD20" t="n">
        <v>14.933</v>
      </c>
      <c r="FE20" t="n">
        <v>21.133</v>
      </c>
      <c r="FF20" t="n">
        <v>65.044</v>
      </c>
      <c r="FG20" t="n">
        <v>79.244</v>
      </c>
      <c r="FH20" t="n">
        <v>54.444</v>
      </c>
      <c r="FI20" t="n">
        <v>9.411</v>
      </c>
      <c r="FJ20" t="n">
        <v>20.689</v>
      </c>
      <c r="FK20" t="n">
        <v>116.178</v>
      </c>
      <c r="FL20" t="n">
        <v>12.167</v>
      </c>
      <c r="FM20" t="n">
        <v>25.211</v>
      </c>
      <c r="FN20" t="n">
        <v>37.378</v>
      </c>
      <c r="FO20" t="n">
        <v>41.089</v>
      </c>
      <c r="FP20" t="n">
        <v>74.905</v>
      </c>
      <c r="FQ20" t="n">
        <v>90.967</v>
      </c>
      <c r="FR20" t="n">
        <v>10.378</v>
      </c>
      <c r="FS20" t="n">
        <v>13.022</v>
      </c>
      <c r="FT20" t="n">
        <v>24.883</v>
      </c>
      <c r="FU20" t="n">
        <v>15.3</v>
      </c>
      <c r="FV20" t="n">
        <v>8.989000000000001</v>
      </c>
      <c r="FW20" t="n">
        <v>13.011</v>
      </c>
      <c r="FX20" t="n">
        <v>11.178</v>
      </c>
      <c r="FY20" t="n">
        <v>89.244</v>
      </c>
      <c r="FZ20" t="n">
        <v>2.022</v>
      </c>
      <c r="GA20" t="n">
        <v>26.467</v>
      </c>
      <c r="GB20" t="n">
        <v>9.722</v>
      </c>
      <c r="GC20" t="n">
        <v>49.16</v>
      </c>
      <c r="GD20" t="n">
        <v>24.862</v>
      </c>
      <c r="GE20" t="n">
        <v>46.221</v>
      </c>
      <c r="GF20" t="n">
        <v>50.573</v>
      </c>
      <c r="GG20" t="n">
        <v>86.254</v>
      </c>
      <c r="GH20" t="n">
        <v>0.968</v>
      </c>
      <c r="GI20" t="n">
        <v>3.259</v>
      </c>
      <c r="GJ20" t="n">
        <v>0.037</v>
      </c>
      <c r="GK20" t="n">
        <v>3.479</v>
      </c>
      <c r="GL20" t="n">
        <v>0.099</v>
      </c>
      <c r="GM20" t="n">
        <v>2.97</v>
      </c>
      <c r="GN20" t="n">
        <v>-0.046</v>
      </c>
      <c r="GO20" t="n">
        <v>4.4</v>
      </c>
      <c r="GP20" t="n">
        <v>35.867</v>
      </c>
      <c r="GQ20" t="n">
        <v>48.978</v>
      </c>
      <c r="GR20" t="n">
        <v>34.078</v>
      </c>
      <c r="GS20" t="n">
        <v>43.622</v>
      </c>
      <c r="GT20" t="n">
        <v>11.544</v>
      </c>
      <c r="GU20" t="n">
        <v>22.145</v>
      </c>
      <c r="GV20" t="n">
        <v>24.742</v>
      </c>
      <c r="GW20" t="n">
        <v>10.674</v>
      </c>
      <c r="GX20" t="n">
        <v>32.392</v>
      </c>
      <c r="GY20" t="n">
        <v>13.824</v>
      </c>
      <c r="GZ20" t="n">
        <v>59.511</v>
      </c>
      <c r="HA20" t="n">
        <v>11.3</v>
      </c>
      <c r="HB20" t="n">
        <v>262.878</v>
      </c>
      <c r="HC20" t="n">
        <v>124.278</v>
      </c>
      <c r="HD20" t="n">
        <v>29.156</v>
      </c>
      <c r="HE20" t="n">
        <v>39.456</v>
      </c>
      <c r="HF20" t="n">
        <v>40.583</v>
      </c>
      <c r="HG20" t="n">
        <v>10.333</v>
      </c>
      <c r="HH20" t="n">
        <v>26.19</v>
      </c>
      <c r="HI20" t="n">
        <v>2.856</v>
      </c>
      <c r="HJ20" t="n">
        <v>42.777</v>
      </c>
      <c r="HK20" t="n">
        <v>39.594</v>
      </c>
      <c r="HL20" t="n">
        <v>10.344</v>
      </c>
      <c r="HM20" t="n">
        <v>91.08499999999999</v>
      </c>
      <c r="HN20" t="n">
        <v>7.322</v>
      </c>
      <c r="HO20" t="n">
        <v>41.089</v>
      </c>
      <c r="HP20" t="n">
        <v>70.378</v>
      </c>
      <c r="HQ20" t="n">
        <v>-7.683</v>
      </c>
      <c r="HR20" t="n">
        <v>-50.178</v>
      </c>
      <c r="HS20" t="n">
        <v>-36.956</v>
      </c>
      <c r="HT20" t="n">
        <v>-3.067</v>
      </c>
      <c r="HU20" t="n">
        <v>-0.833</v>
      </c>
      <c r="HV20" t="n">
        <v>-4.922</v>
      </c>
      <c r="HW20" t="n">
        <v>-1.233</v>
      </c>
      <c r="HX20" t="n">
        <v>-6.156</v>
      </c>
      <c r="HY20" t="n">
        <v>-2.033</v>
      </c>
      <c r="HZ20" t="n">
        <v>-107.256</v>
      </c>
      <c r="IA20" t="n">
        <v>-109.744</v>
      </c>
      <c r="IB20" t="n">
        <v>-6.456</v>
      </c>
      <c r="IC20" t="n">
        <v>0.6889999999999999</v>
      </c>
      <c r="ID20" t="n">
        <v>0.9330000000000001</v>
      </c>
      <c r="IE20" t="n">
        <v>-0.833</v>
      </c>
      <c r="IF20" t="n">
        <v>-0.551</v>
      </c>
      <c r="IG20" t="n">
        <v>-1.478</v>
      </c>
      <c r="IH20" t="n">
        <v>-4.933</v>
      </c>
      <c r="II20" t="n">
        <v>-6.411</v>
      </c>
      <c r="IJ20" t="n">
        <v>-0.9</v>
      </c>
      <c r="IK20" t="n">
        <v>-0.456</v>
      </c>
      <c r="IL20" t="n">
        <v>-0.9330000000000001</v>
      </c>
      <c r="IM20" t="n">
        <v>-0.056</v>
      </c>
      <c r="IN20" t="n">
        <v>-0.4</v>
      </c>
      <c r="IO20" t="n">
        <v>-1.189</v>
      </c>
      <c r="IP20" t="n">
        <v>-0.322</v>
      </c>
      <c r="IQ20" t="n">
        <v>-0.122</v>
      </c>
      <c r="IR20" t="n">
        <v>-0.156</v>
      </c>
      <c r="IS20" t="n">
        <v>-1.7</v>
      </c>
      <c r="IT20" t="n">
        <v>-0.156</v>
      </c>
      <c r="IU20" t="n">
        <v>-0.556</v>
      </c>
      <c r="IV20" t="n">
        <v>-0.711</v>
      </c>
      <c r="IW20" t="n">
        <v>0.011</v>
      </c>
      <c r="IX20" t="n">
        <v>-3.478</v>
      </c>
      <c r="IY20" t="n">
        <v>-0.611</v>
      </c>
      <c r="IZ20" t="n">
        <v>-1.078</v>
      </c>
      <c r="JA20" t="n">
        <v>-0.8110000000000001</v>
      </c>
      <c r="JB20" t="n">
        <v>-0.578</v>
      </c>
      <c r="JC20" t="n">
        <v>-1.033</v>
      </c>
      <c r="JD20" t="n">
        <v>-0.611</v>
      </c>
      <c r="JE20" t="n">
        <v>-6.811</v>
      </c>
      <c r="JF20" t="n">
        <v>-1.789</v>
      </c>
      <c r="JG20" t="n">
        <v>-0.767</v>
      </c>
      <c r="JH20" t="n">
        <v>-5.855</v>
      </c>
      <c r="JI20" t="n">
        <v>-0.878</v>
      </c>
      <c r="JJ20" t="n">
        <v>-0.001</v>
      </c>
      <c r="JK20" t="n">
        <v>-0.056</v>
      </c>
      <c r="JL20" t="n">
        <v>-2.889</v>
      </c>
      <c r="JM20" t="n">
        <v>-3.867</v>
      </c>
      <c r="JN20" t="n">
        <v>-1.7</v>
      </c>
      <c r="JO20" t="n">
        <v>-4.389</v>
      </c>
      <c r="JP20" t="n">
        <v>-0.722</v>
      </c>
      <c r="JQ20" t="n">
        <v>-0.411</v>
      </c>
      <c r="JR20" t="n">
        <v>-0.678</v>
      </c>
      <c r="JS20" t="n">
        <v>1.822</v>
      </c>
      <c r="JT20" t="n">
        <v>3.756</v>
      </c>
      <c r="JU20" t="n">
        <v>0.189</v>
      </c>
      <c r="JV20" t="n">
        <v>-0.378</v>
      </c>
      <c r="JW20" t="n">
        <v>-0.2</v>
      </c>
      <c r="JX20" t="n">
        <v>0.033</v>
      </c>
      <c r="JY20" t="n">
        <v>0</v>
      </c>
      <c r="JZ20" t="n">
        <v>-0.056</v>
      </c>
      <c r="KA20" t="n">
        <v>-0.244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Sports Football-SNRCoach</dc:creator>
  <dcterms:created xsi:type="dcterms:W3CDTF">2025-07-28T01:08:45Z</dcterms:created>
  <dcterms:modified xsi:type="dcterms:W3CDTF">2026-01-28T06:07:48Z</dcterms:modified>
  <cp:lastModifiedBy>Marcus Wagner</cp:lastModifiedBy>
</cp:coreProperties>
</file>